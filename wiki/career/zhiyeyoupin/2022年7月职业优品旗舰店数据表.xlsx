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职业优品旗舰店" sheetId="1" r:id="rId1"/>
    <sheet name="首条数据" sheetId="2" r:id="rId2"/>
    <sheet name="单品数据" sheetId="3" r:id="rId3"/>
  </sheets>
  <calcPr calcId="144525"/>
</workbook>
</file>

<file path=xl/sharedStrings.xml><?xml version="1.0" encoding="utf-8"?>
<sst xmlns="http://schemas.openxmlformats.org/spreadsheetml/2006/main" count="290" uniqueCount="157">
  <si>
    <t>头条</t>
  </si>
  <si>
    <t>二条</t>
  </si>
  <si>
    <t>三条</t>
  </si>
  <si>
    <t>四条</t>
  </si>
  <si>
    <t>日期</t>
  </si>
  <si>
    <t>推文标题</t>
  </si>
  <si>
    <t>阅读量</t>
  </si>
  <si>
    <t>类目</t>
  </si>
  <si>
    <t>推送产品</t>
  </si>
  <si>
    <t>订单数</t>
  </si>
  <si>
    <t>销售额</t>
  </si>
  <si>
    <t>2022.7.6</t>
  </si>
  <si>
    <t>今夏“连衣裙+单鞋”正流行，好看又高级！</t>
  </si>
  <si>
    <t>服装</t>
  </si>
  <si>
    <t>女装</t>
  </si>
  <si>
    <t>太好穿了！回购N次的高腰内裤，亲肤舒适，把肉肉藏起来</t>
  </si>
  <si>
    <t>【蕾丝收腹抑jun提臀内裤4条装】舒适无痕高腰收腹 蕾丝花边 纯色精致 大小码可选SMT-86041</t>
  </si>
  <si>
    <t>备受热捧的设计师品牌又出新品瑜伽运动内衣了~舒服又吸睛！！</t>
  </si>
  <si>
    <t>无缝科技 聚拢运动瑜伽文胸高强度防震可外穿交叉美背一体式运动内衣女DME-8990</t>
  </si>
  <si>
    <t>49元/瓶！明星防晒喷雾，实力抗晒抗黑，轻薄速干！</t>
  </si>
  <si>
    <t>美妆</t>
  </si>
  <si>
    <t>【玥之秘防晒喷雾】防养合一 清爽不搓泥 可定妆防晒喷雾 150ML 高倍防晒，轻薄隐形QYZ水晶防晒喷雾</t>
  </si>
  <si>
    <t>2022.7.13</t>
  </si>
  <si>
    <t>衬衫+阔腿裤=今夏回头率巨高穿搭，高级又显气质</t>
  </si>
  <si>
    <t>凉感降温，顺滑不粘身，桑蚕丝丝光棉T恤！几十元就享受到大牌T的高级面料！</t>
  </si>
  <si>
    <t>【桑蚕丝双面丝光棉短袖T恤 圆领/V领简约修身显瘦纯色t恤DX-蚕丝T恤】#小程序://职业优品旗舰店/商品/ODUFBTsjKhFqyrn</t>
  </si>
  <si>
    <t>1秒收腹提臀，拯救大肚腩、塌屁股，让你重新拥有“诱惑曲线”！</t>
  </si>
  <si>
    <t>【性感蕾丝磁疗高腰塑身收腹内裤女士美体束身提臀桑蚕丝裆内裤女SMT-2168】#小程序://职业优品旗舰店/商品/IdHWG0OQcfrMlSb</t>
  </si>
  <si>
    <t>牙膏里加它，牙黄牙垢唰唰落！牙齿越刷越白</t>
  </si>
  <si>
    <t>洗护</t>
  </si>
  <si>
    <t>【【买2送1 买3送2】白大师牙膏 呵护牙釉质 平衡酸碱 清新口气 100g/盒】#小程序://职业优品旗舰店/商品/CMbVCVGatzO56hD</t>
  </si>
  <si>
    <t>2022.7.20</t>
  </si>
  <si>
    <t>衬衫+阔腿裤、T恤+短裤=今夏王炸CP，照着穿美爆了！</t>
  </si>
  <si>
    <t>想要拥有蜜桃臀？这条提臀裤就能做到！穿上轻松拥有s曲线</t>
  </si>
  <si>
    <t>【【 告别扁平臀大肚腩，一穿立显好身材！】3D立体剪裁 360度雕塑曲线！无痕腰边，提拉翘臀，束腰塑身YKF-2112】#小程序://职业优品旗舰店/商品/45vW9U7hXsdSyLm</t>
  </si>
  <si>
    <t>这是什么仙女内衣洗衣液？污渍、血渍一泡就没，还能长效抑菌</t>
  </si>
  <si>
    <r>
      <rPr>
        <i/>
        <sz val="11"/>
        <color theme="1"/>
        <rFont val="微软雅黑"/>
        <charset val="134"/>
      </rPr>
      <t>【【500ml 贴身衣物的专属呵护】内衣内裤清洗液杀菌抗菌女士抑菌除螨去黄污血渍清洗剂</t>
    </r>
    <r>
      <rPr>
        <sz val="11"/>
        <color theme="1"/>
        <rFont val="微软雅黑"/>
        <charset val="134"/>
      </rPr>
      <t xml:space="preserve"> 99.9%抑菌 ph5.5 温和不伤手WTS-内衣清洗系列】#小程序://职业优品旗舰店/商品/Jmcl6P4sdgHqyIg</t>
    </r>
  </si>
  <si>
    <t>百元拿下！32斤洗衣液+8袋凝珠，30秒去渍，72h留香，囤货必选！</t>
  </si>
  <si>
    <t>【「32斤装+80颗凝珠 巨划算！」露丝小苏打香水洗衣液 瑞士进口香薰 植物配方 深层去污 持久留香72h】#小程序://职业优品旗舰店/商品/Uzp2oDaSgL1RLeg</t>
  </si>
  <si>
    <t>2022.7.27</t>
  </si>
  <si>
    <t>今夏“连衣裙+仙女鞋”正流行，好看又时髦！</t>
  </si>
  <si>
    <t>会“降温”的缎面内裤！裸感轻盈，上身秒降6℃，比不穿还要爽！</t>
  </si>
  <si>
    <t>【紫杉醇抑菌内裤 奢华缎棉冰丝女士无痕蕾丝边大码内裤SMT-86239】#小程序://职业优品旗舰店/商品/2DTAk1Yw9vt46ZJ</t>
  </si>
  <si>
    <t>头上扣下来的白泥究竟是什么？为什么头皮总是发痒、头发发油？</t>
  </si>
  <si>
    <t>【【500ml大容量】氨基酸海盐控油洗发露 约旦进口海盐 专利除螨 深层清洁去屑 滋养头皮WTS-海盐系列】#小程序://职业优品旗舰店/商品/Zh4eNqyOnBOSgGu</t>
  </si>
  <si>
    <t>运动内衣</t>
  </si>
  <si>
    <t>【无缝科技 聚拢运动瑜伽文胸高强度防震可外穿交叉美背一体式运动内衣女DME-8990】#小程序://职业优品旗舰店/商品/sd172CTLIoutZSo</t>
  </si>
  <si>
    <t>阅读数</t>
  </si>
  <si>
    <t>合计</t>
  </si>
  <si>
    <t>2022年7月6日推品排行榜</t>
  </si>
  <si>
    <t>2022年7月13日推品排行榜</t>
  </si>
  <si>
    <t>2022年7月20日推品排行榜</t>
  </si>
  <si>
    <t>2022年7月27日推品排行榜</t>
  </si>
  <si>
    <t>序号</t>
  </si>
  <si>
    <t>类型</t>
  </si>
  <si>
    <t>商品名称/小程序</t>
  </si>
  <si>
    <t>衬衫</t>
  </si>
  <si>
    <t>【雪纺衬衫女时尚设计感蝴蝶结v领洋气上衣泡泡袖衬衣06RG3579】#小程序://职业优品旗舰店/商品/VEdR1nA2tbZDzYB</t>
  </si>
  <si>
    <t>【减龄喇叭袖雪纺优雅衬衫 薄款 时尚气质洋气时尚上衣29RG0565】#小程序://职业优品旗舰店/商品/04oi3vj01IJWvGp</t>
  </si>
  <si>
    <t>【减龄甜美印花立领蝙蝠袖衬衫女短袖30RG0617】#小程序://职业优品旗舰店/商品/cysyTh5aFMd4gvH</t>
  </si>
  <si>
    <t>【雪纺短袖衬衣法式小众上衣单排扣翻领22RG6659】#小程序://职业优品旗舰店/商品/aTAdzTJFusqPF3c</t>
  </si>
  <si>
    <t>【小众法式甜美衬衫泡泡袖气质通勤女短袖衬衫22RG6662】#小程序://职业优品旗舰店/商品/NT9FDEX5dQt5g2j</t>
  </si>
  <si>
    <t>【雪纺衬衫女 时尚洋气炸街减龄名媛轻熟风 NZY-6651】#小程序://职业优品旗舰店/商品/1cL81p08JQVACyi</t>
  </si>
  <si>
    <t>【【 荷叶领时尚洋气衬衫 S-4XL】夏 薄款衬衣收腰时尚上衣42RG2087】#小程序://职业优品旗舰店/商品/rdRKueDXZBOztbl</t>
  </si>
  <si>
    <t>连衣裙</t>
  </si>
  <si>
    <t>【西装连衣裙女 收腰显瘦气质轻熟风裙 06RG2089】#小程序://职业优品旗舰店/商品/rHtCyEAgWzoB40a</t>
  </si>
  <si>
    <t>【雪纺时尚女神范 优雅仙女A字大摆连衣裙06RG2115】#小程序://职业优品旗舰店/商品/4uM70FLgta3tJnl</t>
  </si>
  <si>
    <t>【高端优雅名媛气质裙子 翻领款收腰显瘦衬衫连衣裙PX-W26Q34289】#小程序://职业优品旗舰店/商品/gaxsHOMwrnCuJiK</t>
  </si>
  <si>
    <t>【娃娃领缎面雪纺衫女短袖垂感气质减龄22RG6660】#小程序://职业优品旗舰店/商品/uAl5MjfwcqRgSyc</t>
  </si>
  <si>
    <t>【高端醋酸缎面衬衫短袖洋气v领上衣雪纺衬衣NZY-GS851】#小程序://职业优品旗舰店/商品/JNntXnvbXr4Qcrw</t>
  </si>
  <si>
    <t>裙装</t>
  </si>
  <si>
    <t>【醋酸西装外套女薄款休闲小个子七分袖小西服连衣裙套装08RG88286】#小程序://职业优品旗舰店/商品/raA48QR2lM6CQTj</t>
  </si>
  <si>
    <t>【轻熟风连衣裙V领高端奢华开叉中长款高级感裙子PX-W26Q24942】#小程序://职业优品旗舰店/商品/leB8WgVhMmrJCVv</t>
  </si>
  <si>
    <t>【韩版V领短袖连衣裙中长款一步裙NZY-HN3308】#小程序://职业优品旗舰店/商品/Iq5uHsZAVDu3alq</t>
  </si>
  <si>
    <t>家居服</t>
  </si>
  <si>
    <t>【「夏季冰肌睡衣」小熊卡通居家睡衣 宽松版型 冰爽丝滑 柔软舒适 上身显瘦 清爽减龄 在空调房更舒爽】#小程序://职业优品旗舰店/商品/wxyIBIsuClH4sLg</t>
  </si>
  <si>
    <t>西装外套</t>
  </si>
  <si>
    <t>【雪纺小西装外套 薄款防晒 S-4XL】垂感 收腰七分袖薄款西服42RG203】#小程序://职业优品旗舰店/商品/kSGe4jiQVowuPQn</t>
  </si>
  <si>
    <t>【薄款OL西服中袖休闲小西装外套女11RG9956】#小程序://职业优品旗舰店/商品/RGQgSmNdHG2o30i</t>
  </si>
  <si>
    <t>【休闲百搭气质小西装时尚上衣02RG606】#小程序://职业优品旗舰店/商品/2JQvR6oaTjhgmNm</t>
  </si>
  <si>
    <t>【收腰百褶连衣裙 法式气质飘逸渐变显瘦系带松紧裙22RG931】#小程序://职业优品旗舰店/商品/JnZU8ddE5ORnZ4t</t>
  </si>
  <si>
    <t>西装套装</t>
  </si>
  <si>
    <t>【【御姐轻熟个性套装 薄款 2色7码】时尚气时尚版型 修身显瘦30RG531】#小程序://职业优品旗舰店/商品/xhLR14SQ5Jm7ZEh</t>
  </si>
  <si>
    <t>止汗露</t>
  </si>
  <si>
    <t>【【女神必备】袪狐臭+止汗露女腋下走珠香体止汗液滚珠干爽持久留香珠去异味汗臭YS-4235】#小程序://职业优品旗舰店/商品/wjY6OACbOHTD49k</t>
  </si>
  <si>
    <t>【短款小西装外套女薄款 夏七分袖上衣小个子西服08RG88279】#小程序://职业优品旗舰店/商品/j3mL97cAaiCmM6H</t>
  </si>
  <si>
    <t>【法式西装吊带连衣裙 减龄洋气显瘦10RG21920】#小程序://职业优品旗舰店/商品/n4jxmXCYVxeJbHC</t>
  </si>
  <si>
    <t>【正装职业套装女西装套裙夏短袖薄款工装NZY-KL926】#小程序://职业优品旗舰店/商品/I637kWblihpQk3l</t>
  </si>
  <si>
    <t>【咖色七分袖雪纺薄款防晒休闲小西装外套42RG582】#小程序://职业优品旗舰店/商品/zi8MRPhCsCXL24n</t>
  </si>
  <si>
    <t>【夏季新款时尚套装短袖职业装两件套21RG6109】#小程序://职业优品旗舰店/商品/TlnlC0Fh9eASLYp</t>
  </si>
  <si>
    <t>【高级感白色薄款西装外套女 中袖西服休闲时尚职业气质HYN-1627】#小程序://职业优品旗舰店/商品/bdBH3vfqBjqUASI</t>
  </si>
  <si>
    <t>西装九分裤</t>
  </si>
  <si>
    <t>【高腰魔术贴西裤收褶哈伦裤显瘦休闲九分裤HSS-9078】#小程序://职业优品旗舰店/商品/gm3tNvmOElX733b</t>
  </si>
  <si>
    <t>套装</t>
  </si>
  <si>
    <t>【休闲西装套装通勤时尚气质西服套装11RG9661】#小程序://职业优品旗舰店/商品/vTDOqHXZPJS8gID</t>
  </si>
  <si>
    <t>短裤</t>
  </si>
  <si>
    <t>【宽松垂感显瘦五分裤 西装短裤 休闲高腰中裤 CY-SFZS3016】#小程序://职业优品旗舰店/商品/pj5O3heESA7WsLg</t>
  </si>
  <si>
    <t>【减龄显瘦韩版短袖西装套 小个子气质通勤纯色套装12RG6281】#小程序://职业优品旗舰店/商品/rPlLLwtEownzkFC</t>
  </si>
  <si>
    <t>阔腿裤</t>
  </si>
  <si>
    <t>【宽松阔腿裤女夏季高腰显瘦气质休闲裤长裤CY-HYH8717】#小程序://职业优品旗舰店/商品/STMlEKuV6GMWnXu</t>
  </si>
  <si>
    <t>【气质干练女神范职业套装上班套裙21RG6008】#小程序://职业优品旗舰店/商品/mdJDMIPBrkCGi8l</t>
  </si>
  <si>
    <t>【新款高腰宽松薄款女九分直筒休闲阔腿裤CY-HYH8701】#小程序://职业优品旗舰店/商品/9ouw50TAlor4wyv</t>
  </si>
  <si>
    <t>【时尚气质职业装套装 七分袖修身小西装13RG6813】#小程序://职业优品旗舰店/商品/Eyc13vpLcOPV6Ls</t>
  </si>
  <si>
    <t>半身裙</t>
  </si>
  <si>
    <t>【碎花雪纺包臀半身裙夏季高腰不规则鱼尾中长裙CY-YGLR-8865】#小程序://职业优品旗舰店/商品/DE5Kmix98KeIa3k</t>
  </si>
  <si>
    <t>九分裤</t>
  </si>
  <si>
    <t>【高腰魔术贴西裤收褶哈伦裤显瘦休闲九分裤HSS-9078】#小程序://职业优品旗舰店/商品/hNO37XpeiJ1mgWv</t>
  </si>
  <si>
    <t>【白色开叉半身裙女时尚气质春夏中长款高腰包臀裙HYN-1086】#小程序://职业优品旗舰店/商品/oqjdkIFEEL717Sw</t>
  </si>
  <si>
    <t>九分西裤</t>
  </si>
  <si>
    <t>【高腰哈伦裤女夏季宽松显瘦九分烟管裤DM-9303】#小程序://职业优品旗舰店/商品/jspEdCeeLaqxDUf</t>
  </si>
  <si>
    <t>单鞋</t>
  </si>
  <si>
    <t>【法式经典水钻方扣粗跟单鞋女绸缎真丝低跟平底鞋气质羊皮XJH-7318-1】#小程序://职业优品旗舰店/商品/dU6hyGmYlKAPSVG</t>
  </si>
  <si>
    <t>裤裙</t>
  </si>
  <si>
    <t>【冰丝六七分裙裤女 阔腿裤薄款裤裙HSS-2373-6】#小程序://职业优品旗舰店/商品/mT3qKcxQobDk2se</t>
  </si>
  <si>
    <t>蕾丝高腰内裤</t>
  </si>
  <si>
    <t>【【蕾丝收腹抑jun提臀内裤4条装】舒适无痕高腰收腹 蕾丝花边  纯色精致 大小码可选SMT-86041】#小程序://职业优品旗舰店/商品/qx6yrkz73hlVFGy</t>
  </si>
  <si>
    <t>职业西裤</t>
  </si>
  <si>
    <t>【职业西装裤女士春秋女工装西裤垂感弹力裤11RG8112】#小程序://职业优品旗舰店/商品/AyeHT9MNsyV3dUz</t>
  </si>
  <si>
    <t>包包</t>
  </si>
  <si>
    <t>【时尚手提包潮流简约单肩斜跨包大容量三件套女托特包JBB-21526】#小程序://职业优品旗舰店/商品/yX5goxjJlFoMWtG</t>
  </si>
  <si>
    <t>【高腰碎花雪纺鱼尾半身裙 女不规则荷叶边中长裙CY-SY-2156】#小程序://职业优品旗舰店/商品/u7zYMIoncFCcwdD</t>
  </si>
  <si>
    <t>耳饰</t>
  </si>
  <si>
    <t>【925银针 气质淡水珍珠耳钉 时尚简约耳饰DL-h6457+h6454】#小程序://职业优品旗舰店/商品/rIwgRxDCoQrW3Uj</t>
  </si>
  <si>
    <t>【雪纺印花A字半身裙女 高腰显瘦气质大摆中长裙CY- SY-2158】#小程序://职业优品旗舰店/商品/S48RCSG1Rlu3Maj</t>
  </si>
  <si>
    <t>【925银针爱心花朵珍珠耳饰时尚设计感贝壳耳环DL-h5775】#小程序://职业优品旗舰店/商品/XTogO35rDHI5TSw</t>
  </si>
  <si>
    <t>【遮胯裙子显瘦半身裙高腰钉珠开叉性感一步裙05RG553】#小程序://职业优品旗舰店/商品/KTBTnbYdPOQsupn</t>
  </si>
  <si>
    <t>【阔腿裤家居套装女夏新款大码时尚宽松睡衣休闲两件套ZB-2105#】#小程序://职业优品旗舰店/商品/KyYOfm3Mum7oy2m</t>
  </si>
  <si>
    <t>【真皮粗跟中跟豆豆鞋晚晚风单鞋时尚女鞋QZT-159-6真皮】#小程序://职业优品旗舰店/商品/xrxKomdDnw0tEhy</t>
  </si>
  <si>
    <t>太阳眼镜</t>
  </si>
  <si>
    <t>【限时送收纳盒！！折叠墨镜 蕉下同款偏光太阳镜 时尚超轻TR双色折叠太阳镜WD-WT7901】#小程序://职业优品旗舰店/商品/6IZjn2GlgNIg6Ra</t>
  </si>
  <si>
    <t>细跟鞋</t>
  </si>
  <si>
    <t>【尖头金属扣单鞋女仙女鞋时尚百搭细跟高跟鞋QZT-255-D】#小程序://职业优品旗舰店/商品/1dME8f7f5lyJ4Fj</t>
  </si>
  <si>
    <t>【七分袖减龄夏季薄款西装套装小个子职业气质套装62RG8617B】#小程序://职业优品旗舰店/商品/rzwxQwEgRLMYn8o</t>
  </si>
  <si>
    <t>丝巾</t>
  </si>
  <si>
    <t>【新款时尚油画气质女士大方巾WY-H-86-1】#小程序://职业优品旗舰店/商品/YY1wGqmTGk96tHs</t>
  </si>
  <si>
    <t>太阳帽</t>
  </si>
  <si>
    <t>【【黑胶大帽檐防晒帽】黑胶内层 阻挡紫外线 随心卷折 全面遮阳 轻量不负担 骑车太阳帽子CD-bM2120】#小程序://职业优品旗舰店/商品/cRU0n8Wpib0Bqtt</t>
  </si>
  <si>
    <t>披肩</t>
  </si>
  <si>
    <t>【空调办公室披肩多用棉麻围巾外搭防晒丝巾WY-A-284】#小程序://职业优品旗舰店/商品/nFTweiEKLHQHxKz</t>
  </si>
  <si>
    <t>【925银针简约气质耳钉女耳环 个性设计感耳饰DL-H959】#小程序://职业优品旗舰店/商品/0Pj1PuDs0ffBe0u</t>
  </si>
  <si>
    <t>【「夏季冰肌睡衣」小熊卡通居家睡衣 宽松版型 冰爽丝滑 柔软舒适 上身显瘦 清爽减龄 在空调房更舒爽】#小程序://职业优品旗舰店/商品/kv7Sb4eP2dJBE2J</t>
  </si>
  <si>
    <t>2022年7月6日单品推品数据</t>
  </si>
  <si>
    <t>蕾丝收腹内裤</t>
  </si>
  <si>
    <t>防晒喷雾</t>
  </si>
  <si>
    <t>2022年7月13日单品推品数据</t>
  </si>
  <si>
    <t>T恤</t>
  </si>
  <si>
    <t>收腹内裤</t>
  </si>
  <si>
    <t>牙膏</t>
  </si>
  <si>
    <t>2022年7月20日单品推品数据</t>
  </si>
  <si>
    <t>收腹裤</t>
  </si>
  <si>
    <t>内衣裤洗衣液</t>
  </si>
  <si>
    <t>【【500ml 贴身衣物的专属呵护】内衣内裤清洗液杀菌抗菌女士抑菌除螨去黄污血渍清洗剂 99.9%抑菌 ph5.5 温和不伤手WTS-内衣清洗系列】#小程序://职业优品旗舰店/商品/Jmcl6P4sdgHqyIg</t>
  </si>
  <si>
    <t>洗衣液</t>
  </si>
  <si>
    <t xml:space="preserve">【「32斤装+80颗凝珠 巨划算！」露丝小苏打香水洗衣液 瑞士进口香薰 植物配方 深层去污 持久留香72h】
</t>
  </si>
  <si>
    <t>2022年7月27日单品推品数据</t>
  </si>
  <si>
    <t>紫杉醇抑菌内裤</t>
  </si>
  <si>
    <t>海盐洗发水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</si>
</sst>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i/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1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10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9" fillId="19" borderId="13" applyNumberFormat="0" applyAlignment="0" applyProtection="0">
      <alignment vertical="center"/>
    </xf>
    <xf numFmtId="0" fontId="20" fillId="19" borderId="9" applyNumberFormat="0" applyAlignment="0" applyProtection="0">
      <alignment vertical="center"/>
    </xf>
    <xf numFmtId="0" fontId="21" fillId="20" borderId="14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31" fontId="1" fillId="5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/>
    </xf>
    <xf numFmtId="0" fontId="1" fillId="9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vertical="center"/>
    </xf>
    <xf numFmtId="0" fontId="2" fillId="9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首条数据表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职业优品旗舰店!$C$2</c:f>
              <c:strCache>
                <c:ptCount val="1"/>
                <c:pt idx="0">
                  <c:v>阅读量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职业优品旗舰店!$B$3:$B$6</c:f>
              <c:strCache>
                <c:ptCount val="4"/>
                <c:pt idx="0">
                  <c:v>今夏“连衣裙+单鞋”正流行，好看又高级！</c:v>
                </c:pt>
                <c:pt idx="1">
                  <c:v>衬衫+阔腿裤=今夏回头率巨高穿搭，高级又显气质</c:v>
                </c:pt>
                <c:pt idx="2">
                  <c:v>衬衫+阔腿裤、T恤+短裤=今夏王炸CP，照着穿美爆了！</c:v>
                </c:pt>
                <c:pt idx="3">
                  <c:v>今夏“连衣裙+仙女鞋”正流行，好看又时髦！</c:v>
                </c:pt>
              </c:strCache>
            </c:strRef>
          </c:cat>
          <c:val>
            <c:numRef>
              <c:f>职业优品旗舰店!$C$3:$C$6</c:f>
              <c:numCache>
                <c:formatCode>General</c:formatCode>
                <c:ptCount val="4"/>
                <c:pt idx="0">
                  <c:v>253</c:v>
                </c:pt>
                <c:pt idx="1">
                  <c:v>223</c:v>
                </c:pt>
                <c:pt idx="2">
                  <c:v>251</c:v>
                </c:pt>
                <c:pt idx="3">
                  <c:v>248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职业优品旗舰店!$F$2</c:f>
              <c:strCache>
                <c:ptCount val="1"/>
                <c:pt idx="0">
                  <c:v>订单数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职业优品旗舰店!$B$3:$B$6</c:f>
              <c:strCache>
                <c:ptCount val="4"/>
                <c:pt idx="0">
                  <c:v>今夏“连衣裙+单鞋”正流行，好看又高级！</c:v>
                </c:pt>
                <c:pt idx="1">
                  <c:v>衬衫+阔腿裤=今夏回头率巨高穿搭，高级又显气质</c:v>
                </c:pt>
                <c:pt idx="2">
                  <c:v>衬衫+阔腿裤、T恤+短裤=今夏王炸CP，照着穿美爆了！</c:v>
                </c:pt>
                <c:pt idx="3">
                  <c:v>今夏“连衣裙+仙女鞋”正流行，好看又时髦！</c:v>
                </c:pt>
              </c:strCache>
            </c:strRef>
          </c:cat>
          <c:val>
            <c:numRef>
              <c:f>职业优品旗舰店!$F$3:$F$6</c:f>
              <c:numCache>
                <c:formatCode>General</c:formatCode>
                <c:ptCount val="4"/>
                <c:pt idx="0">
                  <c:v>12</c:v>
                </c:pt>
                <c:pt idx="1">
                  <c:v>6</c:v>
                </c:pt>
                <c:pt idx="2">
                  <c:v>7</c:v>
                </c:pt>
                <c:pt idx="3">
                  <c:v>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职业优品旗舰店!$G$2</c:f>
              <c:strCache>
                <c:ptCount val="1"/>
                <c:pt idx="0">
                  <c:v>销售额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职业优品旗舰店!$B$3:$B$6</c:f>
              <c:strCache>
                <c:ptCount val="4"/>
                <c:pt idx="0">
                  <c:v>今夏“连衣裙+单鞋”正流行，好看又高级！</c:v>
                </c:pt>
                <c:pt idx="1">
                  <c:v>衬衫+阔腿裤=今夏回头率巨高穿搭，高级又显气质</c:v>
                </c:pt>
                <c:pt idx="2">
                  <c:v>衬衫+阔腿裤、T恤+短裤=今夏王炸CP，照着穿美爆了！</c:v>
                </c:pt>
                <c:pt idx="3">
                  <c:v>今夏“连衣裙+仙女鞋”正流行，好看又时髦！</c:v>
                </c:pt>
              </c:strCache>
            </c:strRef>
          </c:cat>
          <c:val>
            <c:numRef>
              <c:f>职业优品旗舰店!$G$3:$G$6</c:f>
              <c:numCache>
                <c:formatCode>General</c:formatCode>
                <c:ptCount val="4"/>
                <c:pt idx="0">
                  <c:v>570</c:v>
                </c:pt>
                <c:pt idx="1">
                  <c:v>323.9</c:v>
                </c:pt>
                <c:pt idx="2">
                  <c:v>448</c:v>
                </c:pt>
                <c:pt idx="3">
                  <c:v>237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15728768"/>
        <c:axId val="115937664"/>
      </c:lineChart>
      <c:catAx>
        <c:axId val="11572876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15937664"/>
        <c:crosses val="autoZero"/>
        <c:auto val="1"/>
        <c:lblAlgn val="ctr"/>
        <c:lblOffset val="100"/>
        <c:noMultiLvlLbl val="0"/>
      </c:catAx>
      <c:valAx>
        <c:axId val="1159376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1572876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7</a:t>
            </a:r>
            <a:r>
              <a:rPr altLang="en-US"/>
              <a:t>月份数据图表</a:t>
            </a:r>
            <a:endParaRPr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职业优品旗舰店!$B$20</c:f>
              <c:strCache>
                <c:ptCount val="1"/>
                <c:pt idx="0">
                  <c:v>阅读数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职业优品旗舰店!$A$21:$A$24</c:f>
              <c:strCache>
                <c:ptCount val="4"/>
                <c:pt idx="0" c:formatCode="yyyy&quot;年&quot;m&quot;月&quot;d&quot;日&quot;">
                  <c:v>2022.7.6</c:v>
                </c:pt>
                <c:pt idx="1" c:formatCode="yyyy&quot;年&quot;m&quot;月&quot;d&quot;日&quot;">
                  <c:v>2022.7.13</c:v>
                </c:pt>
                <c:pt idx="2" c:formatCode="yyyy&quot;年&quot;m&quot;月&quot;d&quot;日&quot;">
                  <c:v>2022.7.20</c:v>
                </c:pt>
                <c:pt idx="3" c:formatCode="yyyy&quot;年&quot;m&quot;月&quot;d&quot;日&quot;">
                  <c:v>2022.7.27</c:v>
                </c:pt>
              </c:strCache>
            </c:strRef>
          </c:cat>
          <c:val>
            <c:numRef>
              <c:f>职业优品旗舰店!$B$21:$B$24</c:f>
              <c:numCache>
                <c:formatCode>General</c:formatCode>
                <c:ptCount val="4"/>
                <c:pt idx="0">
                  <c:v>329</c:v>
                </c:pt>
                <c:pt idx="1">
                  <c:v>332</c:v>
                </c:pt>
                <c:pt idx="2">
                  <c:v>322</c:v>
                </c:pt>
                <c:pt idx="3">
                  <c:v>357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职业优品旗舰店!$C$20</c:f>
              <c:strCache>
                <c:ptCount val="1"/>
                <c:pt idx="0">
                  <c:v>销售额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职业优品旗舰店!$A$21:$A$24</c:f>
              <c:strCache>
                <c:ptCount val="4"/>
                <c:pt idx="0" c:formatCode="yyyy&quot;年&quot;m&quot;月&quot;d&quot;日&quot;">
                  <c:v>2022.7.6</c:v>
                </c:pt>
                <c:pt idx="1" c:formatCode="yyyy&quot;年&quot;m&quot;月&quot;d&quot;日&quot;">
                  <c:v>2022.7.13</c:v>
                </c:pt>
                <c:pt idx="2" c:formatCode="yyyy&quot;年&quot;m&quot;月&quot;d&quot;日&quot;">
                  <c:v>2022.7.20</c:v>
                </c:pt>
                <c:pt idx="3" c:formatCode="yyyy&quot;年&quot;m&quot;月&quot;d&quot;日&quot;">
                  <c:v>2022.7.27</c:v>
                </c:pt>
              </c:strCache>
            </c:strRef>
          </c:cat>
          <c:val>
            <c:numRef>
              <c:f>职业优品旗舰店!$C$21:$C$24</c:f>
              <c:numCache>
                <c:formatCode>General</c:formatCode>
                <c:ptCount val="4"/>
                <c:pt idx="0">
                  <c:v>842</c:v>
                </c:pt>
                <c:pt idx="1">
                  <c:v>479.9</c:v>
                </c:pt>
                <c:pt idx="2">
                  <c:v>654.9</c:v>
                </c:pt>
                <c:pt idx="3">
                  <c:v>305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职业优品旗舰店!$D$20</c:f>
              <c:strCache>
                <c:ptCount val="1"/>
                <c:pt idx="0">
                  <c:v>订单数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职业优品旗舰店!$A$21:$A$24</c:f>
              <c:strCache>
                <c:ptCount val="4"/>
                <c:pt idx="0" c:formatCode="yyyy&quot;年&quot;m&quot;月&quot;d&quot;日&quot;">
                  <c:v>2022.7.6</c:v>
                </c:pt>
                <c:pt idx="1" c:formatCode="yyyy&quot;年&quot;m&quot;月&quot;d&quot;日&quot;">
                  <c:v>2022.7.13</c:v>
                </c:pt>
                <c:pt idx="2" c:formatCode="yyyy&quot;年&quot;m&quot;月&quot;d&quot;日&quot;">
                  <c:v>2022.7.20</c:v>
                </c:pt>
                <c:pt idx="3" c:formatCode="yyyy&quot;年&quot;m&quot;月&quot;d&quot;日&quot;">
                  <c:v>2022.7.27</c:v>
                </c:pt>
              </c:strCache>
            </c:strRef>
          </c:cat>
          <c:val>
            <c:numRef>
              <c:f>职业优品旗舰店!$D$21:$D$24</c:f>
              <c:numCache>
                <c:formatCode>General</c:formatCode>
                <c:ptCount val="4"/>
                <c:pt idx="0">
                  <c:v>16</c:v>
                </c:pt>
                <c:pt idx="1">
                  <c:v>8</c:v>
                </c:pt>
                <c:pt idx="2">
                  <c:v>10</c:v>
                </c:pt>
                <c:pt idx="3">
                  <c:v>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68549760"/>
        <c:axId val="67155072"/>
      </c:lineChart>
      <c:catAx>
        <c:axId val="16854976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67155072"/>
        <c:crosses val="autoZero"/>
        <c:auto val="1"/>
        <c:lblAlgn val="ctr"/>
        <c:lblOffset val="100"/>
        <c:noMultiLvlLbl val="0"/>
      </c:catAx>
      <c:valAx>
        <c:axId val="671550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6854976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104776</xdr:colOff>
      <xdr:row>7</xdr:row>
      <xdr:rowOff>38100</xdr:rowOff>
    </xdr:from>
    <xdr:to>
      <xdr:col>13</xdr:col>
      <xdr:colOff>619125</xdr:colOff>
      <xdr:row>17</xdr:row>
      <xdr:rowOff>66676</xdr:rowOff>
    </xdr:to>
    <xdr:graphicFrame>
      <xdr:nvGraphicFramePr>
        <xdr:cNvPr id="4" name="图表 3"/>
        <xdr:cNvGraphicFramePr/>
      </xdr:nvGraphicFramePr>
      <xdr:xfrm>
        <a:off x="6105525" y="2339340"/>
        <a:ext cx="6191250" cy="3578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19051</xdr:colOff>
      <xdr:row>19</xdr:row>
      <xdr:rowOff>733425</xdr:rowOff>
    </xdr:from>
    <xdr:to>
      <xdr:col>15</xdr:col>
      <xdr:colOff>19051</xdr:colOff>
      <xdr:row>24</xdr:row>
      <xdr:rowOff>657225</xdr:rowOff>
    </xdr:to>
    <xdr:graphicFrame>
      <xdr:nvGraphicFramePr>
        <xdr:cNvPr id="5" name="图表 4"/>
        <xdr:cNvGraphicFramePr/>
      </xdr:nvGraphicFramePr>
      <xdr:xfrm>
        <a:off x="6019800" y="7110730"/>
        <a:ext cx="7048500" cy="411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tabSelected="1" workbookViewId="0">
      <selection activeCell="C14" sqref="C14"/>
    </sheetView>
  </sheetViews>
  <sheetFormatPr defaultColWidth="9" defaultRowHeight="13.5"/>
  <cols>
    <col min="1" max="1" width="10" customWidth="1"/>
    <col min="2" max="2" width="26.25" customWidth="1"/>
    <col min="3" max="3" width="11" customWidth="1"/>
    <col min="4" max="4" width="13.5" customWidth="1"/>
    <col min="9" max="9" width="20.5" customWidth="1"/>
    <col min="16" max="16" width="18.5" customWidth="1"/>
    <col min="23" max="23" width="18.5" customWidth="1"/>
  </cols>
  <sheetData>
    <row r="1" ht="27.95" customHeight="1" spans="1:28">
      <c r="A1" s="22"/>
      <c r="B1" s="23" t="s">
        <v>0</v>
      </c>
      <c r="C1" s="23"/>
      <c r="D1" s="23"/>
      <c r="E1" s="23"/>
      <c r="F1" s="23"/>
      <c r="G1" s="23"/>
      <c r="I1" s="33" t="s">
        <v>1</v>
      </c>
      <c r="J1" s="33"/>
      <c r="K1" s="33"/>
      <c r="L1" s="33"/>
      <c r="M1" s="33"/>
      <c r="N1" s="33"/>
      <c r="P1" s="34" t="s">
        <v>2</v>
      </c>
      <c r="Q1" s="34"/>
      <c r="R1" s="34"/>
      <c r="S1" s="34"/>
      <c r="T1" s="34"/>
      <c r="U1" s="34"/>
      <c r="W1" s="38" t="s">
        <v>3</v>
      </c>
      <c r="X1" s="38"/>
      <c r="Y1" s="38"/>
      <c r="Z1" s="38"/>
      <c r="AA1" s="38"/>
      <c r="AB1" s="38"/>
    </row>
    <row r="2" ht="27.95" customHeight="1" spans="1:28">
      <c r="A2" s="24" t="s">
        <v>4</v>
      </c>
      <c r="B2" s="23" t="s">
        <v>5</v>
      </c>
      <c r="C2" s="23" t="s">
        <v>6</v>
      </c>
      <c r="D2" s="23" t="s">
        <v>7</v>
      </c>
      <c r="E2" s="23" t="s">
        <v>8</v>
      </c>
      <c r="F2" s="25" t="s">
        <v>9</v>
      </c>
      <c r="G2" s="23" t="s">
        <v>10</v>
      </c>
      <c r="I2" s="33" t="s">
        <v>5</v>
      </c>
      <c r="J2" s="33" t="s">
        <v>6</v>
      </c>
      <c r="K2" s="33" t="s">
        <v>7</v>
      </c>
      <c r="L2" s="33" t="s">
        <v>8</v>
      </c>
      <c r="M2" s="33" t="s">
        <v>9</v>
      </c>
      <c r="N2" s="33" t="s">
        <v>10</v>
      </c>
      <c r="P2" s="34" t="s">
        <v>5</v>
      </c>
      <c r="Q2" s="34" t="s">
        <v>6</v>
      </c>
      <c r="R2" s="34" t="s">
        <v>7</v>
      </c>
      <c r="S2" s="34" t="s">
        <v>8</v>
      </c>
      <c r="T2" s="34" t="s">
        <v>9</v>
      </c>
      <c r="U2" s="34" t="s">
        <v>10</v>
      </c>
      <c r="W2" s="38" t="s">
        <v>5</v>
      </c>
      <c r="X2" s="38" t="s">
        <v>6</v>
      </c>
      <c r="Y2" s="38" t="s">
        <v>7</v>
      </c>
      <c r="Z2" s="38" t="s">
        <v>8</v>
      </c>
      <c r="AA2" s="38" t="s">
        <v>9</v>
      </c>
      <c r="AB2" s="38" t="s">
        <v>10</v>
      </c>
    </row>
    <row r="3" ht="27.95" customHeight="1" spans="1:28">
      <c r="A3" s="26" t="s">
        <v>11</v>
      </c>
      <c r="B3" s="27" t="s">
        <v>12</v>
      </c>
      <c r="C3" s="28">
        <v>253</v>
      </c>
      <c r="D3" s="21" t="s">
        <v>13</v>
      </c>
      <c r="E3" s="21" t="s">
        <v>14</v>
      </c>
      <c r="F3" s="28">
        <v>12</v>
      </c>
      <c r="G3" s="21">
        <v>570</v>
      </c>
      <c r="I3" s="35" t="s">
        <v>15</v>
      </c>
      <c r="J3" s="36">
        <v>41</v>
      </c>
      <c r="K3" s="36" t="s">
        <v>13</v>
      </c>
      <c r="L3" s="36" t="s">
        <v>16</v>
      </c>
      <c r="M3" s="36">
        <v>4</v>
      </c>
      <c r="N3" s="36">
        <v>272</v>
      </c>
      <c r="P3" s="37" t="s">
        <v>17</v>
      </c>
      <c r="Q3" s="39">
        <v>16</v>
      </c>
      <c r="R3" s="39" t="s">
        <v>13</v>
      </c>
      <c r="S3" s="39" t="s">
        <v>18</v>
      </c>
      <c r="T3" s="39">
        <v>0</v>
      </c>
      <c r="U3" s="39">
        <v>0</v>
      </c>
      <c r="W3" s="40" t="s">
        <v>19</v>
      </c>
      <c r="X3" s="41">
        <v>19</v>
      </c>
      <c r="Y3" s="41" t="s">
        <v>20</v>
      </c>
      <c r="Z3" s="41" t="s">
        <v>21</v>
      </c>
      <c r="AA3" s="41">
        <v>0</v>
      </c>
      <c r="AB3" s="41">
        <v>0</v>
      </c>
    </row>
    <row r="4" ht="27.95" customHeight="1" spans="1:28">
      <c r="A4" s="26" t="s">
        <v>22</v>
      </c>
      <c r="B4" s="27" t="s">
        <v>23</v>
      </c>
      <c r="C4" s="21">
        <v>223</v>
      </c>
      <c r="D4" s="21" t="s">
        <v>13</v>
      </c>
      <c r="E4" s="21" t="s">
        <v>14</v>
      </c>
      <c r="F4" s="28">
        <v>6</v>
      </c>
      <c r="G4" s="21">
        <v>323.9</v>
      </c>
      <c r="I4" s="35" t="s">
        <v>24</v>
      </c>
      <c r="J4" s="36">
        <v>60</v>
      </c>
      <c r="K4" s="36" t="s">
        <v>13</v>
      </c>
      <c r="L4" s="36" t="s">
        <v>25</v>
      </c>
      <c r="M4" s="36">
        <v>0</v>
      </c>
      <c r="N4" s="36">
        <v>0</v>
      </c>
      <c r="P4" s="37" t="s">
        <v>26</v>
      </c>
      <c r="Q4" s="39">
        <v>22</v>
      </c>
      <c r="R4" s="39" t="s">
        <v>13</v>
      </c>
      <c r="S4" s="39" t="s">
        <v>27</v>
      </c>
      <c r="T4" s="39">
        <v>1</v>
      </c>
      <c r="U4" s="39">
        <v>78</v>
      </c>
      <c r="W4" s="40" t="s">
        <v>28</v>
      </c>
      <c r="X4" s="41">
        <v>27</v>
      </c>
      <c r="Y4" s="41" t="s">
        <v>29</v>
      </c>
      <c r="Z4" s="41" t="s">
        <v>30</v>
      </c>
      <c r="AA4" s="41">
        <v>1</v>
      </c>
      <c r="AB4" s="41">
        <v>78</v>
      </c>
    </row>
    <row r="5" ht="27.95" customHeight="1" spans="1:28">
      <c r="A5" s="26" t="s">
        <v>31</v>
      </c>
      <c r="B5" s="27" t="s">
        <v>32</v>
      </c>
      <c r="C5" s="21">
        <v>251</v>
      </c>
      <c r="D5" s="21" t="s">
        <v>13</v>
      </c>
      <c r="E5" s="21" t="s">
        <v>14</v>
      </c>
      <c r="F5" s="28">
        <v>7</v>
      </c>
      <c r="G5" s="21">
        <v>448</v>
      </c>
      <c r="I5" s="35" t="s">
        <v>33</v>
      </c>
      <c r="J5" s="36">
        <v>22</v>
      </c>
      <c r="K5" s="36" t="s">
        <v>13</v>
      </c>
      <c r="L5" s="36" t="s">
        <v>34</v>
      </c>
      <c r="M5" s="36">
        <v>1</v>
      </c>
      <c r="N5" s="36">
        <v>79</v>
      </c>
      <c r="P5" s="37" t="s">
        <v>35</v>
      </c>
      <c r="Q5" s="39">
        <v>18</v>
      </c>
      <c r="R5" s="39" t="s">
        <v>29</v>
      </c>
      <c r="S5" s="42" t="s">
        <v>36</v>
      </c>
      <c r="T5" s="39">
        <v>1</v>
      </c>
      <c r="U5" s="39">
        <v>58</v>
      </c>
      <c r="W5" s="40" t="s">
        <v>37</v>
      </c>
      <c r="X5" s="41">
        <v>31</v>
      </c>
      <c r="Y5" s="41" t="s">
        <v>29</v>
      </c>
      <c r="Z5" s="43" t="s">
        <v>38</v>
      </c>
      <c r="AA5" s="41">
        <v>1</v>
      </c>
      <c r="AB5" s="41">
        <v>69.9</v>
      </c>
    </row>
    <row r="6" ht="27.95" customHeight="1" spans="1:28">
      <c r="A6" s="26" t="s">
        <v>39</v>
      </c>
      <c r="B6" s="27" t="s">
        <v>40</v>
      </c>
      <c r="C6" s="21">
        <v>248</v>
      </c>
      <c r="D6" s="21" t="s">
        <v>13</v>
      </c>
      <c r="E6" s="21" t="s">
        <v>14</v>
      </c>
      <c r="F6" s="28">
        <v>2</v>
      </c>
      <c r="G6" s="21">
        <v>237</v>
      </c>
      <c r="I6" s="35" t="s">
        <v>41</v>
      </c>
      <c r="J6" s="36">
        <v>39</v>
      </c>
      <c r="K6" s="36" t="s">
        <v>13</v>
      </c>
      <c r="L6" s="36" t="s">
        <v>42</v>
      </c>
      <c r="M6" s="36">
        <v>1</v>
      </c>
      <c r="N6" s="36">
        <v>68</v>
      </c>
      <c r="P6" s="37" t="s">
        <v>43</v>
      </c>
      <c r="Q6" s="39">
        <v>31</v>
      </c>
      <c r="R6" s="39" t="s">
        <v>29</v>
      </c>
      <c r="S6" s="39" t="s">
        <v>44</v>
      </c>
      <c r="T6" s="39">
        <v>0</v>
      </c>
      <c r="U6" s="39">
        <v>0</v>
      </c>
      <c r="W6" s="40" t="s">
        <v>17</v>
      </c>
      <c r="X6" s="41">
        <v>39</v>
      </c>
      <c r="Y6" s="41" t="s">
        <v>45</v>
      </c>
      <c r="Z6" s="41" t="s">
        <v>46</v>
      </c>
      <c r="AA6" s="41">
        <v>0</v>
      </c>
      <c r="AB6" s="41">
        <v>0</v>
      </c>
    </row>
    <row r="8" ht="27.95" customHeight="1"/>
    <row r="9" ht="27.95" customHeight="1"/>
    <row r="10" ht="27.95" customHeight="1"/>
    <row r="11" ht="27.95" customHeight="1"/>
    <row r="12" ht="27.95" customHeight="1"/>
    <row r="13" ht="27.95" customHeight="1"/>
    <row r="14" ht="27.95" customHeight="1"/>
    <row r="15" ht="27.95" customHeight="1"/>
    <row r="16" ht="27.95" customHeight="1"/>
    <row r="17" ht="27.95" customHeight="1"/>
    <row r="18" ht="27.95" customHeight="1"/>
    <row r="20" ht="66" customHeight="1" spans="1:4">
      <c r="A20" s="29" t="s">
        <v>4</v>
      </c>
      <c r="B20" s="29" t="s">
        <v>47</v>
      </c>
      <c r="C20" s="29" t="s">
        <v>10</v>
      </c>
      <c r="D20" s="29" t="s">
        <v>9</v>
      </c>
    </row>
    <row r="21" ht="66" customHeight="1" spans="1:4">
      <c r="A21" s="26" t="s">
        <v>11</v>
      </c>
      <c r="B21" s="30">
        <f>SUM(C3+J3+Q3+X3)</f>
        <v>329</v>
      </c>
      <c r="C21" s="9">
        <f>SUM(G3+N3)</f>
        <v>842</v>
      </c>
      <c r="D21" s="9">
        <f>SUM(F3+M3)</f>
        <v>16</v>
      </c>
    </row>
    <row r="22" ht="66" customHeight="1" spans="1:4">
      <c r="A22" s="26" t="s">
        <v>22</v>
      </c>
      <c r="B22" s="9">
        <f>SUM(C4+J4+Q4+X4)</f>
        <v>332</v>
      </c>
      <c r="C22" s="9">
        <f>SUM(G4+U4+AB4)</f>
        <v>479.9</v>
      </c>
      <c r="D22" s="9">
        <f>SUM(F4+AA4+T4)</f>
        <v>8</v>
      </c>
    </row>
    <row r="23" ht="66" customHeight="1" spans="1:4">
      <c r="A23" s="26" t="s">
        <v>31</v>
      </c>
      <c r="B23" s="9">
        <f>SUM(C5+J5+Q5+X5)</f>
        <v>322</v>
      </c>
      <c r="C23" s="9">
        <f>SUM(G5+N5+U5+AB5)</f>
        <v>654.9</v>
      </c>
      <c r="D23" s="9">
        <f>SUM(F5+M5+AA5+T5)</f>
        <v>10</v>
      </c>
    </row>
    <row r="24" ht="66" customHeight="1" spans="1:4">
      <c r="A24" s="26" t="s">
        <v>39</v>
      </c>
      <c r="B24" s="9">
        <f>SUM(C6+J6+Q6+X6)</f>
        <v>357</v>
      </c>
      <c r="C24" s="9">
        <f>SUM(G6+N6)</f>
        <v>305</v>
      </c>
      <c r="D24" s="9">
        <f>SUM(F6+M6)</f>
        <v>3</v>
      </c>
    </row>
    <row r="25" ht="66" customHeight="1" spans="1:4">
      <c r="A25" s="26" t="s">
        <v>48</v>
      </c>
      <c r="B25" s="31">
        <v>1340</v>
      </c>
      <c r="C25" s="32">
        <v>2281.8</v>
      </c>
      <c r="D25" s="32">
        <v>37</v>
      </c>
    </row>
  </sheetData>
  <mergeCells count="4">
    <mergeCell ref="B1:G1"/>
    <mergeCell ref="I1:N1"/>
    <mergeCell ref="P1:U1"/>
    <mergeCell ref="W1:AB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workbookViewId="0">
      <selection activeCell="C7" sqref="C7"/>
    </sheetView>
  </sheetViews>
  <sheetFormatPr defaultColWidth="9" defaultRowHeight="13.5"/>
  <cols>
    <col min="3" max="3" width="147.75" customWidth="1"/>
    <col min="5" max="5" width="9" style="1"/>
    <col min="7" max="7" width="9" style="1"/>
    <col min="9" max="9" width="12.125" customWidth="1"/>
    <col min="10" max="11" width="9" style="1"/>
    <col min="13" max="13" width="9" style="1"/>
    <col min="15" max="15" width="15.75" customWidth="1"/>
    <col min="16" max="17" width="9" style="1"/>
    <col min="19" max="19" width="9" style="1"/>
    <col min="21" max="21" width="12.625" customWidth="1"/>
    <col min="22" max="23" width="9" style="1"/>
  </cols>
  <sheetData>
    <row r="1" ht="21" spans="1:23">
      <c r="A1" s="17" t="s">
        <v>49</v>
      </c>
      <c r="B1" s="17"/>
      <c r="C1" s="18"/>
      <c r="D1" s="17"/>
      <c r="E1" s="17"/>
      <c r="G1" s="17" t="s">
        <v>50</v>
      </c>
      <c r="H1" s="17"/>
      <c r="I1" s="18"/>
      <c r="J1" s="17"/>
      <c r="K1" s="17"/>
      <c r="M1" s="17" t="s">
        <v>51</v>
      </c>
      <c r="N1" s="17"/>
      <c r="O1" s="18"/>
      <c r="P1" s="17"/>
      <c r="Q1" s="17"/>
      <c r="S1" s="17" t="s">
        <v>52</v>
      </c>
      <c r="T1" s="17"/>
      <c r="U1" s="18"/>
      <c r="V1" s="17"/>
      <c r="W1" s="17"/>
    </row>
    <row r="2" ht="16.5" spans="1:23">
      <c r="A2" s="4" t="s">
        <v>53</v>
      </c>
      <c r="B2" s="4" t="s">
        <v>54</v>
      </c>
      <c r="C2" s="4" t="s">
        <v>55</v>
      </c>
      <c r="D2" s="4" t="s">
        <v>9</v>
      </c>
      <c r="E2" s="4" t="s">
        <v>10</v>
      </c>
      <c r="G2" s="4" t="s">
        <v>53</v>
      </c>
      <c r="H2" s="4" t="s">
        <v>54</v>
      </c>
      <c r="I2" s="4" t="s">
        <v>55</v>
      </c>
      <c r="J2" s="4" t="s">
        <v>9</v>
      </c>
      <c r="K2" s="4" t="s">
        <v>10</v>
      </c>
      <c r="M2" s="4" t="s">
        <v>53</v>
      </c>
      <c r="N2" s="4" t="s">
        <v>54</v>
      </c>
      <c r="O2" s="4" t="s">
        <v>55</v>
      </c>
      <c r="P2" s="4" t="s">
        <v>9</v>
      </c>
      <c r="Q2" s="4" t="s">
        <v>10</v>
      </c>
      <c r="S2" s="4" t="s">
        <v>53</v>
      </c>
      <c r="T2" s="4" t="s">
        <v>54</v>
      </c>
      <c r="U2" s="4" t="s">
        <v>55</v>
      </c>
      <c r="V2" s="4" t="s">
        <v>9</v>
      </c>
      <c r="W2" s="4" t="s">
        <v>10</v>
      </c>
    </row>
    <row r="3" ht="27.95" customHeight="1" spans="1:23">
      <c r="A3" s="7">
        <v>1</v>
      </c>
      <c r="B3" s="7" t="s">
        <v>56</v>
      </c>
      <c r="C3" s="7" t="s">
        <v>57</v>
      </c>
      <c r="D3" s="7">
        <v>0</v>
      </c>
      <c r="E3" s="7">
        <v>0</v>
      </c>
      <c r="G3" s="7">
        <v>1</v>
      </c>
      <c r="H3" s="8" t="s">
        <v>56</v>
      </c>
      <c r="I3" s="8" t="s">
        <v>58</v>
      </c>
      <c r="J3" s="7">
        <v>0</v>
      </c>
      <c r="K3" s="7">
        <v>0</v>
      </c>
      <c r="M3" s="7">
        <v>1</v>
      </c>
      <c r="N3" s="8" t="s">
        <v>56</v>
      </c>
      <c r="O3" s="8" t="s">
        <v>59</v>
      </c>
      <c r="P3" s="7">
        <v>0</v>
      </c>
      <c r="Q3" s="7">
        <v>0</v>
      </c>
      <c r="S3" s="7">
        <v>1</v>
      </c>
      <c r="T3" s="8" t="s">
        <v>56</v>
      </c>
      <c r="U3" s="8" t="s">
        <v>60</v>
      </c>
      <c r="V3" s="7">
        <v>0</v>
      </c>
      <c r="W3" s="7">
        <v>0</v>
      </c>
    </row>
    <row r="4" ht="27.95" customHeight="1" spans="1:23">
      <c r="A4" s="9">
        <v>2</v>
      </c>
      <c r="B4" s="9" t="s">
        <v>56</v>
      </c>
      <c r="C4" s="9" t="s">
        <v>61</v>
      </c>
      <c r="D4" s="9">
        <v>0</v>
      </c>
      <c r="E4" s="9">
        <v>0</v>
      </c>
      <c r="G4" s="7">
        <v>2</v>
      </c>
      <c r="H4" s="10" t="s">
        <v>56</v>
      </c>
      <c r="I4" s="10" t="s">
        <v>62</v>
      </c>
      <c r="J4" s="9">
        <v>0</v>
      </c>
      <c r="K4" s="9">
        <v>0</v>
      </c>
      <c r="M4" s="21">
        <v>2</v>
      </c>
      <c r="N4" s="20" t="s">
        <v>56</v>
      </c>
      <c r="O4" s="20" t="s">
        <v>63</v>
      </c>
      <c r="P4" s="21">
        <v>1</v>
      </c>
      <c r="Q4" s="21">
        <v>89</v>
      </c>
      <c r="S4" s="21">
        <v>2</v>
      </c>
      <c r="T4" s="20" t="s">
        <v>64</v>
      </c>
      <c r="U4" s="20" t="s">
        <v>65</v>
      </c>
      <c r="V4" s="21">
        <v>1</v>
      </c>
      <c r="W4" s="21">
        <v>169</v>
      </c>
    </row>
    <row r="5" ht="27.95" customHeight="1" spans="1:23">
      <c r="A5" s="9">
        <v>3</v>
      </c>
      <c r="B5" s="9" t="s">
        <v>64</v>
      </c>
      <c r="C5" s="9" t="s">
        <v>66</v>
      </c>
      <c r="D5" s="9">
        <v>0</v>
      </c>
      <c r="E5" s="9">
        <v>0</v>
      </c>
      <c r="G5" s="7">
        <v>3</v>
      </c>
      <c r="H5" s="10" t="s">
        <v>64</v>
      </c>
      <c r="I5" s="10" t="s">
        <v>67</v>
      </c>
      <c r="J5" s="9">
        <v>0</v>
      </c>
      <c r="K5" s="9">
        <v>0</v>
      </c>
      <c r="M5" s="21">
        <v>3</v>
      </c>
      <c r="N5" s="20" t="s">
        <v>56</v>
      </c>
      <c r="O5" s="20" t="s">
        <v>68</v>
      </c>
      <c r="P5" s="21">
        <v>1</v>
      </c>
      <c r="Q5" s="21">
        <v>105</v>
      </c>
      <c r="S5" s="9">
        <v>3</v>
      </c>
      <c r="T5" s="10" t="s">
        <v>56</v>
      </c>
      <c r="U5" s="10" t="s">
        <v>69</v>
      </c>
      <c r="V5" s="9">
        <v>0</v>
      </c>
      <c r="W5" s="9">
        <v>0</v>
      </c>
    </row>
    <row r="6" ht="27.95" customHeight="1" spans="1:23">
      <c r="A6" s="9">
        <v>4</v>
      </c>
      <c r="B6" s="9" t="s">
        <v>70</v>
      </c>
      <c r="C6" s="9" t="s">
        <v>71</v>
      </c>
      <c r="D6" s="9">
        <v>0</v>
      </c>
      <c r="E6" s="9">
        <v>0</v>
      </c>
      <c r="G6" s="7">
        <v>4</v>
      </c>
      <c r="H6" s="10" t="s">
        <v>64</v>
      </c>
      <c r="I6" s="10" t="s">
        <v>72</v>
      </c>
      <c r="J6" s="9">
        <v>0</v>
      </c>
      <c r="K6" s="9">
        <v>0</v>
      </c>
      <c r="M6" s="9">
        <v>4</v>
      </c>
      <c r="N6" s="10" t="s">
        <v>64</v>
      </c>
      <c r="O6" s="10" t="s">
        <v>73</v>
      </c>
      <c r="P6" s="9">
        <v>0</v>
      </c>
      <c r="Q6" s="9">
        <v>0</v>
      </c>
      <c r="S6" s="21">
        <v>4</v>
      </c>
      <c r="T6" s="20" t="s">
        <v>74</v>
      </c>
      <c r="U6" s="20" t="s">
        <v>75</v>
      </c>
      <c r="V6" s="21">
        <v>1</v>
      </c>
      <c r="W6" s="21">
        <v>68</v>
      </c>
    </row>
    <row r="7" ht="27.95" customHeight="1" spans="1:23">
      <c r="A7" s="9">
        <v>5</v>
      </c>
      <c r="B7" s="9" t="s">
        <v>76</v>
      </c>
      <c r="C7" s="9" t="s">
        <v>77</v>
      </c>
      <c r="D7" s="9">
        <v>0</v>
      </c>
      <c r="E7" s="9">
        <v>0</v>
      </c>
      <c r="G7" s="19">
        <v>5</v>
      </c>
      <c r="H7" s="20" t="s">
        <v>76</v>
      </c>
      <c r="I7" s="20" t="s">
        <v>78</v>
      </c>
      <c r="J7" s="21">
        <v>1</v>
      </c>
      <c r="K7" s="21">
        <v>138</v>
      </c>
      <c r="M7" s="9">
        <v>5</v>
      </c>
      <c r="N7" s="10" t="s">
        <v>76</v>
      </c>
      <c r="O7" s="10" t="s">
        <v>79</v>
      </c>
      <c r="P7" s="9">
        <v>0</v>
      </c>
      <c r="Q7" s="9">
        <v>0</v>
      </c>
      <c r="S7" s="9">
        <v>5</v>
      </c>
      <c r="T7" s="10" t="s">
        <v>64</v>
      </c>
      <c r="U7" s="10" t="s">
        <v>80</v>
      </c>
      <c r="V7" s="9">
        <v>0</v>
      </c>
      <c r="W7" s="9">
        <v>0</v>
      </c>
    </row>
    <row r="8" ht="27.95" customHeight="1" spans="1:23">
      <c r="A8" s="9">
        <v>6</v>
      </c>
      <c r="B8" s="9" t="s">
        <v>81</v>
      </c>
      <c r="C8" s="9" t="s">
        <v>82</v>
      </c>
      <c r="D8" s="9">
        <v>0</v>
      </c>
      <c r="E8" s="9">
        <v>0</v>
      </c>
      <c r="G8" s="19">
        <v>6</v>
      </c>
      <c r="H8" s="20" t="s">
        <v>83</v>
      </c>
      <c r="I8" s="20" t="s">
        <v>84</v>
      </c>
      <c r="J8" s="21">
        <v>1</v>
      </c>
      <c r="K8" s="21">
        <v>29.9</v>
      </c>
      <c r="M8" s="9">
        <v>6</v>
      </c>
      <c r="N8" s="10" t="s">
        <v>76</v>
      </c>
      <c r="O8" s="10" t="s">
        <v>85</v>
      </c>
      <c r="P8" s="9">
        <v>0</v>
      </c>
      <c r="Q8" s="9">
        <v>0</v>
      </c>
      <c r="S8" s="9">
        <v>6</v>
      </c>
      <c r="T8" s="10" t="s">
        <v>70</v>
      </c>
      <c r="U8" s="10" t="s">
        <v>86</v>
      </c>
      <c r="V8" s="9">
        <v>0</v>
      </c>
      <c r="W8" s="9">
        <v>0</v>
      </c>
    </row>
    <row r="9" ht="27.95" customHeight="1" spans="1:23">
      <c r="A9" s="9">
        <v>7</v>
      </c>
      <c r="B9" s="9" t="s">
        <v>81</v>
      </c>
      <c r="C9" s="9" t="s">
        <v>87</v>
      </c>
      <c r="D9" s="9">
        <v>0</v>
      </c>
      <c r="E9" s="9">
        <v>0</v>
      </c>
      <c r="G9" s="7">
        <v>7</v>
      </c>
      <c r="H9" s="10" t="s">
        <v>76</v>
      </c>
      <c r="I9" s="10" t="s">
        <v>88</v>
      </c>
      <c r="J9" s="9">
        <v>0</v>
      </c>
      <c r="K9" s="9">
        <v>0</v>
      </c>
      <c r="M9" s="9">
        <v>7</v>
      </c>
      <c r="N9" s="10" t="s">
        <v>81</v>
      </c>
      <c r="O9" s="10" t="s">
        <v>89</v>
      </c>
      <c r="P9" s="9">
        <v>0</v>
      </c>
      <c r="Q9" s="9">
        <v>0</v>
      </c>
      <c r="S9" s="9">
        <v>7</v>
      </c>
      <c r="T9" s="10" t="s">
        <v>76</v>
      </c>
      <c r="U9" s="10" t="s">
        <v>90</v>
      </c>
      <c r="V9" s="9">
        <v>0</v>
      </c>
      <c r="W9" s="9">
        <v>0</v>
      </c>
    </row>
    <row r="10" ht="27.95" customHeight="1" spans="1:23">
      <c r="A10" s="21">
        <v>8</v>
      </c>
      <c r="B10" s="21" t="s">
        <v>91</v>
      </c>
      <c r="C10" s="21" t="s">
        <v>92</v>
      </c>
      <c r="D10" s="21">
        <v>2</v>
      </c>
      <c r="E10" s="21">
        <v>198</v>
      </c>
      <c r="G10" s="7">
        <v>8</v>
      </c>
      <c r="H10" s="10" t="s">
        <v>93</v>
      </c>
      <c r="I10" s="10" t="s">
        <v>94</v>
      </c>
      <c r="J10" s="9">
        <v>0</v>
      </c>
      <c r="K10" s="9">
        <v>0</v>
      </c>
      <c r="M10" s="9">
        <v>8</v>
      </c>
      <c r="N10" s="10" t="s">
        <v>95</v>
      </c>
      <c r="O10" s="10" t="s">
        <v>96</v>
      </c>
      <c r="P10" s="9">
        <v>0</v>
      </c>
      <c r="Q10" s="9">
        <v>0</v>
      </c>
      <c r="S10" s="9">
        <v>8</v>
      </c>
      <c r="T10" s="10" t="s">
        <v>81</v>
      </c>
      <c r="U10" s="10" t="s">
        <v>97</v>
      </c>
      <c r="V10" s="9">
        <v>0</v>
      </c>
      <c r="W10" s="9">
        <v>0</v>
      </c>
    </row>
    <row r="11" ht="27.95" customHeight="1" spans="1:23">
      <c r="A11" s="9">
        <v>9</v>
      </c>
      <c r="B11" s="9" t="s">
        <v>98</v>
      </c>
      <c r="C11" s="9" t="s">
        <v>99</v>
      </c>
      <c r="D11" s="9">
        <v>0</v>
      </c>
      <c r="E11" s="9">
        <v>0</v>
      </c>
      <c r="G11" s="7">
        <v>9</v>
      </c>
      <c r="H11" s="10" t="s">
        <v>93</v>
      </c>
      <c r="I11" s="10" t="s">
        <v>100</v>
      </c>
      <c r="J11" s="9">
        <v>0</v>
      </c>
      <c r="K11" s="9">
        <v>0</v>
      </c>
      <c r="M11" s="21">
        <v>9</v>
      </c>
      <c r="N11" s="20" t="s">
        <v>98</v>
      </c>
      <c r="O11" s="20" t="s">
        <v>101</v>
      </c>
      <c r="P11" s="21">
        <v>1</v>
      </c>
      <c r="Q11" s="21">
        <v>98</v>
      </c>
      <c r="S11" s="9">
        <v>9</v>
      </c>
      <c r="T11" s="10" t="s">
        <v>81</v>
      </c>
      <c r="U11" s="10" t="s">
        <v>102</v>
      </c>
      <c r="V11" s="9">
        <v>0</v>
      </c>
      <c r="W11" s="9">
        <v>0</v>
      </c>
    </row>
    <row r="12" ht="27.95" customHeight="1" spans="1:23">
      <c r="A12" s="9">
        <v>10</v>
      </c>
      <c r="B12" s="9" t="s">
        <v>103</v>
      </c>
      <c r="C12" s="9" t="s">
        <v>104</v>
      </c>
      <c r="D12" s="9">
        <v>0</v>
      </c>
      <c r="E12" s="9">
        <v>0</v>
      </c>
      <c r="G12" s="7">
        <v>10</v>
      </c>
      <c r="H12" s="10" t="s">
        <v>105</v>
      </c>
      <c r="I12" s="10" t="s">
        <v>106</v>
      </c>
      <c r="J12" s="9">
        <v>0</v>
      </c>
      <c r="K12" s="9">
        <v>0</v>
      </c>
      <c r="M12" s="9">
        <v>10</v>
      </c>
      <c r="N12" s="10" t="s">
        <v>103</v>
      </c>
      <c r="O12" s="10" t="s">
        <v>107</v>
      </c>
      <c r="P12" s="9">
        <v>0</v>
      </c>
      <c r="Q12" s="9">
        <v>0</v>
      </c>
      <c r="S12" s="9">
        <v>10</v>
      </c>
      <c r="T12" s="10" t="s">
        <v>108</v>
      </c>
      <c r="U12" s="10" t="s">
        <v>109</v>
      </c>
      <c r="V12" s="9">
        <v>0</v>
      </c>
      <c r="W12" s="9">
        <v>0</v>
      </c>
    </row>
    <row r="13" ht="27.95" customHeight="1" spans="1:23">
      <c r="A13" s="9">
        <v>11</v>
      </c>
      <c r="B13" s="9" t="s">
        <v>110</v>
      </c>
      <c r="C13" s="9" t="s">
        <v>111</v>
      </c>
      <c r="D13" s="9">
        <v>0</v>
      </c>
      <c r="E13" s="9">
        <v>0</v>
      </c>
      <c r="G13" s="7">
        <v>11</v>
      </c>
      <c r="H13" s="10" t="s">
        <v>112</v>
      </c>
      <c r="I13" s="10" t="s">
        <v>113</v>
      </c>
      <c r="J13" s="9">
        <v>0</v>
      </c>
      <c r="K13" s="9">
        <v>0</v>
      </c>
      <c r="M13" s="9">
        <v>11</v>
      </c>
      <c r="N13" s="10" t="s">
        <v>114</v>
      </c>
      <c r="O13" s="10" t="s">
        <v>115</v>
      </c>
      <c r="P13" s="9">
        <v>0</v>
      </c>
      <c r="Q13" s="9">
        <v>0</v>
      </c>
      <c r="S13" s="9">
        <v>11</v>
      </c>
      <c r="T13" s="10" t="s">
        <v>116</v>
      </c>
      <c r="U13" s="10" t="s">
        <v>117</v>
      </c>
      <c r="V13" s="9">
        <v>0</v>
      </c>
      <c r="W13" s="9">
        <v>0</v>
      </c>
    </row>
    <row r="14" ht="27.95" customHeight="1" spans="1:23">
      <c r="A14" s="9">
        <v>12</v>
      </c>
      <c r="B14" s="9" t="s">
        <v>118</v>
      </c>
      <c r="C14" s="9" t="s">
        <v>119</v>
      </c>
      <c r="D14" s="9">
        <v>0</v>
      </c>
      <c r="E14" s="9">
        <v>0</v>
      </c>
      <c r="G14" s="7">
        <v>12</v>
      </c>
      <c r="H14" s="10" t="s">
        <v>103</v>
      </c>
      <c r="I14" s="10" t="s">
        <v>120</v>
      </c>
      <c r="J14" s="9">
        <v>0</v>
      </c>
      <c r="K14" s="9">
        <v>0</v>
      </c>
      <c r="M14" s="21">
        <v>12</v>
      </c>
      <c r="N14" s="20" t="s">
        <v>121</v>
      </c>
      <c r="O14" s="20" t="s">
        <v>122</v>
      </c>
      <c r="P14" s="21">
        <v>3</v>
      </c>
      <c r="Q14" s="21">
        <v>87</v>
      </c>
      <c r="S14" s="9">
        <v>12</v>
      </c>
      <c r="T14" s="10" t="s">
        <v>103</v>
      </c>
      <c r="U14" s="10" t="s">
        <v>123</v>
      </c>
      <c r="V14" s="9">
        <v>0</v>
      </c>
      <c r="W14" s="9">
        <v>0</v>
      </c>
    </row>
    <row r="15" ht="27.95" customHeight="1" spans="1:23">
      <c r="A15" s="21">
        <v>13</v>
      </c>
      <c r="B15" s="21" t="s">
        <v>121</v>
      </c>
      <c r="C15" s="21" t="s">
        <v>124</v>
      </c>
      <c r="D15" s="21">
        <v>9</v>
      </c>
      <c r="E15" s="21">
        <v>324</v>
      </c>
      <c r="G15" s="7">
        <v>13</v>
      </c>
      <c r="H15" s="10" t="s">
        <v>103</v>
      </c>
      <c r="I15" s="10" t="s">
        <v>125</v>
      </c>
      <c r="J15" s="9">
        <v>0</v>
      </c>
      <c r="K15" s="9">
        <v>0</v>
      </c>
      <c r="M15" s="21">
        <v>13</v>
      </c>
      <c r="N15" s="20" t="s">
        <v>74</v>
      </c>
      <c r="O15" s="20" t="s">
        <v>126</v>
      </c>
      <c r="P15" s="21">
        <v>1</v>
      </c>
      <c r="Q15" s="21">
        <v>69</v>
      </c>
      <c r="S15" s="9">
        <v>13</v>
      </c>
      <c r="T15" s="10" t="s">
        <v>110</v>
      </c>
      <c r="U15" s="10" t="s">
        <v>127</v>
      </c>
      <c r="V15" s="9">
        <v>0</v>
      </c>
      <c r="W15" s="9">
        <v>0</v>
      </c>
    </row>
    <row r="16" ht="27.95" customHeight="1" spans="1:23">
      <c r="A16" s="9">
        <v>14</v>
      </c>
      <c r="B16" s="9" t="s">
        <v>128</v>
      </c>
      <c r="C16" s="9" t="s">
        <v>129</v>
      </c>
      <c r="D16" s="9">
        <v>0</v>
      </c>
      <c r="E16" s="9">
        <v>0</v>
      </c>
      <c r="G16" s="7">
        <v>14</v>
      </c>
      <c r="H16" s="10" t="s">
        <v>130</v>
      </c>
      <c r="I16" s="10" t="s">
        <v>131</v>
      </c>
      <c r="J16" s="9">
        <v>0</v>
      </c>
      <c r="K16" s="9">
        <v>0</v>
      </c>
      <c r="M16" s="9">
        <v>14</v>
      </c>
      <c r="N16" s="10" t="s">
        <v>81</v>
      </c>
      <c r="O16" s="10" t="s">
        <v>132</v>
      </c>
      <c r="P16" s="9">
        <v>0</v>
      </c>
      <c r="Q16" s="9">
        <v>0</v>
      </c>
      <c r="S16" s="9">
        <v>14</v>
      </c>
      <c r="T16" s="10" t="s">
        <v>133</v>
      </c>
      <c r="U16" s="10" t="s">
        <v>134</v>
      </c>
      <c r="V16" s="9">
        <v>0</v>
      </c>
      <c r="W16" s="9">
        <v>0</v>
      </c>
    </row>
    <row r="17" ht="27.95" customHeight="1" spans="1:23">
      <c r="A17" s="9">
        <v>15</v>
      </c>
      <c r="B17" s="9" t="s">
        <v>135</v>
      </c>
      <c r="C17" s="9" t="s">
        <v>136</v>
      </c>
      <c r="D17" s="9">
        <v>1</v>
      </c>
      <c r="E17" s="9">
        <v>48</v>
      </c>
      <c r="G17" s="19">
        <v>15</v>
      </c>
      <c r="H17" s="20" t="s">
        <v>137</v>
      </c>
      <c r="I17" s="20" t="s">
        <v>138</v>
      </c>
      <c r="J17" s="21">
        <v>4</v>
      </c>
      <c r="K17" s="21">
        <v>156</v>
      </c>
      <c r="M17" s="9" t="s">
        <v>48</v>
      </c>
      <c r="N17" s="10"/>
      <c r="O17" s="10"/>
      <c r="P17" s="9">
        <v>7</v>
      </c>
      <c r="Q17" s="9">
        <v>448</v>
      </c>
      <c r="S17" s="9">
        <v>15</v>
      </c>
      <c r="T17" s="10" t="s">
        <v>121</v>
      </c>
      <c r="U17" s="10" t="s">
        <v>139</v>
      </c>
      <c r="V17" s="9">
        <v>0</v>
      </c>
      <c r="W17" s="9">
        <v>0</v>
      </c>
    </row>
    <row r="18" ht="27.95" customHeight="1" spans="1:23">
      <c r="A18" s="9" t="s">
        <v>48</v>
      </c>
      <c r="B18" s="9"/>
      <c r="C18" s="9"/>
      <c r="D18" s="9">
        <v>12</v>
      </c>
      <c r="E18" s="9">
        <v>570</v>
      </c>
      <c r="G18" s="7">
        <v>16</v>
      </c>
      <c r="H18" s="10" t="s">
        <v>74</v>
      </c>
      <c r="I18" s="10" t="s">
        <v>140</v>
      </c>
      <c r="J18" s="9">
        <v>0</v>
      </c>
      <c r="K18" s="9">
        <v>0</v>
      </c>
      <c r="S18" s="9" t="s">
        <v>48</v>
      </c>
      <c r="T18" s="9"/>
      <c r="U18" s="9"/>
      <c r="V18" s="9">
        <v>2</v>
      </c>
      <c r="W18" s="9">
        <v>237</v>
      </c>
    </row>
    <row r="19" ht="27.95" customHeight="1" spans="7:11">
      <c r="G19" s="9" t="s">
        <v>48</v>
      </c>
      <c r="H19" s="10"/>
      <c r="I19" s="10"/>
      <c r="J19" s="9">
        <v>6</v>
      </c>
      <c r="K19" s="9">
        <v>323.9</v>
      </c>
    </row>
  </sheetData>
  <mergeCells count="4">
    <mergeCell ref="A1:E1"/>
    <mergeCell ref="G1:K1"/>
    <mergeCell ref="M1:Q1"/>
    <mergeCell ref="S1:W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C28" sqref="C28"/>
    </sheetView>
  </sheetViews>
  <sheetFormatPr defaultColWidth="9" defaultRowHeight="13.5" outlineLevelCol="5"/>
  <cols>
    <col min="1" max="1" width="9" style="1"/>
    <col min="2" max="2" width="15.25" customWidth="1"/>
    <col min="3" max="3" width="16.25" customWidth="1"/>
    <col min="4" max="5" width="9" style="1"/>
  </cols>
  <sheetData>
    <row r="1" ht="27" customHeight="1" spans="1:6">
      <c r="A1" s="2" t="s">
        <v>141</v>
      </c>
      <c r="B1" s="3"/>
      <c r="C1" s="3"/>
      <c r="D1" s="3"/>
      <c r="E1" s="3"/>
      <c r="F1" s="3"/>
    </row>
    <row r="2" ht="16.5" spans="1:6">
      <c r="A2" s="4" t="s">
        <v>53</v>
      </c>
      <c r="B2" s="4" t="s">
        <v>54</v>
      </c>
      <c r="C2" s="4" t="s">
        <v>55</v>
      </c>
      <c r="D2" s="4" t="s">
        <v>9</v>
      </c>
      <c r="E2" s="5" t="s">
        <v>10</v>
      </c>
      <c r="F2" s="6" t="s">
        <v>48</v>
      </c>
    </row>
    <row r="3" ht="27.95" customHeight="1" spans="1:6">
      <c r="A3" s="7">
        <v>1</v>
      </c>
      <c r="B3" s="8" t="s">
        <v>142</v>
      </c>
      <c r="C3" s="8" t="s">
        <v>16</v>
      </c>
      <c r="D3" s="7">
        <v>4</v>
      </c>
      <c r="E3" s="7">
        <v>272</v>
      </c>
      <c r="F3" s="7">
        <v>272</v>
      </c>
    </row>
    <row r="4" ht="27.95" customHeight="1" spans="1:6">
      <c r="A4" s="9">
        <v>2</v>
      </c>
      <c r="B4" s="10" t="s">
        <v>45</v>
      </c>
      <c r="C4" s="10" t="s">
        <v>18</v>
      </c>
      <c r="D4" s="9">
        <v>0</v>
      </c>
      <c r="E4" s="9">
        <v>0</v>
      </c>
      <c r="F4" s="9"/>
    </row>
    <row r="5" ht="27.95" customHeight="1" spans="1:6">
      <c r="A5" s="9">
        <v>3</v>
      </c>
      <c r="B5" s="10" t="s">
        <v>143</v>
      </c>
      <c r="C5" s="10" t="s">
        <v>21</v>
      </c>
      <c r="D5" s="9">
        <v>0</v>
      </c>
      <c r="E5" s="9">
        <v>0</v>
      </c>
      <c r="F5" s="9"/>
    </row>
    <row r="7" ht="24" customHeight="1" spans="1:6">
      <c r="A7" s="11" t="s">
        <v>144</v>
      </c>
      <c r="B7" s="12"/>
      <c r="C7" s="12"/>
      <c r="D7" s="12"/>
      <c r="E7" s="12"/>
      <c r="F7" s="13"/>
    </row>
    <row r="8" ht="16.5" spans="1:6">
      <c r="A8" s="4" t="s">
        <v>53</v>
      </c>
      <c r="B8" s="4" t="s">
        <v>54</v>
      </c>
      <c r="C8" s="4" t="s">
        <v>55</v>
      </c>
      <c r="D8" s="4" t="s">
        <v>9</v>
      </c>
      <c r="E8" s="5" t="s">
        <v>10</v>
      </c>
      <c r="F8" s="6" t="s">
        <v>48</v>
      </c>
    </row>
    <row r="9" ht="27.95" customHeight="1" spans="1:6">
      <c r="A9" s="7">
        <v>1</v>
      </c>
      <c r="B9" s="8" t="s">
        <v>145</v>
      </c>
      <c r="C9" s="8" t="s">
        <v>25</v>
      </c>
      <c r="D9" s="7">
        <v>0</v>
      </c>
      <c r="E9" s="7">
        <v>0</v>
      </c>
      <c r="F9" s="14">
        <v>156</v>
      </c>
    </row>
    <row r="10" ht="27.95" customHeight="1" spans="1:6">
      <c r="A10" s="7">
        <v>2</v>
      </c>
      <c r="B10" s="10" t="s">
        <v>146</v>
      </c>
      <c r="C10" s="10" t="s">
        <v>27</v>
      </c>
      <c r="D10" s="9">
        <v>1</v>
      </c>
      <c r="E10" s="9">
        <v>78</v>
      </c>
      <c r="F10" s="14"/>
    </row>
    <row r="11" ht="27.95" customHeight="1" spans="1:6">
      <c r="A11" s="7">
        <v>3</v>
      </c>
      <c r="B11" s="10" t="s">
        <v>147</v>
      </c>
      <c r="C11" s="10" t="s">
        <v>30</v>
      </c>
      <c r="D11" s="9">
        <v>1</v>
      </c>
      <c r="E11" s="9">
        <v>78</v>
      </c>
      <c r="F11" s="7"/>
    </row>
    <row r="13" ht="15" spans="1:6">
      <c r="A13" s="11" t="s">
        <v>148</v>
      </c>
      <c r="B13" s="12"/>
      <c r="C13" s="12"/>
      <c r="D13" s="12"/>
      <c r="E13" s="12"/>
      <c r="F13" s="13"/>
    </row>
    <row r="14" ht="16.5" spans="1:6">
      <c r="A14" s="4" t="s">
        <v>53</v>
      </c>
      <c r="B14" s="4" t="s">
        <v>54</v>
      </c>
      <c r="C14" s="4" t="s">
        <v>55</v>
      </c>
      <c r="D14" s="4" t="s">
        <v>9</v>
      </c>
      <c r="E14" s="5" t="s">
        <v>10</v>
      </c>
      <c r="F14" s="6" t="s">
        <v>48</v>
      </c>
    </row>
    <row r="15" ht="27.95" customHeight="1" spans="1:6">
      <c r="A15" s="7">
        <v>1</v>
      </c>
      <c r="B15" s="8" t="s">
        <v>149</v>
      </c>
      <c r="C15" s="8" t="s">
        <v>34</v>
      </c>
      <c r="D15" s="7">
        <v>1</v>
      </c>
      <c r="E15" s="7">
        <v>79</v>
      </c>
      <c r="F15" s="14">
        <v>206.9</v>
      </c>
    </row>
    <row r="16" ht="27.95" customHeight="1" spans="1:6">
      <c r="A16" s="7">
        <v>2</v>
      </c>
      <c r="B16" s="10" t="s">
        <v>150</v>
      </c>
      <c r="C16" s="10" t="s">
        <v>151</v>
      </c>
      <c r="D16" s="9">
        <v>1</v>
      </c>
      <c r="E16" s="9">
        <v>58</v>
      </c>
      <c r="F16" s="14"/>
    </row>
    <row r="17" ht="27.95" customHeight="1" spans="1:6">
      <c r="A17" s="7">
        <v>3</v>
      </c>
      <c r="B17" s="10" t="s">
        <v>152</v>
      </c>
      <c r="C17" s="15" t="s">
        <v>153</v>
      </c>
      <c r="D17" s="9">
        <v>1</v>
      </c>
      <c r="E17" s="9">
        <v>69.9</v>
      </c>
      <c r="F17" s="7"/>
    </row>
    <row r="18" spans="3:3">
      <c r="C18" s="16"/>
    </row>
    <row r="19" ht="15" spans="1:6">
      <c r="A19" s="11" t="s">
        <v>154</v>
      </c>
      <c r="B19" s="12"/>
      <c r="C19" s="12"/>
      <c r="D19" s="12"/>
      <c r="E19" s="12"/>
      <c r="F19" s="13"/>
    </row>
    <row r="20" ht="16.5" spans="1:6">
      <c r="A20" s="4" t="s">
        <v>53</v>
      </c>
      <c r="B20" s="4" t="s">
        <v>54</v>
      </c>
      <c r="C20" s="4" t="s">
        <v>55</v>
      </c>
      <c r="D20" s="4" t="s">
        <v>9</v>
      </c>
      <c r="E20" s="5" t="s">
        <v>10</v>
      </c>
      <c r="F20" s="6" t="s">
        <v>48</v>
      </c>
    </row>
    <row r="21" ht="27.95" customHeight="1" spans="1:6">
      <c r="A21" s="7">
        <v>1</v>
      </c>
      <c r="B21" s="8" t="s">
        <v>155</v>
      </c>
      <c r="C21" s="8" t="s">
        <v>42</v>
      </c>
      <c r="D21" s="7">
        <v>1</v>
      </c>
      <c r="E21" s="7">
        <v>68</v>
      </c>
      <c r="F21" s="14">
        <v>68</v>
      </c>
    </row>
    <row r="22" ht="27.95" customHeight="1" spans="1:6">
      <c r="A22" s="9">
        <v>2</v>
      </c>
      <c r="B22" s="10" t="s">
        <v>156</v>
      </c>
      <c r="C22" s="10" t="s">
        <v>44</v>
      </c>
      <c r="D22" s="9">
        <v>0</v>
      </c>
      <c r="E22" s="9">
        <v>0</v>
      </c>
      <c r="F22" s="14"/>
    </row>
    <row r="23" ht="27.95" customHeight="1" spans="1:6">
      <c r="A23" s="9">
        <v>3</v>
      </c>
      <c r="B23" s="10" t="s">
        <v>45</v>
      </c>
      <c r="C23" s="10" t="s">
        <v>46</v>
      </c>
      <c r="D23" s="9">
        <v>0</v>
      </c>
      <c r="E23" s="9">
        <v>0</v>
      </c>
      <c r="F23" s="7"/>
    </row>
  </sheetData>
  <mergeCells count="8">
    <mergeCell ref="A1:F1"/>
    <mergeCell ref="A7:F7"/>
    <mergeCell ref="A13:F13"/>
    <mergeCell ref="A19:F19"/>
    <mergeCell ref="F3:F5"/>
    <mergeCell ref="F9:F11"/>
    <mergeCell ref="F15:F17"/>
    <mergeCell ref="F21:F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职业优品旗舰店</vt:lpstr>
      <vt:lpstr>首条数据</vt:lpstr>
      <vt:lpstr>单品数据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ower</dc:creator>
  <cp:lastModifiedBy>Administrator</cp:lastModifiedBy>
  <dcterms:created xsi:type="dcterms:W3CDTF">2022-07-07T01:10:00Z</dcterms:created>
  <dcterms:modified xsi:type="dcterms:W3CDTF">2022-08-09T06:37:23Z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88B8293F8C50454C97AC9939D94F054A</vt:lpwstr>
  </property>
  <property fmtid="{D5CDD505-2E9C-101B-9397-08002B2CF9AE}" pid="3" name="KSOProductBuildVer">
    <vt:lpwstr>2052-11.1.0.12116</vt:lpwstr>
  </property>
</Properties>
</file>