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18.xml" ContentType="application/vnd.ms-office.chartcolorstyle+xml"/>
  <Override PartName="/xl/charts/colors19.xml" ContentType="application/vnd.ms-office.chartcolorstyle+xml"/>
  <Override PartName="/xl/charts/colors2.xml" ContentType="application/vnd.ms-office.chartcolorstyle+xml"/>
  <Override PartName="/xl/charts/colors20.xml" ContentType="application/vnd.ms-office.chartcolorstyle+xml"/>
  <Override PartName="/xl/charts/colors21.xml" ContentType="application/vnd.ms-office.chartcolorstyle+xml"/>
  <Override PartName="/xl/charts/colors2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18.xml" ContentType="application/vnd.ms-office.chartstyle+xml"/>
  <Override PartName="/xl/charts/style19.xml" ContentType="application/vnd.ms-office.chartstyle+xml"/>
  <Override PartName="/xl/charts/style2.xml" ContentType="application/vnd.ms-office.chartstyle+xml"/>
  <Override PartName="/xl/charts/style20.xml" ContentType="application/vnd.ms-office.chartstyle+xml"/>
  <Override PartName="/xl/charts/style21.xml" ContentType="application/vnd.ms-office.chartstyle+xml"/>
  <Override PartName="/xl/charts/style2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tabRatio="848" activeTab="3"/>
  </bookViews>
  <sheets>
    <sheet name="9月直播平台数据(视频号）" sheetId="1" r:id="rId1"/>
    <sheet name="视频号数据源" sheetId="4" r:id="rId2"/>
    <sheet name="9月直播商品数据（视频号）" sheetId="3" r:id="rId3"/>
    <sheet name="视频号商品数据源" sheetId="7" r:id="rId4"/>
    <sheet name="9月直播用户数据（有赞）" sheetId="2" r:id="rId5"/>
    <sheet name="有赞透视" sheetId="6" r:id="rId6"/>
    <sheet name="有赞数据源" sheetId="5" r:id="rId7"/>
    <sheet name="8月直播用户数据（有赞）" sheetId="8" r:id="rId8"/>
  </sheets>
  <externalReferences>
    <externalReference r:id="rId12"/>
    <externalReference r:id="rId13"/>
  </externalReferences>
  <definedNames>
    <definedName name="_xlnm._FilterDatabase" localSheetId="6" hidden="1">有赞数据源!$A$1:$AP$1152</definedName>
  </definedNames>
  <calcPr calcId="144525"/>
  <pivotCaches>
    <pivotCache cacheId="0" r:id="rId9"/>
    <pivotCache cacheId="1" r:id="rId10"/>
    <pivotCache cacheId="2" r:id="rId11"/>
  </pivotCaches>
</workbook>
</file>

<file path=xl/comments1.xml><?xml version="1.0" encoding="utf-8"?>
<comments xmlns="http://schemas.openxmlformats.org/spreadsheetml/2006/main">
  <authors>
    <author>Administrator</author>
    <author>Joe</author>
  </authors>
  <commentList>
    <comment ref="Y1" authorId="0">
      <text>
        <r>
          <rPr>
            <sz val="9"/>
            <rFont val="宋体"/>
            <charset val="134"/>
          </rPr>
          <t>视频号成交额/观看人数
越高证明转化越好</t>
        </r>
      </text>
    </comment>
    <comment ref="L3" authorId="0">
      <text>
        <r>
          <rPr>
            <sz val="9"/>
            <rFont val="宋体"/>
            <charset val="134"/>
          </rPr>
          <t>标粉为最高值</t>
        </r>
      </text>
    </comment>
    <comment ref="L19" authorId="0">
      <text>
        <r>
          <rPr>
            <sz val="9"/>
            <rFont val="宋体"/>
            <charset val="134"/>
          </rPr>
          <t xml:space="preserve">标绿为最低值
</t>
        </r>
      </text>
    </comment>
    <comment ref="Y19" authorId="0">
      <text>
        <r>
          <rPr>
            <sz val="9"/>
            <rFont val="宋体"/>
            <charset val="134"/>
          </rPr>
          <t xml:space="preserve">平均值
</t>
        </r>
      </text>
    </comment>
    <comment ref="Z19" authorId="0">
      <text>
        <r>
          <rPr>
            <sz val="9"/>
            <rFont val="宋体"/>
            <charset val="134"/>
          </rPr>
          <t xml:space="preserve">平均值
</t>
        </r>
      </text>
    </comment>
    <comment ref="A21" authorId="0">
      <text>
        <r>
          <rPr>
            <sz val="9"/>
            <rFont val="宋体"/>
            <charset val="134"/>
          </rPr>
          <t>以视频号后台为统计口径</t>
        </r>
      </text>
    </comment>
    <comment ref="F21" authorId="0">
      <text>
        <r>
          <rPr>
            <sz val="9"/>
            <rFont val="宋体"/>
            <charset val="134"/>
          </rPr>
          <t xml:space="preserve">下单人数/观看人数
</t>
        </r>
      </text>
    </comment>
    <comment ref="K21" authorId="1">
      <text>
        <r>
          <rPr>
            <b/>
            <sz val="9"/>
            <rFont val="宋体"/>
            <charset val="134"/>
          </rPr>
          <t>平均值</t>
        </r>
      </text>
    </comment>
    <comment ref="R21" authorId="0">
      <text>
        <r>
          <rPr>
            <sz val="9"/>
            <rFont val="宋体"/>
            <charset val="134"/>
          </rPr>
          <t xml:space="preserve">订单/场数
</t>
        </r>
      </text>
    </comment>
    <comment ref="S21" authorId="0">
      <text>
        <r>
          <rPr>
            <sz val="9"/>
            <rFont val="宋体"/>
            <charset val="134"/>
          </rPr>
          <t xml:space="preserve">下单金额/观看人数
</t>
        </r>
      </text>
    </comment>
    <comment ref="E25" authorId="0">
      <text>
        <r>
          <rPr>
            <sz val="9"/>
            <rFont val="宋体"/>
            <charset val="134"/>
          </rPr>
          <t xml:space="preserve">下单人数/观看人数
</t>
        </r>
      </text>
    </comment>
    <comment ref="P25" authorId="0">
      <text>
        <r>
          <rPr>
            <sz val="9"/>
            <rFont val="宋体"/>
            <charset val="134"/>
          </rPr>
          <t xml:space="preserve">下单金额/观看人数
</t>
        </r>
      </text>
    </comment>
    <comment ref="F26" authorId="0">
      <text>
        <r>
          <rPr>
            <b/>
            <sz val="9"/>
            <rFont val="宋体"/>
            <charset val="134"/>
          </rPr>
          <t>Administrator:</t>
        </r>
        <r>
          <rPr>
            <sz val="9"/>
            <rFont val="宋体"/>
            <charset val="134"/>
          </rPr>
          <t xml:space="preserve">
</t>
        </r>
      </text>
    </comment>
  </commentList>
</comments>
</file>

<file path=xl/comments2.xml><?xml version="1.0" encoding="utf-8"?>
<comments xmlns="http://schemas.openxmlformats.org/spreadsheetml/2006/main">
  <authors>
    <author>Administrator</author>
  </authors>
  <commentList>
    <comment ref="C2" authorId="0">
      <text>
        <r>
          <rPr>
            <sz val="9"/>
            <rFont val="宋体"/>
            <charset val="134"/>
          </rPr>
          <t xml:space="preserve">去重商品数
</t>
        </r>
      </text>
    </comment>
    <comment ref="H2" authorId="0">
      <text>
        <r>
          <rPr>
            <sz val="9"/>
            <rFont val="宋体"/>
            <charset val="134"/>
          </rPr>
          <t xml:space="preserve">点击次数/曝光次数
</t>
        </r>
      </text>
    </comment>
    <comment ref="J2" authorId="0">
      <text>
        <r>
          <rPr>
            <sz val="9"/>
            <rFont val="宋体"/>
            <charset val="134"/>
          </rPr>
          <t xml:space="preserve">成交人数/点击次数
</t>
        </r>
      </text>
    </comment>
    <comment ref="Q2" authorId="0">
      <text>
        <r>
          <rPr>
            <sz val="9"/>
            <rFont val="宋体"/>
            <charset val="134"/>
          </rPr>
          <t>单品占总金额</t>
        </r>
      </text>
    </comment>
    <comment ref="V2" authorId="0">
      <text>
        <r>
          <rPr>
            <sz val="9"/>
            <rFont val="宋体"/>
            <charset val="134"/>
          </rPr>
          <t xml:space="preserve">占全部订单
</t>
        </r>
      </text>
    </comment>
    <comment ref="H7" authorId="0">
      <text>
        <r>
          <rPr>
            <sz val="9"/>
            <rFont val="宋体"/>
            <charset val="134"/>
          </rPr>
          <t>包含下单未支付人数
统计是按照用户被该触达，用户下单、用户成交、3个取交集匹配，并没有一个消息发送前后的关系；
比如你是3月4日20点触达了用户A，但A实际是在3月4日10点已下单，但没付款，在消息触达进了消息窗之后付款，这个数据就是下单0，支付1</t>
        </r>
      </text>
    </comment>
  </commentList>
</comments>
</file>

<file path=xl/comments3.xml><?xml version="1.0" encoding="utf-8"?>
<comments xmlns="http://schemas.openxmlformats.org/spreadsheetml/2006/main">
  <authors>
    <author>Administrator</author>
  </authors>
  <commentList>
    <comment ref="B2" authorId="0">
      <text>
        <r>
          <rPr>
            <sz val="9"/>
            <rFont val="宋体"/>
            <charset val="134"/>
          </rPr>
          <t xml:space="preserve">挂有赞后台链接算起
2022/8/9
</t>
        </r>
      </text>
    </comment>
    <comment ref="K4" authorId="0">
      <text>
        <r>
          <rPr>
            <sz val="9"/>
            <rFont val="宋体"/>
            <charset val="134"/>
          </rPr>
          <t xml:space="preserve">在下单用户数汇总基础上去重
</t>
        </r>
      </text>
    </comment>
    <comment ref="C7" authorId="0">
      <text>
        <r>
          <rPr>
            <sz val="9"/>
            <rFont val="宋体"/>
            <charset val="134"/>
          </rPr>
          <t xml:space="preserve">剔除待付款，交易关闭订单
</t>
        </r>
      </text>
    </comment>
    <comment ref="D7" authorId="0">
      <text>
        <r>
          <rPr>
            <sz val="9"/>
            <rFont val="宋体"/>
            <charset val="134"/>
          </rPr>
          <t xml:space="preserve">当场直播金额（剔除未付款、交易关闭，包含视频号商品橱窗）
</t>
        </r>
      </text>
    </comment>
    <comment ref="H7" authorId="0">
      <text>
        <r>
          <rPr>
            <sz val="9"/>
            <rFont val="宋体"/>
            <charset val="134"/>
          </rPr>
          <t>从未在职业优品下单的用户</t>
        </r>
      </text>
    </comment>
    <comment ref="F15" authorId="0">
      <text>
        <r>
          <rPr>
            <sz val="9"/>
            <rFont val="宋体"/>
            <charset val="134"/>
          </rPr>
          <t xml:space="preserve">因下单人数不满20人，此项为前10名下单金额
</t>
        </r>
      </text>
    </comment>
    <comment ref="F16" authorId="0">
      <text>
        <r>
          <rPr>
            <sz val="9"/>
            <rFont val="宋体"/>
            <charset val="134"/>
          </rPr>
          <t xml:space="preserve">因下单人数不满20人，此项为前10名下单金额
</t>
        </r>
      </text>
    </comment>
    <comment ref="F19" authorId="0">
      <text>
        <r>
          <rPr>
            <sz val="9"/>
            <rFont val="宋体"/>
            <charset val="134"/>
          </rPr>
          <t xml:space="preserve">前10名下单金额
</t>
        </r>
      </text>
    </comment>
  </commentList>
</comments>
</file>

<file path=xl/comments4.xml><?xml version="1.0" encoding="utf-8"?>
<comments xmlns="http://schemas.openxmlformats.org/spreadsheetml/2006/main">
  <authors>
    <author>Administrator</author>
  </authors>
  <commentList>
    <comment ref="B2" authorId="0">
      <text>
        <r>
          <rPr>
            <sz val="9"/>
            <rFont val="宋体"/>
            <charset val="134"/>
          </rPr>
          <t xml:space="preserve">挂有赞后台链接算起
2022/8/9
</t>
        </r>
      </text>
    </comment>
    <comment ref="K4" authorId="0">
      <text>
        <r>
          <rPr>
            <sz val="9"/>
            <rFont val="宋体"/>
            <charset val="134"/>
          </rPr>
          <t xml:space="preserve">在下单用户数汇总基础上去重
</t>
        </r>
      </text>
    </comment>
    <comment ref="C7" authorId="0">
      <text>
        <r>
          <rPr>
            <sz val="9"/>
            <rFont val="宋体"/>
            <charset val="134"/>
          </rPr>
          <t xml:space="preserve">剔除待付款，交易关闭订单
</t>
        </r>
      </text>
    </comment>
    <comment ref="D7" authorId="0">
      <text>
        <r>
          <rPr>
            <b/>
            <sz val="9"/>
            <rFont val="宋体"/>
            <charset val="134"/>
          </rPr>
          <t>Administrator:</t>
        </r>
        <r>
          <rPr>
            <sz val="9"/>
            <rFont val="宋体"/>
            <charset val="134"/>
          </rPr>
          <t xml:space="preserve">
</t>
        </r>
      </text>
    </comment>
    <comment ref="H7" authorId="0">
      <text>
        <r>
          <rPr>
            <sz val="9"/>
            <rFont val="宋体"/>
            <charset val="134"/>
          </rPr>
          <t>从未在职业优品下单的用户</t>
        </r>
      </text>
    </comment>
    <comment ref="F8" authorId="0">
      <text>
        <r>
          <rPr>
            <sz val="9"/>
            <rFont val="宋体"/>
            <charset val="134"/>
          </rPr>
          <t xml:space="preserve">前10名下单金额
</t>
        </r>
      </text>
    </comment>
    <comment ref="G8" authorId="0">
      <text>
        <r>
          <rPr>
            <sz val="9"/>
            <rFont val="宋体"/>
            <charset val="134"/>
          </rPr>
          <t xml:space="preserve">前10名下单占比
</t>
        </r>
      </text>
    </comment>
    <comment ref="F9" authorId="0">
      <text>
        <r>
          <rPr>
            <sz val="9"/>
            <rFont val="宋体"/>
            <charset val="134"/>
          </rPr>
          <t xml:space="preserve">前10名下单金额
</t>
        </r>
      </text>
    </comment>
    <comment ref="G9" authorId="0">
      <text>
        <r>
          <rPr>
            <sz val="9"/>
            <rFont val="宋体"/>
            <charset val="134"/>
          </rPr>
          <t xml:space="preserve">前10名下单占比
</t>
        </r>
      </text>
    </comment>
  </commentList>
</comments>
</file>

<file path=xl/sharedStrings.xml><?xml version="1.0" encoding="utf-8"?>
<sst xmlns="http://schemas.openxmlformats.org/spreadsheetml/2006/main" count="26325" uniqueCount="6045">
  <si>
    <t>视频号直播历史数据</t>
  </si>
  <si>
    <t>直播时间</t>
  </si>
  <si>
    <t>视频号成交金额</t>
  </si>
  <si>
    <t>观看人数</t>
  </si>
  <si>
    <t>UV价值</t>
  </si>
  <si>
    <t>平均停留时长/秒</t>
  </si>
  <si>
    <t>直播主题</t>
  </si>
  <si>
    <t>直播开始时间</t>
  </si>
  <si>
    <t>直播时长</t>
  </si>
  <si>
    <t>观看次数</t>
  </si>
  <si>
    <t>最高在线</t>
  </si>
  <si>
    <t>平均观看时长</t>
  </si>
  <si>
    <t>点赞次数</t>
  </si>
  <si>
    <t>评论次数</t>
  </si>
  <si>
    <t>分享次数</t>
  </si>
  <si>
    <t>新增关注</t>
  </si>
  <si>
    <t>新增关注率</t>
  </si>
  <si>
    <t>总热度</t>
  </si>
  <si>
    <t>送礼人数</t>
  </si>
  <si>
    <t>送礼次数</t>
  </si>
  <si>
    <t>成交金额</t>
  </si>
  <si>
    <t>订单笔数</t>
  </si>
  <si>
    <t>下单人数</t>
  </si>
  <si>
    <t>下单转化率</t>
  </si>
  <si>
    <t>场次</t>
  </si>
  <si>
    <t>新号开播，全场一件也是批发价</t>
  </si>
  <si>
    <t>2022年08月08日 19:00</t>
  </si>
  <si>
    <t>2小时4分钟55秒</t>
  </si>
  <si>
    <t>6分钟58秒</t>
  </si>
  <si>
    <t>新号开播，一件也是批发价</t>
  </si>
  <si>
    <t>2022年08月09日 19:14</t>
  </si>
  <si>
    <t>3小时30分钟51秒</t>
  </si>
  <si>
    <t>11分钟27秒</t>
  </si>
  <si>
    <t>2022年08月10日 19:01</t>
  </si>
  <si>
    <t>1小时23分钟4秒</t>
  </si>
  <si>
    <t>9分钟47秒</t>
  </si>
  <si>
    <t>新号开播，一件也是皮发价</t>
  </si>
  <si>
    <t>2022年08月15日 19:04</t>
  </si>
  <si>
    <t>3小时15分钟21秒</t>
  </si>
  <si>
    <t>7分钟41秒</t>
  </si>
  <si>
    <t>2022年08月16日 19:14</t>
  </si>
  <si>
    <t>3小时45分钟40秒</t>
  </si>
  <si>
    <t>7分钟27秒</t>
  </si>
  <si>
    <t>新号开播，一件也是批发价！</t>
  </si>
  <si>
    <t>2022年08月17日 19:01</t>
  </si>
  <si>
    <t>4小时10分钟31秒</t>
  </si>
  <si>
    <t>7分钟42秒</t>
  </si>
  <si>
    <t>新号开播，一件也是成本价</t>
  </si>
  <si>
    <t>2022年08月18日 19:07</t>
  </si>
  <si>
    <t>4小时59分钟39秒</t>
  </si>
  <si>
    <t>7分钟29秒</t>
  </si>
  <si>
    <t>2022年08月20日 18:32</t>
  </si>
  <si>
    <t>4小时13分钟40秒</t>
  </si>
  <si>
    <t>8分钟14秒</t>
  </si>
  <si>
    <t>秋装上新，低至9.9</t>
  </si>
  <si>
    <t>2022年08月21日 07:24</t>
  </si>
  <si>
    <t>5小时5分钟41秒</t>
  </si>
  <si>
    <t>6分钟1秒</t>
  </si>
  <si>
    <t>秋季上新，低至9.9</t>
  </si>
  <si>
    <t>2022年08月22日 19:07</t>
  </si>
  <si>
    <t>4小时55分钟19秒</t>
  </si>
  <si>
    <t>8分钟52秒</t>
  </si>
  <si>
    <t>初秋护肤，美起来</t>
  </si>
  <si>
    <t>2022年08月24日 19:04</t>
  </si>
  <si>
    <t>5小时17分钟6秒</t>
  </si>
  <si>
    <t>13分钟51秒</t>
  </si>
  <si>
    <t>2022年08月25日 19:21</t>
  </si>
  <si>
    <t>4小时11分钟10秒</t>
  </si>
  <si>
    <t>6分钟49秒</t>
  </si>
  <si>
    <t>秋款开心，件件都是皮发价</t>
  </si>
  <si>
    <t>2022年08月26日 19:10</t>
  </si>
  <si>
    <t>4小时50分钟1秒</t>
  </si>
  <si>
    <t>10分钟26秒</t>
  </si>
  <si>
    <t>秋款上新，低至9.9</t>
  </si>
  <si>
    <t>2022年08月27日 19:27</t>
  </si>
  <si>
    <t>4小时49分钟21秒</t>
  </si>
  <si>
    <t>6分钟10秒</t>
  </si>
  <si>
    <t>2022年08月28日 19:04</t>
  </si>
  <si>
    <t>5小时10分钟42秒</t>
  </si>
  <si>
    <t>6分钟20秒</t>
  </si>
  <si>
    <t>秋装上新，一件也是皮发价</t>
  </si>
  <si>
    <t>2022年08月29日 19:09</t>
  </si>
  <si>
    <t>5小时8分钟14秒</t>
  </si>
  <si>
    <t>8分钟16秒</t>
  </si>
  <si>
    <t>美妆护肤，浮力宋不停，变美就在一瞬间！</t>
  </si>
  <si>
    <t>2022年08月31日 19:09</t>
  </si>
  <si>
    <t>4小时43分钟51秒</t>
  </si>
  <si>
    <t>4分钟34秒</t>
  </si>
  <si>
    <t>总计</t>
  </si>
  <si>
    <t>2209直播数据汇总</t>
  </si>
  <si>
    <t>场数</t>
  </si>
  <si>
    <t>金额</t>
  </si>
  <si>
    <t>订单</t>
  </si>
  <si>
    <t>客单价</t>
  </si>
  <si>
    <t>场均金额</t>
  </si>
  <si>
    <t>场均订单</t>
  </si>
  <si>
    <t>场均UV值</t>
  </si>
  <si>
    <t>标黄为周天</t>
  </si>
  <si>
    <t>标绿为最低值</t>
  </si>
  <si>
    <t>标粉为最高值</t>
  </si>
  <si>
    <t>下单金额</t>
  </si>
  <si>
    <t>平均值</t>
  </si>
  <si>
    <t>汇总</t>
  </si>
  <si>
    <t>直播位置</t>
  </si>
  <si>
    <t>秋季新款，低至19.9</t>
  </si>
  <si>
    <t>广州市 巨大创意产业园</t>
  </si>
  <si>
    <t>2022年09月04日 19:08</t>
  </si>
  <si>
    <t>4小时56分钟22秒</t>
  </si>
  <si>
    <t>秋季上新，一件也是皮发价！</t>
  </si>
  <si>
    <t>广州市 鱼胜大条鱼海鲜酒家(南洲路店)</t>
  </si>
  <si>
    <t>2022年09月05日 19:30</t>
  </si>
  <si>
    <t>4小时21分钟45秒</t>
  </si>
  <si>
    <t>6分钟18秒</t>
  </si>
  <si>
    <t>秋季上新，低至19.9</t>
  </si>
  <si>
    <t>2022年09月07日 19:40</t>
  </si>
  <si>
    <t>4小时36分钟3秒</t>
  </si>
  <si>
    <t>4分钟7秒</t>
  </si>
  <si>
    <t>品牌撤柜，中秋宠粉第一天</t>
  </si>
  <si>
    <t>广州市 石井国际大厦</t>
  </si>
  <si>
    <t>2022年09月08日 19:46</t>
  </si>
  <si>
    <t>2小时51分钟47秒</t>
  </si>
  <si>
    <t>8分钟15秒</t>
  </si>
  <si>
    <t>品牌撤柜 中秋福利第二炸</t>
  </si>
  <si>
    <t>2022年09月09日 19:34</t>
  </si>
  <si>
    <t>5小时32分钟37秒</t>
  </si>
  <si>
    <t>4分钟59秒</t>
  </si>
  <si>
    <t>秋款上新，低至19.9</t>
  </si>
  <si>
    <t>2022年09月11日 19:24</t>
  </si>
  <si>
    <t>5小时34分钟27秒</t>
  </si>
  <si>
    <t>4分钟6秒</t>
  </si>
  <si>
    <t>2022年09月12日 19:39</t>
  </si>
  <si>
    <t>4小时20分钟44秒</t>
  </si>
  <si>
    <t>2分钟37秒</t>
  </si>
  <si>
    <t>2022年09月13日 19:40</t>
  </si>
  <si>
    <t>5小时23分钟43秒</t>
  </si>
  <si>
    <t>3分钟36秒</t>
  </si>
  <si>
    <t>秋款上新，实力宠粉！</t>
  </si>
  <si>
    <t>2022年09月14日 19:47</t>
  </si>
  <si>
    <t>3小时13分钟34秒</t>
  </si>
  <si>
    <t>2分钟52秒</t>
  </si>
  <si>
    <t>秋款上新，实力宠粉</t>
  </si>
  <si>
    <t>2022年09月16日 20:15</t>
  </si>
  <si>
    <t>4小时45分钟14秒</t>
  </si>
  <si>
    <t>4分钟14秒</t>
  </si>
  <si>
    <t>职业装必入，仅69起！穿上美翻了</t>
  </si>
  <si>
    <t>2022年09月25日 19:09</t>
  </si>
  <si>
    <t>5小时43分钟9秒</t>
  </si>
  <si>
    <t>4分钟12秒</t>
  </si>
  <si>
    <t>秋款职业装，低至69起</t>
  </si>
  <si>
    <t>2022年09月26日 19:31</t>
  </si>
  <si>
    <t>4小时34分钟21秒</t>
  </si>
  <si>
    <t>4分钟17秒</t>
  </si>
  <si>
    <t>职业装秋款上新 低至69</t>
  </si>
  <si>
    <t>2022年09月27日 20:31</t>
  </si>
  <si>
    <t>4小时15分钟10秒</t>
  </si>
  <si>
    <t>5分钟0秒</t>
  </si>
  <si>
    <t>入秋的第一件时尚单品，谁还没买？</t>
  </si>
  <si>
    <t>广州市 SADI萨迪皮具-中国研发中心</t>
  </si>
  <si>
    <t>2022年09月28日 19:12</t>
  </si>
  <si>
    <t>4小时36分钟20秒</t>
  </si>
  <si>
    <t>2分钟44秒</t>
  </si>
  <si>
    <t>商品成交金额排行榜（前30）9月</t>
  </si>
  <si>
    <t>商品成交订单排行榜（前10） 9月</t>
  </si>
  <si>
    <t>自然天数</t>
  </si>
  <si>
    <t>累计直播天数</t>
  </si>
  <si>
    <t>商品数</t>
  </si>
  <si>
    <t>动销商品数</t>
  </si>
  <si>
    <t>动销率</t>
  </si>
  <si>
    <t>曝光次数</t>
  </si>
  <si>
    <t>点击次数</t>
  </si>
  <si>
    <t>曝光点击率</t>
  </si>
  <si>
    <t>成交人数</t>
  </si>
  <si>
    <t>点击转化率</t>
  </si>
  <si>
    <t>成交订单数</t>
  </si>
  <si>
    <t>排序</t>
  </si>
  <si>
    <t>商品</t>
  </si>
  <si>
    <t>金额占比</t>
  </si>
  <si>
    <t>商品标题</t>
  </si>
  <si>
    <t>订单占比</t>
  </si>
  <si>
    <t>【直播专属】时尚气质修身西装套10RG22989</t>
  </si>
  <si>
    <t>气质小清新打底吊带RF33066</t>
  </si>
  <si>
    <t>【直播专属】高级感暗纹西装套装 时尚气质修身西服正装02RG6201</t>
  </si>
  <si>
    <t>高端OL西服套装 气质长袖休闲西服套装05RG9906</t>
  </si>
  <si>
    <t>【高总推荐】卡包AAL10010</t>
  </si>
  <si>
    <t>高级定制款商务女士西装套装LYH9913</t>
  </si>
  <si>
    <t>针织罗纹弹力打底衫RF33099</t>
  </si>
  <si>
    <t>日期</t>
  </si>
  <si>
    <t>直播商品数</t>
  </si>
  <si>
    <t>销售商品数</t>
  </si>
  <si>
    <t>成交订单</t>
  </si>
  <si>
    <t>曝光转化率</t>
  </si>
  <si>
    <t>高级定制款双排扣女士西装套LYH9910</t>
  </si>
  <si>
    <t>洋气英伦风小西装套装新款HYN1655</t>
  </si>
  <si>
    <t>【直播专属】低圆领打底衫 女士套头针织毛衣女长袖薄款YD-NJR025</t>
  </si>
  <si>
    <t>新款休闲正装气质高端职业女士西服套装05RG9902</t>
  </si>
  <si>
    <t>法式气质长袖雪纺衬衫XC1667</t>
  </si>
  <si>
    <t>高级定制款女士西装套LYH9910</t>
  </si>
  <si>
    <t>针织长袖上衣女装内搭高弹修身T恤RF33096</t>
  </si>
  <si>
    <t>上衣气质通勤打底长袖蝴蝶结印花衬衫NZY-NH1201</t>
  </si>
  <si>
    <t>金丝绒西装秋冬新款高端气质正装西服套装16RG6613</t>
  </si>
  <si>
    <t>蜜桃绒保暖内衣女超薄V领弹力修身美肤保暖套装HLL-T129</t>
  </si>
  <si>
    <t>小计</t>
  </si>
  <si>
    <t>截至220928</t>
  </si>
  <si>
    <t>2022秋冬时尚职业装气质西装套装女正装小西服05RG9905</t>
  </si>
  <si>
    <t>高级感盐系名媛时尚洋气职业西装10RG22966</t>
  </si>
  <si>
    <t>【高总推荐】SADI萨迪荔枝纹大容量手提包SDS30068</t>
  </si>
  <si>
    <t>卡其色风衣套装 中长款高级感西装套19RG9135</t>
  </si>
  <si>
    <t>时尚气质宽松直筒裤HYN6645</t>
  </si>
  <si>
    <t>秋季时尚气质西装职业女士西服套装MY8070</t>
  </si>
  <si>
    <t>【高总推荐】萨迪男士时尚百搭自动扣腰带AAP80009</t>
  </si>
  <si>
    <t>高级定制款商务单排扣女士西装套装LYH9913</t>
  </si>
  <si>
    <t>职业西服套装秋冬新款女神范休闲工作服30RG8613</t>
  </si>
  <si>
    <t>职业套装高端时尚设计感西服服套装MY8089</t>
  </si>
  <si>
    <t>黑灰撞色西装套装女气质显瘦时尚女神范西服套YJH-EX8053</t>
  </si>
  <si>
    <t>秋冬加厚金丝绒西服套装女气质时尚06RG9653</t>
  </si>
  <si>
    <t>【高总推荐】SADI萨迪百搭双肩背包 SDJ40001</t>
  </si>
  <si>
    <t>外穿美背V领打底衫内搭RF7793</t>
  </si>
  <si>
    <t>截至220927</t>
  </si>
  <si>
    <t>商品id</t>
  </si>
  <si>
    <t>商品价格</t>
  </si>
  <si>
    <t>商品来源</t>
  </si>
  <si>
    <t>分享人数</t>
  </si>
  <si>
    <t>创建订单人数</t>
  </si>
  <si>
    <t>创建订单数</t>
  </si>
  <si>
    <t>职业优品旗舰店</t>
  </si>
  <si>
    <t>【直播专属】时尚洋气雪纺短袖女薄款中袖衬衣职业气质上衣HYN-2075</t>
  </si>
  <si>
    <t>优雅潮流字母长袖衬衫HYN2149</t>
  </si>
  <si>
    <t>行标签</t>
  </si>
  <si>
    <t>求和项:成交订单数</t>
  </si>
  <si>
    <t>求和项:成交人数</t>
  </si>
  <si>
    <t>黑色缎面长袖衬衫女洋气系带蝴蝶结雪纺职业衬衣HYN2153</t>
  </si>
  <si>
    <t>【高总推荐】SADI萨迪两面双扣腰带SDP80111</t>
  </si>
  <si>
    <t>西装风衣外套女新款中长款大码高级感时尚套装大衣01RG1035</t>
  </si>
  <si>
    <t>【高总推荐】SADI萨迪老花面料托特包SDS30110</t>
  </si>
  <si>
    <t>【高总推荐】SADI萨迪山茶花链条竹筒包SDX20143</t>
  </si>
  <si>
    <t>时尚洋气职业气质中长款包臀鱼尾裙HYN1088</t>
  </si>
  <si>
    <t>秋冬厚款时尚气质中长款风衣女士修身显瘦长袖外套01RG1032</t>
  </si>
  <si>
    <t>【高总推荐】SADI萨迪双面腰带SDP80120</t>
  </si>
  <si>
    <t>【高总推荐】SADI萨迪男士胸包SDR50011</t>
  </si>
  <si>
    <t>千鸟格长袖衬衫女设计感系带醋酸缎面雪纺垂感衬衣NZY-HN1203</t>
  </si>
  <si>
    <t>【高总推荐】SADI萨迪女士双面腰带SDP80094</t>
  </si>
  <si>
    <t>【直播专属】时尚气质百搭衬衣11RG6716</t>
  </si>
  <si>
    <t>【高总推荐】SADI萨迪手提单肩包SDX20372</t>
  </si>
  <si>
    <t>【直播专属】秋装女士气质短裙11RG1086</t>
  </si>
  <si>
    <t>【高总推荐】SADI萨迪小香风粗链条水桶包 SDX20142</t>
  </si>
  <si>
    <t>【高总推荐】SADI萨迪皱褶蝴蝶扣小方包SDS30049</t>
  </si>
  <si>
    <t>【高总推荐】SADI萨迪星推月光宝盒手提包SDS30001</t>
  </si>
  <si>
    <t>【直播专属】气质时尚职业衬衫11RG6726</t>
  </si>
  <si>
    <t>【高总推荐】SADI萨迪简约手提水桶包SDS30037</t>
  </si>
  <si>
    <t>【高总推荐】SADI萨迪鳄鱼纹单肩包SDY70025</t>
  </si>
  <si>
    <t>【直播专属】时尚气质百搭衬衣11RG6711</t>
  </si>
  <si>
    <t>【高总推荐】SADI萨迪绣线流浪包SDX20079五天内发货</t>
  </si>
  <si>
    <t>【直播专属】时尚气质半身裙11RG1098</t>
  </si>
  <si>
    <t>【高总推荐】SADI萨迪撞色复古邮差包 SDY70029</t>
  </si>
  <si>
    <t>双排扣职业西装套装女秋冬新款职场正装时尚工作服21RG6288</t>
  </si>
  <si>
    <t>【高总推荐】SADI萨迪链条小方包SDX20327</t>
  </si>
  <si>
    <t>洋气时尚职业缎面衬衫设计感女士衬衣06RG6591</t>
  </si>
  <si>
    <t>【高总推荐】SADI萨迪菜篮子包SDS30067</t>
  </si>
  <si>
    <t>【高总推荐】SADI萨迪纯手工铂金包SDS30023</t>
  </si>
  <si>
    <t>雪纺衬衫女新款豹纹长袖上衣高级感气质工作服21RG8281</t>
  </si>
  <si>
    <t>【高总推荐】SADI萨迪大容量油蜡皮单肩包SDX20064</t>
  </si>
  <si>
    <t>缎面长袖衬衫女2022早秋新款时尚气质衬衣05RG652</t>
  </si>
  <si>
    <t>【高总推荐】SADI萨迪复古手拎包SDS30115</t>
  </si>
  <si>
    <t>秋冬厚款时尚气质中长款风衣外套女士职业装套装长袖西服 01RG1036</t>
  </si>
  <si>
    <t>【高总推荐】SADI萨迪复古单肩包SDX20159</t>
  </si>
  <si>
    <t>牛油果绿长袖职业套装时尚气质小西装女显瘦西服套装11RG9671</t>
  </si>
  <si>
    <t>【高总推荐】SADI萨迪鳄鱼纹水桶包SDS30072</t>
  </si>
  <si>
    <t>【高总推荐】SADI萨迪复古手拎包SDS30123</t>
  </si>
  <si>
    <t>【高总推荐】SADI萨迪简约大容量托特包单肩包SDS30035</t>
  </si>
  <si>
    <t>【高总推荐】SADI萨迪大容量托特包SDS30034</t>
  </si>
  <si>
    <t>【高总推荐】SADI萨迪头层牛皮斜挎包SDX20112</t>
  </si>
  <si>
    <t>【高总推荐】SADI萨迪烫钻戴妃包SDS30027</t>
  </si>
  <si>
    <t>【高总推荐】SADI萨迪大容量通勤托特包单肩包SDX20102</t>
  </si>
  <si>
    <t>【高总推荐】SADI萨迪大容量托特包SDS30038</t>
  </si>
  <si>
    <t>【高总推荐】SADI萨迪复古托特手提包SDS30111</t>
  </si>
  <si>
    <t>【高总推荐】SADI萨迪宽肩带链条小方包SDX20023</t>
  </si>
  <si>
    <t>【高总推荐】SADI萨迪水桶包单肩包SDX20123</t>
  </si>
  <si>
    <t>【高总推荐】SADI萨迪小香风单肩包SDX20043</t>
  </si>
  <si>
    <t>新款韩版小香风西装外套女设计感时尚西装上衣16RG6608</t>
  </si>
  <si>
    <t>高级感暗纹西装套装 时尚气质修身西服正装02RG6201</t>
  </si>
  <si>
    <t>【高姐姐宠粉】秋季简约长款风衣D-F022</t>
  </si>
  <si>
    <t>微盟</t>
  </si>
  <si>
    <t>【高姐姐宠粉】初秋白领长款大衣D-D202</t>
  </si>
  <si>
    <t>【高姐姐宠粉】秋季高定时尚风衣T-F029A</t>
  </si>
  <si>
    <t>【高姐姐宠粉】秋季气质拼接连衣裙3699</t>
  </si>
  <si>
    <t>【高姐姐宠粉】早秋绿色气质连衣裙xyh21511mkw</t>
  </si>
  <si>
    <t>【高姐姐宠粉】早秋甜美格子连衣裙D-885</t>
  </si>
  <si>
    <t>【高姐姐宠粉】初秋两件套长裙114</t>
  </si>
  <si>
    <t>【高姐姐宠粉】秋季高定长款风衣F-5867</t>
  </si>
  <si>
    <t>【高姐姐宠粉】初秋封腰连衣长裙113</t>
  </si>
  <si>
    <t>【高姐姐宠粉】秋季高定风衣F-5723</t>
  </si>
  <si>
    <t>【高姐姐宠粉】秋季蕾丝连衣裙zl22c-023</t>
  </si>
  <si>
    <t>【高姐姐宠粉】早秋心形图案连衣裙k22c569</t>
  </si>
  <si>
    <t>【高姐姐宠粉】秋季高定轻奢连衣裙D-A059</t>
  </si>
  <si>
    <t>【高姐姐宠粉】初秋休闲风衣F-6578</t>
  </si>
  <si>
    <t>【高姐姐宠粉】秋季长袖碎花连衣裙F-6123</t>
  </si>
  <si>
    <t>【高姐姐宠粉】初秋印花连衣裙f6286</t>
  </si>
  <si>
    <t>【高姐姐宠粉】初秋V领连衣裙02s13l129-M2</t>
  </si>
  <si>
    <t>【高姐姐宠粉】秋季长款风衣D-0208</t>
  </si>
  <si>
    <t>【高姐姐宠粉】秋季时尚简约连衣裙F-6538</t>
  </si>
  <si>
    <t>【高姐姐宠粉】时尚清爽款T恤R99112</t>
  </si>
  <si>
    <t>【高姐姐宠粉】初秋时尚百搭毛衣K708</t>
  </si>
  <si>
    <t>【高姐姐宠粉】初秋轻奢淑女套装S-03</t>
  </si>
  <si>
    <t>【高姐姐宠粉】秋季时尚可爱风毛衣K6617</t>
  </si>
  <si>
    <t>高级感中长款风衣外套小个子显瘦气质上衣06RGF5001</t>
  </si>
  <si>
    <t>秋冬款韩版时尚气质女神职业连衣裙西服套装30RG8609</t>
  </si>
  <si>
    <t>【直播专属】中长款时尚风衣RGF5002#</t>
  </si>
  <si>
    <t>【直播专享】大气细跟气质高跟鞋QDZ-858</t>
  </si>
  <si>
    <t>秋冬新款水波纹别致小西装气质修身西服套装11RG9691</t>
  </si>
  <si>
    <t>个性优雅减龄西装11RG9696</t>
  </si>
  <si>
    <t>高端女神范西装套 气质女公务员经理总裁工作服29RG1888</t>
  </si>
  <si>
    <t>【直播专享】大气高端简约时尚仿三扣衬衣HYN2138</t>
  </si>
  <si>
    <t>高级感白色西装外套女时尚炸街御姐西服两件套11RG9626</t>
  </si>
  <si>
    <t>总裁秋冬气质女神范时尚职业装商务正装西服套装29RG20199</t>
  </si>
  <si>
    <t>秋冬V领针织衫女宽松休闲套头毛衣薄款上衣YD-262</t>
  </si>
  <si>
    <t>高端职业套装 气质时尚正装西服职业套装02RG6208</t>
  </si>
  <si>
    <t>春秋开衫毛衣女V领糖果色外套羊毛短款外搭针织衫YD-ZD35</t>
  </si>
  <si>
    <t>职业西装套装气质名媛高级感炸街西服套装YJH-EM902</t>
  </si>
  <si>
    <t>气质职业装修身小西装女士西服正装套装01RG2229</t>
  </si>
  <si>
    <t>韩版休闲西装套装女时尚气质女神范西服05RG2325</t>
  </si>
  <si>
    <t>高级感正装总裁工作服职业西服套装女01RG2213</t>
  </si>
  <si>
    <t>高端干练气质系带长袖西装套 女时尚英伦风显瘦套装05RG9904</t>
  </si>
  <si>
    <t>经理职场正装工作服职业装长袖西服套装21RG6261</t>
  </si>
  <si>
    <t>通勤时尚气质商务白领正装洋气女神范套装YJH-EX8059</t>
  </si>
  <si>
    <t>秋冬新款气质时尚职业套装女休闲修身显瘦西服正装11RG9689</t>
  </si>
  <si>
    <t>醋酸缎高级感干练西装 英伦风职业西装套装01RG2229</t>
  </si>
  <si>
    <t>个性优雅减龄西装套装11RG9696</t>
  </si>
  <si>
    <t>【直播专属】气质职业装修身小西装女士西服正装套装01RG2229</t>
  </si>
  <si>
    <t>【直播专属】韩版休闲西装套装女时尚气质女神范西服05RG2325</t>
  </si>
  <si>
    <t>【直播专属】经理职场正装工作服职业装长袖西服套装21RG6261</t>
  </si>
  <si>
    <t>【直播专属】通勤时尚气质商务白领正装洋气女神范套装YJH-EX8059</t>
  </si>
  <si>
    <t>职业外套气质高端时尚女神范中长款外套MY8096</t>
  </si>
  <si>
    <t>【直播专属】时尚单排扣修身长袖针织衫外套XHF33002</t>
  </si>
  <si>
    <t>职业套装高端时尚设计感小个子服装MY8068</t>
  </si>
  <si>
    <t>高端西装套装女秋冬气质女神范工作服29RG20228</t>
  </si>
  <si>
    <t>拼接时尚女西服职业套装格子款商务修身上班工作服LYH6228</t>
  </si>
  <si>
    <t>高级感正装总裁工作服职业西服套装女YS-9203</t>
  </si>
  <si>
    <t>【直播专属】高级感暗纹西装套装 时尚气质修身西服正装SY-6201</t>
  </si>
  <si>
    <t>女神范正装工作服春秋气质高端职业套装SY-6209</t>
  </si>
  <si>
    <t>高端西装套女气质职业装时尚女神范西服套装SY-6215</t>
  </si>
  <si>
    <t>时尚气质小西装女士职业套装MY8090</t>
  </si>
  <si>
    <t>高级感休闲气质女神范通勤厚西服套装42RG607</t>
  </si>
  <si>
    <t>【直播专属】2022年新款休闲针织垂感拖地长裤子XHF33210</t>
  </si>
  <si>
    <t>【直播专属】圆领打底衫女士百搭修身针织毛衣XHF33221</t>
  </si>
  <si>
    <t>质感西装气质女神范工作服西服套装MY8093</t>
  </si>
  <si>
    <t>中长款风衣女秋冬时尚小个子气质休闲30RG8606</t>
  </si>
  <si>
    <t>小个子职业正装时尚气质高级感职业西服套装12RG9571</t>
  </si>
  <si>
    <t>高端职业套装 气质时尚正装西服职业套装SY-6208</t>
  </si>
  <si>
    <t>高级感西装外套女职业装正装西服套装SY-6239</t>
  </si>
  <si>
    <t>高级感休闲风衣外套高端阔太太中长款西装大衣HYN9912</t>
  </si>
  <si>
    <t>时尚西装套装 高级感炸街正装职业装两件套SY-6202</t>
  </si>
  <si>
    <t>高级感气质职业洋气西装套装 SY-6218</t>
  </si>
  <si>
    <t>下单用户数</t>
  </si>
  <si>
    <t>订单数</t>
  </si>
  <si>
    <t>用户类型</t>
  </si>
  <si>
    <t>占比</t>
  </si>
  <si>
    <t>数量</t>
  </si>
  <si>
    <t>新用户</t>
  </si>
  <si>
    <t>老用户</t>
  </si>
  <si>
    <t>2209直播下单用户金额排行榜(前20名）截止0927</t>
  </si>
  <si>
    <t>历史直播下单用户金额排行榜(M&gt;1000）截止0927</t>
  </si>
  <si>
    <t>累计人数</t>
  </si>
  <si>
    <t>用户名称</t>
  </si>
  <si>
    <t>直播下单金额</t>
  </si>
  <si>
    <t>直播下单数</t>
  </si>
  <si>
    <t>直播下单天数</t>
  </si>
  <si>
    <t>谷风霞</t>
  </si>
  <si>
    <t xml:space="preserve"> 订单数</t>
  </si>
  <si>
    <t>前20名下单金额</t>
  </si>
  <si>
    <t>前20名下单占比</t>
  </si>
  <si>
    <t>新用户数</t>
  </si>
  <si>
    <t>新用户占比</t>
  </si>
  <si>
    <t>岑人宁</t>
  </si>
  <si>
    <t>杨秀琴</t>
  </si>
  <si>
    <t>黄女士</t>
  </si>
  <si>
    <t>盛洁</t>
  </si>
  <si>
    <t>赵欣</t>
  </si>
  <si>
    <t>黄先生</t>
  </si>
  <si>
    <t>许嫦梅</t>
  </si>
  <si>
    <t>汪曲</t>
  </si>
  <si>
    <t>康代蓉</t>
  </si>
  <si>
    <t>吕健平</t>
  </si>
  <si>
    <t>黄凤姣</t>
  </si>
  <si>
    <t>云姐</t>
  </si>
  <si>
    <t>杨伟桃</t>
  </si>
  <si>
    <t>周丽君</t>
  </si>
  <si>
    <t>刘培贤</t>
  </si>
  <si>
    <t>赵晓华</t>
  </si>
  <si>
    <t>王雪霞</t>
  </si>
  <si>
    <t>曾琼辉</t>
  </si>
  <si>
    <t>梁红</t>
  </si>
  <si>
    <t>谢易珍</t>
  </si>
  <si>
    <t>何霞</t>
  </si>
  <si>
    <t>吴立红</t>
  </si>
  <si>
    <t>柳现荣</t>
  </si>
  <si>
    <t>郑雨明</t>
  </si>
  <si>
    <t>李艳丽</t>
  </si>
  <si>
    <t>王琼</t>
  </si>
  <si>
    <t>邹永书</t>
  </si>
  <si>
    <t>马静</t>
  </si>
  <si>
    <t>刘湘平</t>
  </si>
  <si>
    <t>都金红</t>
  </si>
  <si>
    <t>吴慧云</t>
  </si>
  <si>
    <t>林朝霞</t>
  </si>
  <si>
    <t>美姐</t>
  </si>
  <si>
    <t>王女士</t>
  </si>
  <si>
    <t>付款方式</t>
  </si>
  <si>
    <t>标记支付-自定义</t>
  </si>
  <si>
    <t>订单状态</t>
  </si>
  <si>
    <t>(多项)</t>
  </si>
  <si>
    <t>买家付款时间</t>
  </si>
  <si>
    <t>(全部)</t>
  </si>
  <si>
    <t>日</t>
  </si>
  <si>
    <t>9月28日</t>
  </si>
  <si>
    <t>小时</t>
  </si>
  <si>
    <t>0时</t>
  </si>
  <si>
    <t>分</t>
  </si>
  <si>
    <t>收货人/提货人</t>
  </si>
  <si>
    <t>求和项:订单实付金额</t>
  </si>
  <si>
    <t>计数项:订单号</t>
  </si>
  <si>
    <t>桂兴华</t>
  </si>
  <si>
    <t>求和项:直播下单金额</t>
  </si>
  <si>
    <t>求和项:直播下单数</t>
  </si>
  <si>
    <t>求和项:直播下单天数</t>
  </si>
  <si>
    <t>黄炳鲜</t>
  </si>
  <si>
    <t>罗孝云</t>
  </si>
  <si>
    <t>黄韩丽</t>
  </si>
  <si>
    <t>许小姐</t>
  </si>
  <si>
    <t>秋子</t>
  </si>
  <si>
    <t>梁远宏</t>
  </si>
  <si>
    <t>张春艳</t>
  </si>
  <si>
    <t>胡琳</t>
  </si>
  <si>
    <t>张小峡</t>
  </si>
  <si>
    <t>朱锦凤</t>
  </si>
  <si>
    <t>杨屏利</t>
  </si>
  <si>
    <t>危常钰</t>
  </si>
  <si>
    <t>高华</t>
  </si>
  <si>
    <t>苗苗</t>
  </si>
  <si>
    <t>何培红</t>
  </si>
  <si>
    <t>Dkp</t>
  </si>
  <si>
    <t>叶瑞丽</t>
  </si>
  <si>
    <t>李娜</t>
  </si>
  <si>
    <t>南燕</t>
  </si>
  <si>
    <t>陈玫辰</t>
  </si>
  <si>
    <t>朱珠</t>
  </si>
  <si>
    <t>留筱晓</t>
  </si>
  <si>
    <t>郝帅</t>
  </si>
  <si>
    <t>吴立美</t>
  </si>
  <si>
    <t>王小姐</t>
  </si>
  <si>
    <t>高如晴</t>
  </si>
  <si>
    <t>程小姐</t>
  </si>
  <si>
    <t>梦梦</t>
  </si>
  <si>
    <t>柔雨</t>
  </si>
  <si>
    <t>娜姐</t>
  </si>
  <si>
    <t>杨振峰</t>
  </si>
  <si>
    <t>房玉霞</t>
  </si>
  <si>
    <t>肖艳红</t>
  </si>
  <si>
    <t>杨海燕</t>
  </si>
  <si>
    <t>陈新琼</t>
  </si>
  <si>
    <t>新惠</t>
  </si>
  <si>
    <t>董女士</t>
  </si>
  <si>
    <t>王菲</t>
  </si>
  <si>
    <t>谢莉程</t>
  </si>
  <si>
    <t>王玲华</t>
  </si>
  <si>
    <t>杨艳梅</t>
  </si>
  <si>
    <t>成鸿高</t>
  </si>
  <si>
    <t>管家萍</t>
  </si>
  <si>
    <t>邓玉萍</t>
  </si>
  <si>
    <t>钟凤琼</t>
  </si>
  <si>
    <t>张美贤</t>
  </si>
  <si>
    <t>李老师</t>
  </si>
  <si>
    <t>甜甜</t>
  </si>
  <si>
    <t>邓小云</t>
  </si>
  <si>
    <t>张小红</t>
  </si>
  <si>
    <t>封文娟</t>
  </si>
  <si>
    <t>韦艳玲</t>
  </si>
  <si>
    <t>蓝谊丽</t>
  </si>
  <si>
    <t>谢彩秀</t>
  </si>
  <si>
    <t>马娇娇</t>
  </si>
  <si>
    <t>褚玉霞</t>
  </si>
  <si>
    <t>罗小姐</t>
  </si>
  <si>
    <t>秦艳</t>
  </si>
  <si>
    <t>邓春芬</t>
  </si>
  <si>
    <t>李富云</t>
  </si>
  <si>
    <t>王花蕊</t>
  </si>
  <si>
    <t>李女士</t>
  </si>
  <si>
    <t>冯瑞英</t>
  </si>
  <si>
    <t>熊金花</t>
  </si>
  <si>
    <t>刘晓慧</t>
  </si>
  <si>
    <t>谢天惠</t>
  </si>
  <si>
    <t>陈艳</t>
  </si>
  <si>
    <t>刘丽平</t>
  </si>
  <si>
    <t>唐慧</t>
  </si>
  <si>
    <t>梁琳彬</t>
  </si>
  <si>
    <t>邢阿娜</t>
  </si>
  <si>
    <t>卢小</t>
  </si>
  <si>
    <t>杨艳球</t>
  </si>
  <si>
    <t>付绍仙</t>
  </si>
  <si>
    <t>马仙彩</t>
  </si>
  <si>
    <t>张粉霞</t>
  </si>
  <si>
    <t>张爱花</t>
  </si>
  <si>
    <t>徐彦玲</t>
  </si>
  <si>
    <t>杨丽</t>
  </si>
  <si>
    <t>刘秀川</t>
  </si>
  <si>
    <t>蒲薇羽</t>
  </si>
  <si>
    <t>陈志云</t>
  </si>
  <si>
    <t>刘文焰</t>
  </si>
  <si>
    <t>梁红美</t>
  </si>
  <si>
    <t>徐铭阳</t>
  </si>
  <si>
    <t>刘雄玲</t>
  </si>
  <si>
    <t>刘云</t>
  </si>
  <si>
    <t>马海燕</t>
  </si>
  <si>
    <t>李晓慧</t>
  </si>
  <si>
    <t>李美娥</t>
  </si>
  <si>
    <t>温秀云</t>
  </si>
  <si>
    <t>卢化英</t>
  </si>
  <si>
    <t>林小姐</t>
  </si>
  <si>
    <t>魏洪艳</t>
  </si>
  <si>
    <t>安妮</t>
  </si>
  <si>
    <t>李小英</t>
  </si>
  <si>
    <t>周小姐</t>
  </si>
  <si>
    <t>尹训英</t>
  </si>
  <si>
    <t>黎章莲</t>
  </si>
  <si>
    <t>吕芳芳</t>
  </si>
  <si>
    <t>邓兴菊</t>
  </si>
  <si>
    <t>黄海燕</t>
  </si>
  <si>
    <t>杨广志</t>
  </si>
  <si>
    <t>余小姐</t>
  </si>
  <si>
    <t>马海琴</t>
  </si>
  <si>
    <t>刘艳</t>
  </si>
  <si>
    <t>王军梅</t>
  </si>
  <si>
    <t>陈小丽</t>
  </si>
  <si>
    <t>王彦奇</t>
  </si>
  <si>
    <t>唐颖</t>
  </si>
  <si>
    <t>李美莹</t>
  </si>
  <si>
    <t>谢肖</t>
  </si>
  <si>
    <t>陶厚文</t>
  </si>
  <si>
    <t>罗素花</t>
  </si>
  <si>
    <t>刘井云</t>
  </si>
  <si>
    <t>陈汝嫦</t>
  </si>
  <si>
    <t>刘秀红</t>
  </si>
  <si>
    <t>靳祺冉</t>
  </si>
  <si>
    <t>张律师</t>
  </si>
  <si>
    <t>张女士</t>
  </si>
  <si>
    <t>蔡彬华</t>
  </si>
  <si>
    <t>李秀群</t>
  </si>
  <si>
    <t>时延花</t>
  </si>
  <si>
    <t>高岩</t>
  </si>
  <si>
    <t>王丽</t>
  </si>
  <si>
    <t>张彩</t>
  </si>
  <si>
    <t>廖灵慧</t>
  </si>
  <si>
    <t>杨洋</t>
  </si>
  <si>
    <t>吴静</t>
  </si>
  <si>
    <t>杨云</t>
  </si>
  <si>
    <t>许军</t>
  </si>
  <si>
    <t>李有花</t>
  </si>
  <si>
    <t>武女士</t>
  </si>
  <si>
    <t>杨小丽</t>
  </si>
  <si>
    <t>陆骏</t>
  </si>
  <si>
    <t>赵美艳</t>
  </si>
  <si>
    <t>胡敏</t>
  </si>
  <si>
    <t>黄秀青</t>
  </si>
  <si>
    <t>姜雅男</t>
  </si>
  <si>
    <t>陆晓丽</t>
  </si>
  <si>
    <t>张玉燕</t>
  </si>
  <si>
    <t>龙燕平</t>
  </si>
  <si>
    <t>黄晓多</t>
  </si>
  <si>
    <t>王秀丽</t>
  </si>
  <si>
    <t>李新良</t>
  </si>
  <si>
    <t>张忻萍</t>
  </si>
  <si>
    <t>何丽敏</t>
  </si>
  <si>
    <t>刘志娥</t>
  </si>
  <si>
    <t>张现红</t>
  </si>
  <si>
    <t>蕙蕙</t>
  </si>
  <si>
    <t>李春霞</t>
  </si>
  <si>
    <t>张严元</t>
  </si>
  <si>
    <t>张鸣</t>
  </si>
  <si>
    <t>黄岚</t>
  </si>
  <si>
    <t>董水莲</t>
  </si>
  <si>
    <t>郑琦</t>
  </si>
  <si>
    <t>赵晓琼</t>
  </si>
  <si>
    <t>孔阳珍</t>
  </si>
  <si>
    <t>谢超玲</t>
  </si>
  <si>
    <t>钟雪娟</t>
  </si>
  <si>
    <t>陈何秀</t>
  </si>
  <si>
    <t>姚敏</t>
  </si>
  <si>
    <t>陈巧</t>
  </si>
  <si>
    <t>杨姐</t>
  </si>
  <si>
    <t>黄蓝兰</t>
  </si>
  <si>
    <t>兰瑞娟</t>
  </si>
  <si>
    <t>蒋振艳</t>
  </si>
  <si>
    <t>吴桂婉</t>
  </si>
  <si>
    <t>李贞玉</t>
  </si>
  <si>
    <t>曾小琴</t>
  </si>
  <si>
    <t>赵家睿</t>
  </si>
  <si>
    <t>李盛春</t>
  </si>
  <si>
    <t>施艳芳</t>
  </si>
  <si>
    <t>周凤</t>
  </si>
  <si>
    <t>王美艳</t>
  </si>
  <si>
    <t>卢结梅</t>
  </si>
  <si>
    <t>任义</t>
  </si>
  <si>
    <t>邹荣娟</t>
  </si>
  <si>
    <t>胡雪花</t>
  </si>
  <si>
    <t>杜素霞</t>
  </si>
  <si>
    <t>王艳</t>
  </si>
  <si>
    <t>黄妙</t>
  </si>
  <si>
    <t>吕玮</t>
  </si>
  <si>
    <t>骆仕珍</t>
  </si>
  <si>
    <t>韦秀芬</t>
  </si>
  <si>
    <t>刘冬霞</t>
  </si>
  <si>
    <t>黄姐</t>
  </si>
  <si>
    <t>赖燕花</t>
  </si>
  <si>
    <t>黄婵容</t>
  </si>
  <si>
    <t>罗蓉</t>
  </si>
  <si>
    <t>王珍</t>
  </si>
  <si>
    <t>张琼英</t>
  </si>
  <si>
    <t>李军利</t>
  </si>
  <si>
    <t>侯晓</t>
  </si>
  <si>
    <t>王静</t>
  </si>
  <si>
    <t>胡莉</t>
  </si>
  <si>
    <t>章玉</t>
  </si>
  <si>
    <t>张丹</t>
  </si>
  <si>
    <t>王玲</t>
  </si>
  <si>
    <t>马树红</t>
  </si>
  <si>
    <t>百合</t>
  </si>
  <si>
    <t>朱清华</t>
  </si>
  <si>
    <t>火姐</t>
  </si>
  <si>
    <t>赵秀玲</t>
  </si>
  <si>
    <t>王冬莲</t>
  </si>
  <si>
    <t>马双</t>
  </si>
  <si>
    <t>朱鸾凤</t>
  </si>
  <si>
    <t>香香</t>
  </si>
  <si>
    <t>李遥</t>
  </si>
  <si>
    <t>刘心莲</t>
  </si>
  <si>
    <t>艾传青</t>
  </si>
  <si>
    <t>庄翠</t>
  </si>
  <si>
    <t>甄亚忱</t>
  </si>
  <si>
    <t>尹江南</t>
  </si>
  <si>
    <t>俞贤琴</t>
  </si>
  <si>
    <t>项小红</t>
  </si>
  <si>
    <t>罗小英</t>
  </si>
  <si>
    <t>麦惠华</t>
  </si>
  <si>
    <t>李文琴</t>
  </si>
  <si>
    <t>吴彩林</t>
  </si>
  <si>
    <t>郑伊玉</t>
  </si>
  <si>
    <t>方维</t>
  </si>
  <si>
    <t>曾雪玲</t>
  </si>
  <si>
    <t>朱华</t>
  </si>
  <si>
    <t>金玉</t>
  </si>
  <si>
    <t>田尚琼</t>
  </si>
  <si>
    <t>于萍</t>
  </si>
  <si>
    <t>徐楚慧</t>
  </si>
  <si>
    <t>江凤琴</t>
  </si>
  <si>
    <t>叶菊花</t>
  </si>
  <si>
    <t>杨红</t>
  </si>
  <si>
    <t>陈伏香</t>
  </si>
  <si>
    <t>梅丽华</t>
  </si>
  <si>
    <t>胡金梅</t>
  </si>
  <si>
    <t>马红燕</t>
  </si>
  <si>
    <t>王莉</t>
  </si>
  <si>
    <t>董瑞娟</t>
  </si>
  <si>
    <t>张军</t>
  </si>
  <si>
    <t>周露兰</t>
  </si>
  <si>
    <t>胡海翔</t>
  </si>
  <si>
    <t>沈科林</t>
  </si>
  <si>
    <t>唐苏平</t>
  </si>
  <si>
    <t>李小姐</t>
  </si>
  <si>
    <t>徐燕倩</t>
  </si>
  <si>
    <t>林女士</t>
  </si>
  <si>
    <t>梁晓萍</t>
  </si>
  <si>
    <t>张清梅</t>
  </si>
  <si>
    <t>冯未娜</t>
  </si>
  <si>
    <t>张思思</t>
  </si>
  <si>
    <t>何旭梅</t>
  </si>
  <si>
    <t>郝主心</t>
  </si>
  <si>
    <t>小李</t>
  </si>
  <si>
    <t>菜花</t>
  </si>
  <si>
    <t>陈悦蓉</t>
  </si>
  <si>
    <t>代花花</t>
  </si>
  <si>
    <t>计影</t>
  </si>
  <si>
    <t>李东兰</t>
  </si>
  <si>
    <t>王亚男</t>
  </si>
  <si>
    <t>符梅春</t>
  </si>
  <si>
    <t>蒋枚</t>
  </si>
  <si>
    <t>兰卫萍</t>
  </si>
  <si>
    <t>孙莹</t>
  </si>
  <si>
    <t>刘建仿</t>
  </si>
  <si>
    <t>媛远</t>
  </si>
  <si>
    <t>王</t>
  </si>
  <si>
    <t>李启萍</t>
  </si>
  <si>
    <t>邓长蓉</t>
  </si>
  <si>
    <t>秦伟</t>
  </si>
  <si>
    <t>李润娟</t>
  </si>
  <si>
    <t>郭永霞</t>
  </si>
  <si>
    <t>高素梅</t>
  </si>
  <si>
    <t>龙莉</t>
  </si>
  <si>
    <t>高玉兰</t>
  </si>
  <si>
    <t>刘美君</t>
  </si>
  <si>
    <t>魏老师</t>
  </si>
  <si>
    <t>陈彦羽</t>
  </si>
  <si>
    <t>罗艳红</t>
  </si>
  <si>
    <t>李清</t>
  </si>
  <si>
    <t>最美丽的美丽</t>
  </si>
  <si>
    <t>胡春凤</t>
  </si>
  <si>
    <t>星星</t>
  </si>
  <si>
    <t>刘新兰</t>
  </si>
  <si>
    <t>陈小姐</t>
  </si>
  <si>
    <t>陈燕</t>
  </si>
  <si>
    <t>彦喜</t>
  </si>
  <si>
    <t>宫焕梅</t>
  </si>
  <si>
    <t>曹迎宾</t>
  </si>
  <si>
    <t>王影</t>
  </si>
  <si>
    <t>刘情</t>
  </si>
  <si>
    <t>高丽</t>
  </si>
  <si>
    <t>周朝琼</t>
  </si>
  <si>
    <t>陈美蓉</t>
  </si>
  <si>
    <t>张平</t>
  </si>
  <si>
    <t>崔翠</t>
  </si>
  <si>
    <t>许登红</t>
  </si>
  <si>
    <t>邱丽萍</t>
  </si>
  <si>
    <t>张国英</t>
  </si>
  <si>
    <t>张婷</t>
  </si>
  <si>
    <t>李洪秀</t>
  </si>
  <si>
    <t>郭小萍</t>
  </si>
  <si>
    <t>潘俐玲</t>
  </si>
  <si>
    <t>周周</t>
  </si>
  <si>
    <t>钟小姐</t>
  </si>
  <si>
    <t>邓会芳</t>
  </si>
  <si>
    <t>王学辉</t>
  </si>
  <si>
    <t>赵玉梅</t>
  </si>
  <si>
    <t>吴霞</t>
  </si>
  <si>
    <t>李迎春</t>
  </si>
  <si>
    <t>柯春燕</t>
  </si>
  <si>
    <t>丁艳彩</t>
  </si>
  <si>
    <t>赖女士</t>
  </si>
  <si>
    <t>李梦芬</t>
  </si>
  <si>
    <t>邓大大</t>
  </si>
  <si>
    <t>陈洁萍</t>
  </si>
  <si>
    <t>钟霞</t>
  </si>
  <si>
    <t>蔡媛</t>
  </si>
  <si>
    <t>何玉平</t>
  </si>
  <si>
    <t>焦丹</t>
  </si>
  <si>
    <t>陈碧庄</t>
  </si>
  <si>
    <t>蒋晓梅</t>
  </si>
  <si>
    <t>虞俊华</t>
  </si>
  <si>
    <t>许女士</t>
  </si>
  <si>
    <t>吴菊</t>
  </si>
  <si>
    <t>孙亚君</t>
  </si>
  <si>
    <t>刘家淑</t>
  </si>
  <si>
    <t>陈海荣</t>
  </si>
  <si>
    <t>王HH</t>
  </si>
  <si>
    <t>黄云</t>
  </si>
  <si>
    <t>陆小姐</t>
  </si>
  <si>
    <t>孙蓉</t>
  </si>
  <si>
    <t>张晓鹏</t>
  </si>
  <si>
    <t>林永玉</t>
  </si>
  <si>
    <t>邓小红</t>
  </si>
  <si>
    <t>朱建利</t>
  </si>
  <si>
    <t>李蔷薇</t>
  </si>
  <si>
    <t>陈彩连</t>
  </si>
  <si>
    <t>许芃</t>
  </si>
  <si>
    <t>谢新华</t>
  </si>
  <si>
    <t>赵瑞卓</t>
  </si>
  <si>
    <t>蔡桦</t>
  </si>
  <si>
    <t>王秀</t>
  </si>
  <si>
    <t>杜杜</t>
  </si>
  <si>
    <t>张相梅</t>
  </si>
  <si>
    <t>刘锦梅</t>
  </si>
  <si>
    <t>刘细英</t>
  </si>
  <si>
    <t>欧阳</t>
  </si>
  <si>
    <t>叶辉玲</t>
  </si>
  <si>
    <t>俪娟</t>
  </si>
  <si>
    <t>俞丽鸣</t>
  </si>
  <si>
    <t>翁榛鸿</t>
  </si>
  <si>
    <t>黄鸿菲</t>
  </si>
  <si>
    <t>邹素珍</t>
  </si>
  <si>
    <t>郭小瘦</t>
  </si>
  <si>
    <t>田秋艳</t>
  </si>
  <si>
    <t>刚菽擎</t>
  </si>
  <si>
    <t>刘璐菁</t>
  </si>
  <si>
    <t>可乐</t>
  </si>
  <si>
    <t>丁卫华</t>
  </si>
  <si>
    <t>弓公子</t>
  </si>
  <si>
    <t>王贤玉</t>
  </si>
  <si>
    <t>唐金敏</t>
  </si>
  <si>
    <t>王四芳</t>
  </si>
  <si>
    <t>张琴</t>
  </si>
  <si>
    <t>陈小霞</t>
  </si>
  <si>
    <t>杨伟华</t>
  </si>
  <si>
    <t>丁小红</t>
  </si>
  <si>
    <t>潘美玲</t>
  </si>
  <si>
    <t>吴春兰</t>
  </si>
  <si>
    <t>周秋兰</t>
  </si>
  <si>
    <t>林逊</t>
  </si>
  <si>
    <t>陈卓</t>
  </si>
  <si>
    <t>庄彩梅</t>
  </si>
  <si>
    <t>陶秋月</t>
  </si>
  <si>
    <t>崔红志</t>
  </si>
  <si>
    <t>菲菲</t>
  </si>
  <si>
    <t>郭超</t>
  </si>
  <si>
    <t>张妞妞</t>
  </si>
  <si>
    <t>李美秀</t>
  </si>
  <si>
    <t>许晨</t>
  </si>
  <si>
    <t>陈淑红</t>
  </si>
  <si>
    <t>何军</t>
  </si>
  <si>
    <t>王保凤</t>
  </si>
  <si>
    <t>游燕红</t>
  </si>
  <si>
    <t>蒋秀</t>
  </si>
  <si>
    <t>武光花</t>
  </si>
  <si>
    <t>丁力</t>
  </si>
  <si>
    <t>孙丽娟</t>
  </si>
  <si>
    <t>小林</t>
  </si>
  <si>
    <t>李伟连</t>
  </si>
  <si>
    <t>刘丽</t>
  </si>
  <si>
    <t>曾羽</t>
  </si>
  <si>
    <t>刘培霞</t>
  </si>
  <si>
    <t>小娟</t>
  </si>
  <si>
    <t>姜林红</t>
  </si>
  <si>
    <t>清风拂晓</t>
  </si>
  <si>
    <t>沙艳</t>
  </si>
  <si>
    <t>小蜜蜂</t>
  </si>
  <si>
    <t>罗松</t>
  </si>
  <si>
    <t>杨继</t>
  </si>
  <si>
    <t>蔡芳瑜</t>
  </si>
  <si>
    <t>陈云霄</t>
  </si>
  <si>
    <t>邓碧雁</t>
  </si>
  <si>
    <t>张发庸</t>
  </si>
  <si>
    <t>卫芳</t>
  </si>
  <si>
    <t>邹巧秀</t>
  </si>
  <si>
    <t>郑娜</t>
  </si>
  <si>
    <t>赵修芝</t>
  </si>
  <si>
    <t>周红玲</t>
  </si>
  <si>
    <t>许丽华</t>
  </si>
  <si>
    <t>向玲</t>
  </si>
  <si>
    <t>王珠连</t>
  </si>
  <si>
    <t>孙贵典</t>
  </si>
  <si>
    <t>蒲芳</t>
  </si>
  <si>
    <t>麦思亭</t>
  </si>
  <si>
    <t>岑冰</t>
  </si>
  <si>
    <t>李永梅</t>
  </si>
  <si>
    <t>何小艳</t>
  </si>
  <si>
    <t>艾琳</t>
  </si>
  <si>
    <t>何青</t>
  </si>
  <si>
    <t>格林</t>
  </si>
  <si>
    <t>周凤爱</t>
  </si>
  <si>
    <t>屈志敬</t>
  </si>
  <si>
    <t>毕看看</t>
  </si>
  <si>
    <t>王小华</t>
  </si>
  <si>
    <t>李雪梅</t>
  </si>
  <si>
    <t>向国莲</t>
  </si>
  <si>
    <t>邱香</t>
  </si>
  <si>
    <t>收货人:刘丹手机号码:</t>
  </si>
  <si>
    <t>李昱晓</t>
  </si>
  <si>
    <t>王兴秋</t>
  </si>
  <si>
    <t>马女士</t>
  </si>
  <si>
    <t>冰天一师</t>
  </si>
  <si>
    <t>苏莲凤</t>
  </si>
  <si>
    <t>冷家会</t>
  </si>
  <si>
    <t>高兴</t>
  </si>
  <si>
    <t>王秀梅</t>
  </si>
  <si>
    <t>周酿宁</t>
  </si>
  <si>
    <t>廖日平</t>
  </si>
  <si>
    <t>宫玉红</t>
  </si>
  <si>
    <t>冯老师</t>
  </si>
  <si>
    <t>姜茗予</t>
  </si>
  <si>
    <t>卢诗敏</t>
  </si>
  <si>
    <t>秦</t>
  </si>
  <si>
    <t>黄珊</t>
  </si>
  <si>
    <t>岑海英</t>
  </si>
  <si>
    <t>汪婷婷</t>
  </si>
  <si>
    <t>马玉环</t>
  </si>
  <si>
    <t>曹莉</t>
  </si>
  <si>
    <t>徐女士</t>
  </si>
  <si>
    <t>李淑芬</t>
  </si>
  <si>
    <t>译锦</t>
  </si>
  <si>
    <t>金秀</t>
  </si>
  <si>
    <t>王双英</t>
  </si>
  <si>
    <t>隆琼霞</t>
  </si>
  <si>
    <t>吴清玲</t>
  </si>
  <si>
    <t>彭芳</t>
  </si>
  <si>
    <t>徐永彩</t>
  </si>
  <si>
    <t>钟庆英</t>
  </si>
  <si>
    <t>林兆丽</t>
  </si>
  <si>
    <t>黄伙带</t>
  </si>
  <si>
    <t>阿庆</t>
  </si>
  <si>
    <t>郭彩滨</t>
  </si>
  <si>
    <t>李爱明</t>
  </si>
  <si>
    <t>王小云</t>
  </si>
  <si>
    <t>方燕兰</t>
  </si>
  <si>
    <t>彭云珍</t>
  </si>
  <si>
    <t>陈传香</t>
  </si>
  <si>
    <t>张玉美</t>
  </si>
  <si>
    <t>黄丽芳</t>
  </si>
  <si>
    <t>梁秀</t>
  </si>
  <si>
    <t>谢晓慧</t>
  </si>
  <si>
    <t>王增</t>
  </si>
  <si>
    <t>赵从芹</t>
  </si>
  <si>
    <t>王秀玲</t>
  </si>
  <si>
    <t>李志敏</t>
  </si>
  <si>
    <t>枫涓</t>
  </si>
  <si>
    <t>龙生</t>
  </si>
  <si>
    <t>蒲旭</t>
  </si>
  <si>
    <t>刘美苑</t>
  </si>
  <si>
    <t>王长容</t>
  </si>
  <si>
    <t>冉萍</t>
  </si>
  <si>
    <t>傅志馨</t>
  </si>
  <si>
    <t>杨春燕</t>
  </si>
  <si>
    <t>郑群英</t>
  </si>
  <si>
    <t>黎小姐</t>
  </si>
  <si>
    <t>黄小琴</t>
  </si>
  <si>
    <t>赵雨欣</t>
  </si>
  <si>
    <t>文光浩</t>
  </si>
  <si>
    <t>宁尾萍</t>
  </si>
  <si>
    <t>李保妹</t>
  </si>
  <si>
    <t>蓝秀姬</t>
  </si>
  <si>
    <t>杨芳芳</t>
  </si>
  <si>
    <t>邓新</t>
  </si>
  <si>
    <t>蔡慧勤</t>
  </si>
  <si>
    <t>林东妹</t>
  </si>
  <si>
    <t>曾小冰</t>
  </si>
  <si>
    <t>小镜王</t>
  </si>
  <si>
    <t>骆才珍</t>
  </si>
  <si>
    <t>潘文仕</t>
  </si>
  <si>
    <t>王盈欢</t>
  </si>
  <si>
    <t>王成芳</t>
  </si>
  <si>
    <t>邓晨晨</t>
  </si>
  <si>
    <t>杜俊林</t>
  </si>
  <si>
    <t>孙女士</t>
  </si>
  <si>
    <t>樊宏</t>
  </si>
  <si>
    <t>李霞</t>
  </si>
  <si>
    <t>袁小琴</t>
  </si>
  <si>
    <t>幸坤</t>
  </si>
  <si>
    <t>黄秋获</t>
  </si>
  <si>
    <t>徐春荣</t>
  </si>
  <si>
    <t>金润</t>
  </si>
  <si>
    <t>唐美尔</t>
  </si>
  <si>
    <t>毛昕瑶</t>
  </si>
  <si>
    <t>封魏华</t>
  </si>
  <si>
    <t>刘苹</t>
  </si>
  <si>
    <t>孙彩云</t>
  </si>
  <si>
    <t>曹金辉</t>
  </si>
  <si>
    <t>李桂贞</t>
  </si>
  <si>
    <t>丁梅</t>
  </si>
  <si>
    <t>朱茜</t>
  </si>
  <si>
    <t>糖果</t>
  </si>
  <si>
    <t>杨贵凤</t>
  </si>
  <si>
    <t>欧鸿飞</t>
  </si>
  <si>
    <t>刘宝玲</t>
  </si>
  <si>
    <t>郭艳杰</t>
  </si>
  <si>
    <t>赵凤英</t>
  </si>
  <si>
    <t>李雪花</t>
  </si>
  <si>
    <t>刘斗志</t>
  </si>
  <si>
    <t>吴昕</t>
  </si>
  <si>
    <t>邓桂英</t>
  </si>
  <si>
    <t>云姐姐</t>
  </si>
  <si>
    <t>胡琴</t>
  </si>
  <si>
    <t>锁凤霞</t>
  </si>
  <si>
    <t>叶思玲</t>
  </si>
  <si>
    <t>贺超美</t>
  </si>
  <si>
    <t>王晓冬</t>
  </si>
  <si>
    <t>柳金秋</t>
  </si>
  <si>
    <t>谭雅文</t>
  </si>
  <si>
    <t>于国玲</t>
  </si>
  <si>
    <t>王春华</t>
  </si>
  <si>
    <t>杨洁</t>
  </si>
  <si>
    <t>高红娜</t>
  </si>
  <si>
    <t>武新娥</t>
  </si>
  <si>
    <t>黄平</t>
  </si>
  <si>
    <t>应红璐</t>
  </si>
  <si>
    <t>吴梅</t>
  </si>
  <si>
    <t>黄海真</t>
  </si>
  <si>
    <t>李崇梅</t>
  </si>
  <si>
    <t>陈迪云</t>
  </si>
  <si>
    <t>刘银玉</t>
  </si>
  <si>
    <t>李娅</t>
  </si>
  <si>
    <t>周亚云</t>
  </si>
  <si>
    <t>杨德桥</t>
  </si>
  <si>
    <t>曹冬梅</t>
  </si>
  <si>
    <t>小胡</t>
  </si>
  <si>
    <t>张月娜</t>
  </si>
  <si>
    <t>邹慧娟</t>
  </si>
  <si>
    <t>肖志艺</t>
  </si>
  <si>
    <t>梅春蓉</t>
  </si>
  <si>
    <t>陈娜</t>
  </si>
  <si>
    <t>余雪梅</t>
  </si>
  <si>
    <t>贺女士</t>
  </si>
  <si>
    <t>初明霞</t>
  </si>
  <si>
    <t>徐静</t>
  </si>
  <si>
    <t>刘容辛</t>
  </si>
  <si>
    <t>李丽萍</t>
  </si>
  <si>
    <t>聪哥</t>
  </si>
  <si>
    <t>罗丽霞</t>
  </si>
  <si>
    <t>小小</t>
  </si>
  <si>
    <t>温艳艳</t>
  </si>
  <si>
    <t>曹坤</t>
  </si>
  <si>
    <t>王娟利</t>
  </si>
  <si>
    <t>余祥和</t>
  </si>
  <si>
    <t>杨会霞</t>
  </si>
  <si>
    <t>郝巧红</t>
  </si>
  <si>
    <t>刘国良</t>
  </si>
  <si>
    <t>小曾</t>
  </si>
  <si>
    <t>刘莉</t>
  </si>
  <si>
    <t>何小姐</t>
  </si>
  <si>
    <t>彭迎</t>
  </si>
  <si>
    <t>牟海玲</t>
  </si>
  <si>
    <t>侯晓琳</t>
  </si>
  <si>
    <t>刘云云</t>
  </si>
  <si>
    <t>马艳宜</t>
  </si>
  <si>
    <t>晉越36259</t>
  </si>
  <si>
    <t>盈瀛</t>
  </si>
  <si>
    <t>李一淼</t>
  </si>
  <si>
    <t>李怀珍</t>
  </si>
  <si>
    <t>殷远红</t>
  </si>
  <si>
    <t>刘芸惠</t>
  </si>
  <si>
    <t>彭晓丽</t>
  </si>
  <si>
    <t>李泓靓</t>
  </si>
  <si>
    <t>王元仙</t>
  </si>
  <si>
    <t>艾秀珍</t>
  </si>
  <si>
    <t>徐贞萍</t>
  </si>
  <si>
    <t>宋晓华</t>
  </si>
  <si>
    <t>王春玲</t>
  </si>
  <si>
    <t>李慧</t>
  </si>
  <si>
    <t>王娟</t>
  </si>
  <si>
    <t>韩雪梅</t>
  </si>
  <si>
    <t>王小玲</t>
  </si>
  <si>
    <t>唐慈君</t>
  </si>
  <si>
    <t>王丽杰</t>
  </si>
  <si>
    <t>张先生</t>
  </si>
  <si>
    <t>黄梅兰</t>
  </si>
  <si>
    <t>邓红敏</t>
  </si>
  <si>
    <t>余雪</t>
  </si>
  <si>
    <t>王丽娜</t>
  </si>
  <si>
    <t>黄宝萱</t>
  </si>
  <si>
    <t>余江琴</t>
  </si>
  <si>
    <t>刘义凤</t>
  </si>
  <si>
    <t>赵英莲</t>
  </si>
  <si>
    <t>陈书蔚</t>
  </si>
  <si>
    <t>刘红月</t>
  </si>
  <si>
    <t>覃秀芬</t>
  </si>
  <si>
    <t>陈利云</t>
  </si>
  <si>
    <t>李汝萍</t>
  </si>
  <si>
    <t>尚小丽</t>
  </si>
  <si>
    <t>肖优兰</t>
  </si>
  <si>
    <t>敖捷</t>
  </si>
  <si>
    <t>曾淑兰</t>
  </si>
  <si>
    <t>段梅姬</t>
  </si>
  <si>
    <t>彭女士</t>
  </si>
  <si>
    <t>李盼</t>
  </si>
  <si>
    <t>余鸿雁</t>
  </si>
  <si>
    <t>小美</t>
  </si>
  <si>
    <t>刘祥辉</t>
  </si>
  <si>
    <t>王飒</t>
  </si>
  <si>
    <t>李艳梅</t>
  </si>
  <si>
    <t>王红</t>
  </si>
  <si>
    <t>魏嘉</t>
  </si>
  <si>
    <t>金女士</t>
  </si>
  <si>
    <t>Angel yan</t>
  </si>
  <si>
    <t>刘佳</t>
  </si>
  <si>
    <t>钟桃</t>
  </si>
  <si>
    <t>张海花</t>
  </si>
  <si>
    <t>王敏</t>
  </si>
  <si>
    <t>郝文青</t>
  </si>
  <si>
    <t>杜巧静</t>
  </si>
  <si>
    <t>吴秋霞</t>
  </si>
  <si>
    <t>丁苹果</t>
  </si>
  <si>
    <t>赵银环</t>
  </si>
  <si>
    <t>申素红</t>
  </si>
  <si>
    <t>骆斌</t>
  </si>
  <si>
    <t>李建香</t>
  </si>
  <si>
    <t>李荣</t>
  </si>
  <si>
    <t>董曰健</t>
  </si>
  <si>
    <t>王雪黎</t>
  </si>
  <si>
    <t>余英</t>
  </si>
  <si>
    <t>黄芳</t>
  </si>
  <si>
    <t>朱明娟</t>
  </si>
  <si>
    <t>谢言</t>
  </si>
  <si>
    <t>陈利峰</t>
  </si>
  <si>
    <t>魏芹</t>
  </si>
  <si>
    <t>杜丹丹</t>
  </si>
  <si>
    <t>孙伟</t>
  </si>
  <si>
    <t>艳子</t>
  </si>
  <si>
    <t>雷星月</t>
  </si>
  <si>
    <t>罗应萍</t>
  </si>
  <si>
    <t>王新萍</t>
  </si>
  <si>
    <t>郑玉侠</t>
  </si>
  <si>
    <t>赵雄英（卡其色39码）</t>
  </si>
  <si>
    <t>刘平珠</t>
  </si>
  <si>
    <t>肖纷香</t>
  </si>
  <si>
    <t>徐爱琴</t>
  </si>
  <si>
    <t>邱会萍</t>
  </si>
  <si>
    <t>陶春艳</t>
  </si>
  <si>
    <t>咏琪</t>
  </si>
  <si>
    <t>曹梅</t>
  </si>
  <si>
    <t>董秀月</t>
  </si>
  <si>
    <t>赵晨曦</t>
  </si>
  <si>
    <t>谭秀妃</t>
  </si>
  <si>
    <t>曹桂芳</t>
  </si>
  <si>
    <t>朱小蓉</t>
  </si>
  <si>
    <t>风金</t>
  </si>
  <si>
    <t>李淑英</t>
  </si>
  <si>
    <t>张玉红</t>
  </si>
  <si>
    <t>王佳蓉</t>
  </si>
  <si>
    <t>贾改</t>
  </si>
  <si>
    <t>邬新苗</t>
  </si>
  <si>
    <t>杨桂凤</t>
  </si>
  <si>
    <t>刘红梅</t>
  </si>
  <si>
    <t>谢友萍</t>
  </si>
  <si>
    <t>余碧兰</t>
  </si>
  <si>
    <t>胡雪</t>
  </si>
  <si>
    <t>陈和英</t>
  </si>
  <si>
    <t>赵朝梅</t>
  </si>
  <si>
    <t>李艳秋</t>
  </si>
  <si>
    <t>柳艳玲</t>
  </si>
  <si>
    <t>张洪芳</t>
  </si>
  <si>
    <t>江楠</t>
  </si>
  <si>
    <t>田晓波</t>
  </si>
  <si>
    <t>廖女士</t>
  </si>
  <si>
    <t>朱秋娥</t>
  </si>
  <si>
    <t>龙超平</t>
  </si>
  <si>
    <t>游爱瑜</t>
  </si>
  <si>
    <t>蔡春艳</t>
  </si>
  <si>
    <t>何婕</t>
  </si>
  <si>
    <t>朱桂香</t>
  </si>
  <si>
    <t>李宛鸿</t>
  </si>
  <si>
    <t>罗俊芬</t>
  </si>
  <si>
    <t>陶淑华</t>
  </si>
  <si>
    <t>杜孔娟</t>
  </si>
  <si>
    <t>苏桂丽</t>
  </si>
  <si>
    <t>赵建兰</t>
  </si>
  <si>
    <t>孙云</t>
  </si>
  <si>
    <t>郭俊云</t>
  </si>
  <si>
    <t>上官粟梒</t>
  </si>
  <si>
    <t>王智贤</t>
  </si>
  <si>
    <t>杨继芳</t>
  </si>
  <si>
    <t>张爱莉</t>
  </si>
  <si>
    <t>薛女士</t>
  </si>
  <si>
    <t>陈小华</t>
  </si>
  <si>
    <t>臧明月</t>
  </si>
  <si>
    <t>罗叶</t>
  </si>
  <si>
    <t>贺友红</t>
  </si>
  <si>
    <t>欧红灿</t>
  </si>
  <si>
    <t>袁小姐</t>
  </si>
  <si>
    <t>白静</t>
  </si>
  <si>
    <t>唐国刚</t>
  </si>
  <si>
    <t>罗祥琴</t>
  </si>
  <si>
    <t>袁海霞</t>
  </si>
  <si>
    <t>覃爱纯</t>
  </si>
  <si>
    <t>廖先兰</t>
  </si>
  <si>
    <t>萍</t>
  </si>
  <si>
    <t>丹丹</t>
  </si>
  <si>
    <t>吕惠霞</t>
  </si>
  <si>
    <t>卢小琴</t>
  </si>
  <si>
    <t>黄小姐</t>
  </si>
  <si>
    <t>罗安芬</t>
  </si>
  <si>
    <t>郑姐</t>
  </si>
  <si>
    <t>唐朝晖</t>
  </si>
  <si>
    <t>黄䅌</t>
  </si>
  <si>
    <t>王霖</t>
  </si>
  <si>
    <t>张兰英</t>
  </si>
  <si>
    <t>钟广珍</t>
  </si>
  <si>
    <t>陈日森</t>
  </si>
  <si>
    <t>雪儿</t>
  </si>
  <si>
    <t>侯卫敏</t>
  </si>
  <si>
    <t>徐玉澜</t>
  </si>
  <si>
    <t>李欣懊</t>
  </si>
  <si>
    <t>卢春</t>
  </si>
  <si>
    <t>王祎娜</t>
  </si>
  <si>
    <t>徐桂林</t>
  </si>
  <si>
    <t>黄起娣</t>
  </si>
  <si>
    <t>王雪</t>
  </si>
  <si>
    <t>李红</t>
  </si>
  <si>
    <t>易应娇</t>
  </si>
  <si>
    <t>孟凡贞</t>
  </si>
  <si>
    <t>许秀凤</t>
  </si>
  <si>
    <t>杨国凤</t>
  </si>
  <si>
    <t>王世宝</t>
  </si>
  <si>
    <t>王芳</t>
  </si>
  <si>
    <t>陈荣臻</t>
  </si>
  <si>
    <t>李渝萍</t>
  </si>
  <si>
    <t>李柳仙</t>
  </si>
  <si>
    <t>周艳艳</t>
  </si>
  <si>
    <t>金月</t>
  </si>
  <si>
    <t>华姐</t>
  </si>
  <si>
    <t>华华</t>
  </si>
  <si>
    <t>林美云</t>
  </si>
  <si>
    <t>马秀</t>
  </si>
  <si>
    <t>刘伟英</t>
  </si>
  <si>
    <t>卫雪梅</t>
  </si>
  <si>
    <t>张爱兰</t>
  </si>
  <si>
    <t>蒋洪</t>
  </si>
  <si>
    <t>田宏佳</t>
  </si>
  <si>
    <t>张春华</t>
  </si>
  <si>
    <t>佳怡</t>
  </si>
  <si>
    <t>谢凤珍</t>
  </si>
  <si>
    <t>幸怀英</t>
  </si>
  <si>
    <t>海若</t>
  </si>
  <si>
    <t>孔德凤</t>
  </si>
  <si>
    <t>赖小丽</t>
  </si>
  <si>
    <t>马爱梅</t>
  </si>
  <si>
    <t>张勤东</t>
  </si>
  <si>
    <t>白糖</t>
  </si>
  <si>
    <t>陈</t>
  </si>
  <si>
    <t>黄杰</t>
  </si>
  <si>
    <t>梁春芳</t>
  </si>
  <si>
    <t>林丽平</t>
  </si>
  <si>
    <t>林梅</t>
  </si>
  <si>
    <t>毛佳蕙</t>
  </si>
  <si>
    <t>舒雅</t>
  </si>
  <si>
    <t>杨桂兰</t>
  </si>
  <si>
    <t>杨娜娜</t>
  </si>
  <si>
    <t>余小真</t>
  </si>
  <si>
    <t>庄蕙羽</t>
  </si>
  <si>
    <t>曹桂侠</t>
  </si>
  <si>
    <t>曾兰</t>
  </si>
  <si>
    <t>陈云军</t>
  </si>
  <si>
    <t>付琳</t>
  </si>
  <si>
    <t>张雪芳</t>
  </si>
  <si>
    <t>梁俊燕</t>
  </si>
  <si>
    <t>华恩泽</t>
  </si>
  <si>
    <t>刘万梅</t>
  </si>
  <si>
    <t>陈桂珍</t>
  </si>
  <si>
    <t>苏鸿鸣</t>
  </si>
  <si>
    <t>王悦</t>
  </si>
  <si>
    <t>杨先生</t>
  </si>
  <si>
    <t>范祝良</t>
  </si>
  <si>
    <t>黄美玉</t>
  </si>
  <si>
    <t>小倩</t>
  </si>
  <si>
    <t>黄细妹</t>
  </si>
  <si>
    <t>李芳</t>
  </si>
  <si>
    <t>刘玉</t>
  </si>
  <si>
    <t>陈大志</t>
  </si>
  <si>
    <t>青海省西宁市胜利路景林佳苑小区</t>
  </si>
  <si>
    <t>吴惠</t>
  </si>
  <si>
    <t>刘小琼</t>
  </si>
  <si>
    <t>御姐</t>
  </si>
  <si>
    <t>张华丽</t>
  </si>
  <si>
    <t>张淑辉</t>
  </si>
  <si>
    <t>李芬</t>
  </si>
  <si>
    <t>张淑珍</t>
  </si>
  <si>
    <t>孟亚琴</t>
  </si>
  <si>
    <t>曹宝贝</t>
  </si>
  <si>
    <t>岳晶</t>
  </si>
  <si>
    <t>符和静</t>
  </si>
  <si>
    <t>谢朝阳</t>
  </si>
  <si>
    <t>陆颖</t>
  </si>
  <si>
    <t>申丽</t>
  </si>
  <si>
    <t>石生华</t>
  </si>
  <si>
    <t>谢老板</t>
  </si>
  <si>
    <t>翁素青</t>
  </si>
  <si>
    <t>陈昱锦</t>
  </si>
  <si>
    <t>王容</t>
  </si>
  <si>
    <t>肖霞云</t>
  </si>
  <si>
    <t>林姐</t>
  </si>
  <si>
    <t>凌生</t>
  </si>
  <si>
    <t>陈玉红</t>
  </si>
  <si>
    <t>成东霞</t>
  </si>
  <si>
    <t>许愿</t>
  </si>
  <si>
    <t>马淑芳</t>
  </si>
  <si>
    <t>余小红</t>
  </si>
  <si>
    <t>郑悬</t>
  </si>
  <si>
    <t>马俊琴</t>
  </si>
  <si>
    <t>宋转红</t>
  </si>
  <si>
    <t>吴国萍</t>
  </si>
  <si>
    <t>邓丽</t>
  </si>
  <si>
    <t>欧金花</t>
  </si>
  <si>
    <t>秦淑娴</t>
  </si>
  <si>
    <t>谢会</t>
  </si>
  <si>
    <t>张永梅</t>
  </si>
  <si>
    <t>曹艳霞</t>
  </si>
  <si>
    <t>曾凡江</t>
  </si>
  <si>
    <t>冯朝晖</t>
  </si>
  <si>
    <t>郭荣华</t>
  </si>
  <si>
    <t>林锦辉</t>
  </si>
  <si>
    <t>鲁阿姨</t>
  </si>
  <si>
    <t>罗向丽</t>
  </si>
  <si>
    <t>字丽先</t>
  </si>
  <si>
    <t>程蕾</t>
  </si>
  <si>
    <t>胡彩霞</t>
  </si>
  <si>
    <t>解金梅</t>
  </si>
  <si>
    <t>李秀玲</t>
  </si>
  <si>
    <t>罗群</t>
  </si>
  <si>
    <t>乔红</t>
  </si>
  <si>
    <t>邵胜敏</t>
  </si>
  <si>
    <t>王云</t>
  </si>
  <si>
    <t>晓声</t>
  </si>
  <si>
    <t>闫丽霞</t>
  </si>
  <si>
    <t>杨小霞</t>
  </si>
  <si>
    <t>韩风艳</t>
  </si>
  <si>
    <t>缁缦</t>
  </si>
  <si>
    <t>练新英</t>
  </si>
  <si>
    <t>周女士</t>
  </si>
  <si>
    <t>蒲慧萍</t>
  </si>
  <si>
    <t>吴李香</t>
  </si>
  <si>
    <t>张玲英</t>
  </si>
  <si>
    <t>崔明明</t>
  </si>
  <si>
    <t>莫世娥</t>
  </si>
  <si>
    <t>付军艳</t>
  </si>
  <si>
    <t>刘彩琴</t>
  </si>
  <si>
    <t>罗女士</t>
  </si>
  <si>
    <t>马丽萍</t>
  </si>
  <si>
    <t>王先生</t>
  </si>
  <si>
    <t>王燕</t>
  </si>
  <si>
    <t>陈樱</t>
  </si>
  <si>
    <t>小张</t>
  </si>
  <si>
    <t>肖艳军</t>
  </si>
  <si>
    <t>闫小小</t>
  </si>
  <si>
    <t>胡明英</t>
  </si>
  <si>
    <t>李俊霞</t>
  </si>
  <si>
    <t>刘功兰</t>
  </si>
  <si>
    <t>石玉竹</t>
  </si>
  <si>
    <t>滕志香</t>
  </si>
  <si>
    <t>王超瓜</t>
  </si>
  <si>
    <t>危斯兰</t>
  </si>
  <si>
    <t>小凤凤</t>
  </si>
  <si>
    <t>小余</t>
  </si>
  <si>
    <t>闫春霞</t>
  </si>
  <si>
    <t>姚丽丽</t>
  </si>
  <si>
    <t>订单号</t>
  </si>
  <si>
    <t>归属店铺</t>
  </si>
  <si>
    <t>订单类型</t>
  </si>
  <si>
    <t>推广方式</t>
  </si>
  <si>
    <t>订单来源</t>
  </si>
  <si>
    <t>订单创建时间</t>
  </si>
  <si>
    <t>交易成功时间</t>
  </si>
  <si>
    <t>外部订单号</t>
  </si>
  <si>
    <t>支付流水号</t>
  </si>
  <si>
    <t>商品金额合计</t>
  </si>
  <si>
    <t>运费</t>
  </si>
  <si>
    <t>店铺优惠合计</t>
  </si>
  <si>
    <t>支付营销优惠</t>
  </si>
  <si>
    <t>应收订单金额</t>
  </si>
  <si>
    <t>订单实付金额</t>
  </si>
  <si>
    <t>店铺优惠方式</t>
  </si>
  <si>
    <t>全部商品名称</t>
  </si>
  <si>
    <t>商品种类数</t>
  </si>
  <si>
    <t>订单配送方式</t>
  </si>
  <si>
    <t>预约同城送达时间/预约自提时间</t>
  </si>
  <si>
    <t>收货人手机号/提货人手机号</t>
  </si>
  <si>
    <t>收货人省份</t>
  </si>
  <si>
    <t>收货人城市</t>
  </si>
  <si>
    <t>收货人地区</t>
  </si>
  <si>
    <t>详细收货地址/提货地址</t>
  </si>
  <si>
    <t>买家备注</t>
  </si>
  <si>
    <t>订单星级</t>
  </si>
  <si>
    <t>买家姓名</t>
  </si>
  <si>
    <t>买家是否会员</t>
  </si>
  <si>
    <t>买家手机号</t>
  </si>
  <si>
    <t>下单网点</t>
  </si>
  <si>
    <t>订单退款状态</t>
  </si>
  <si>
    <t>订单已退款金额</t>
  </si>
  <si>
    <t>商家订单备注</t>
  </si>
  <si>
    <t>优惠券码名称</t>
  </si>
  <si>
    <t>入住时间</t>
  </si>
  <si>
    <t>团长订单</t>
  </si>
  <si>
    <t>订单风险标签</t>
  </si>
  <si>
    <t>E20220905001554045206155</t>
  </si>
  <si>
    <t>职业优品</t>
  </si>
  <si>
    <t>分销买家订单</t>
  </si>
  <si>
    <t>待发货</t>
  </si>
  <si>
    <t>其他(商家小程序)</t>
  </si>
  <si>
    <t>微信支付</t>
  </si>
  <si>
    <t xml:space="preserve">	4200001584202209051782942588</t>
  </si>
  <si>
    <t xml:space="preserve">	2209050015550002270639</t>
  </si>
  <si>
    <t>【LEMON冰感内裤 】性感不留痕 舒爽一夏天  清凉透气 裸感无痕 柔软贴身不夹臀 无车缝线 自由延展 低饱和配色  蚕丝纤维3A级健康呵护(1盒四条四色-L)(1件)</t>
  </si>
  <si>
    <t>快递</t>
  </si>
  <si>
    <t>黄小梅</t>
  </si>
  <si>
    <t xml:space="preserve">	13549433282</t>
  </si>
  <si>
    <t>广东省</t>
  </si>
  <si>
    <t>东莞市</t>
  </si>
  <si>
    <t>凤岗镇</t>
  </si>
  <si>
    <t xml:space="preserve">广东省东莞市凤岗镇广东莞东莞市凤岗镇金凤凰大道顺成酒店休闲中心 </t>
  </si>
  <si>
    <t>HYM</t>
  </si>
  <si>
    <t>否</t>
  </si>
  <si>
    <t>——</t>
  </si>
  <si>
    <t>E20220904235053101200029</t>
  </si>
  <si>
    <t>普通订单</t>
  </si>
  <si>
    <t>待付款</t>
  </si>
  <si>
    <t>微信视频号/直播间</t>
  </si>
  <si>
    <t>【直播专属】时尚气质百搭衬衣11RG6711(白色-XL（建议110-120斤）)(1件)</t>
  </si>
  <si>
    <t xml:space="preserve">	18973493110</t>
  </si>
  <si>
    <t>湖南省</t>
  </si>
  <si>
    <t>衡阳市</t>
  </si>
  <si>
    <t>衡东县</t>
  </si>
  <si>
    <t xml:space="preserve">湖南省衡阳市衡东县洣水镇交通东路碧桂园2栋菜鸟驿站 </t>
  </si>
  <si>
    <t>踏雪赏梅</t>
  </si>
  <si>
    <t>是</t>
  </si>
  <si>
    <t xml:space="preserve">	18175864335</t>
  </si>
  <si>
    <t>E20220904234835044700039</t>
  </si>
  <si>
    <t>积分抵现(-4.00)</t>
  </si>
  <si>
    <t>【直播专属】时尚气质百搭衬衣11RG6711(黑色-XL（建议110-120斤）)(1件)</t>
  </si>
  <si>
    <t xml:space="preserve">	15339556963</t>
  </si>
  <si>
    <t>贵州省</t>
  </si>
  <si>
    <t>黔东南苗族侗族自治州</t>
  </si>
  <si>
    <t>丹寨县</t>
  </si>
  <si>
    <t xml:space="preserve">贵州省黔东南苗族侗族自治州丹寨县疾控中心 </t>
  </si>
  <si>
    <t>下雨天</t>
  </si>
  <si>
    <t>E20220904234449101206161</t>
  </si>
  <si>
    <t>积分抵现(-3.00)</t>
  </si>
  <si>
    <t>【直播专属】时尚气质百搭衬衣11RG6711(进口兰-2XL（建议120-130斤）)(1件)</t>
  </si>
  <si>
    <t>E20220904234358053700027</t>
  </si>
  <si>
    <t>积分抵现(-2.00)</t>
  </si>
  <si>
    <t xml:space="preserve">	13926368328</t>
  </si>
  <si>
    <t>阳江市</t>
  </si>
  <si>
    <t>江城区</t>
  </si>
  <si>
    <t xml:space="preserve">广东省阳江市江城区东门南路东150米 阳光马德里二期(北门) </t>
  </si>
  <si>
    <t>vv莹</t>
  </si>
  <si>
    <t>E20220904233948004300003</t>
  </si>
  <si>
    <t>时尚气质宽松直筒裤HYN6645(黑色-M（建议90-100斤）)(1件)</t>
  </si>
  <si>
    <t xml:space="preserve">	13787323623</t>
  </si>
  <si>
    <t>湘潭市</t>
  </si>
  <si>
    <t>湘潭县</t>
  </si>
  <si>
    <t xml:space="preserve">湖南省湘潭市湘潭县易俗河镇贵竹北路金霞山1号小区 </t>
  </si>
  <si>
    <t xml:space="preserve">	15200357783</t>
  </si>
  <si>
    <t>E20220904233709020006157</t>
  </si>
  <si>
    <t>积分抵现(-1.00)</t>
  </si>
  <si>
    <t>秋冬厚款时尚气质中长款风衣外套女士职业装套装长袖西服 01RG1036(卡其色西装-L（建议100-110斤）)(1件)</t>
  </si>
  <si>
    <t xml:space="preserve">	15812748980</t>
  </si>
  <si>
    <t>珠海市</t>
  </si>
  <si>
    <t>香洲区</t>
  </si>
  <si>
    <t xml:space="preserve">广东省珠海市香洲区银桦新村26栋1单元501 </t>
  </si>
  <si>
    <t>yangL i</t>
  </si>
  <si>
    <t>E20220904233704053700071</t>
  </si>
  <si>
    <t>积分抵现(-5.00)</t>
  </si>
  <si>
    <t>时尚气质宽松直筒裤HYN6645(黑色-XL（建议110-120斤）)(1件)</t>
  </si>
  <si>
    <t>E20220904233311070300057</t>
  </si>
  <si>
    <t xml:space="preserve">	4200001565202209045116846348</t>
  </si>
  <si>
    <t xml:space="preserve">	2209042333140000270133</t>
  </si>
  <si>
    <t>职业西裤 女工作服大码直筒长裤职业正装裤RG-K302(【常规】黑色直筒裤-M)(1件)</t>
  </si>
  <si>
    <t>丘晓花</t>
  </si>
  <si>
    <t xml:space="preserve">	15880687562</t>
  </si>
  <si>
    <t>福建省</t>
  </si>
  <si>
    <t>龙岩市</t>
  </si>
  <si>
    <t>新罗区</t>
  </si>
  <si>
    <t>福建省龙岩市新罗区莲东北路38号莲滨小区 2-1</t>
  </si>
  <si>
    <t xml:space="preserve">	我身高148，体重97斤，中号会不会太大，如果会帮我换S码</t>
  </si>
  <si>
    <t>E20220904232748005600079</t>
  </si>
  <si>
    <t>【直播专属】时尚洋气雪纺短袖女薄款中袖衬衣职业气质上衣HYN-2075(白色-3XL)(1件)</t>
  </si>
  <si>
    <t>罗军</t>
  </si>
  <si>
    <t xml:space="preserve">	13802850656</t>
  </si>
  <si>
    <t>肇庆市</t>
  </si>
  <si>
    <t>鼎湖区</t>
  </si>
  <si>
    <t xml:space="preserve">广东省肇庆市鼎湖区坑口街道山水居B19幢202房 </t>
  </si>
  <si>
    <t>E20220904232653053706157</t>
  </si>
  <si>
    <t>卡其色风衣套装 中长款高级感西装套19RG9135(孔雀蓝外套+裤子-XL（建议110-120斤）)(1件)</t>
  </si>
  <si>
    <t>E20220904232620094700073</t>
  </si>
  <si>
    <t>金丝绒西装秋冬新款高端气质正装西服套装16RG6613(蓝色（西装+603喇叭裤）-XL（建议110-120斤）)(1件)</t>
  </si>
  <si>
    <t xml:space="preserve">	18995305186</t>
  </si>
  <si>
    <t>宁夏回族自治区</t>
  </si>
  <si>
    <t>吴忠市</t>
  </si>
  <si>
    <t>利通区</t>
  </si>
  <si>
    <t>宁夏回族自治区吴忠市利通区黄河路润园雅居金窝窝房产 410号</t>
  </si>
  <si>
    <t>高华-18995305186</t>
  </si>
  <si>
    <t>E20220904232602046706189</t>
  </si>
  <si>
    <t>卡其色风衣套装 中长款高级感西装套19RG9135(卡其色外套+裤子-3XL（建议130-140斤）)(1件)</t>
  </si>
  <si>
    <t xml:space="preserve">	13786681028</t>
  </si>
  <si>
    <t>常德市</t>
  </si>
  <si>
    <t>汉寿县</t>
  </si>
  <si>
    <t>湖南省常德市汉寿县辰阳北路 482号</t>
  </si>
  <si>
    <t>美美哒13786681028</t>
  </si>
  <si>
    <t xml:space="preserve">	15367781971</t>
  </si>
  <si>
    <t>E20220904232442044706187</t>
  </si>
  <si>
    <t>卡其色风衣套装 中长款高级感西装套19RG9135(黑色外套+裤子-XL（建议110-120斤）)(1件)</t>
  </si>
  <si>
    <t>E20220904232331061206165</t>
  </si>
  <si>
    <t>积分抵现(-6.00)</t>
  </si>
  <si>
    <t>卡其色风衣套装 中长款高级感西装套19RG9135(孔雀蓝外套+裤子-3XL（建议130-140斤）)(1件)</t>
  </si>
  <si>
    <t xml:space="preserve">	13350246832</t>
  </si>
  <si>
    <t>四川省</t>
  </si>
  <si>
    <t>宜宾市</t>
  </si>
  <si>
    <t>叙州区</t>
  </si>
  <si>
    <t>四川省宜宾市叙州区柏溪镇水印金沙 六栋</t>
  </si>
  <si>
    <t>🌻  三宝13350246832</t>
  </si>
  <si>
    <t>E20220904232253094706187</t>
  </si>
  <si>
    <t>金丝绒西装秋冬新款高端气质正装西服套装16RG6613(酒红色（西装+603喇叭裤）-S（建议80-90斤）)(1件)</t>
  </si>
  <si>
    <t>E20220904231815101900013</t>
  </si>
  <si>
    <t xml:space="preserve">	4200001556202209046845527837</t>
  </si>
  <si>
    <t xml:space="preserve">	2209042318160002210166</t>
  </si>
  <si>
    <t>吴俊兰</t>
  </si>
  <si>
    <t xml:space="preserve">	13035255565</t>
  </si>
  <si>
    <t>湖北省</t>
  </si>
  <si>
    <t>十堰市</t>
  </si>
  <si>
    <t>张湾区</t>
  </si>
  <si>
    <t xml:space="preserve">湖北省十堰市张湾区汉江路街道六堰银河小区 </t>
  </si>
  <si>
    <t>兰兰～木马选片师</t>
  </si>
  <si>
    <t>E20220904231801042900073</t>
  </si>
  <si>
    <t>法式气质长袖雪纺衬衫XC1667(绿色-S)(1件)</t>
  </si>
  <si>
    <t xml:space="preserve">	13433207223</t>
  </si>
  <si>
    <t>佛山市</t>
  </si>
  <si>
    <t>南海区</t>
  </si>
  <si>
    <t xml:space="preserve">广东省佛山市南海区丹灶镇金沙城区理想家园 </t>
  </si>
  <si>
    <t xml:space="preserve">	17309922476</t>
  </si>
  <si>
    <t>E20220904231456053700017</t>
  </si>
  <si>
    <t>针织罗纹弹力打底衫RF33099(白色-2XL (建议118-126斤）)(1件)</t>
  </si>
  <si>
    <t>E20220904231454003306149</t>
  </si>
  <si>
    <t>针织罗纹弹力打底衫RF33099(白色-L (建议100-108斤）)(1件)</t>
  </si>
  <si>
    <t xml:space="preserve">	15347722168</t>
  </si>
  <si>
    <t>广西壮族自治区</t>
  </si>
  <si>
    <t>柳州市</t>
  </si>
  <si>
    <t>柳南区</t>
  </si>
  <si>
    <t xml:space="preserve">广西壮族自治区柳州市柳南区长塘镇鹧鸪江一屯三组50号 </t>
  </si>
  <si>
    <t>陈新琼（国家公共营养师）168</t>
  </si>
  <si>
    <t>E20220904231409020006153</t>
  </si>
  <si>
    <t>针织罗纹弹力打底衫RF33099(卡其-XL (建议109-117斤）)(1件)</t>
  </si>
  <si>
    <t>E20220904231314044700061</t>
  </si>
  <si>
    <t>E20220904231200092606179</t>
  </si>
  <si>
    <t>气质小清新打底吊带RF33066(卡其色-XL (建议109-117斤）)(1件)</t>
  </si>
  <si>
    <t xml:space="preserve">	13487577507</t>
  </si>
  <si>
    <t>长沙市</t>
  </si>
  <si>
    <t>宁乡市</t>
  </si>
  <si>
    <t xml:space="preserve">湖南省长沙市宁乡市接龙路57号丰泰商行 </t>
  </si>
  <si>
    <t>刘志娥13487577507</t>
  </si>
  <si>
    <t>E20220904231137090906147</t>
  </si>
  <si>
    <t>【直播专属】低圆领打底衫 女士套头针织毛衣女长袖薄款YD-NJR025(深紫色-L（建议110-125斤）)(1件)</t>
  </si>
  <si>
    <t xml:space="preserve">	15978616249</t>
  </si>
  <si>
    <t>河南省</t>
  </si>
  <si>
    <t>洛阳市</t>
  </si>
  <si>
    <t>吉利区</t>
  </si>
  <si>
    <t xml:space="preserve">河南省洛阳市吉利区西霞花园南门口柴鸟驿站 </t>
  </si>
  <si>
    <t>💎 一米阳光</t>
  </si>
  <si>
    <t>E20220904231137003300027</t>
  </si>
  <si>
    <t>气质小清新打底吊带RF33066(白色-L (建议100-108斤）)(1件)</t>
  </si>
  <si>
    <t>E20220904231056071906185</t>
  </si>
  <si>
    <t>气质小清新打底吊带RF33066(卡其色-2XL (建议118-126斤）)(1件)</t>
  </si>
  <si>
    <t xml:space="preserve">	13128523797</t>
  </si>
  <si>
    <t>金湾区</t>
  </si>
  <si>
    <t xml:space="preserve">广东省珠海市金湾区三灶镇风水塘永达海鲜餐厅 </t>
  </si>
  <si>
    <t>黄薇笑13128523797</t>
  </si>
  <si>
    <t>E20220904231055003300037</t>
  </si>
  <si>
    <t>气质小清新打底吊带RF33066(黑色-L (建议100-108斤）)(1件)</t>
  </si>
  <si>
    <t>E20220904231031044706161</t>
  </si>
  <si>
    <t>气质小清新打底吊带RF33066(黑色-XL (建议109-117斤）)(1件)</t>
  </si>
  <si>
    <t>E20220904231023051400081</t>
  </si>
  <si>
    <t>气质小清新打底吊带RF33066(黑色-5XL (建议143-151斤）)(1件)</t>
  </si>
  <si>
    <t xml:space="preserve">	13879460912</t>
  </si>
  <si>
    <t>江西省</t>
  </si>
  <si>
    <t>抚州市</t>
  </si>
  <si>
    <t>金溪县</t>
  </si>
  <si>
    <t xml:space="preserve">江西省抚州市金溪县秀谷镇金灿豪门临街商铺太平洋人寿保险公司 </t>
  </si>
  <si>
    <t>吴慧云专注保险16年</t>
  </si>
  <si>
    <t>E20220904231004020000039</t>
  </si>
  <si>
    <t>E20220904231003071900067</t>
  </si>
  <si>
    <t>气质小清新打底吊带RF33066(黑色-2XL (建议118-126斤）)(1件)</t>
  </si>
  <si>
    <t>E20220904230939037100029</t>
  </si>
  <si>
    <t xml:space="preserve">	18695188464</t>
  </si>
  <si>
    <t>银川市</t>
  </si>
  <si>
    <t>兴庆区</t>
  </si>
  <si>
    <t xml:space="preserve">宁夏回族自治区银川市兴庆区中环大厦 </t>
  </si>
  <si>
    <t>李雯</t>
  </si>
  <si>
    <t>E20220904230728029006171</t>
  </si>
  <si>
    <t>微信视频号/商品橱窗</t>
  </si>
  <si>
    <t>醋酸缎高级感干练西装 英伦风职业西装套装01RG2229(2229紫色西装+2227K紫色裤-L)(1件)</t>
  </si>
  <si>
    <t xml:space="preserve">	13829675880</t>
  </si>
  <si>
    <t>汕头市</t>
  </si>
  <si>
    <t>龙湖区</t>
  </si>
  <si>
    <t xml:space="preserve">广东省汕头市龙湖区金涛庄89栋601 </t>
  </si>
  <si>
    <t>曲曲</t>
  </si>
  <si>
    <t>E20220904230637071900059</t>
  </si>
  <si>
    <t>E20220904230451080106179</t>
  </si>
  <si>
    <t>积分抵现(-18.00)</t>
  </si>
  <si>
    <t>金丝绒西装秋冬新款高端气质正装西服套装16RG6613(蓝色（西装+603喇叭裤）-M（建议90-100斤）)(1件)</t>
  </si>
  <si>
    <t xml:space="preserve">	13810118109</t>
  </si>
  <si>
    <t>北京市</t>
  </si>
  <si>
    <t>房山区</t>
  </si>
  <si>
    <t xml:space="preserve">北京市北京市房山区燕山岗南路口小白理发店 </t>
  </si>
  <si>
    <t>E20220904230249044706167</t>
  </si>
  <si>
    <t>洋气英伦风小西装套装新款HYN1655(蓝色-XL（建议115-125斤）)(1件)</t>
  </si>
  <si>
    <t>E20220904230228101700015</t>
  </si>
  <si>
    <t xml:space="preserve">	4200001539202209047870524574</t>
  </si>
  <si>
    <t xml:space="preserve">	2209042302290000710226</t>
  </si>
  <si>
    <t>【500ml大容量】氨基酸海盐控油洗发露 约旦进口海盐 专利除螨 深层清洁去屑 滋养头皮WTS-海盐系列(买1送1（实发2支海盐净透洗发水 ）)(1件)</t>
  </si>
  <si>
    <t>艾冬梅</t>
  </si>
  <si>
    <t xml:space="preserve">	18081467977</t>
  </si>
  <si>
    <t>巴中市</t>
  </si>
  <si>
    <t>南江县</t>
  </si>
  <si>
    <t xml:space="preserve">四川省巴中市南江县四川省巴中市南江县红塔一社 </t>
  </si>
  <si>
    <t>艾卉春18081467977</t>
  </si>
  <si>
    <t>E20220904230226037106173</t>
  </si>
  <si>
    <t xml:space="preserve">	15032581683</t>
  </si>
  <si>
    <t>E20220904230035037106189</t>
  </si>
  <si>
    <t>法式气质长袖雪纺衬衫XC1667(杏色-S)(1件)</t>
  </si>
  <si>
    <t>E20220904230014029006171</t>
  </si>
  <si>
    <t>洋气英伦风小西装套装新款HYN1655(蓝色-L（建议105-115斤）)(1件)</t>
  </si>
  <si>
    <t>E20220904225939065006151</t>
  </si>
  <si>
    <t xml:space="preserve">	4200001551202209044842183120</t>
  </si>
  <si>
    <t xml:space="preserve">	2209042259560001340727</t>
  </si>
  <si>
    <t>【500ml大容量】氨基酸海盐控油洗发露 约旦进口海盐 专利除螨 深层清洁去屑 滋养头皮WTS-海盐系列(海盐净透洗发水)(1件)</t>
  </si>
  <si>
    <t>辜晓东</t>
  </si>
  <si>
    <t xml:space="preserve">	15926907845</t>
  </si>
  <si>
    <t>黄石市</t>
  </si>
  <si>
    <t>阳新县</t>
  </si>
  <si>
    <t xml:space="preserve">湖北省黄石市阳新县兴国镇兴国大道金迪购物广场楼上 </t>
  </si>
  <si>
    <t>A晓东（平安）</t>
  </si>
  <si>
    <t>E20220904225939051406171</t>
  </si>
  <si>
    <t>洋气英伦风小西装套装新款HYN1655(红色-3XL（建议135-145斤）)(1件)</t>
  </si>
  <si>
    <t>换蓝色。莫8.4</t>
  </si>
  <si>
    <t>E20220904225837083600069</t>
  </si>
  <si>
    <t xml:space="preserve">	13939061281</t>
  </si>
  <si>
    <t>郑州市</t>
  </si>
  <si>
    <t>金水区</t>
  </si>
  <si>
    <t>河南省郑州市金水区顺河路45号院 7号楼</t>
  </si>
  <si>
    <t>中国平安何培红13939061281</t>
  </si>
  <si>
    <t>E20220904225713061200081</t>
  </si>
  <si>
    <t>E20220904225710071906151</t>
  </si>
  <si>
    <t>洋气英伦风小西装套装新款HYN1655(红色-XL（建议115-125斤）)(1件)</t>
  </si>
  <si>
    <t>E20220904225638098600005</t>
  </si>
  <si>
    <t>金丝绒西装秋冬新款高端气质正装西服套装16RG6613(蓝色（西装+603喇叭裤）-L（建议100-110斤）)(1件)</t>
  </si>
  <si>
    <t xml:space="preserve">	18814678513</t>
  </si>
  <si>
    <t>黑龙江省</t>
  </si>
  <si>
    <t>鸡西市</t>
  </si>
  <si>
    <t>鸡冠区</t>
  </si>
  <si>
    <t xml:space="preserve">黑龙江省鸡西市鸡冠区黑龙江省鸡西市鸡冠区卫校楼 </t>
  </si>
  <si>
    <t xml:space="preserve">	17395848357</t>
  </si>
  <si>
    <t>发XL码数</t>
  </si>
  <si>
    <t>E20220904225235095000073</t>
  </si>
  <si>
    <t>法式气质长袖雪纺衬衫XC1667(黄色-S)(1件)</t>
  </si>
  <si>
    <t xml:space="preserve">	13533682191</t>
  </si>
  <si>
    <t>广州市</t>
  </si>
  <si>
    <t>增城区</t>
  </si>
  <si>
    <t xml:space="preserve">广东省广州市增城区金竹一路32号锦绣御景国际一期十栋 </t>
  </si>
  <si>
    <t xml:space="preserve">	17447635710</t>
  </si>
  <si>
    <t>E20220904225125061206183</t>
  </si>
  <si>
    <t>金丝绒西装秋冬新款高端气质正装西服套装16RG6613(蓝色（西装+603喇叭裤）-3XL（建议130-140斤）)(1件)</t>
  </si>
  <si>
    <t>E20220904225123003306149</t>
  </si>
  <si>
    <t>时尚气质宽松直筒裤HYN6645(黑色-L（建议100-110斤）)(1件)</t>
  </si>
  <si>
    <t>E20220904225015053400071</t>
  </si>
  <si>
    <t>【直播专属】低圆领打底衫 女士套头针织毛衣女长袖薄款YD-NJR025(祖母绿-L（建议110-125斤）)(1件)</t>
  </si>
  <si>
    <t xml:space="preserve">	13888850781</t>
  </si>
  <si>
    <t>云南省</t>
  </si>
  <si>
    <t>昆明市</t>
  </si>
  <si>
    <t>东川区</t>
  </si>
  <si>
    <t xml:space="preserve">云南省昆明市东川区教育局 </t>
  </si>
  <si>
    <t>杨云.泰康保险(世界500强) beyond</t>
  </si>
  <si>
    <t>E20220904224955078106185</t>
  </si>
  <si>
    <t>微信(直接购买)</t>
  </si>
  <si>
    <t xml:space="preserve">	4200001541202209042651130493</t>
  </si>
  <si>
    <t xml:space="preserve">	2209042249570000100823</t>
  </si>
  <si>
    <t>【 告别扁平臀大肚腩，一穿立显好身材！】3D立体剪裁 360度雕塑曲线！无痕腰边，提拉翘臀，束腰塑身YKF-2112(黑色+黑色  2件装-L 建议116-130斤)(1件)</t>
  </si>
  <si>
    <t>姚玉华</t>
  </si>
  <si>
    <t xml:space="preserve">	18907395702</t>
  </si>
  <si>
    <t>邵阳市</t>
  </si>
  <si>
    <t>邵东市</t>
  </si>
  <si>
    <t>湖南省邵阳市邵东市建设中路136号 中国人寿</t>
  </si>
  <si>
    <t>姚玉华-（中国人寿）13607395302</t>
  </si>
  <si>
    <t>E20220904224920061200085</t>
  </si>
  <si>
    <t>金丝绒西装秋冬新款高端气质正装西服套装16RG6613(酒红色（西装+603喇叭裤）-3XL（建议130-140斤）)(1件)</t>
  </si>
  <si>
    <t>E20220904224904035106149</t>
  </si>
  <si>
    <t>金丝绒西装秋冬新款高端气质正装西服套装16RG6613(墨绿色（西装+603喇叭裤）-3XL（建议130-140斤）)(1件)</t>
  </si>
  <si>
    <t xml:space="preserve">	13556352499</t>
  </si>
  <si>
    <t>澄海区</t>
  </si>
  <si>
    <t>广东省汕头市澄海区美城路3号 广益街道</t>
  </si>
  <si>
    <t>退款中</t>
  </si>
  <si>
    <t>E20220904224842085900027</t>
  </si>
  <si>
    <t>上衣气质通勤打底长袖蝴蝶结印花衬衫NZY-NH1201(白色-S)(1件)</t>
  </si>
  <si>
    <t xml:space="preserve">	13207312288</t>
  </si>
  <si>
    <t>岳麓区</t>
  </si>
  <si>
    <t xml:space="preserve">湖南省长沙市岳麓区共和世家3栋4单元1007 </t>
  </si>
  <si>
    <t>艳儿（平安）</t>
  </si>
  <si>
    <t>E20220904224749085900063</t>
  </si>
  <si>
    <t xml:space="preserve">湖南省长沙市岳麓区西湖街道湖韵佳苑5栋2301号 西湖鱼港(咸嘉湖路店) </t>
  </si>
  <si>
    <t>E20220904224612005506159</t>
  </si>
  <si>
    <t>【直播专属】低圆领打底衫 女士套头针织毛衣女长袖薄款YD-NJR025(车子里红-L（建议110-125斤）)(1件)</t>
  </si>
  <si>
    <t xml:space="preserve">	13502351213</t>
  </si>
  <si>
    <t>梅州市</t>
  </si>
  <si>
    <t>兴宁市</t>
  </si>
  <si>
    <t xml:space="preserve">广东省梅州市兴宁市福兴街道办事处兴鸿二街江南华府3栋 </t>
  </si>
  <si>
    <t>安妮（黄裕安）</t>
  </si>
  <si>
    <t xml:space="preserve">	13727639322</t>
  </si>
  <si>
    <t>E20220904224538028700059</t>
  </si>
  <si>
    <t xml:space="preserve">	4200001556202209046641329701</t>
  </si>
  <si>
    <t xml:space="preserve">	2209042245390001480824</t>
  </si>
  <si>
    <t>【时尚不重样】MointPhoice lucky一周耳钉 925银针 巴洛克珍珠复古简约 百搭耳钉礼盒(Lucky一周耳钉)(1件)</t>
  </si>
  <si>
    <t>陈一颖</t>
  </si>
  <si>
    <t xml:space="preserve">	19523377598</t>
  </si>
  <si>
    <t>官渡区</t>
  </si>
  <si>
    <t xml:space="preserve">云南省昆明市官渡区大都摩天四号楼909 </t>
  </si>
  <si>
    <t>A车险小宝贝。</t>
  </si>
  <si>
    <t>E20220904224447097600011</t>
  </si>
  <si>
    <t>针织罗纹弹力打底衫RF33099(黑色-XL (建议109-117斤）)(1件)</t>
  </si>
  <si>
    <t xml:space="preserve">	13884632786</t>
  </si>
  <si>
    <t>山东省</t>
  </si>
  <si>
    <t>临沂市</t>
  </si>
  <si>
    <t>莒南县</t>
  </si>
  <si>
    <t xml:space="preserve">山东省临沂市莒南县团林镇 </t>
  </si>
  <si>
    <t>E20220904224430079900053</t>
  </si>
  <si>
    <t xml:space="preserve">	4200001564202209040012198884</t>
  </si>
  <si>
    <t xml:space="preserve">	2209042244310001930004</t>
  </si>
  <si>
    <t>【LEMON冰感内裤 】性感不留痕 舒爽一夏天  清凉透气 裸感无痕 柔软贴身不夹臀 无车缝线 自由延展 低饱和配色  蚕丝纤维3A级健康呵护(1盒四条四色-XL)(1件)</t>
  </si>
  <si>
    <t>傅彩英</t>
  </si>
  <si>
    <t xml:space="preserve">	13605980005</t>
  </si>
  <si>
    <t>三明市</t>
  </si>
  <si>
    <t>梅列区</t>
  </si>
  <si>
    <t xml:space="preserve">福建省三明市梅列区新市北路 乾龙新村303-1101 </t>
  </si>
  <si>
    <t>彩云</t>
  </si>
  <si>
    <t>E20220904224224025006151</t>
  </si>
  <si>
    <t>针织罗纹弹力打底衫RF33099(黑色-S (建议80-90斤）)(1件)</t>
  </si>
  <si>
    <t xml:space="preserve">	13613503285</t>
  </si>
  <si>
    <t>山西省</t>
  </si>
  <si>
    <t>忻州市</t>
  </si>
  <si>
    <t>忻府区</t>
  </si>
  <si>
    <t xml:space="preserve">山西省忻州市忻府区云中北路24号煤机宿舍 </t>
  </si>
  <si>
    <t>E20220904224221071906187</t>
  </si>
  <si>
    <t xml:space="preserve">	13168698333</t>
  </si>
  <si>
    <t>E20220904224056089900023</t>
  </si>
  <si>
    <t xml:space="preserve">	15876354499</t>
  </si>
  <si>
    <t>清远市</t>
  </si>
  <si>
    <t>清城区</t>
  </si>
  <si>
    <t>广东省清远市清城区人民路 盛景雍华庭1栋701</t>
  </si>
  <si>
    <t>平安黄海燕</t>
  </si>
  <si>
    <t>E20220904224049068000027</t>
  </si>
  <si>
    <t>【直播专属】高级感暗纹西装套装 时尚气质修身西服正装02RG6201(绿色西装＋绿色西裤-L（建议100-110斤）)(1件)</t>
  </si>
  <si>
    <t xml:space="preserve">	18604725144</t>
  </si>
  <si>
    <t>内蒙古自治区</t>
  </si>
  <si>
    <t>包头市</t>
  </si>
  <si>
    <t>青山区</t>
  </si>
  <si>
    <t>内蒙古自治区包头市青山区富强路南路88号 中建御澜世家6号楼二单元1704房</t>
  </si>
  <si>
    <t>珠珠</t>
  </si>
  <si>
    <t>E20220904224048068000019</t>
  </si>
  <si>
    <t>E20220904224038068006165</t>
  </si>
  <si>
    <t>E20220904224033083600039</t>
  </si>
  <si>
    <t>针织罗纹弹力打底衫RF33099(卡其-S (建议80-90斤）)(1件)</t>
  </si>
  <si>
    <t>E20220904224024025000083</t>
  </si>
  <si>
    <t>E20220904224001099100083</t>
  </si>
  <si>
    <t>针织罗纹弹力打底衫RF33099(黑色-M (建议91-99斤）)(1件)</t>
  </si>
  <si>
    <t xml:space="preserve">	15803959588</t>
  </si>
  <si>
    <t xml:space="preserve">河南省郑州市金水区龙湖街道恒大悦龙花园 </t>
  </si>
  <si>
    <t>亚丽</t>
  </si>
  <si>
    <t>E20220904223947005500081</t>
  </si>
  <si>
    <t>法式气质长袖雪纺衬衫XC1667(紫色-XS)(1件)</t>
  </si>
  <si>
    <t xml:space="preserve">	13611431973</t>
  </si>
  <si>
    <t>海珠区</t>
  </si>
  <si>
    <t>广东省广州市海珠区江南大道中135号 202房</t>
  </si>
  <si>
    <t>勇敢的心</t>
  </si>
  <si>
    <t xml:space="preserve">	13535192404</t>
  </si>
  <si>
    <t>E20220904223914005506163</t>
  </si>
  <si>
    <t>气质小清新打底吊带RF33066(黑色-M (建议91-99斤）)(1件)</t>
  </si>
  <si>
    <t>E20220904223722077706155</t>
  </si>
  <si>
    <t xml:space="preserve">	13878293966</t>
  </si>
  <si>
    <t>来宾市</t>
  </si>
  <si>
    <t>兴宾区</t>
  </si>
  <si>
    <t xml:space="preserve">广西壮族自治区来宾市兴宾区维林大道398号 </t>
  </si>
  <si>
    <t>简（黄蓝兰）太平洋保险</t>
  </si>
  <si>
    <t>E20220904223634013306147</t>
  </si>
  <si>
    <t xml:space="preserve">	13235450179</t>
  </si>
  <si>
    <t>恩施土家族苗族自治州</t>
  </si>
  <si>
    <t>利川市</t>
  </si>
  <si>
    <t xml:space="preserve">湖北省恩施土家族苗族自治州利川市和润嘉园 </t>
  </si>
  <si>
    <t>天天向上培训+口腔健康咨询</t>
  </si>
  <si>
    <t>E20220904223533023506145</t>
  </si>
  <si>
    <t xml:space="preserve">	19903186039</t>
  </si>
  <si>
    <t>河北省</t>
  </si>
  <si>
    <t>衡水市</t>
  </si>
  <si>
    <t>桃城区</t>
  </si>
  <si>
    <t xml:space="preserve">河北省衡水市桃城区河西街道在水一方小区 </t>
  </si>
  <si>
    <t xml:space="preserve">	17447518728</t>
  </si>
  <si>
    <t>E20220904223457097606169</t>
  </si>
  <si>
    <t>E20220904223143080500013</t>
  </si>
  <si>
    <t>【直播专属】低圆领打底衫 女士套头针织毛衣女长袖薄款YD-NJR025(夹花紫-M（建议100-110斤）)(1件)</t>
  </si>
  <si>
    <t xml:space="preserve">	13978682282</t>
  </si>
  <si>
    <t>南宁市</t>
  </si>
  <si>
    <t>江南区</t>
  </si>
  <si>
    <t>广西壮族自治区南宁市江南区沙井富乐新城 57栋一单元</t>
  </si>
  <si>
    <t>青如許ゞ</t>
  </si>
  <si>
    <t>E20220904222902061200047</t>
  </si>
  <si>
    <t>【直播专属】时尚气质百搭衬衣11RG6716(白色-3XL（建议130-140斤）)(1件)</t>
  </si>
  <si>
    <t>E20220904222827015700075</t>
  </si>
  <si>
    <t>【直播专属】时尚气质百搭衬衣11RG6716(黑色-L（建议100-110斤）)(1件)</t>
  </si>
  <si>
    <t xml:space="preserve">内蒙古自治区包头市青山区富强南路88号中建御澜世家6号楼二单元 </t>
  </si>
  <si>
    <t xml:space="preserve">	17446846578</t>
  </si>
  <si>
    <t>E20220904222818097606193</t>
  </si>
  <si>
    <t>【直播专属】时尚气质百搭衬衣11RG6716(黑色-XL（建议110-120斤）)(1件)</t>
  </si>
  <si>
    <t>E20220904222731051306177</t>
  </si>
  <si>
    <t>【直播专属】时尚气质百搭衬衣11RG6716(黄色-XL（建议110-120斤）)(1件)</t>
  </si>
  <si>
    <t xml:space="preserve">	18465193280</t>
  </si>
  <si>
    <t>青铜峡市</t>
  </si>
  <si>
    <t xml:space="preserve">宁夏回族自治区吴忠市青铜峡市汉坝东街246号派胜·水岸世家 </t>
  </si>
  <si>
    <t xml:space="preserve">	15709663093</t>
  </si>
  <si>
    <t>E20220904222654023500045</t>
  </si>
  <si>
    <t>【直播专属】时尚气质百搭衬衣11RG6716(白色-XL（建议110-120斤）)(1件)</t>
  </si>
  <si>
    <t>E20220904222614099100057</t>
  </si>
  <si>
    <t>【直播专属】低圆领打底衫 女士套头针织毛衣女长袖薄款YD-NJR025(芥末黄-S（建议90-100斤）)(1件)</t>
  </si>
  <si>
    <t>E20220904222612080500073</t>
  </si>
  <si>
    <t>交易关闭</t>
  </si>
  <si>
    <t>黄青青</t>
  </si>
  <si>
    <t xml:space="preserve">	18977160176</t>
  </si>
  <si>
    <t>西乡塘区</t>
  </si>
  <si>
    <t xml:space="preserve">广西壮族自治区南宁市西乡塘区科园西十路爱贝尔幼儿园 </t>
  </si>
  <si>
    <t>E20220904222339003800075</t>
  </si>
  <si>
    <t>【直播专属】低圆领打底衫 女士套头针织毛衣女长袖薄款YD-NJR025(黑色-M（建议100-110斤）)(1件)</t>
  </si>
  <si>
    <t xml:space="preserve">	13537961618</t>
  </si>
  <si>
    <t>阳春市</t>
  </si>
  <si>
    <t xml:space="preserve">广东省阳江市阳春市岗美镇镇前路住宅C3-11-12幢 岗美一佳幼儿园 </t>
  </si>
  <si>
    <t>心雨</t>
  </si>
  <si>
    <t>E20220904222313084300037</t>
  </si>
  <si>
    <t>【直播专属】低圆领打底衫 女士套头针织毛衣女长袖薄款YD-NJR025(原驼色-XL（建议125-135斤）)(1件)</t>
  </si>
  <si>
    <t xml:space="preserve">	15988086358</t>
  </si>
  <si>
    <t>浙江省</t>
  </si>
  <si>
    <t>丽水市</t>
  </si>
  <si>
    <t>松阳县</t>
  </si>
  <si>
    <t xml:space="preserve">浙江省丽水市松阳县西屏镇樟庵坛A03号二单元404 </t>
  </si>
  <si>
    <t>谢彩秀626358</t>
  </si>
  <si>
    <t>E20220904222251003806167</t>
  </si>
  <si>
    <t>【直播专属】低圆领打底衫 女士套头针织毛衣女长袖薄款YD-NJR025(黑色-S（建议90-100斤）)(1件)</t>
  </si>
  <si>
    <t>E20220904221850054300063</t>
  </si>
  <si>
    <t>法式气质长袖雪纺衬衫XC1667(黄色-XS)(1件)</t>
  </si>
  <si>
    <t xml:space="preserve">	18762188408</t>
  </si>
  <si>
    <t>江苏省</t>
  </si>
  <si>
    <t>宿迁市</t>
  </si>
  <si>
    <t>宿城区</t>
  </si>
  <si>
    <t>江苏省宿迁市宿城区义乌商贸城精品街二栋25-26号 25-26</t>
  </si>
  <si>
    <t>心雨（精品窗帘壁布布艺）</t>
  </si>
  <si>
    <t>E20220904221736025000067</t>
  </si>
  <si>
    <t>E20220904221707023500005</t>
  </si>
  <si>
    <t>针织罗纹弹力打底衫RF33099(卡其-2XL (建议118-126斤）)(1件)</t>
  </si>
  <si>
    <t>E20220904221646051406189</t>
  </si>
  <si>
    <t>针织罗纹弹力打底衫RF33099(卡其-4XL (建议135-143斤）)(1件)</t>
  </si>
  <si>
    <t>E20220904221556085300001</t>
  </si>
  <si>
    <t>针织罗纹弹力打底衫RF33099(白色-L (建议100-108斤）)(2件)</t>
  </si>
  <si>
    <t xml:space="preserve">	15288814261</t>
  </si>
  <si>
    <t>潍坊市</t>
  </si>
  <si>
    <t>潍城区</t>
  </si>
  <si>
    <t xml:space="preserve">山东省潍坊市潍城区月河崖83号3号楼2单元201 </t>
  </si>
  <si>
    <t xml:space="preserve">	一件黑色一件白色</t>
  </si>
  <si>
    <t>李艳丽15288814261</t>
  </si>
  <si>
    <t>E20220904221513029100075</t>
  </si>
  <si>
    <t xml:space="preserve">	13289239297</t>
  </si>
  <si>
    <t>陕西省</t>
  </si>
  <si>
    <t>西安市</t>
  </si>
  <si>
    <t>莲湖区</t>
  </si>
  <si>
    <t>陕西省西安市莲湖区丰禾路太奥广场找窝房产 一层</t>
  </si>
  <si>
    <t>꧁꫞꯭七彩水晶链꯭꫞꧂</t>
  </si>
  <si>
    <t xml:space="preserve">	13717618229</t>
  </si>
  <si>
    <t>E20220904221127023500071</t>
  </si>
  <si>
    <t>气质小清新打底吊带RF33066(白色-XL (建议109-117斤）)(1件)</t>
  </si>
  <si>
    <t>E20220904221044089106163</t>
  </si>
  <si>
    <t>气质小清新打底吊带RF33066(卡其色-M (建议91-99斤）)(1件)</t>
  </si>
  <si>
    <t xml:space="preserve">	13551868099</t>
  </si>
  <si>
    <t>成都市</t>
  </si>
  <si>
    <t>温江区</t>
  </si>
  <si>
    <t xml:space="preserve">四川省成都市温江区麻市街182号 </t>
  </si>
  <si>
    <t>A火姐（古琴贡茶体雕师)</t>
  </si>
  <si>
    <t>E20220904221011095400005</t>
  </si>
  <si>
    <t xml:space="preserve">	13389193188</t>
  </si>
  <si>
    <t>铜川市</t>
  </si>
  <si>
    <t>耀州区</t>
  </si>
  <si>
    <t xml:space="preserve">陕西省铜川市耀州区新区大院逸境门口南侧（天安财险） </t>
  </si>
  <si>
    <t>E20220904221004080506157</t>
  </si>
  <si>
    <t>气质小清新打底吊带RF33066(黑色-3XL (建议127-135斤）)(1件)</t>
  </si>
  <si>
    <t xml:space="preserve">	15137725106</t>
  </si>
  <si>
    <t xml:space="preserve">广东省汕头市澄海区金鸿公路奥飞娱乐 </t>
  </si>
  <si>
    <t>宁静致远</t>
  </si>
  <si>
    <t>E20220904220956061206193</t>
  </si>
  <si>
    <t>气质小清新打底吊带RF33066(白色-3XL (建议127-135斤）)(1件)</t>
  </si>
  <si>
    <t>E20220904220920097500021</t>
  </si>
  <si>
    <t xml:space="preserve">	15055688611</t>
  </si>
  <si>
    <t>安徽省</t>
  </si>
  <si>
    <t>安庆市</t>
  </si>
  <si>
    <t>宿松县</t>
  </si>
  <si>
    <t>安徽省安庆市宿松县联合路 18号</t>
  </si>
  <si>
    <t>E20220904220919025006183</t>
  </si>
  <si>
    <t>气质小清新打底吊带RF33066(黑色-S (建议80-90斤）)(1件)</t>
  </si>
  <si>
    <t>E20220904220912099300059</t>
  </si>
  <si>
    <t xml:space="preserve">浙江省丽水市松阳县西屏街道樟庵坛A03号404 </t>
  </si>
  <si>
    <t>E20220904215640055600043</t>
  </si>
  <si>
    <t>【直播专属】高级感暗纹西装套装 时尚气质修身西服正装02RG6201(绿色西装＋绿色西裤-XL（建议110-120斤）)(1件)</t>
  </si>
  <si>
    <t xml:space="preserve">	13967096693</t>
  </si>
  <si>
    <t>青田县</t>
  </si>
  <si>
    <t xml:space="preserve">浙江省丽水市青田县鹤城镇东山路38号苏红副食品店 </t>
  </si>
  <si>
    <t>E20220904215546080500031</t>
  </si>
  <si>
    <t>【直播专属】高级感暗纹西装套装 时尚气质修身西服正装02RG6201(绿色西装＋绿色西裤-2XL（建议120-130斤）)(1件)</t>
  </si>
  <si>
    <t>E20220904215531095400081</t>
  </si>
  <si>
    <t>E20220904215520061206201</t>
  </si>
  <si>
    <t>【直播专属】高级感暗纹西装套装 时尚气质修身西服正装02RG6201(白色西装+白色西裤-3XL（建议130-140斤）)(1件)</t>
  </si>
  <si>
    <t>E20220904215516051406145</t>
  </si>
  <si>
    <t>【直播专属】高级感暗纹西装套装 时尚气质修身西服正装02RG6201(绿色西装＋绿色西裤-3XL（建议130-140斤）)(1件)</t>
  </si>
  <si>
    <t>E20220904215128071206199</t>
  </si>
  <si>
    <t>【直播专属】低圆领打底衫 女士套头针织毛衣女长袖薄款YD-NJR025(原驼色-L（建议110-125斤）)(1件)</t>
  </si>
  <si>
    <t xml:space="preserve">	15523595855</t>
  </si>
  <si>
    <t>运城市</t>
  </si>
  <si>
    <t>盐湖区</t>
  </si>
  <si>
    <t xml:space="preserve">山西省运城市盐湖区东郭镇 界村 </t>
  </si>
  <si>
    <t>彩彩15513595855</t>
  </si>
  <si>
    <t xml:space="preserve">	15513595855</t>
  </si>
  <si>
    <t>E20220904215038081300069</t>
  </si>
  <si>
    <t>【直播专属】低圆领打底衫 女士套头针织毛衣女长袖薄款YD-NJR025(米杏-M（建议100-110斤）)(1件)</t>
  </si>
  <si>
    <t>张应萍</t>
  </si>
  <si>
    <t xml:space="preserve">	18016104929</t>
  </si>
  <si>
    <t>德阳市</t>
  </si>
  <si>
    <t>绵竹市</t>
  </si>
  <si>
    <t xml:space="preserve">四川省德阳市绵竹市土门镇古楼街163号 </t>
  </si>
  <si>
    <t>感恩福报4929</t>
  </si>
  <si>
    <t>E20220904215009069100087</t>
  </si>
  <si>
    <t>【直播专属】时尚气质修身西装套10RG22989(黑色 西装+裤-2XL（建议120-130斤）)(1件)</t>
  </si>
  <si>
    <t xml:space="preserve">	15106377503</t>
  </si>
  <si>
    <t>济宁市</t>
  </si>
  <si>
    <t>梁山县</t>
  </si>
  <si>
    <t xml:space="preserve">山东省济宁市梁山县龙城广场监控室 </t>
  </si>
  <si>
    <t xml:space="preserve">	14884575086</t>
  </si>
  <si>
    <t>E20220904214949040200059</t>
  </si>
  <si>
    <t>【直播专属】低圆领打底衫 女士套头针织毛衣女长袖薄款YD-NJR025(米杏-L（建议110-125斤）)(1件)</t>
  </si>
  <si>
    <t xml:space="preserve">	13437750870</t>
  </si>
  <si>
    <t>惠州市</t>
  </si>
  <si>
    <t>惠城区</t>
  </si>
  <si>
    <t xml:space="preserve">广东省惠州市惠城区广东省惠州市惠城区陈江大道北惠城区惠州仲恺高新区人民法庭 </t>
  </si>
  <si>
    <t>木子李</t>
  </si>
  <si>
    <t>E20220904214604055600009</t>
  </si>
  <si>
    <t>E20220904214520069106177</t>
  </si>
  <si>
    <t>E20220904214353029100059</t>
  </si>
  <si>
    <t>E20220904214311023500019</t>
  </si>
  <si>
    <t>针织罗纹弹力打底衫RF33099(黑色-2XL (建议118-126斤）)(1件)</t>
  </si>
  <si>
    <t xml:space="preserve">	13305391162</t>
  </si>
  <si>
    <t>兰山区</t>
  </si>
  <si>
    <t>山东省临沂市兰山区焦庄佳园 13号楼</t>
  </si>
  <si>
    <t>E20220904214147085906153</t>
  </si>
  <si>
    <t>E20220904214123061200063</t>
  </si>
  <si>
    <t>针织罗纹弹力打底衫RF33099(白色-3XL (建议127-135斤）)(1件)</t>
  </si>
  <si>
    <t>E20220904214027063800031</t>
  </si>
  <si>
    <t xml:space="preserve">	4200001552202209044682180109</t>
  </si>
  <si>
    <t xml:space="preserve">	2209042140280001400328</t>
  </si>
  <si>
    <t>伍强</t>
  </si>
  <si>
    <t xml:space="preserve">	18982710330</t>
  </si>
  <si>
    <t>泸州市</t>
  </si>
  <si>
    <t>泸县</t>
  </si>
  <si>
    <t xml:space="preserve">四川省泸州市泸县县委办 </t>
  </si>
  <si>
    <t>三十七摄氏度</t>
  </si>
  <si>
    <t xml:space="preserve">	15808498626</t>
  </si>
  <si>
    <t>E20220904214007020700047</t>
  </si>
  <si>
    <t xml:space="preserve">	4200001566202209044072610744</t>
  </si>
  <si>
    <t xml:space="preserve">	2209042140100000860446</t>
  </si>
  <si>
    <t>李姝频</t>
  </si>
  <si>
    <t xml:space="preserve">	13435688219</t>
  </si>
  <si>
    <t>天河区</t>
  </si>
  <si>
    <t xml:space="preserve">广东省广州市天河区长兴路美景街74号 </t>
  </si>
  <si>
    <t>李姿频</t>
  </si>
  <si>
    <t>E20220904213824078506197</t>
  </si>
  <si>
    <t xml:space="preserve">	13256567389</t>
  </si>
  <si>
    <t>日照市</t>
  </si>
  <si>
    <t>东港区</t>
  </si>
  <si>
    <t>山东省日照市东港区昭阳路与莒州路交汇处爱婴妈妈 昭阳路</t>
  </si>
  <si>
    <t>古体玉方柳现荣13256567389</t>
  </si>
  <si>
    <t>E20220904213809071200001</t>
  </si>
  <si>
    <t>E20220904213726085900009</t>
  </si>
  <si>
    <t>气质小清新打底吊带RF33066(白色-2XL (建议118-126斤）)(1件)</t>
  </si>
  <si>
    <t>E20220904213725089300043</t>
  </si>
  <si>
    <t xml:space="preserve">	15361020211</t>
  </si>
  <si>
    <t>深圳市</t>
  </si>
  <si>
    <t>龙岗区</t>
  </si>
  <si>
    <t xml:space="preserve">广东省深圳市龙岗区广东省深圳市龙岗区爱联龙腾工业区彩云路德馨楼32号康之源医药 </t>
  </si>
  <si>
    <t xml:space="preserve">	15032078757</t>
  </si>
  <si>
    <t>E20220904213717088500031</t>
  </si>
  <si>
    <t xml:space="preserve">	13550665219</t>
  </si>
  <si>
    <t>中江县</t>
  </si>
  <si>
    <t xml:space="preserve">四川省德阳市中江县凯江镇玄武东路49号 </t>
  </si>
  <si>
    <t>保险审车等业务13550665219</t>
  </si>
  <si>
    <t>E20220904213707007400089</t>
  </si>
  <si>
    <t xml:space="preserve">	4200001577202209046632777787</t>
  </si>
  <si>
    <t xml:space="preserve">	2209042137090001510179</t>
  </si>
  <si>
    <t>5条59元【女士高腰收腹冰丝网眼内裤】冰丝透气裸感无痕，亲肤软柔，告别闷热(五条装-XL（110斤-140斤）)(1件)</t>
  </si>
  <si>
    <t>龙艳</t>
  </si>
  <si>
    <t xml:space="preserve">	13725850282</t>
  </si>
  <si>
    <t>塘厦镇</t>
  </si>
  <si>
    <t xml:space="preserve">广东省东莞市塘厦镇振兴围富民路59号 </t>
  </si>
  <si>
    <t>珍惜</t>
  </si>
  <si>
    <t>E20220904213653029100009</t>
  </si>
  <si>
    <t>E20220904213653023506165</t>
  </si>
  <si>
    <t>E20220904213608088806153</t>
  </si>
  <si>
    <t xml:space="preserve">	15006041560</t>
  </si>
  <si>
    <t>漳州市</t>
  </si>
  <si>
    <t>云霄县</t>
  </si>
  <si>
    <t xml:space="preserve">福建省漳州市云霄县列屿镇油车村 </t>
  </si>
  <si>
    <t>梅山百货彬华</t>
  </si>
  <si>
    <t>E20220904213608085900061</t>
  </si>
  <si>
    <t>E20220904213553067300009</t>
  </si>
  <si>
    <t xml:space="preserve">	13971993678</t>
  </si>
  <si>
    <t>鄂州市</t>
  </si>
  <si>
    <t>鄂城区</t>
  </si>
  <si>
    <t xml:space="preserve">湖北省鄂州市鄂城区沿湖路22号 </t>
  </si>
  <si>
    <t>雪花</t>
  </si>
  <si>
    <t>E20220904213545051300039</t>
  </si>
  <si>
    <t>E20220904213518066800075</t>
  </si>
  <si>
    <t xml:space="preserve">	13963486736</t>
  </si>
  <si>
    <t>济南市</t>
  </si>
  <si>
    <t>莱芜区</t>
  </si>
  <si>
    <t xml:space="preserve">山东省济南市莱芜区龙潭西大街一号北苑小区 </t>
  </si>
  <si>
    <t>风清云静</t>
  </si>
  <si>
    <t>E20220904213143051300067</t>
  </si>
  <si>
    <t>【直播专属】时尚气质修身西装套10RG22989(黑色 西装+裤-XL（建议110-120斤）)(1件)</t>
  </si>
  <si>
    <t>E20220904213031023900065</t>
  </si>
  <si>
    <t>【直播专属】时尚气质修身西装套10RG22989(黑色 西装+裤-4XL（建议140-150斤）)(1件)</t>
  </si>
  <si>
    <t xml:space="preserve">	15190813456</t>
  </si>
  <si>
    <t>南通市</t>
  </si>
  <si>
    <t>海安市</t>
  </si>
  <si>
    <t xml:space="preserve">江苏省南通市海安市旺池路瑞海·盛世名门(南通市海安市) </t>
  </si>
  <si>
    <t xml:space="preserve">	17447239093</t>
  </si>
  <si>
    <t>E20220904212945065300045</t>
  </si>
  <si>
    <t xml:space="preserve">	4200001585202209040202429147</t>
  </si>
  <si>
    <t xml:space="preserve">	2209042129460002720889</t>
  </si>
  <si>
    <t>桑蚕丝内裤蚕丝抑菌内裤女高腰无痕内裤女士内裤3条装YKF-2270(组合一（粉色 浅紫 深灰）-L（115-140斤）)(1件)</t>
  </si>
  <si>
    <t>候玉平</t>
  </si>
  <si>
    <t xml:space="preserve">	15883077673</t>
  </si>
  <si>
    <t>龙马潭区</t>
  </si>
  <si>
    <t xml:space="preserve">四川省泸州市龙马潭区新民街44号（巴厘诺酒店） </t>
  </si>
  <si>
    <t>苹苹</t>
  </si>
  <si>
    <t>E20220904212940045606159</t>
  </si>
  <si>
    <t xml:space="preserve">	4200001569202209040286731957</t>
  </si>
  <si>
    <t xml:space="preserve">	2209042129410003470999</t>
  </si>
  <si>
    <t>【盘龙云海传统药企专研！】氨基酸护理牙膏100g 萃取氨基酸 PN三七提取物、3大成分、对抗龋齿、洁牙固齿、减少牙菌斑、温和呵护牙龈、修护受损粘膜(一支体验装（100g）)(1件)</t>
  </si>
  <si>
    <t>赵丽</t>
  </si>
  <si>
    <t xml:space="preserve">	15066253898</t>
  </si>
  <si>
    <t>青岛市</t>
  </si>
  <si>
    <t>即墨区</t>
  </si>
  <si>
    <t xml:space="preserve">山东省青岛市即墨区服装批发市场D区2楼11街433号 </t>
  </si>
  <si>
    <t>MY卫衣</t>
  </si>
  <si>
    <t>E20220904212500022400027</t>
  </si>
  <si>
    <t>上衣气质通勤打底长袖蝴蝶结印花衬衫NZY-NH1201(白色-XL)(1件)</t>
  </si>
  <si>
    <t xml:space="preserve">	18780209077</t>
  </si>
  <si>
    <t xml:space="preserve">四川省成都市温江区凤溪大道中段198向阳茗苑 </t>
  </si>
  <si>
    <t>泰康银保客服经理杨屏利</t>
  </si>
  <si>
    <t xml:space="preserve">	19980766847</t>
  </si>
  <si>
    <t>E20220904212332048300079</t>
  </si>
  <si>
    <t xml:space="preserve">	4200001541202209042524759551</t>
  </si>
  <si>
    <t xml:space="preserve">	2209042123340001440592</t>
  </si>
  <si>
    <t>朱小姐</t>
  </si>
  <si>
    <t xml:space="preserve">	13531625120</t>
  </si>
  <si>
    <t>惠阳区</t>
  </si>
  <si>
    <t>广东省惠州市惠阳区新澳大道63号德丰雅苑 1栋1305</t>
  </si>
  <si>
    <t>叶子</t>
  </si>
  <si>
    <t xml:space="preserve">	13480768901</t>
  </si>
  <si>
    <t>E20220904212003023800083</t>
  </si>
  <si>
    <t xml:space="preserve">	13596525988</t>
  </si>
  <si>
    <t>吉林省</t>
  </si>
  <si>
    <t>延边朝鲜族自治州</t>
  </si>
  <si>
    <t>和龙市</t>
  </si>
  <si>
    <t xml:space="preserve">吉林省延边朝鲜族自治州和龙市文化路27号（建行） </t>
  </si>
  <si>
    <t xml:space="preserve">	17352812304</t>
  </si>
  <si>
    <t>E20220904211929013606163</t>
  </si>
  <si>
    <t>上衣气质通勤打底长袖蝴蝶结印花衬衫NZY-NH1201(白色-L)(1件)</t>
  </si>
  <si>
    <t xml:space="preserve">	13652352877</t>
  </si>
  <si>
    <t xml:space="preserve">广东省深圳市龙岗区宝荷路与沙荷路交汇东北300米路北 仁恒峦山美地花园3D9C </t>
  </si>
  <si>
    <t>E20220904211739030906149</t>
  </si>
  <si>
    <t xml:space="preserve">	13928983580</t>
  </si>
  <si>
    <t>宝安区</t>
  </si>
  <si>
    <t xml:space="preserve">广东省深圳市宝安区西乡街道前进二路桃源居三区一栋804 </t>
  </si>
  <si>
    <t>杨洋13928983580</t>
  </si>
  <si>
    <t>E20220904211735028700015</t>
  </si>
  <si>
    <t>上衣气质通勤打底长袖蝴蝶结印花衬衫NZY-NH1201(白色-M)(1件)</t>
  </si>
  <si>
    <t xml:space="preserve">	18688882520</t>
  </si>
  <si>
    <t>黄埔区</t>
  </si>
  <si>
    <t xml:space="preserve">广东省广州市黄埔区黄埔东路3695号 </t>
  </si>
  <si>
    <t>颖荣</t>
  </si>
  <si>
    <t>E20220904211730094706145</t>
  </si>
  <si>
    <t>时尚气质宽松直筒裤HYN6645(黑色-S（建议80-90斤）)(1件)</t>
  </si>
  <si>
    <t>E20220904211727028600001</t>
  </si>
  <si>
    <t xml:space="preserve">	4200001554202209040674507783</t>
  </si>
  <si>
    <t xml:space="preserve">	2209042117280001220936</t>
  </si>
  <si>
    <t>王小琳</t>
  </si>
  <si>
    <t xml:space="preserve">	15153257201</t>
  </si>
  <si>
    <t>李沧区</t>
  </si>
  <si>
    <t xml:space="preserve">山东省青岛市李沧区春和景明(北区) 春和景明2期3号楼 </t>
  </si>
  <si>
    <t>王娇律师</t>
  </si>
  <si>
    <t>E20220904211654094700087</t>
  </si>
  <si>
    <t>【直播专属】低圆领打底衫 女士套头针织毛衣女长袖薄款YD-NJR025(黑色-L（建议110-125斤）)(1件)</t>
  </si>
  <si>
    <t xml:space="preserve">	15120283961</t>
  </si>
  <si>
    <t>遵义市</t>
  </si>
  <si>
    <t>凤冈县</t>
  </si>
  <si>
    <t xml:space="preserve">贵州省遵义市凤冈县龙泉镇凤凰御都5号楼 </t>
  </si>
  <si>
    <t>贵在坚持</t>
  </si>
  <si>
    <t>E20220904211604094700051</t>
  </si>
  <si>
    <t>【直播专属】低圆领打底衫 女士套头针织毛衣女长袖薄款YD-NJR025(黑色-XL（建议125-135斤）)(1件)</t>
  </si>
  <si>
    <t>E20220904211533030906163</t>
  </si>
  <si>
    <t>【直播专属】低圆领打底衫 女士套头针织毛衣女长袖薄款YD-NJR025(海藻蓝-L（建议110-125斤）)(1件)</t>
  </si>
  <si>
    <t>E20220904211530088400073</t>
  </si>
  <si>
    <t>【直播专属】低圆领打底衫 女士套头针织毛衣女长袖薄款YD-NJR025(米杏-2XL（建议135-150斤）)(1件)</t>
  </si>
  <si>
    <t xml:space="preserve">	15832762373</t>
  </si>
  <si>
    <t>沧州市</t>
  </si>
  <si>
    <t>运河区</t>
  </si>
  <si>
    <t>河北省沧州市运河区水月寺街大化西区 39号5</t>
  </si>
  <si>
    <t xml:space="preserve">	15031888747</t>
  </si>
  <si>
    <t>E20220904211415066806169</t>
  </si>
  <si>
    <t>【直播专属】低圆领打底衫 女士套头针织毛衣女长袖薄款YD-NJR025(白色-2XL（建议135-150斤）)(1件)</t>
  </si>
  <si>
    <t>E20220904211126005506195</t>
  </si>
  <si>
    <t>E20220904211110036206195</t>
  </si>
  <si>
    <t>针织罗纹弹力打底衫RF33099(黑色-L (建议100-108斤）)(1件)</t>
  </si>
  <si>
    <t xml:space="preserve">	15810760121</t>
  </si>
  <si>
    <t xml:space="preserve">北京市北京市房山区房窑路30号牛栏山院内 </t>
  </si>
  <si>
    <t xml:space="preserve">	17447208011</t>
  </si>
  <si>
    <t>E20220904211040089900059</t>
  </si>
  <si>
    <t>E20220904211033007000049</t>
  </si>
  <si>
    <t>针织罗纹弹力打底衫RF33099(白色-M (建议91-99斤）)(1件)</t>
  </si>
  <si>
    <t xml:space="preserve">	15106053630</t>
  </si>
  <si>
    <t>泉州市</t>
  </si>
  <si>
    <t>鲤城区</t>
  </si>
  <si>
    <t xml:space="preserve">福建省泉州市鲤城区鲤中街道贤銮福利大厦10楼 </t>
  </si>
  <si>
    <t>教育培训~胡老师</t>
  </si>
  <si>
    <t>E20220904211010032006169</t>
  </si>
  <si>
    <t xml:space="preserve">	13711256550</t>
  </si>
  <si>
    <t xml:space="preserve">广东省广州市增城区新塘镇锦绣银苑南门 </t>
  </si>
  <si>
    <t>🇨🇳智能公章&amp;电子公章 余蕾</t>
  </si>
  <si>
    <t>E20220904210924088806173</t>
  </si>
  <si>
    <t>E20220904210801013606155</t>
  </si>
  <si>
    <t>【直播专属】时尚气质修身西装套10RG22989(孔雀蓝 西装+裤-XL（建议110-120斤）)(1件)</t>
  </si>
  <si>
    <t>E20220904210755023800075</t>
  </si>
  <si>
    <t>E20220904210749005506189</t>
  </si>
  <si>
    <t>E20220904210746099100049</t>
  </si>
  <si>
    <t>气质小清新打底吊带RF33066(白色-M (建议91-99斤）)(1件)</t>
  </si>
  <si>
    <t>E20220904210702007006197</t>
  </si>
  <si>
    <t>E20220904210629099106183</t>
  </si>
  <si>
    <t>E20220904210505013800037</t>
  </si>
  <si>
    <t>【直播专属】时尚气质修身西装套10RG22989(粉色 西装+裤-M（建议90-100斤）)(1件)</t>
  </si>
  <si>
    <t xml:space="preserve">	13928694472</t>
  </si>
  <si>
    <t xml:space="preserve">广东省佛山市南海区桂城怡翠花园芙蓉苑东一座801 </t>
  </si>
  <si>
    <t>Amily🤝招募优秀合伙人</t>
  </si>
  <si>
    <t>E20220904210234085100093</t>
  </si>
  <si>
    <t xml:space="preserve">	17447127969</t>
  </si>
  <si>
    <t>E20220904205723044700059</t>
  </si>
  <si>
    <t>E20220904205350044700065</t>
  </si>
  <si>
    <t>E20220904205307099006155</t>
  </si>
  <si>
    <t>针织罗纹弹力打底衫RF33099(白色-XL (建议109-117斤）)(1件)</t>
  </si>
  <si>
    <t xml:space="preserve">	15181165166</t>
  </si>
  <si>
    <t>屏山县</t>
  </si>
  <si>
    <t xml:space="preserve">四川省宜宾市屏山县凤凰小区1栋一单元 </t>
  </si>
  <si>
    <t>E20220904205241090706159</t>
  </si>
  <si>
    <t xml:space="preserve">	4200001538202209041665605376</t>
  </si>
  <si>
    <t xml:space="preserve">	2209042052420000530196</t>
  </si>
  <si>
    <t>经典爆款英伦风偏小半码S-4XL时尚女士职业套装西装NZY-1712(酒红色外套+裤子-M)(1件)</t>
  </si>
  <si>
    <t xml:space="preserve">	18933389441</t>
  </si>
  <si>
    <t>中山市</t>
  </si>
  <si>
    <t xml:space="preserve">广东省中山市中山市广东省中山市岐环路2号花海湾3期15栋1703不可放妈妈驿站 </t>
  </si>
  <si>
    <t>A万盈汽车罗娜🤓18933389441</t>
  </si>
  <si>
    <t xml:space="preserve">	18688147632</t>
  </si>
  <si>
    <t>E20220904205236099100063</t>
  </si>
  <si>
    <t xml:space="preserve">	15031382187</t>
  </si>
  <si>
    <t>E20220904204905008100029</t>
  </si>
  <si>
    <t xml:space="preserve">	13450934374</t>
  </si>
  <si>
    <t>坦洲镇</t>
  </si>
  <si>
    <t xml:space="preserve">广东省中山市坦洲镇中山市坦洲镇锦绣阳光花园三期一座二梯202号房 </t>
  </si>
  <si>
    <t xml:space="preserve">	14133380131</t>
  </si>
  <si>
    <t>E20220904204820015700037</t>
  </si>
  <si>
    <t>E20220904204812026800089</t>
  </si>
  <si>
    <t xml:space="preserve">	13849536708</t>
  </si>
  <si>
    <t>省直辖县级行政区划</t>
  </si>
  <si>
    <t>济源市</t>
  </si>
  <si>
    <t xml:space="preserve">河南省省直辖县级行政区划济源市沁园路100号 </t>
  </si>
  <si>
    <t>しovの双儿</t>
  </si>
  <si>
    <t>E20220904204808097200091</t>
  </si>
  <si>
    <t xml:space="preserve">	18349118098</t>
  </si>
  <si>
    <t>青羊区</t>
  </si>
  <si>
    <t xml:space="preserve">四川省成都市青羊区文庙街 </t>
  </si>
  <si>
    <t xml:space="preserve">	17447049633</t>
  </si>
  <si>
    <t>E20220904204802032506183</t>
  </si>
  <si>
    <t xml:space="preserve">	13887447537</t>
  </si>
  <si>
    <t>曲靖市</t>
  </si>
  <si>
    <t>沾益区</t>
  </si>
  <si>
    <t>云南省曲靖市沾益区龙华园15栋2单元 15栋2单元501</t>
  </si>
  <si>
    <t>风雨百合</t>
  </si>
  <si>
    <t>E20220904204747092400033</t>
  </si>
  <si>
    <t xml:space="preserve">	15073269799</t>
  </si>
  <si>
    <t>湘乡市</t>
  </si>
  <si>
    <t xml:space="preserve">湖南省湘潭市湘乡市东山街道滨江豪庭(湘潭市湘乡市大将南路447号) </t>
  </si>
  <si>
    <t>爱花-张爱花</t>
  </si>
  <si>
    <t>E20220904204659099006205</t>
  </si>
  <si>
    <t>E20220904204617075706163</t>
  </si>
  <si>
    <t>西装风衣外套女新款中长款大码高级感时尚套装大衣01RG1035(单件黑色风衣-XL（建议140-150斤）)(1件)</t>
  </si>
  <si>
    <t xml:space="preserve">	13694321346</t>
  </si>
  <si>
    <t>吉林市</t>
  </si>
  <si>
    <t>船营区</t>
  </si>
  <si>
    <t xml:space="preserve">吉林省吉林市船营区黄旗街道紫晶城42号楼四单元509 </t>
  </si>
  <si>
    <t>E20220904204342088506173</t>
  </si>
  <si>
    <t>西装风衣外套女新款中长款大码高级感时尚套装大衣01RG1035(单件红色风衣-2XL（建议120-130斤）)(1件)</t>
  </si>
  <si>
    <t xml:space="preserve">	18216102873</t>
  </si>
  <si>
    <t>鼎城区</t>
  </si>
  <si>
    <t xml:space="preserve">湖南省常德市鼎城区贺家山原种场 </t>
  </si>
  <si>
    <t>平安危常钰</t>
  </si>
  <si>
    <t>E20220904203848012006181</t>
  </si>
  <si>
    <t xml:space="preserve">	4200001567202209046791585005</t>
  </si>
  <si>
    <t xml:space="preserve">	2209042038500000420868</t>
  </si>
  <si>
    <t>王维花</t>
  </si>
  <si>
    <t xml:space="preserve">	15859832537</t>
  </si>
  <si>
    <t>大田县</t>
  </si>
  <si>
    <t xml:space="preserve">福建省三明市大田县均溪镇宝山路14号2楼 </t>
  </si>
  <si>
    <t>王维</t>
  </si>
  <si>
    <t>E20220904203819013600023</t>
  </si>
  <si>
    <t>【直播专属】低圆领打底衫 女士套头针织毛衣女长袖薄款YD-NJR025(皮粉-L（建议110-125斤）)(1件)</t>
  </si>
  <si>
    <t>E20220904203812036700065</t>
  </si>
  <si>
    <t>【直播专属】低圆领打底衫 女士套头针织毛衣女长袖薄款YD-NJR025(雾霾蓝-S（建议90-100斤）)(1件)</t>
  </si>
  <si>
    <t xml:space="preserve">	18388199170</t>
  </si>
  <si>
    <t>呈贡区</t>
  </si>
  <si>
    <t>云南省昆明市呈贡区蓝光天娇城2期 12栋</t>
  </si>
  <si>
    <t>霞</t>
  </si>
  <si>
    <t>E20220904203807092400035</t>
  </si>
  <si>
    <t>E20220904203801031100049</t>
  </si>
  <si>
    <t>【直播专属】低圆领打底衫 女士套头针织毛衣女长袖薄款YD-NJR025(车子里红-M（建议100-110斤）)(1件)</t>
  </si>
  <si>
    <t xml:space="preserve">	13980628282</t>
  </si>
  <si>
    <t>新都区</t>
  </si>
  <si>
    <t xml:space="preserve">四川省成都市新都区新繁街道金地路214 </t>
  </si>
  <si>
    <t xml:space="preserve">	13986499677</t>
  </si>
  <si>
    <t>E20220904203738002400067</t>
  </si>
  <si>
    <t>【直播专属】低圆领打底衫 女士套头针织毛衣女长袖薄款YD-NJR025(海藻蓝-XL（建议125-135斤）)(1件)</t>
  </si>
  <si>
    <t xml:space="preserve">	13768356321</t>
  </si>
  <si>
    <t>贵港市</t>
  </si>
  <si>
    <t>平南县</t>
  </si>
  <si>
    <t xml:space="preserve">广西壮族自治区贵港市平南县寺面镇新隆村 </t>
  </si>
  <si>
    <t>E20220904203725088506197</t>
  </si>
  <si>
    <t>E20220904203712088800035</t>
  </si>
  <si>
    <t>E20220904203659046700031</t>
  </si>
  <si>
    <t xml:space="preserve">	15945943491</t>
  </si>
  <si>
    <t>哈尔滨市</t>
  </si>
  <si>
    <t>阿城区</t>
  </si>
  <si>
    <t xml:space="preserve">黑龙江省哈尔滨市阿城区上京华府12号楼1单元301室 </t>
  </si>
  <si>
    <t>马海燕~（从业14年）  15945943491</t>
  </si>
  <si>
    <t>E20220904203654049206169</t>
  </si>
  <si>
    <t xml:space="preserve">	13860627810</t>
  </si>
  <si>
    <t>福州市</t>
  </si>
  <si>
    <t>闽清县</t>
  </si>
  <si>
    <t xml:space="preserve">福建省福州市闽清县梅城镇台山新村622号 </t>
  </si>
  <si>
    <t>刘文焰13860627810</t>
  </si>
  <si>
    <t>E20220904203632088500013</t>
  </si>
  <si>
    <t>【直播专属】低圆领打底衫 女士套头针织毛衣女长袖薄款YD-NJR025(草木绿-L（建议110-125斤）)(1件)</t>
  </si>
  <si>
    <t>E20220904203632039406189</t>
  </si>
  <si>
    <t xml:space="preserve">	13622398837</t>
  </si>
  <si>
    <t xml:space="preserve">广东省深圳市宝安区福永街道凤凰社区田螺山小区30栋菜鸟驿站 </t>
  </si>
  <si>
    <t>JUDY</t>
  </si>
  <si>
    <t>E20220904203434099100043</t>
  </si>
  <si>
    <t>E20220904203257029906187</t>
  </si>
  <si>
    <t xml:space="preserve">	15989923209</t>
  </si>
  <si>
    <t>常平镇</t>
  </si>
  <si>
    <t>广东省东莞市常平镇黄泥塘工业区一路 君祺包装</t>
  </si>
  <si>
    <t>东莞市君祺包装材料有限公司杨小丽</t>
  </si>
  <si>
    <t>E20220904203211025006179</t>
  </si>
  <si>
    <t xml:space="preserve">	13168892071</t>
  </si>
  <si>
    <t xml:space="preserve">广东省广州市天河区体育东路116号财富广场西塔20楼广源部 </t>
  </si>
  <si>
    <t xml:space="preserve">	17447006821</t>
  </si>
  <si>
    <t>E20220904203207063106197</t>
  </si>
  <si>
    <t>针织罗纹弹力打底衫RF33099(白色-4XL (建议135-143斤）)(1件)</t>
  </si>
  <si>
    <t xml:space="preserve">	13528008930</t>
  </si>
  <si>
    <t xml:space="preserve">广东省惠州市惠城区冰塘村465号 </t>
  </si>
  <si>
    <t>李秀群13528008930</t>
  </si>
  <si>
    <t>E20220904203204035006177</t>
  </si>
  <si>
    <t xml:space="preserve">	13159518728</t>
  </si>
  <si>
    <t>长春市</t>
  </si>
  <si>
    <t>九台区</t>
  </si>
  <si>
    <t xml:space="preserve">吉林省长春市九台区九台营城街道英伦上城9号楼 </t>
  </si>
  <si>
    <t>E20220904203152002406149</t>
  </si>
  <si>
    <t>针织罗纹弹力打底衫RF33099(黑色-3XL (建议127-135斤）)(1件)</t>
  </si>
  <si>
    <t>E20220904203146066900003</t>
  </si>
  <si>
    <t xml:space="preserve">	18234109807</t>
  </si>
  <si>
    <t>太原市</t>
  </si>
  <si>
    <t>小店区</t>
  </si>
  <si>
    <t xml:space="preserve">山西省太原市小店区坞城街道坤泽十里城南区d区 </t>
  </si>
  <si>
    <t>芳芳</t>
  </si>
  <si>
    <t>E20220904203140060800051</t>
  </si>
  <si>
    <t>针织罗纹弹力打底衫RF33099(黑色-4XL (建议135-143斤）)(1件)</t>
  </si>
  <si>
    <t xml:space="preserve">	13805871437</t>
  </si>
  <si>
    <t>宁波市</t>
  </si>
  <si>
    <t>江东区</t>
  </si>
  <si>
    <t xml:space="preserve">浙江省宁波市江东区腊梅路81弄滨江海晨苑6号401室 </t>
  </si>
  <si>
    <t>赵美艳13805871437</t>
  </si>
  <si>
    <t>E20220904203134102200033</t>
  </si>
  <si>
    <t xml:space="preserve">	13590568872</t>
  </si>
  <si>
    <t xml:space="preserve">广东省佛山市南海区丹灶镇金沙医院门卫室 </t>
  </si>
  <si>
    <t>忘我</t>
  </si>
  <si>
    <t>E20220904203126030200009</t>
  </si>
  <si>
    <t xml:space="preserve">	13054056663</t>
  </si>
  <si>
    <t xml:space="preserve">湖南省衡阳市衡东县衡东县建材大市场M栋103（中宇厨卫） </t>
  </si>
  <si>
    <t>中宇卫浴_龙燕平13054056663</t>
  </si>
  <si>
    <t>E20220904203111087500071</t>
  </si>
  <si>
    <t>赵继霞</t>
  </si>
  <si>
    <t xml:space="preserve">	18048869361</t>
  </si>
  <si>
    <t>自贡市</t>
  </si>
  <si>
    <t>富顺县</t>
  </si>
  <si>
    <t xml:space="preserve">四川省自贡市富顺县四川省自贡市富顺县狮市镇 </t>
  </si>
  <si>
    <t>夏晓语</t>
  </si>
  <si>
    <t>E20220904203054072406147</t>
  </si>
  <si>
    <t xml:space="preserve">	13959603376</t>
  </si>
  <si>
    <t xml:space="preserve">福建省漳州市云霄县莆美镇溪新路51号 </t>
  </si>
  <si>
    <t>林朝霞13959603376</t>
  </si>
  <si>
    <t>E20220904203039085400015</t>
  </si>
  <si>
    <t xml:space="preserve">	17857631688</t>
  </si>
  <si>
    <t>金华市</t>
  </si>
  <si>
    <t>永康市</t>
  </si>
  <si>
    <t xml:space="preserve">浙江省金华市永康市东城街道金城路848弄4幢3号（美如斯） </t>
  </si>
  <si>
    <t xml:space="preserve">	15031498913</t>
  </si>
  <si>
    <t>E20220904202947031100027</t>
  </si>
  <si>
    <t xml:space="preserve">	13600731880</t>
  </si>
  <si>
    <t>晋江市</t>
  </si>
  <si>
    <t xml:space="preserve">福建省泉州市晋江市桥南片区百捷中央公园华府10栋1918 </t>
  </si>
  <si>
    <t>美衣晨曦女装</t>
  </si>
  <si>
    <t xml:space="preserve">	13728833167</t>
  </si>
  <si>
    <t>E20220904202912081800043</t>
  </si>
  <si>
    <t xml:space="preserve">	13604345230</t>
  </si>
  <si>
    <t>四平市</t>
  </si>
  <si>
    <t>铁东区</t>
  </si>
  <si>
    <t xml:space="preserve">吉林省四平市铁东区万达华宅A1 </t>
  </si>
  <si>
    <t>王静13604345230</t>
  </si>
  <si>
    <t>E20220904202816085400027</t>
  </si>
  <si>
    <t>E20220904202800013606199</t>
  </si>
  <si>
    <t>E20220904202749002406193</t>
  </si>
  <si>
    <t>改大一个码</t>
  </si>
  <si>
    <t>E20220904202731001100035</t>
  </si>
  <si>
    <t xml:space="preserve">	18299504555</t>
  </si>
  <si>
    <t>新疆维吾尔自治区</t>
  </si>
  <si>
    <t>昌吉回族自治州</t>
  </si>
  <si>
    <t>昌吉市</t>
  </si>
  <si>
    <t xml:space="preserve">新疆维吾尔自治区昌吉回族自治州昌吉市滨湖河新城2-1-501 </t>
  </si>
  <si>
    <t>张春艳中国平安18299504555</t>
  </si>
  <si>
    <t>E20220904202730046700091</t>
  </si>
  <si>
    <t>E20220904202715090200069</t>
  </si>
  <si>
    <t xml:space="preserve">	13355181816</t>
  </si>
  <si>
    <t>任城区</t>
  </si>
  <si>
    <t xml:space="preserve">山东省济宁市任城区盛泰广场G座写字楼(银都花园东北) 盛泰广场-G座写字楼 </t>
  </si>
  <si>
    <t>金管家.RFP赵家睿</t>
  </si>
  <si>
    <t>E20220904202633097800035</t>
  </si>
  <si>
    <t xml:space="preserve">	4200001569202209043748568058</t>
  </si>
  <si>
    <t xml:space="preserve">	2209042026340001930907</t>
  </si>
  <si>
    <t>张仁霞</t>
  </si>
  <si>
    <t xml:space="preserve">	15020005135</t>
  </si>
  <si>
    <t>槐荫区</t>
  </si>
  <si>
    <t xml:space="preserve">山东省济南市槐荫区张庄路龙腾国际花园北门 </t>
  </si>
  <si>
    <t>节节高商贸仁霞15020005135</t>
  </si>
  <si>
    <t>E20220904202412015700095</t>
  </si>
  <si>
    <t>E20220904202309036300007</t>
  </si>
  <si>
    <t xml:space="preserve">	13802833343</t>
  </si>
  <si>
    <t>花都区</t>
  </si>
  <si>
    <t xml:space="preserve">广东省广州市花都区平步大道中雅宝新城名门J栋 </t>
  </si>
  <si>
    <t xml:space="preserve">	15031484379</t>
  </si>
  <si>
    <t>E20220904202232015700043</t>
  </si>
  <si>
    <t>E20220904202148085206155</t>
  </si>
  <si>
    <t xml:space="preserve">	4200001574202209042716426326</t>
  </si>
  <si>
    <t xml:space="preserve">	2209042022430001770740</t>
  </si>
  <si>
    <t>【500ml大容量】氨基酸海盐控油洗发露 约旦进口海盐 专利除螨 深层清洁去屑 滋养头皮WTS-海盐系列(买1送1（实发海盐洗发水+奢养护发素）)(1件)</t>
  </si>
  <si>
    <t>何红</t>
  </si>
  <si>
    <t xml:space="preserve">	13545607860</t>
  </si>
  <si>
    <t>咸宁市</t>
  </si>
  <si>
    <t>嘉鱼县</t>
  </si>
  <si>
    <t>湖北省咸宁市嘉鱼县发展大道188号万鑫·国际花园 30栋二单元1502</t>
  </si>
  <si>
    <t>嘉鱼何红</t>
  </si>
  <si>
    <t>E20220904201931020306181</t>
  </si>
  <si>
    <t xml:space="preserve">	13883095782</t>
  </si>
  <si>
    <t>重庆市</t>
  </si>
  <si>
    <t>渝北区</t>
  </si>
  <si>
    <t xml:space="preserve">重庆市重庆市渝北区王家街道财子湾小区 </t>
  </si>
  <si>
    <t>琼</t>
  </si>
  <si>
    <t>E20220904201734101200027</t>
  </si>
  <si>
    <t>积分抵现(-9.00)</t>
  </si>
  <si>
    <t>E20220904201615080306185</t>
  </si>
  <si>
    <t xml:space="preserve">	13796148226</t>
  </si>
  <si>
    <t>延寿县</t>
  </si>
  <si>
    <t xml:space="preserve">黑龙江省哈尔滨市延寿县交通局家属楼北楼二单元502 </t>
  </si>
  <si>
    <t xml:space="preserve">	15030685472</t>
  </si>
  <si>
    <t>E20220904201540071400073</t>
  </si>
  <si>
    <t>时尚气质宽松直筒裤HYN6645(黑色-3XL（建议130-140斤）)(1件)</t>
  </si>
  <si>
    <t xml:space="preserve">	18563702577</t>
  </si>
  <si>
    <t>长清区</t>
  </si>
  <si>
    <t xml:space="preserve">山东省济南市长清区五峰路南段富群百货南30米路东惠好大药房 </t>
  </si>
  <si>
    <t>春暖四季</t>
  </si>
  <si>
    <t>E20220904201528000000069</t>
  </si>
  <si>
    <t xml:space="preserve">	13877897582</t>
  </si>
  <si>
    <t>河池市</t>
  </si>
  <si>
    <t>天峨县</t>
  </si>
  <si>
    <t xml:space="preserve">广西壮族自治区河池市天峨县妇幼保健院 </t>
  </si>
  <si>
    <t xml:space="preserve">	13453094078</t>
  </si>
  <si>
    <t>E20220904201503004306169</t>
  </si>
  <si>
    <t xml:space="preserve">	13789108963</t>
  </si>
  <si>
    <t>郴州市</t>
  </si>
  <si>
    <t>宜章县</t>
  </si>
  <si>
    <t xml:space="preserve">湖南省郴州市宜章县玉溪镇富豪路8-2胖子果业 </t>
  </si>
  <si>
    <t>源悠</t>
  </si>
  <si>
    <t>E20220904201445001106149</t>
  </si>
  <si>
    <t>E20220904201328068900075</t>
  </si>
  <si>
    <t>上衣气质通勤打底长袖蝴蝶结印花衬衫NZY-NH1201(白色-XXL)(1件)</t>
  </si>
  <si>
    <t xml:space="preserve">	15235843400</t>
  </si>
  <si>
    <t>吕梁市</t>
  </si>
  <si>
    <t>文水县</t>
  </si>
  <si>
    <t xml:space="preserve">山西省吕梁市文水县西环路一号康欣制药有限公司 </t>
  </si>
  <si>
    <t>梁开凤18634746520</t>
  </si>
  <si>
    <t xml:space="preserve">	18634746520</t>
  </si>
  <si>
    <t>E20220904201305001106185</t>
  </si>
  <si>
    <t>雪纺衬衫女新款豹纹长袖上衣高级感气质工作服21RG8281(黑色衬衫-2XL（建议120-130斤）)(1件)</t>
  </si>
  <si>
    <t>E20220904201217019306173</t>
  </si>
  <si>
    <t xml:space="preserve">	4200001572202209043413557625</t>
  </si>
  <si>
    <t xml:space="preserve">	2209042012190000180538</t>
  </si>
  <si>
    <t>刮君</t>
  </si>
  <si>
    <t xml:space="preserve">	15377323833</t>
  </si>
  <si>
    <t>韶山市</t>
  </si>
  <si>
    <t xml:space="preserve">湖南省湘潭市韶山市金海市场天天自选楼下哆咪屋 </t>
  </si>
  <si>
    <t>AA🐇小黑裙</t>
  </si>
  <si>
    <t>E20220904201143093806193</t>
  </si>
  <si>
    <t xml:space="preserve">	15202177390</t>
  </si>
  <si>
    <t>上海市</t>
  </si>
  <si>
    <t>松江区</t>
  </si>
  <si>
    <t xml:space="preserve">上海市上海市松江区沪亭北路618弄40号801室 </t>
  </si>
  <si>
    <t xml:space="preserve">	18217122175</t>
  </si>
  <si>
    <t>E20220904200955099300035</t>
  </si>
  <si>
    <t>E20220904200911013600067</t>
  </si>
  <si>
    <t>E20220904200837039400021</t>
  </si>
  <si>
    <t>E20220904200751000006167</t>
  </si>
  <si>
    <t>针织罗纹弹力打底衫RF33099(黑色-3XL (建议127-135斤）)(2件)</t>
  </si>
  <si>
    <t>E20220904200741037406191</t>
  </si>
  <si>
    <t xml:space="preserve">	13924613335</t>
  </si>
  <si>
    <t xml:space="preserve">广东省深圳市宝安区碧海名园14栋603 </t>
  </si>
  <si>
    <t>江山丽人</t>
  </si>
  <si>
    <t>E20220904200736093800031</t>
  </si>
  <si>
    <t>心如止水</t>
  </si>
  <si>
    <t>E20220904200731088800067</t>
  </si>
  <si>
    <t xml:space="preserve">	4200001580202209045402168101</t>
  </si>
  <si>
    <t xml:space="preserve">	2209042007330003810589</t>
  </si>
  <si>
    <t>【 告别扁平臀大肚腩，一穿立显好身材！】3D立体剪裁 360度雕塑曲线！无痕腰边，提拉翘臀，束腰塑身YKF-2112(肤色 1件装-L 建议116-130斤)(1件)</t>
  </si>
  <si>
    <t>窦艳玲</t>
  </si>
  <si>
    <t xml:space="preserve">	15100569877</t>
  </si>
  <si>
    <t>唐山市</t>
  </si>
  <si>
    <t>迁安市</t>
  </si>
  <si>
    <t xml:space="preserve">河北省唐山市迁安市彭店子村 </t>
  </si>
  <si>
    <t>E20220904200728080300009</t>
  </si>
  <si>
    <t>E20220904200710071406171</t>
  </si>
  <si>
    <t xml:space="preserve">山东省济南市长清区文昌街道长兴美郡 </t>
  </si>
  <si>
    <t>E20220904200551044700065</t>
  </si>
  <si>
    <t xml:space="preserve">	4200001569202209041317567643</t>
  </si>
  <si>
    <t xml:space="preserve">	2209042005550000300599</t>
  </si>
  <si>
    <t>王礼容</t>
  </si>
  <si>
    <t xml:space="preserve">	15882741104</t>
  </si>
  <si>
    <t>巴州区</t>
  </si>
  <si>
    <t xml:space="preserve">四川省巴中市巴州区玉堂乡北环大道北环还房北环宾馆 </t>
  </si>
  <si>
    <t>E20220904200401098006191</t>
  </si>
  <si>
    <t>气质小清新打底吊带RF33066(黑色-L (建议100-108斤）)(2件)</t>
  </si>
  <si>
    <t xml:space="preserve">	13928867093</t>
  </si>
  <si>
    <t>南沙区</t>
  </si>
  <si>
    <t xml:space="preserve">广东省广州市南沙区广州大岗灵山环城东路34号之一 </t>
  </si>
  <si>
    <t xml:space="preserve">	一伴黑色，一件黄色</t>
  </si>
  <si>
    <t>朱朱～健康管理🍒</t>
  </si>
  <si>
    <t>E20220904200359007406189</t>
  </si>
  <si>
    <t xml:space="preserve">	18902707678</t>
  </si>
  <si>
    <t>潮阳区</t>
  </si>
  <si>
    <t xml:space="preserve">广东省汕头市潮阳区文光街道南桂园住宅5栋 </t>
  </si>
  <si>
    <t>中国平安张美贤</t>
  </si>
  <si>
    <t>E20220904200350071406191</t>
  </si>
  <si>
    <t xml:space="preserve">	这款买了两件黑色和白色都各拍了一件</t>
  </si>
  <si>
    <t>E20220904200345081800023</t>
  </si>
  <si>
    <t>气质小清新打底吊带RF33066(卡其色-L (建议100-108斤）)(1件)</t>
  </si>
  <si>
    <t xml:space="preserve">	13702972355</t>
  </si>
  <si>
    <t>顺德区</t>
  </si>
  <si>
    <t>广东省佛山市顺德区广东省佛山市顺德区富华路顺德区保利·海德公园(富华路南100米) 菜鸟驿站</t>
  </si>
  <si>
    <t>May希希妈咪</t>
  </si>
  <si>
    <t>E20220904200324001106145</t>
  </si>
  <si>
    <t>E20220904200318049200025</t>
  </si>
  <si>
    <t>气质小清新打底吊带RF33066(黑色-4XL (建议135-143斤）)(1件)</t>
  </si>
  <si>
    <t>E20220904200316017206177</t>
  </si>
  <si>
    <t xml:space="preserve">	15863369616</t>
  </si>
  <si>
    <t xml:space="preserve">山东省日照市东港区山东省日照市东港区东沿街2号东港区前大洼社区(学府路东100米) </t>
  </si>
  <si>
    <t xml:space="preserve">	15030694836</t>
  </si>
  <si>
    <t>E20220904200258039400053</t>
  </si>
  <si>
    <t>E20220904200253072400037</t>
  </si>
  <si>
    <t>E20220904200243092100053</t>
  </si>
  <si>
    <t xml:space="preserve">	18661951766</t>
  </si>
  <si>
    <t>城阳区</t>
  </si>
  <si>
    <t xml:space="preserve">山东省青岛市城阳区河套街道青岛胶州湾综保区管委会 </t>
  </si>
  <si>
    <t>淡雅如风</t>
  </si>
  <si>
    <t>E20220904200242001106197</t>
  </si>
  <si>
    <t>E20220904200237037600079</t>
  </si>
  <si>
    <t xml:space="preserve">	15030680973</t>
  </si>
  <si>
    <t>E20220904200236096206183</t>
  </si>
  <si>
    <t xml:space="preserve">	18535600685</t>
  </si>
  <si>
    <t>晋城市</t>
  </si>
  <si>
    <t>泽州县</t>
  </si>
  <si>
    <t xml:space="preserve">山西省晋城市泽州县巴公镇官庄村 </t>
  </si>
  <si>
    <t xml:space="preserve">	17446712152</t>
  </si>
  <si>
    <t>E20220904200222071400087</t>
  </si>
  <si>
    <t>E20220904200215091806165</t>
  </si>
  <si>
    <t xml:space="preserve">	15307068061</t>
  </si>
  <si>
    <t>吉安市</t>
  </si>
  <si>
    <t>吉州区</t>
  </si>
  <si>
    <t>江西省吉安市吉州区吉福路21号 菜鸟驿站医专专区</t>
  </si>
  <si>
    <t>江南</t>
  </si>
  <si>
    <t>E20220904200158037600031</t>
  </si>
  <si>
    <t>E20220904200117007400047</t>
  </si>
  <si>
    <t>E20220904200106060300017</t>
  </si>
  <si>
    <t xml:space="preserve">	4200001551202209046731338951</t>
  </si>
  <si>
    <t xml:space="preserve">	2209042001080000130717</t>
  </si>
  <si>
    <t>石大夫</t>
  </si>
  <si>
    <t xml:space="preserve">	13360330598</t>
  </si>
  <si>
    <t xml:space="preserve">广东省广州市南沙区大岗潭州市场1号鸿安堂 </t>
  </si>
  <si>
    <t>鸿安堂鼻炎馆石大夫(招合伙人加盟)</t>
  </si>
  <si>
    <t>E20220904200012013600079</t>
  </si>
  <si>
    <t xml:space="preserve">	13198360808</t>
  </si>
  <si>
    <t>眉山市</t>
  </si>
  <si>
    <t>东坡区</t>
  </si>
  <si>
    <t xml:space="preserve">四川省眉山市东坡区思蒙镇花池路38号思蒙中心卫生院 </t>
  </si>
  <si>
    <t>（张小红）张潇予13198360808</t>
  </si>
  <si>
    <t>E20220904195902019500025</t>
  </si>
  <si>
    <t xml:space="preserve">	13590508828</t>
  </si>
  <si>
    <t>高明区</t>
  </si>
  <si>
    <t xml:space="preserve">广东省佛山市高明区荷城街道沧江路430星辉园 </t>
  </si>
  <si>
    <t>蔚蓝天空</t>
  </si>
  <si>
    <t>E20220904195900001100019</t>
  </si>
  <si>
    <t>E20220904195859080306161</t>
  </si>
  <si>
    <t>E20220904195855047100031</t>
  </si>
  <si>
    <t>时尚洋气职业气质中长款包臀鱼尾裙HYN1088(白色-2XL（建议120-130斤）)(1件)</t>
  </si>
  <si>
    <t>李洁</t>
  </si>
  <si>
    <t xml:space="preserve">	18766494552</t>
  </si>
  <si>
    <t>滨州市</t>
  </si>
  <si>
    <t>邹平市</t>
  </si>
  <si>
    <t xml:space="preserve">山东省滨州市邹平市邹魏二园二区高层 </t>
  </si>
  <si>
    <t>欣赏自己</t>
  </si>
  <si>
    <t>E20220904195844013600093</t>
  </si>
  <si>
    <t>E20220904195840032200063</t>
  </si>
  <si>
    <t xml:space="preserve">	13970793281</t>
  </si>
  <si>
    <t>赣州市</t>
  </si>
  <si>
    <t>章贡区</t>
  </si>
  <si>
    <t>江西省赣州市章贡区江西省赣州市章贡区开发区蟠龙大道6号立高汽贸 蟠龙大街12号</t>
  </si>
  <si>
    <t>陈何秀 13970793281</t>
  </si>
  <si>
    <t>E20220904195813071700029</t>
  </si>
  <si>
    <t xml:space="preserve">	18089498308</t>
  </si>
  <si>
    <t>甘肃省</t>
  </si>
  <si>
    <t>武威市</t>
  </si>
  <si>
    <t>凉州区</t>
  </si>
  <si>
    <t xml:space="preserve">甘肃省武威市凉州区东关街兴盛路88号 </t>
  </si>
  <si>
    <t>鄧玉萍</t>
  </si>
  <si>
    <t>E20220904195802037606165</t>
  </si>
  <si>
    <t>E20220904195222068906149</t>
  </si>
  <si>
    <t xml:space="preserve">	4200001561202209048168463137</t>
  </si>
  <si>
    <t xml:space="preserve">	2209041952230002590808</t>
  </si>
  <si>
    <t>陈燕梅</t>
  </si>
  <si>
    <t xml:space="preserve">	15992018303</t>
  </si>
  <si>
    <t>阳山县</t>
  </si>
  <si>
    <t xml:space="preserve">广东省清远市阳山县星月路127号《食德喜》 </t>
  </si>
  <si>
    <t>食德喜与幸运楼）小梅15992018303</t>
  </si>
  <si>
    <t>E20220904195208096400081</t>
  </si>
  <si>
    <t>【直播专属】时尚洋气雪纺短袖女薄款中袖衬衣职业气质上衣HYN-2075(白色-L)(1件)</t>
  </si>
  <si>
    <t>李继红</t>
  </si>
  <si>
    <t xml:space="preserve">	18116817943</t>
  </si>
  <si>
    <t>博尔塔拉蒙古自治州</t>
  </si>
  <si>
    <t>博乐市</t>
  </si>
  <si>
    <t>新疆维吾尔自治区博尔塔拉蒙古自治州博乐市新疆维吾尔自治区博尔塔拉蒙古自治州博乐市星火巷40号中央名筑 36号楼二单元302</t>
  </si>
  <si>
    <t>李继红℡₁₈₁₁₆₈₁₇₉₄₃</t>
  </si>
  <si>
    <t xml:space="preserve">	15899389797</t>
  </si>
  <si>
    <t>E20220904195154092106163</t>
  </si>
  <si>
    <t xml:space="preserve">	4200001560202209047823998416</t>
  </si>
  <si>
    <t xml:space="preserve">	2209041951550002950110</t>
  </si>
  <si>
    <t>E20220904195148078806153</t>
  </si>
  <si>
    <t xml:space="preserve">	4200001559202209048877256848</t>
  </si>
  <si>
    <t xml:space="preserve">	2209041951500000450755</t>
  </si>
  <si>
    <t>钟金平</t>
  </si>
  <si>
    <t xml:space="preserve">	18718413209</t>
  </si>
  <si>
    <t>番禺区</t>
  </si>
  <si>
    <t>广东省广州市番禺区市桥大龙街石岗北路51号美心东苑a2栋402 402号</t>
  </si>
  <si>
    <t>钟金平一保险定制</t>
  </si>
  <si>
    <t>E20220904195117022600079</t>
  </si>
  <si>
    <t xml:space="preserve">	13815081473</t>
  </si>
  <si>
    <t>连云港市</t>
  </si>
  <si>
    <t>海州区</t>
  </si>
  <si>
    <t xml:space="preserve">江苏省连云港市海州区世纪缘国际酒店(海州区海连中路10号)世纪水城三楼 </t>
  </si>
  <si>
    <t xml:space="preserve">	15030684178</t>
  </si>
  <si>
    <t>E20220904195112021806165</t>
  </si>
  <si>
    <t>积分抵现(-7.00)</t>
  </si>
  <si>
    <t xml:space="preserve">	13424316068</t>
  </si>
  <si>
    <t xml:space="preserve">广东省深圳市龙岗区园山街道大康社区花园路33号 </t>
  </si>
  <si>
    <t>Anne</t>
  </si>
  <si>
    <t>E20220904195100017300009</t>
  </si>
  <si>
    <t xml:space="preserve">	4200001579202209043345761860</t>
  </si>
  <si>
    <t xml:space="preserve">	2209041951010003190906</t>
  </si>
  <si>
    <t>【盘龙云海传统药企专研！】氨基酸护理牙膏100g 萃取氨基酸 PN三七提取物、3大成分、对抗龋齿、洁牙固齿、减少牙菌斑、温和呵护牙龈、修护受损粘膜(买二发三（实发3支）)(1件)</t>
  </si>
  <si>
    <t>江武生</t>
  </si>
  <si>
    <t xml:space="preserve">	15102044449</t>
  </si>
  <si>
    <t xml:space="preserve">广东省广州市天河区天河路太古汇广场一座33楼法制盛邦 </t>
  </si>
  <si>
    <t>江武生律师</t>
  </si>
  <si>
    <t xml:space="preserve">	13808888541</t>
  </si>
  <si>
    <t>E20220904195055007000069</t>
  </si>
  <si>
    <t>【直播专属】时尚洋气雪纺短袖女薄款中袖衬衣职业气质上衣HYN-2075(白色-M)(1件)</t>
  </si>
  <si>
    <t>E20220904195001048006173</t>
  </si>
  <si>
    <t>【直播专属】高级感暗纹西装套装 时尚气质修身西服正装02RG6201(白色西装+白色西裤-XL（建议110-120斤）)(1件)</t>
  </si>
  <si>
    <t xml:space="preserve">	13326582001</t>
  </si>
  <si>
    <t>阳西县</t>
  </si>
  <si>
    <t xml:space="preserve">广东省阳江市阳西县广东省阳江市阳西县中阳大道7号百润生活超市 </t>
  </si>
  <si>
    <t>《百润》--简爱力瑄</t>
  </si>
  <si>
    <t xml:space="preserve">	15975657888</t>
  </si>
  <si>
    <t>E20220904194942007000029</t>
  </si>
  <si>
    <t>【直播专属】高级感暗纹西装套装 时尚气质修身西服正装02RG6201(绿色西装＋绿色西裤-M（建议90-100斤）)(1件)</t>
  </si>
  <si>
    <t>E20220904194833094800039</t>
  </si>
  <si>
    <t xml:space="preserve">	4200001557202209042357507305</t>
  </si>
  <si>
    <t xml:space="preserve">	2209041948350000300617</t>
  </si>
  <si>
    <t>墨</t>
  </si>
  <si>
    <t xml:space="preserve">	13007899994</t>
  </si>
  <si>
    <t>安顺市</t>
  </si>
  <si>
    <t>西秀区</t>
  </si>
  <si>
    <t xml:space="preserve">贵州省安顺市西秀区贵州省安顺市西秀区轿子山镇 </t>
  </si>
  <si>
    <t>E20220904194830022600069</t>
  </si>
  <si>
    <t>E20220904194731071400065</t>
  </si>
  <si>
    <t xml:space="preserve">	15051663302</t>
  </si>
  <si>
    <t>苏州市</t>
  </si>
  <si>
    <t>昆山市</t>
  </si>
  <si>
    <t xml:space="preserve">江苏省苏州市昆山市兰亭御园 </t>
  </si>
  <si>
    <t>邓坷平</t>
  </si>
  <si>
    <t>E20220904194713037606201</t>
  </si>
  <si>
    <t>E20220904194409088306145</t>
  </si>
  <si>
    <t xml:space="preserve">	4200001582202209040300661180</t>
  </si>
  <si>
    <t xml:space="preserve">	2209041944100000070754</t>
  </si>
  <si>
    <t>康慧萍</t>
  </si>
  <si>
    <t xml:space="preserve">	13970688919</t>
  </si>
  <si>
    <t>永新县</t>
  </si>
  <si>
    <t xml:space="preserve">江西省吉安市永新县三湾路25号太平洋保险公司 </t>
  </si>
  <si>
    <t>康慧萍～太平洋保险</t>
  </si>
  <si>
    <t>E20220904194401055206159</t>
  </si>
  <si>
    <t>【直播专属】低圆领打底衫 女士套头针织毛衣女长袖薄款YD-NJR025(夹花紫-L（建议110-125斤）)(1件)</t>
  </si>
  <si>
    <t xml:space="preserve">	15259511851</t>
  </si>
  <si>
    <t xml:space="preserve">福建省泉州市晋江市中国鞋都B1-29号安信鞋材 </t>
  </si>
  <si>
    <t xml:space="preserve">	15030595504</t>
  </si>
  <si>
    <t>E20220904194239087100025</t>
  </si>
  <si>
    <t xml:space="preserve">	4200001583202209048279958841</t>
  </si>
  <si>
    <t xml:space="preserve">	2209041942400001560678</t>
  </si>
  <si>
    <t>陈霞</t>
  </si>
  <si>
    <t xml:space="preserve">	15889711737</t>
  </si>
  <si>
    <t>龙华区</t>
  </si>
  <si>
    <t xml:space="preserve">广东省深圳市龙华区观澜街道桂花社区观光路1213号嘉辉商务中心8楼815 </t>
  </si>
  <si>
    <t>E20220904194236071406169</t>
  </si>
  <si>
    <t xml:space="preserve">	草木绿色</t>
  </si>
  <si>
    <t>E20220904194204064900079</t>
  </si>
  <si>
    <t xml:space="preserve">	15512991239</t>
  </si>
  <si>
    <t xml:space="preserve">河北省衡水市桃城区衡水市桃城区五洲国际3号楼1单元703 </t>
  </si>
  <si>
    <t>王晓珍</t>
  </si>
  <si>
    <t xml:space="preserve">	15931489589</t>
  </si>
  <si>
    <t>E20220904194157031700013</t>
  </si>
  <si>
    <t>【直播专属】低圆领打底衫 女士套头针织毛衣女长袖薄款YD-NJR025(原驼色-S（建议90-100斤）)(1件)</t>
  </si>
  <si>
    <t>唐宣</t>
  </si>
  <si>
    <t xml:space="preserve">	15082565688</t>
  </si>
  <si>
    <t>遂宁市</t>
  </si>
  <si>
    <t>射洪市</t>
  </si>
  <si>
    <t xml:space="preserve">四川省遂宁市射洪市平安街道射洪县城北文化路富康苑8栋304号 </t>
  </si>
  <si>
    <t xml:space="preserve">	17446717665</t>
  </si>
  <si>
    <t>E20220904194156090406171</t>
  </si>
  <si>
    <t xml:space="preserve">	4200001555202209040128942300</t>
  </si>
  <si>
    <t xml:space="preserve">	2209041941580000700519</t>
  </si>
  <si>
    <t>陈小梅</t>
  </si>
  <si>
    <t xml:space="preserve">	13432350022</t>
  </si>
  <si>
    <t>茂名市</t>
  </si>
  <si>
    <t>信宜市</t>
  </si>
  <si>
    <t xml:space="preserve">广东省茂名市信宜市中兴大道中兴公寓首层乡林凤 </t>
  </si>
  <si>
    <t>乡林凤餐厅13432350022</t>
  </si>
  <si>
    <t>E20220904194144050100063</t>
  </si>
  <si>
    <t xml:space="preserve">	15874593193</t>
  </si>
  <si>
    <t>怀化市</t>
  </si>
  <si>
    <t>鹤城区</t>
  </si>
  <si>
    <t>湖南省怀化市鹤城区坨院街道山水阳光城 16栋103</t>
  </si>
  <si>
    <t>慧子</t>
  </si>
  <si>
    <t xml:space="preserve">	13974533909</t>
  </si>
  <si>
    <t>E20220904194114012006159</t>
  </si>
  <si>
    <t xml:space="preserve">	4200001585202209043651206216</t>
  </si>
  <si>
    <t xml:space="preserve">	2209041941150001410599</t>
  </si>
  <si>
    <t>肖健康</t>
  </si>
  <si>
    <t xml:space="preserve">	18073947338</t>
  </si>
  <si>
    <t>新邵县</t>
  </si>
  <si>
    <t xml:space="preserve">湖南省邵阳市新邵县新邵县坪上镇峡山村四组 </t>
  </si>
  <si>
    <t>E20220904194111090000079</t>
  </si>
  <si>
    <t>【直播专属】低圆领打底衫 女士套头针织毛衣女长袖薄款YD-NJR025(黑色-2XL（建议135-150斤）)(1件)</t>
  </si>
  <si>
    <t xml:space="preserve">	13898103154</t>
  </si>
  <si>
    <t>辽宁省</t>
  </si>
  <si>
    <t>沈阳市</t>
  </si>
  <si>
    <t>皇姑区</t>
  </si>
  <si>
    <t xml:space="preserve">辽宁省沈阳市皇姑区万山北苑18-7 </t>
  </si>
  <si>
    <t>A娜娜</t>
  </si>
  <si>
    <t xml:space="preserve">	18940235732</t>
  </si>
  <si>
    <t>E20220904194109071406189</t>
  </si>
  <si>
    <t>【直播专属】低圆领打底衫 女士套头针织毛衣女长袖薄款YD-NJR025(草木绿-XL（建议125-135斤）)(1件)</t>
  </si>
  <si>
    <t>E20220904194054015906151</t>
  </si>
  <si>
    <t>【直播专属】低圆领打底衫 女士套头针织毛衣女长袖薄款YD-NJR025(米杏-S（建议90-100斤）)(1件)</t>
  </si>
  <si>
    <t xml:space="preserve">	13605970796</t>
  </si>
  <si>
    <t>建宁县</t>
  </si>
  <si>
    <t xml:space="preserve">福建省三明市建宁县旅游大厦二楼平安保险公司 </t>
  </si>
  <si>
    <t>平安熊金花13605989263</t>
  </si>
  <si>
    <t>E20220904193809015906151</t>
  </si>
  <si>
    <t>E20220904193705015906201</t>
  </si>
  <si>
    <t>法式气质长袖雪纺衬衫XC1667(白色-S)(1件)</t>
  </si>
  <si>
    <t>E20220904193655026000091</t>
  </si>
  <si>
    <t xml:space="preserve">	18820958157</t>
  </si>
  <si>
    <t>福田区</t>
  </si>
  <si>
    <t>广东省深圳市福田区景田机场小区 5栋102</t>
  </si>
  <si>
    <t xml:space="preserve">	17446704351</t>
  </si>
  <si>
    <t>E20220904193638065300063</t>
  </si>
  <si>
    <t xml:space="preserve">	18769542689</t>
  </si>
  <si>
    <t>聊城市</t>
  </si>
  <si>
    <t>茌平县</t>
  </si>
  <si>
    <t xml:space="preserve">山东省聊城市茌平县长途汽车站 太平洋保险公司 </t>
  </si>
  <si>
    <t>太保---客服---尹训英</t>
  </si>
  <si>
    <t>E20220904193623005700021</t>
  </si>
  <si>
    <t xml:space="preserve">	18981142189</t>
  </si>
  <si>
    <t>绵阳市</t>
  </si>
  <si>
    <t>涪城区</t>
  </si>
  <si>
    <t>四川省绵阳市涪城区八角北路2号太阳城一期 太阳城一期</t>
  </si>
  <si>
    <t xml:space="preserve">	15030676793</t>
  </si>
  <si>
    <t>E20220904193606071406189</t>
  </si>
  <si>
    <t xml:space="preserve">	一件黑色一件卡其色</t>
  </si>
  <si>
    <t>E20220904193553050100027</t>
  </si>
  <si>
    <t>E20220904193546100700085</t>
  </si>
  <si>
    <t xml:space="preserve">	18113164453</t>
  </si>
  <si>
    <t>双流区</t>
  </si>
  <si>
    <t xml:space="preserve">四川省成都市双流区珠江路(成都市双流区)新天地春天里一栋 </t>
  </si>
  <si>
    <t>E20220904193541058406175</t>
  </si>
  <si>
    <t xml:space="preserve">	4200001543202209045918593344</t>
  </si>
  <si>
    <t xml:space="preserve">	2209041935430002330659</t>
  </si>
  <si>
    <t xml:space="preserve">	18684590793</t>
  </si>
  <si>
    <t>常宁市</t>
  </si>
  <si>
    <t xml:space="preserve">湖南省衡阳市常宁市西外环金杯电缆(常宁店) </t>
  </si>
  <si>
    <t>E20220904193534072406163</t>
  </si>
  <si>
    <t xml:space="preserve">	4200001540202209043101646883</t>
  </si>
  <si>
    <t xml:space="preserve">	2209041935350002480530</t>
  </si>
  <si>
    <t xml:space="preserve">	18850968370</t>
  </si>
  <si>
    <t xml:space="preserve">福建省泉州市晋江市陈埭镇鞋都路869号 阳光金钥匙公寓602 </t>
  </si>
  <si>
    <t xml:space="preserve">	速到速到速到</t>
  </si>
  <si>
    <t>Angel</t>
  </si>
  <si>
    <t xml:space="preserve">	18750065750</t>
  </si>
  <si>
    <t>E20220904193514090006167</t>
  </si>
  <si>
    <t>E20220904193441077800087</t>
  </si>
  <si>
    <t xml:space="preserve">	4200001583202209043156788435</t>
  </si>
  <si>
    <t xml:space="preserve">	2209041934432621750364</t>
  </si>
  <si>
    <t>黄建英</t>
  </si>
  <si>
    <t xml:space="preserve">	15889372500</t>
  </si>
  <si>
    <t xml:space="preserve">广东省惠州市惠阳区镇隆镇联溪村天健阳光花园 </t>
  </si>
  <si>
    <t>樱雪</t>
  </si>
  <si>
    <t>E20220904193439101006195</t>
  </si>
  <si>
    <t xml:space="preserve">	4200001555202209047690650759</t>
  </si>
  <si>
    <t xml:space="preserve">	2209041934412621720700</t>
  </si>
  <si>
    <t>张霞</t>
  </si>
  <si>
    <t xml:space="preserve">	13305801381</t>
  </si>
  <si>
    <t>舟山市</t>
  </si>
  <si>
    <t>普陀区</t>
  </si>
  <si>
    <t xml:space="preserve">浙江省舟山市普陀区新城花园金桂园4幢401 </t>
  </si>
  <si>
    <t>风知影</t>
  </si>
  <si>
    <t>E20220904193438063300071</t>
  </si>
  <si>
    <t xml:space="preserve">	15169710130</t>
  </si>
  <si>
    <t>德州市</t>
  </si>
  <si>
    <t>临邑县</t>
  </si>
  <si>
    <t xml:space="preserve">山东省德州市临邑县恒源工业园达利园仓库 </t>
  </si>
  <si>
    <t>不忘初心15169710130</t>
  </si>
  <si>
    <t>E20220904193417000506185</t>
  </si>
  <si>
    <t xml:space="preserve">	4200001580202209045200582529</t>
  </si>
  <si>
    <t xml:space="preserve">	2209041934180002160700</t>
  </si>
  <si>
    <t>邓丽华</t>
  </si>
  <si>
    <t xml:space="preserve">	18593276349</t>
  </si>
  <si>
    <t>桂林市</t>
  </si>
  <si>
    <t>七星区</t>
  </si>
  <si>
    <t xml:space="preserve">广西壮族自治区桂林市七星区金鸡岭路口竹桥村 </t>
  </si>
  <si>
    <t xml:space="preserve">	13978371198</t>
  </si>
  <si>
    <t>E20220904193326009500083</t>
  </si>
  <si>
    <t>法式气质长袖雪纺衬衫XC1667(玫红-4XL)(1件)</t>
  </si>
  <si>
    <t xml:space="preserve">	13187696957</t>
  </si>
  <si>
    <t>大理白族自治州</t>
  </si>
  <si>
    <t>大理市</t>
  </si>
  <si>
    <t xml:space="preserve">云南省大理白族自治州大理市建设路鸿泰花园2栋二单元 </t>
  </si>
  <si>
    <t>E20220904193312058406177</t>
  </si>
  <si>
    <t>法式气质长袖雪纺衬衫XC1667(杏色-XS)(1件)</t>
  </si>
  <si>
    <t>E20220904193024017606153</t>
  </si>
  <si>
    <t xml:space="preserve">	4200001547202209040211570525</t>
  </si>
  <si>
    <t xml:space="preserve">	2209041930250002850841</t>
  </si>
  <si>
    <t>闻秀兰</t>
  </si>
  <si>
    <t xml:space="preserve">	13101952509</t>
  </si>
  <si>
    <t>扬州市</t>
  </si>
  <si>
    <t>江都区</t>
  </si>
  <si>
    <t xml:space="preserve">江苏省扬州市江都区仙女镇北园新村28幢4单元507 </t>
  </si>
  <si>
    <t>E20220904193007059700089</t>
  </si>
  <si>
    <t>气质小清新打底吊带RF33066(卡其色-3XL (建议127-135斤）)(1件)</t>
  </si>
  <si>
    <t xml:space="preserve">	18732720222</t>
  </si>
  <si>
    <t>青县</t>
  </si>
  <si>
    <t xml:space="preserve">河北省沧州市青县文化大街百年人寿 </t>
  </si>
  <si>
    <t xml:space="preserve">	16956828231</t>
  </si>
  <si>
    <t>E20220904192931100200043</t>
  </si>
  <si>
    <t xml:space="preserve">	15526614502</t>
  </si>
  <si>
    <t>通化市</t>
  </si>
  <si>
    <t>梅河口市</t>
  </si>
  <si>
    <t xml:space="preserve">吉林省通化市梅河口市山城镇阳光家园东宝驿站 </t>
  </si>
  <si>
    <t>人生如梦</t>
  </si>
  <si>
    <t>E20220904192835001300051</t>
  </si>
  <si>
    <t xml:space="preserve">	13540465325</t>
  </si>
  <si>
    <t>锦江区</t>
  </si>
  <si>
    <t xml:space="preserve">四川省成都市锦江区琉璃场经天路6号 </t>
  </si>
  <si>
    <t>E20220904192829033000073</t>
  </si>
  <si>
    <t xml:space="preserve">	13957237746</t>
  </si>
  <si>
    <t xml:space="preserve">浙江省舟山市普陀区东港街道 舟山中梁文澜府19幢501室 </t>
  </si>
  <si>
    <t>a平安周凤</t>
  </si>
  <si>
    <t>E20220904192828019706165</t>
  </si>
  <si>
    <t xml:space="preserve">	13367575708</t>
  </si>
  <si>
    <t>港北区</t>
  </si>
  <si>
    <t xml:space="preserve">广西壮族自治区贵港市港北区城市怡景8-2-103 </t>
  </si>
  <si>
    <t>@秀芬</t>
  </si>
  <si>
    <t>E20220904192806102200003</t>
  </si>
  <si>
    <t>E20220904192755033000003</t>
  </si>
  <si>
    <t>定海区</t>
  </si>
  <si>
    <t xml:space="preserve">浙江省舟山市定海区解放西路209号平安人寿三楼华锦部 </t>
  </si>
  <si>
    <t>E20220904192108022200047</t>
  </si>
  <si>
    <t>曾海玲</t>
  </si>
  <si>
    <t xml:space="preserve">	13922935252</t>
  </si>
  <si>
    <t>樟木头镇</t>
  </si>
  <si>
    <t xml:space="preserve">广东省东莞市樟木头镇塑胶市场二期8栋6号 </t>
  </si>
  <si>
    <t>💎曾海玲 15684927613</t>
  </si>
  <si>
    <t>E20220904192037005700075</t>
  </si>
  <si>
    <t xml:space="preserve">	13600667558</t>
  </si>
  <si>
    <t>杭州市</t>
  </si>
  <si>
    <t>余杭区</t>
  </si>
  <si>
    <t xml:space="preserve">浙江省杭州市余杭区良渚文化村内 探梅里A区64-3-302 </t>
  </si>
  <si>
    <t>陈小丽律师 15314639608</t>
  </si>
  <si>
    <t>E20220904191700089600015</t>
  </si>
  <si>
    <t>法式气质长袖雪纺衬衫XC1667(黄色-4XL)(1件)</t>
  </si>
  <si>
    <t xml:space="preserve">	18602420738</t>
  </si>
  <si>
    <t>苏家屯区</t>
  </si>
  <si>
    <t xml:space="preserve">辽宁省沈阳市苏家屯区银杏路一甲 一3  门2一2一1 </t>
  </si>
  <si>
    <t xml:space="preserve">	15030493057</t>
  </si>
  <si>
    <t>E20220904191604028706191</t>
  </si>
  <si>
    <t xml:space="preserve">	18877296871</t>
  </si>
  <si>
    <t xml:space="preserve">广西壮族自治区来宾市兴宾区前互二路18号幂姿优露美胸馆 </t>
  </si>
  <si>
    <t xml:space="preserve">	17400701802</t>
  </si>
  <si>
    <t>E20220904191515086700031</t>
  </si>
  <si>
    <t xml:space="preserve">	15153003811</t>
  </si>
  <si>
    <t>菏泽市</t>
  </si>
  <si>
    <t>郓城县</t>
  </si>
  <si>
    <t xml:space="preserve">山东省菏泽市郓城县坝头大福源东对过，东城国际小区 </t>
  </si>
  <si>
    <t>上善若水方圆有归</t>
  </si>
  <si>
    <t>E20220904191506097200077</t>
  </si>
  <si>
    <t xml:space="preserve">	13988046996</t>
  </si>
  <si>
    <t>红河哈尼族彝族自治州</t>
  </si>
  <si>
    <t>蒙自市</t>
  </si>
  <si>
    <t xml:space="preserve">云南省红河哈尼族彝族自治州蒙自市文汇路鼎基铭园小区 </t>
  </si>
  <si>
    <t>兰瑞娟~风险管理顾问13988046996</t>
  </si>
  <si>
    <t>E20220904191436051700041</t>
  </si>
  <si>
    <t xml:space="preserve">	18676431186</t>
  </si>
  <si>
    <t>东凤镇</t>
  </si>
  <si>
    <t xml:space="preserve">广东省中山市东凤镇东凤大道北128号天乙海岸名都 </t>
  </si>
  <si>
    <t>Amary</t>
  </si>
  <si>
    <t>E20220904191352052100035</t>
  </si>
  <si>
    <t xml:space="preserve">	13508647492</t>
  </si>
  <si>
    <t xml:space="preserve">湖北省咸宁市嘉鱼县鱼岳镇油榨湾151号二楼 </t>
  </si>
  <si>
    <t>肖艳红ID：8523676</t>
  </si>
  <si>
    <t xml:space="preserve">	13545589436</t>
  </si>
  <si>
    <t>E20220904191338074400021</t>
  </si>
  <si>
    <t xml:space="preserve">	18719121148</t>
  </si>
  <si>
    <t>化州市</t>
  </si>
  <si>
    <t xml:space="preserve">广东省茂名市化州市鉴江区塘岗岭车管所门口 </t>
  </si>
  <si>
    <t>娥乐无忧 🚗车辆业务18719121148</t>
  </si>
  <si>
    <t>E20220905234856062800005</t>
  </si>
  <si>
    <t>已发货</t>
  </si>
  <si>
    <t xml:space="preserve">	13823361592</t>
  </si>
  <si>
    <t xml:space="preserve">广东省惠州市惠城区金华龙家居建材MALL(惠州市惠城区)B28号瓦尔斯堡木地板 </t>
  </si>
  <si>
    <t>瓦尔斯堡木地板定制-谢姐</t>
  </si>
  <si>
    <t>E20220905234107092300001</t>
  </si>
  <si>
    <t xml:space="preserve">	13466107678</t>
  </si>
  <si>
    <t>宣威市</t>
  </si>
  <si>
    <t xml:space="preserve">云南省曲靖市宣威市龙泽鑫城二栋 </t>
  </si>
  <si>
    <t>杨广志13466107678</t>
  </si>
  <si>
    <t>已排2-3天出货，已后台留言告知客户9.9</t>
  </si>
  <si>
    <t>E20220905233057092306153</t>
  </si>
  <si>
    <t>E20220905232419053106177</t>
  </si>
  <si>
    <t>【直播专属】高级感暗纹西装套装 时尚气质修身西服正装02RG6201(橙色西装＋橙色西裤-2XL（建议120-130斤）)(1件)</t>
  </si>
  <si>
    <t xml:space="preserve">	18616515093</t>
  </si>
  <si>
    <t>杨浦区</t>
  </si>
  <si>
    <t xml:space="preserve">上海市上海市杨浦区国权北路1188弄28号东门 </t>
  </si>
  <si>
    <t>喜洋洋Lucky</t>
  </si>
  <si>
    <t>E20220905232348101206145</t>
  </si>
  <si>
    <t>E20220905232059053106145</t>
  </si>
  <si>
    <t>【直播专属】高级感暗纹西装套装 时尚气质修身西服正装02RG6201(橙色西装＋橙色西裤-S（建议80-90斤）)(1件)</t>
  </si>
  <si>
    <t xml:space="preserve">	送内搭</t>
  </si>
  <si>
    <t>E20220905230843051106191</t>
  </si>
  <si>
    <t>醋酸西装外套女薄款休闲小个子七分袖小西服连衣裙套装08RG88286(白色西装+白色连衣裙-XL)(1件)</t>
  </si>
  <si>
    <t xml:space="preserve">	13669555266</t>
  </si>
  <si>
    <t xml:space="preserve">广东省惠州市惠阳区景福小区 </t>
  </si>
  <si>
    <t>钟凤琼  健康顾问</t>
  </si>
  <si>
    <t>E20220905230827036600035</t>
  </si>
  <si>
    <t>积分抵现(-10.00)</t>
  </si>
  <si>
    <t>洋气英伦风小西装套装新款HYN1655(杏色-M（建议95-105斤）)(1件)</t>
  </si>
  <si>
    <t xml:space="preserve">	13377338031</t>
  </si>
  <si>
    <t xml:space="preserve">广西壮族自治区桂林市七星区竹桥村7-1栋 </t>
  </si>
  <si>
    <t>太保田尚琼13377338031</t>
  </si>
  <si>
    <t>改发L</t>
  </si>
  <si>
    <t>E20220905230650051100007</t>
  </si>
  <si>
    <t>时尚休闲长袖气质法式上衣 白衬衣16RG3303(深蓝色-XL)(1件)</t>
  </si>
  <si>
    <t>E20220905230410066806151</t>
  </si>
  <si>
    <t>E20220905225702046200061</t>
  </si>
  <si>
    <t xml:space="preserve">	13014208202</t>
  </si>
  <si>
    <t>石嘴山市</t>
  </si>
  <si>
    <t>惠农区</t>
  </si>
  <si>
    <t xml:space="preserve">宁夏回族自治区石嘴山市惠农区宁夏红果子镇 </t>
  </si>
  <si>
    <t>&amp;佲枫</t>
  </si>
  <si>
    <t>E20220905225337059206151</t>
  </si>
  <si>
    <t xml:space="preserve">	13597385063</t>
  </si>
  <si>
    <t>玉林市</t>
  </si>
  <si>
    <t>博白县</t>
  </si>
  <si>
    <t xml:space="preserve">广西壮族自治区玉林市博白县博白县双旺镇真达礼仪幼儿园 </t>
  </si>
  <si>
    <t>真达教育.刘丽平13597385063</t>
  </si>
  <si>
    <t>E20220905225316036200009</t>
  </si>
  <si>
    <t>A品质卫浴 唐颖</t>
  </si>
  <si>
    <t>E20220905225245059200035</t>
  </si>
  <si>
    <t>E20220905225151066800055</t>
  </si>
  <si>
    <t>【直播专属】时尚气质百搭衬衣11RG6716(黑色-3XL（建议130-140斤）)(1件)</t>
  </si>
  <si>
    <t>黑色换白色</t>
  </si>
  <si>
    <t>E20220905225132071400031</t>
  </si>
  <si>
    <t>针织罗纹弹力打底衫RF33099(卡其-3XL (建议127-135斤）)(1件)</t>
  </si>
  <si>
    <t>E20220905225120051100003</t>
  </si>
  <si>
    <t>NZY以下已排9.6</t>
  </si>
  <si>
    <t>E20220905225114092300053</t>
  </si>
  <si>
    <t>E20220905225026066800089</t>
  </si>
  <si>
    <t>E20220905224634071406161</t>
  </si>
  <si>
    <t>E20220905224458078500019</t>
  </si>
  <si>
    <t xml:space="preserve">云南省曲靖市宣威市云南省曲靖市宣威市龙泽鑫城2栋2507号 </t>
  </si>
  <si>
    <t xml:space="preserve">	17395013956</t>
  </si>
  <si>
    <t>E20220905224436032500039</t>
  </si>
  <si>
    <t>时尚洋气职业气质中长款包臀鱼尾裙HYN1088(黑色-2XL（建议120-130斤）)(1件)</t>
  </si>
  <si>
    <t xml:space="preserve">	15959684951</t>
  </si>
  <si>
    <t>龙文区</t>
  </si>
  <si>
    <t xml:space="preserve">福建省漳州市龙文区锦绣一方丹桂里61号楼1213室 </t>
  </si>
  <si>
    <t>朱古力</t>
  </si>
  <si>
    <t>E20220905224043032500009</t>
  </si>
  <si>
    <t>E20220905223800010900029</t>
  </si>
  <si>
    <t xml:space="preserve">	13039572028</t>
  </si>
  <si>
    <t xml:space="preserve">内蒙古自治区包头市青山区赛音道三号街坊东方嘉苑3栋4单元307号 </t>
  </si>
  <si>
    <t>2-3天出货，已后台留言告知客户9.9</t>
  </si>
  <si>
    <t>E20220905223159101106159</t>
  </si>
  <si>
    <t>【直播专属】低圆领打底衫 女士套头针织毛衣女长袖薄款YD-NJR025(皮粉-S（建议90-100斤）)(1件)</t>
  </si>
  <si>
    <t xml:space="preserve">	13365888371</t>
  </si>
  <si>
    <t>耒阳市</t>
  </si>
  <si>
    <t xml:space="preserve">湖南省衡阳市耒阳市金华北路党校旁 </t>
  </si>
  <si>
    <t xml:space="preserve">	15042295709</t>
  </si>
  <si>
    <t>YD以下已排9.6</t>
  </si>
  <si>
    <t>E20220905222646014800039</t>
  </si>
  <si>
    <t xml:space="preserve">	13633481178</t>
  </si>
  <si>
    <t>晋中市</t>
  </si>
  <si>
    <t>寿阳县</t>
  </si>
  <si>
    <t>山西省晋中市寿阳县安捷文化苑 F5单元901</t>
  </si>
  <si>
    <t>E20220905222637010906167</t>
  </si>
  <si>
    <t>E20220905222341066700069</t>
  </si>
  <si>
    <t xml:space="preserve">	15928165635</t>
  </si>
  <si>
    <t xml:space="preserve">四川省成都市青羊区光华街道光华壹号花园336号 </t>
  </si>
  <si>
    <t xml:space="preserve">	17455729932</t>
  </si>
  <si>
    <t>停发</t>
  </si>
  <si>
    <t>E20220905222333101100053</t>
  </si>
  <si>
    <t>E20220905222218044706171</t>
  </si>
  <si>
    <t>E20220905222010044500011</t>
  </si>
  <si>
    <t xml:space="preserve">	4200001570202209051350409872</t>
  </si>
  <si>
    <t xml:space="preserve">	2209052220110004220377</t>
  </si>
  <si>
    <t>蝴蝶结白色雪纺衬衣新款长袖上衣08RG8088(白色衬衫-XXL)(1件)</t>
  </si>
  <si>
    <t>黄惠</t>
  </si>
  <si>
    <t xml:space="preserve">	18959224873</t>
  </si>
  <si>
    <t>厦门市</t>
  </si>
  <si>
    <t>海沧区</t>
  </si>
  <si>
    <t xml:space="preserve">福建省厦门市海沧区刘山村120号 </t>
  </si>
  <si>
    <t>广东欧维堡系统门窗接单</t>
  </si>
  <si>
    <t>E20220905221654053706189</t>
  </si>
  <si>
    <t>E20220905221629050900045</t>
  </si>
  <si>
    <t xml:space="preserve">	13604558939</t>
  </si>
  <si>
    <t>绥化市</t>
  </si>
  <si>
    <t>北林区</t>
  </si>
  <si>
    <t>黑龙江省绥化市北林区南三金鼎福源小区 5单元602</t>
  </si>
  <si>
    <t>A刘立立</t>
  </si>
  <si>
    <t>退款成功（全额退款）</t>
  </si>
  <si>
    <t>E20220905221545053700069</t>
  </si>
  <si>
    <t>E20220905221541018700043</t>
  </si>
  <si>
    <t xml:space="preserve">	15860861996</t>
  </si>
  <si>
    <t>永安市</t>
  </si>
  <si>
    <t xml:space="preserve">福建省三明市永安市汇景城永乐佳房二区9幢三单元301 </t>
  </si>
  <si>
    <t>三明永安郑伊玉15860861996</t>
  </si>
  <si>
    <t>E20220905221538071200055</t>
  </si>
  <si>
    <t>E20220905221503017500057</t>
  </si>
  <si>
    <t>洋气英伦风小西装套装新款HYN1655(红色-S（建议85-90斤）)(1件)</t>
  </si>
  <si>
    <t xml:space="preserve">	13590480475</t>
  </si>
  <si>
    <t>广东省深圳市龙岗区中海康城花园B区 5栋18A</t>
  </si>
  <si>
    <t xml:space="preserve">	裤子发中码，西装发小码！</t>
  </si>
  <si>
    <t>E20220905220416018706171</t>
  </si>
  <si>
    <t>积分抵现(-8.00)</t>
  </si>
  <si>
    <t>E20220905220357010906149</t>
  </si>
  <si>
    <t>E20220905220342026606167</t>
  </si>
  <si>
    <t>上衣气质通勤打底长袖蝴蝶结印花衬衫NZY-NH1201(黑色-4XL)(1件)</t>
  </si>
  <si>
    <t xml:space="preserve">	13604818248</t>
  </si>
  <si>
    <t>呼兰区</t>
  </si>
  <si>
    <t xml:space="preserve">黑龙江省哈尔滨市呼兰区二八镇黑龙江省哈尔滨市呼兰区二八镇二八村 </t>
  </si>
  <si>
    <t xml:space="preserve">	17455230119</t>
  </si>
  <si>
    <t>E20220905220158063106195</t>
  </si>
  <si>
    <t>E20220905215944050706147</t>
  </si>
  <si>
    <t xml:space="preserve">	15521393233</t>
  </si>
  <si>
    <t>荔湾区</t>
  </si>
  <si>
    <t xml:space="preserve">广东省广州市荔湾区荔江美筑(广州市荔湾区芳村大道西) </t>
  </si>
  <si>
    <t>唐惠¹⁵⁵²¹³⁹³²³³  θ</t>
  </si>
  <si>
    <t>E20220905215611003006193</t>
  </si>
  <si>
    <t xml:space="preserve">	13472197633</t>
  </si>
  <si>
    <t>石家庄市</t>
  </si>
  <si>
    <t>灵寿县</t>
  </si>
  <si>
    <t xml:space="preserve">河北省石家庄市灵寿县石家庄灵寿县车站南行三百米路东颐正经络养生 </t>
  </si>
  <si>
    <t xml:space="preserve">	15032477204</t>
  </si>
  <si>
    <t>E20220905215135077800023</t>
  </si>
  <si>
    <t xml:space="preserve">	15383613495</t>
  </si>
  <si>
    <t xml:space="preserve">山西省太原市小店区小店街道康宁街红孩龙虾千百惠超市 </t>
  </si>
  <si>
    <t>陈悦蓉（美亲）</t>
  </si>
  <si>
    <t xml:space="preserve">	19935370948</t>
  </si>
  <si>
    <t>E20220905215107018706177</t>
  </si>
  <si>
    <t>E20220905214330008706185</t>
  </si>
  <si>
    <t xml:space="preserve">	15079911709</t>
  </si>
  <si>
    <t>萍乡市</t>
  </si>
  <si>
    <t>上栗县</t>
  </si>
  <si>
    <t xml:space="preserve">江西省萍乡市上栗县长平乡太塘村一组 </t>
  </si>
  <si>
    <t xml:space="preserve">	15042078455</t>
  </si>
  <si>
    <t>E20220905214220086706183</t>
  </si>
  <si>
    <t>E20220905213910007306155</t>
  </si>
  <si>
    <t xml:space="preserve">	13476978531</t>
  </si>
  <si>
    <t>荆州市</t>
  </si>
  <si>
    <t>沙市区</t>
  </si>
  <si>
    <t xml:space="preserve">湖北省荆州市沙市区江汉北路富怡雅苑八栋二单元101 </t>
  </si>
  <si>
    <t xml:space="preserve">	15041989423</t>
  </si>
  <si>
    <t>E20220905213850097306179</t>
  </si>
  <si>
    <t xml:space="preserve">	13892735618</t>
  </si>
  <si>
    <t>宝鸡市</t>
  </si>
  <si>
    <t>太白县</t>
  </si>
  <si>
    <t xml:space="preserve">陕西省宝鸡市太白县靖口镇东庄村五组 </t>
  </si>
  <si>
    <t>风云雨</t>
  </si>
  <si>
    <t>E20220905212818014500041</t>
  </si>
  <si>
    <t xml:space="preserve">	13104357677</t>
  </si>
  <si>
    <t>汉中市</t>
  </si>
  <si>
    <t>汉台区</t>
  </si>
  <si>
    <t xml:space="preserve">陕西省汉中市汉台区东关街道滨江西路中段玫瑰庄园|-7|08 </t>
  </si>
  <si>
    <t xml:space="preserve">	17455439040</t>
  </si>
  <si>
    <t>E20220905212549078906151</t>
  </si>
  <si>
    <t>【直播专属】低圆领打底衫 女士套头针织毛衣女长袖薄款YD-NJR025(芥末黄-M（建议100-110斤）)(1件)</t>
  </si>
  <si>
    <t xml:space="preserve">	13377859631</t>
  </si>
  <si>
    <t>武汉市</t>
  </si>
  <si>
    <t>江汉区</t>
  </si>
  <si>
    <t xml:space="preserve">湖北省武汉市江汉区泛海国际竹海园4-2-304 </t>
  </si>
  <si>
    <t xml:space="preserve">	15041883769</t>
  </si>
  <si>
    <t>E20220905212038014800069</t>
  </si>
  <si>
    <t>E20220905212019046400015</t>
  </si>
  <si>
    <t xml:space="preserve">	13583543248</t>
  </si>
  <si>
    <t>烟台市</t>
  </si>
  <si>
    <t>福山区</t>
  </si>
  <si>
    <t xml:space="preserve">山东省烟台市福山区华明星海湾15号楼1单元2401 </t>
  </si>
  <si>
    <t xml:space="preserve">	17455404997</t>
  </si>
  <si>
    <t>E20220905211600095106155</t>
  </si>
  <si>
    <t xml:space="preserve">	15823728843</t>
  </si>
  <si>
    <t>梁平区</t>
  </si>
  <si>
    <t xml:space="preserve">重庆市重庆市梁平区重庆市梁平县梁山街道福德锦城7栋1单元202室 </t>
  </si>
  <si>
    <t>努力</t>
  </si>
  <si>
    <t>E20220905211502073900007</t>
  </si>
  <si>
    <t xml:space="preserve">	17809145945</t>
  </si>
  <si>
    <t>商洛市</t>
  </si>
  <si>
    <t>柞水县</t>
  </si>
  <si>
    <t xml:space="preserve">陕西省商洛市柞水县乾佑街道红石崖小区便利店42号 </t>
  </si>
  <si>
    <t xml:space="preserve">	17400839279</t>
  </si>
  <si>
    <t>E20220905211341032106181</t>
  </si>
  <si>
    <t xml:space="preserve">	17317535431</t>
  </si>
  <si>
    <t>奉贤区</t>
  </si>
  <si>
    <t xml:space="preserve">上海市上海市奉贤区金海街道望园路2509弄悦达南郊华都2号楼422室 </t>
  </si>
  <si>
    <t xml:space="preserve">	14620175683</t>
  </si>
  <si>
    <t>E20220905211235030400001</t>
  </si>
  <si>
    <t xml:space="preserve">	18033916667</t>
  </si>
  <si>
    <t>宁德市</t>
  </si>
  <si>
    <t>蕉城区</t>
  </si>
  <si>
    <t xml:space="preserve">福建省宁德市蕉城区日月星辰4栋105店红豆杉酵素养生馆 </t>
  </si>
  <si>
    <t>创投中科彦喜</t>
  </si>
  <si>
    <t>E20220905210700060900005</t>
  </si>
  <si>
    <t xml:space="preserve">	18746015398</t>
  </si>
  <si>
    <t>道里区</t>
  </si>
  <si>
    <t xml:space="preserve">黑龙江省哈尔滨市道里区地节街306栋703 </t>
  </si>
  <si>
    <t>王影18746015398</t>
  </si>
  <si>
    <t>E20220905205840072800055</t>
  </si>
  <si>
    <t>【直播专属】低圆领打底衫 女士套头针织毛衣女长袖薄款YD-NJR025(芥末黄-XL（建议125-135斤）)(1件)</t>
  </si>
  <si>
    <t xml:space="preserve">	13207138133</t>
  </si>
  <si>
    <t>汉阳区</t>
  </si>
  <si>
    <t>湖北省武汉市汉阳区湖北省武汉市汉阳区滨江大道188-7号汉阳区鹦鹉花园(阳新路西) 鹦鹉花园40栋一单元202</t>
  </si>
  <si>
    <t xml:space="preserve">	17455241228</t>
  </si>
  <si>
    <t>E20220905205816018700091</t>
  </si>
  <si>
    <t>E20220905205729074406175</t>
  </si>
  <si>
    <t xml:space="preserve">	15846638261</t>
  </si>
  <si>
    <t>南岗区</t>
  </si>
  <si>
    <t xml:space="preserve">黑龙江省哈尔滨市南岗区王岗镇红星凯悦二期28号楼四单元802 </t>
  </si>
  <si>
    <t>E20220905205718053706181</t>
  </si>
  <si>
    <t>赠送运费险</t>
  </si>
  <si>
    <t>E20220905205201017100027</t>
  </si>
  <si>
    <t>针织罗纹弹力打底衫RF33099(卡其-L (建议100-108斤）)(1件)</t>
  </si>
  <si>
    <t xml:space="preserve">	13755851686</t>
  </si>
  <si>
    <t>宜春市</t>
  </si>
  <si>
    <t>奉新县</t>
  </si>
  <si>
    <t xml:space="preserve">江西省宜春市奉新县华春色纺 </t>
  </si>
  <si>
    <t>阿梅</t>
  </si>
  <si>
    <t>E20220905204735018700033</t>
  </si>
  <si>
    <t>E20220905204702084100077</t>
  </si>
  <si>
    <t xml:space="preserve">	18588987929</t>
  </si>
  <si>
    <t>江门市</t>
  </si>
  <si>
    <t>鹤山市</t>
  </si>
  <si>
    <t xml:space="preserve">广东省江门市鹤山市鹤城镇鹤山开发区活力科技有限公司 </t>
  </si>
  <si>
    <t xml:space="preserve">	17455222820</t>
  </si>
  <si>
    <t>E20220905204610099700075</t>
  </si>
  <si>
    <t xml:space="preserve">	15386526138</t>
  </si>
  <si>
    <t>乐山市</t>
  </si>
  <si>
    <t>峨眉山市</t>
  </si>
  <si>
    <t xml:space="preserve">四川省乐山市峨眉山市胜利镇滨湖社区29栋3单元402 </t>
  </si>
  <si>
    <t>陈宣彤</t>
  </si>
  <si>
    <t>E20220905204053071906163</t>
  </si>
  <si>
    <t xml:space="preserve">	4200001540202209052895023392</t>
  </si>
  <si>
    <t xml:space="preserve">	2209052040550000040148</t>
  </si>
  <si>
    <t>【 告别扁平臀大肚腩，一穿立显好身材！】3D立体剪裁 360度雕塑曲线！无痕腰边，提拉翘臀，束腰塑身YKF-2112(黑色 1件装-L 建议116-130斤)(1件)</t>
  </si>
  <si>
    <t>甘艺虹</t>
  </si>
  <si>
    <t xml:space="preserve">	15877110266</t>
  </si>
  <si>
    <t>崇左市</t>
  </si>
  <si>
    <t>江州区</t>
  </si>
  <si>
    <t xml:space="preserve">广西壮族自治区崇左市江州区江南街道江南路33伍威家具城 </t>
  </si>
  <si>
    <t>风雨彩虹</t>
  </si>
  <si>
    <t>已排9.6</t>
  </si>
  <si>
    <t>E20220905203558071500021</t>
  </si>
  <si>
    <t xml:space="preserve">	4200001587202209057669272157</t>
  </si>
  <si>
    <t xml:space="preserve">	2209052035590001480514</t>
  </si>
  <si>
    <t>小众法式甜美衬衫泡泡袖气质通勤女短袖衬衫22RG6662(Q6662单件白色衬衫-XL)(1件)</t>
  </si>
  <si>
    <t>邓女士</t>
  </si>
  <si>
    <t xml:space="preserve">	13929881773</t>
  </si>
  <si>
    <t>高要区</t>
  </si>
  <si>
    <t xml:space="preserve">广东省肇庆市高要区万福路珀丽湾塞维利亚二街8号 </t>
  </si>
  <si>
    <t>邓凤玲高级总监</t>
  </si>
  <si>
    <t>E20220905202925099700079</t>
  </si>
  <si>
    <t>E20220905202622017500059</t>
  </si>
  <si>
    <t>【直播专属】低圆领打底衫 女士套头针织毛衣女长袖薄款YD-NJR025(祖母绿-S（建议90-100斤）)(1件)</t>
  </si>
  <si>
    <t xml:space="preserve">	15248978035</t>
  </si>
  <si>
    <t>海南省</t>
  </si>
  <si>
    <t>白沙黎族自治县</t>
  </si>
  <si>
    <t xml:space="preserve">海南省省直辖县级行政区划白沙黎族自治县南湖小区二区3栋第三单元402 </t>
  </si>
  <si>
    <t>春和景明 符梅春</t>
  </si>
  <si>
    <t>E20220905202542074406169</t>
  </si>
  <si>
    <t>【直播专属】低圆领打底衫 女士套头针织毛衣女长袖薄款YD-NJR025(皮粉-XL（建议125-135斤）)(1件)</t>
  </si>
  <si>
    <t xml:space="preserve">	18802016794</t>
  </si>
  <si>
    <t xml:space="preserve">广东省广州市南沙区黄阁镇市南路290号南沙境界H4栋1梯902房 </t>
  </si>
  <si>
    <t>黄婵容～18802016794</t>
  </si>
  <si>
    <t>E20220905202526084306147</t>
  </si>
  <si>
    <t xml:space="preserve">	15197281601</t>
  </si>
  <si>
    <t xml:space="preserve">湖南省湘潭市湘乡市昆仑桥办事处金南村姐妹商店 </t>
  </si>
  <si>
    <t>小米粒</t>
  </si>
  <si>
    <t xml:space="preserve">	15576685554</t>
  </si>
  <si>
    <t>E20220905202300020306183</t>
  </si>
  <si>
    <t>E20220905202234017500005</t>
  </si>
  <si>
    <t>省直辖县</t>
  </si>
  <si>
    <t xml:space="preserve">海南省省直辖县白沙黎族自治县南湖小区二区三栋402号 </t>
  </si>
  <si>
    <t>E20220905202155084300013</t>
  </si>
  <si>
    <t>E20220905202152076306159</t>
  </si>
  <si>
    <t xml:space="preserve">	15595622887</t>
  </si>
  <si>
    <t>海口市</t>
  </si>
  <si>
    <t>秀英区</t>
  </si>
  <si>
    <t xml:space="preserve">海南省海口市秀英区海秀街道爱琴海A栋 </t>
  </si>
  <si>
    <t>英燕-生涯规划&amp;就业指导</t>
  </si>
  <si>
    <t>E20220905201947019406159</t>
  </si>
  <si>
    <t xml:space="preserve">	13277651865</t>
  </si>
  <si>
    <t>荆门市</t>
  </si>
  <si>
    <t>钟祥市</t>
  </si>
  <si>
    <t xml:space="preserve">湖北省荆门市钟祥市胡集镇福泉村二组 </t>
  </si>
  <si>
    <t>E20220905201938020306149</t>
  </si>
  <si>
    <t>E20220905201919074406189</t>
  </si>
  <si>
    <t>E20220905201511023506155</t>
  </si>
  <si>
    <t>E20220905201339094700051</t>
  </si>
  <si>
    <t>E20220905201330074400091</t>
  </si>
  <si>
    <t>E20220905201317047800093</t>
  </si>
  <si>
    <t xml:space="preserve">	13662223446</t>
  </si>
  <si>
    <t xml:space="preserve">广东省深圳市宝安区福永镇金菊路听涛雅苑二期B1栋701 </t>
  </si>
  <si>
    <t>susan</t>
  </si>
  <si>
    <t>E20220905201308019400055</t>
  </si>
  <si>
    <t>E20220905200957016400017</t>
  </si>
  <si>
    <t xml:space="preserve">	18475932257</t>
  </si>
  <si>
    <t>湛江市</t>
  </si>
  <si>
    <t>吴川市</t>
  </si>
  <si>
    <t xml:space="preserve">广东省湛江市吴川市梅菉街道东风路八街26号 </t>
  </si>
  <si>
    <t>桃花</t>
  </si>
  <si>
    <t>E20220905200537047806189</t>
  </si>
  <si>
    <t>E20220905195804047806185</t>
  </si>
  <si>
    <t>E20220905195725047806181</t>
  </si>
  <si>
    <t>E20220905195647019406175</t>
  </si>
  <si>
    <t>E20220905195512101200027</t>
  </si>
  <si>
    <t>E20220905195146053206155</t>
  </si>
  <si>
    <t>【直播专属】高级感暗纹西装套装 时尚气质修身西服正装02RG6201(白色西装+白色西裤-S（建议80-90斤）)(1件)</t>
  </si>
  <si>
    <t>茆洪月</t>
  </si>
  <si>
    <t xml:space="preserve">	13961742868</t>
  </si>
  <si>
    <t>无锡市</t>
  </si>
  <si>
    <t>滨湖区</t>
  </si>
  <si>
    <t xml:space="preserve">江苏省无锡市滨湖区马山街道古竹街311号 </t>
  </si>
  <si>
    <t>红月亮</t>
  </si>
  <si>
    <t>E20220905194804084306197</t>
  </si>
  <si>
    <t>E20220905194732047806145</t>
  </si>
  <si>
    <t>E20220905194722048806191</t>
  </si>
  <si>
    <t xml:space="preserve">	18945635670</t>
  </si>
  <si>
    <t>巴彦县</t>
  </si>
  <si>
    <t xml:space="preserve">黑龙江省哈尔滨市巴彦县幸福人家一期D栋2单元 303 </t>
  </si>
  <si>
    <t>于萍 ₁₅₅₄₆₄₆₀₆₀₈</t>
  </si>
  <si>
    <t>E20220905194450068100019</t>
  </si>
  <si>
    <t xml:space="preserve">	13017089188</t>
  </si>
  <si>
    <t xml:space="preserve">贵州省安顺市西秀区南水路人行宿舍二栋一单元101 </t>
  </si>
  <si>
    <t>国寿兰卫萍13017089188</t>
  </si>
  <si>
    <t>E20220905194347057706183</t>
  </si>
  <si>
    <t xml:space="preserve">	13766474883</t>
  </si>
  <si>
    <t>上饶市</t>
  </si>
  <si>
    <t>万年县</t>
  </si>
  <si>
    <t xml:space="preserve">江西省上饶市万年县步行街二楼蒙娜丽莎美容院 </t>
  </si>
  <si>
    <t>胡海翔-仙绣加盟商-祛痣疣汗管瘤</t>
  </si>
  <si>
    <t>E20220905194254048800003</t>
  </si>
  <si>
    <t>E20220905194237047800045</t>
  </si>
  <si>
    <t>E20220905193843014806185</t>
  </si>
  <si>
    <t>E20220905193749020806197</t>
  </si>
  <si>
    <t xml:space="preserve">	15361755969</t>
  </si>
  <si>
    <t xml:space="preserve">广东省广州市天河区广州大道中1268号广州体育学院22栋西梯202房 </t>
  </si>
  <si>
    <t>陈旭芝</t>
  </si>
  <si>
    <t>E20220905193726057700049</t>
  </si>
  <si>
    <t>E20220905193726038900021</t>
  </si>
  <si>
    <t xml:space="preserve">	13627857135</t>
  </si>
  <si>
    <t xml:space="preserve">广西壮族自治区贵港市港北区贵港市港北区德宝大厦12楼1211号 </t>
  </si>
  <si>
    <t>玫琳凯，媛远</t>
  </si>
  <si>
    <t>E20220905193707030706147</t>
  </si>
  <si>
    <t xml:space="preserve">	18809983788</t>
  </si>
  <si>
    <t>喀什地区</t>
  </si>
  <si>
    <t>喀什市</t>
  </si>
  <si>
    <t>新疆维吾尔自治区喀什地区喀什市山水文园小区27号楼一单元122室 1 单元122室</t>
  </si>
  <si>
    <t xml:space="preserve">	17354022351</t>
  </si>
  <si>
    <t>E20220905193622048800099</t>
  </si>
  <si>
    <t xml:space="preserve">	15031590258</t>
  </si>
  <si>
    <t>E20220905193559046900029</t>
  </si>
  <si>
    <t xml:space="preserve">	4200001584202209059968334036</t>
  </si>
  <si>
    <t xml:space="preserve">	2209051936000004020205</t>
  </si>
  <si>
    <t>设计感长袖女衬衫修身气质OL时尚气质蕾丝拼接NZY-671(白色-XL)(1件)</t>
  </si>
  <si>
    <t>许哲艳</t>
  </si>
  <si>
    <t xml:space="preserve">	18019991846</t>
  </si>
  <si>
    <t>合肥市</t>
  </si>
  <si>
    <t>庐阳区</t>
  </si>
  <si>
    <t xml:space="preserve">安徽省合肥市庐阳区界首路幸福人家17栋304 </t>
  </si>
  <si>
    <t>许哲艳～专注保险业9年</t>
  </si>
  <si>
    <t>E20220905190651090706155</t>
  </si>
  <si>
    <t xml:space="preserve">	4200001540202209059815879086</t>
  </si>
  <si>
    <t xml:space="preserve">	2209051906522621570882</t>
  </si>
  <si>
    <t>纯牛皮腰带商务男款头层牛皮裤带自动扣皮带DM老人头(Z款-125cm)(1件)</t>
  </si>
  <si>
    <t>E20220908001632070800023</t>
  </si>
  <si>
    <t>新款韩版小香风西装外套女设计感时尚西装上衣16RG6608(玫红色外套-2XL（建议120-130斤）)(1件)</t>
  </si>
  <si>
    <t xml:space="preserve">	18627286086</t>
  </si>
  <si>
    <t>荆州区</t>
  </si>
  <si>
    <t>湖北省荆州市荆州区武德路万达华府 C区</t>
  </si>
  <si>
    <t>淼淼18627286086</t>
  </si>
  <si>
    <t>RG以下已排9.8</t>
  </si>
  <si>
    <t>E20220908000649070800013</t>
  </si>
  <si>
    <t>金丝绒西装秋冬新款高端气质正装西服套装16RG6613(墨绿色（西装+603喇叭裤）-2XL（建议120-130斤）)(1件)</t>
  </si>
  <si>
    <t xml:space="preserve">	14972280529</t>
  </si>
  <si>
    <t>E20220908000636045700037</t>
  </si>
  <si>
    <t>金丝绒西装秋冬新款高端气质正装西服套装16RG6613(墨绿色（西装+603喇叭裤）-M（建议90-100斤）)(1件)</t>
  </si>
  <si>
    <t xml:space="preserve">	18876735571</t>
  </si>
  <si>
    <t>澄迈县</t>
  </si>
  <si>
    <t xml:space="preserve">海南省省直辖县澄迈县文化北路西六巷16号无限极 </t>
  </si>
  <si>
    <t>小冰~美丽达人</t>
  </si>
  <si>
    <t>E20220908000338045700003</t>
  </si>
  <si>
    <t>洋气英伦风小西装套装新款HYN1655(绿色-M（建议95-105斤）)(1件)</t>
  </si>
  <si>
    <t>E20220908000239059906151</t>
  </si>
  <si>
    <t xml:space="preserve">	15193752938</t>
  </si>
  <si>
    <t>酒泉市</t>
  </si>
  <si>
    <t>玉门市</t>
  </si>
  <si>
    <t xml:space="preserve">甘肃省酒泉市玉门市甘肃省酒泉市玉门市赤金镇祈连小区 </t>
  </si>
  <si>
    <t>金钱树</t>
  </si>
  <si>
    <t>E20220908000201059906145</t>
  </si>
  <si>
    <t>【直播专属】低圆领打底衫 女士套头针织毛衣女长袖薄款YD-NJR025(草木绿-S（建议90-100斤）)(1件)</t>
  </si>
  <si>
    <t>E20220908000101070800015</t>
  </si>
  <si>
    <t>洋气英伦风小西装套装新款HYN1655(红色-2XL（建议125-130斤）)(1件)</t>
  </si>
  <si>
    <t>E20220908000008070800049</t>
  </si>
  <si>
    <t>E20220907235611059900035</t>
  </si>
  <si>
    <t>E20220907235220070800027</t>
  </si>
  <si>
    <t>YD以下订单已排9.8</t>
  </si>
  <si>
    <t>E20220907234716000006149</t>
  </si>
  <si>
    <t>气质小清新打底吊带RF33066(白色-S (建议80-90斤）)(1件)</t>
  </si>
  <si>
    <t xml:space="preserve">	15994475177</t>
  </si>
  <si>
    <t>扶绥县</t>
  </si>
  <si>
    <t xml:space="preserve">广西壮族自治区崇左市扶绥县新宁镇东林时代小区 </t>
  </si>
  <si>
    <t xml:space="preserve">	17467914966</t>
  </si>
  <si>
    <t>E20220907234638070806153</t>
  </si>
  <si>
    <t>E20220907234522070806145</t>
  </si>
  <si>
    <t>E20220907233903070800013</t>
  </si>
  <si>
    <t>【直播专属】时尚气质修身西装套10RG22989(橘色 西装+裤-2XL（建议120-130斤）)(1件)</t>
  </si>
  <si>
    <t>E20220907233635031106169</t>
  </si>
  <si>
    <t>【直播专属】时尚气质修身西装套10RG22989(橘色 西装+裤-M（建议90-100斤）)(1件)</t>
  </si>
  <si>
    <t xml:space="preserve">	13543526712</t>
  </si>
  <si>
    <t>霞山区</t>
  </si>
  <si>
    <t xml:space="preserve">广东省湛江市霞山区观海路149号观海花园 </t>
  </si>
  <si>
    <t xml:space="preserve">	加急</t>
  </si>
  <si>
    <t xml:space="preserve">	17467634509</t>
  </si>
  <si>
    <t>上衣M码，裤子发L码</t>
  </si>
  <si>
    <t>E20220907233211029406145</t>
  </si>
  <si>
    <t xml:space="preserve">	13929430198</t>
  </si>
  <si>
    <t>沙田镇</t>
  </si>
  <si>
    <t xml:space="preserve">广东省东莞市沙田镇沙田碧桂园20栋 </t>
  </si>
  <si>
    <t>hu莉</t>
  </si>
  <si>
    <t>公司发周.9.9</t>
  </si>
  <si>
    <t>E20220907232943029400089</t>
  </si>
  <si>
    <t>洋气英伦风小西装套装新款HYN1655(绿色-L（建议105-115斤）)(1件)</t>
  </si>
  <si>
    <t>绿色款不做货，已后台留言告知客户9.11</t>
  </si>
  <si>
    <t>E20220907232729068106167</t>
  </si>
  <si>
    <t>E20220907232212070806159</t>
  </si>
  <si>
    <t>新款韩版小香风西装外套女设计感时尚西装上衣16RG6608(米色外套-L（建议100-110斤）)(1件)</t>
  </si>
  <si>
    <t>莫爷</t>
  </si>
  <si>
    <t xml:space="preserve">	18606797970</t>
  </si>
  <si>
    <t>平顶山市</t>
  </si>
  <si>
    <t>舞钢市</t>
  </si>
  <si>
    <t xml:space="preserve">河南省平顶山市舞钢市寺坡街道西路老王商行 </t>
  </si>
  <si>
    <t>qinqiuqing9</t>
  </si>
  <si>
    <t>E20220907231443059900021</t>
  </si>
  <si>
    <t>积分抵现(-13.00)</t>
  </si>
  <si>
    <t>新款韩版小香风西装外套女设计感时尚西装上衣16RG6608(米色外套-2XL（建议120-130斤）)(1件)</t>
  </si>
  <si>
    <t>E20220907231246097700049</t>
  </si>
  <si>
    <t xml:space="preserve">	13899622992</t>
  </si>
  <si>
    <t>奇台县</t>
  </si>
  <si>
    <t>新疆维吾尔自治区昌吉回族自治州奇台县奇台县东风小区 3号楼一单元302</t>
  </si>
  <si>
    <t>爱乐优托育·红黄蓝-潇潇🌴</t>
  </si>
  <si>
    <t>E20220907231202097700041</t>
  </si>
  <si>
    <t>E20220907231032068606175</t>
  </si>
  <si>
    <t xml:space="preserve">	13560929518</t>
  </si>
  <si>
    <t>端州区</t>
  </si>
  <si>
    <t xml:space="preserve">广东省肇庆市端州区端州区黄岗街道星湖大道泰湖2路东盛名苑 </t>
  </si>
  <si>
    <t>QQ</t>
  </si>
  <si>
    <t>E20220907230953043200037</t>
  </si>
  <si>
    <t xml:space="preserve">	13357018311</t>
  </si>
  <si>
    <t>衢州市</t>
  </si>
  <si>
    <t>柯城区</t>
  </si>
  <si>
    <t xml:space="preserve">浙江省衢州市柯城区浙江省衢州市柯城区维多利亚香滨湾9-2-703 </t>
  </si>
  <si>
    <t>忆往昔🍁</t>
  </si>
  <si>
    <t>E20220907225911043200081</t>
  </si>
  <si>
    <t>E20220907225833049706169</t>
  </si>
  <si>
    <t>洋气时尚职业缎面衬衫设计感女士衬衣06RG6591(香槟色衬衫-L（建议100-110斤）)(1件)</t>
  </si>
  <si>
    <t xml:space="preserve">	18729389809</t>
  </si>
  <si>
    <t>未央区</t>
  </si>
  <si>
    <t xml:space="preserve">陕西省西安市未央区阿房路西坊逸品园 </t>
  </si>
  <si>
    <t>^ - ^锐</t>
  </si>
  <si>
    <t>撕单未发</t>
  </si>
  <si>
    <t>E20220907225058003300035</t>
  </si>
  <si>
    <t>【直播专属】时尚气质百搭衬衣11RG6716(黄色-L（建议100-110斤）)(1件)</t>
  </si>
  <si>
    <t xml:space="preserve">	18787008378</t>
  </si>
  <si>
    <t>新津区</t>
  </si>
  <si>
    <t xml:space="preserve">四川省成都市新津区金华镇宝峰雅庭 </t>
  </si>
  <si>
    <t>E20220907224946043400029</t>
  </si>
  <si>
    <t>【直播专属】时尚气质百搭衬衣11RG6711(白色-3XL（建议130-140斤）)(1件)</t>
  </si>
  <si>
    <t xml:space="preserve">	17547552666</t>
  </si>
  <si>
    <t>通辽市</t>
  </si>
  <si>
    <t>科尔沁区</t>
  </si>
  <si>
    <t>内蒙古自治区通辽市科尔沁区悦熙台小区 43号楼一单元302室</t>
  </si>
  <si>
    <t xml:space="preserve">	17467435123</t>
  </si>
  <si>
    <t>E20220907224901043200011</t>
  </si>
  <si>
    <t>【直播专属】时尚气质百搭衬衣11RG6711(白色-L（建议100-110斤）)(1件)</t>
  </si>
  <si>
    <t>E20220907224443095100083</t>
  </si>
  <si>
    <t>【直播专属】秋装女士气质短裙11RG1086(黑色-2XL（建议120-130斤）)(1件)</t>
  </si>
  <si>
    <t>E20220907223622016500041</t>
  </si>
  <si>
    <t>【直播专属】秋装女士气质短裙11RG1086(黑色-XL（建议110-120斤）)(1件)</t>
  </si>
  <si>
    <t xml:space="preserve">	15282321910</t>
  </si>
  <si>
    <t>淄博市</t>
  </si>
  <si>
    <t>淄川区</t>
  </si>
  <si>
    <t xml:space="preserve">山东省淄博市淄川区鑫益家园15号楼1单元602 </t>
  </si>
  <si>
    <t>念念</t>
  </si>
  <si>
    <t>E20220907223556047006181</t>
  </si>
  <si>
    <t xml:space="preserve">	13786213932</t>
  </si>
  <si>
    <t xml:space="preserve">湖南省湘潭市韶山市韶山乡竹鸡塅阳光水岸韶峰批发部 </t>
  </si>
  <si>
    <t>已排9.8</t>
  </si>
  <si>
    <t>E20220907223334077306145</t>
  </si>
  <si>
    <t xml:space="preserve">	18826347389</t>
  </si>
  <si>
    <t>韶关市</t>
  </si>
  <si>
    <t>武江区</t>
  </si>
  <si>
    <t xml:space="preserve">广东省韶关市武江区碧水花城枫合汇18楼鑫威课 </t>
  </si>
  <si>
    <t>柯梦泽(柯春燕)13178443768</t>
  </si>
  <si>
    <t>E20220907222543016500035</t>
  </si>
  <si>
    <t>E20220907222537043400005</t>
  </si>
  <si>
    <t>E20220907221920016500003</t>
  </si>
  <si>
    <t>E20220907221727016500027</t>
  </si>
  <si>
    <t>E20220907221721039300043</t>
  </si>
  <si>
    <t xml:space="preserve">	4200001575202209074479181512</t>
  </si>
  <si>
    <t xml:space="preserve">	2209072217390000620856</t>
  </si>
  <si>
    <t>积分抵现(-12.00)</t>
  </si>
  <si>
    <t>七分袖减龄夏季薄款西装套装小个子职业气质套装62RG8617B(杏色西装+裤子-XXL)(1件)</t>
  </si>
  <si>
    <t xml:space="preserve">	15172761023</t>
  </si>
  <si>
    <t>随州市</t>
  </si>
  <si>
    <t>曾都区</t>
  </si>
  <si>
    <t xml:space="preserve">湖北省随州市曾都区新天地花园平安人寿二楼张达部 </t>
  </si>
  <si>
    <t>E20220907221111083200035</t>
  </si>
  <si>
    <t>高级感盐系名媛时尚洋气职业西装10RG22966(22966橄榄色西服+22266裤+22566橄榄色马甲-XL（建议110-120斤）)(1件)</t>
  </si>
  <si>
    <t xml:space="preserve">	18898698197</t>
  </si>
  <si>
    <t xml:space="preserve">湖南省邵阳市新邵县城市花园23栋一单元601 </t>
  </si>
  <si>
    <t xml:space="preserve">	14487385305</t>
  </si>
  <si>
    <t>E20220907220808095800005</t>
  </si>
  <si>
    <t>时尚气质宽松直筒裤HYN6645(黑色-2XL（建议120-130斤）)(1件)</t>
  </si>
  <si>
    <t xml:space="preserve">	15697560948</t>
  </si>
  <si>
    <t xml:space="preserve">广东省珠海市香洲区格力康乐园一期1栋508 </t>
  </si>
  <si>
    <t>E20220907220701053700023</t>
  </si>
  <si>
    <t>E20220907220609007600039</t>
  </si>
  <si>
    <t xml:space="preserve">	13713659484</t>
  </si>
  <si>
    <t xml:space="preserve">广东省深圳市福田区长宝路与瑞香道交叉口东北方向57米 宝瑞轩-福祥阁 </t>
  </si>
  <si>
    <t xml:space="preserve">	17466832210</t>
  </si>
  <si>
    <t>E20220907220533053700017</t>
  </si>
  <si>
    <t>【直播专属】时尚气质修身西装套10RG22989(橘色 西装+裤-3XL（建议130-140斤）)(1件)</t>
  </si>
  <si>
    <t>E20220907220459097900075</t>
  </si>
  <si>
    <t>无痕压胶男士商务竹纤维休闲衬衣YM-589-1(589-5-38)(1件)</t>
  </si>
  <si>
    <t xml:space="preserve">	18768761505</t>
  </si>
  <si>
    <t>六盘水市</t>
  </si>
  <si>
    <t>盘州市</t>
  </si>
  <si>
    <t xml:space="preserve">贵州省六盘水市盘州市两河新区老机场圆通快递 </t>
  </si>
  <si>
    <t>许多文化走进思想</t>
  </si>
  <si>
    <t>E20220907220458053700075</t>
  </si>
  <si>
    <t>【直播专属】时尚气质修身西装套10RG22989(橘色 西装+裤-L（建议100-110斤）)(1件)</t>
  </si>
  <si>
    <t>E20220907220303097900007</t>
  </si>
  <si>
    <t>E20220907215949039700029</t>
  </si>
  <si>
    <t>高级感盐系名媛时尚洋气职业西装10RG22966(22966绿色西服+22266裤+22566绿色马甲-L（建议100-110斤）)(1件)</t>
  </si>
  <si>
    <t xml:space="preserve">	18936137111</t>
  </si>
  <si>
    <t>台州市</t>
  </si>
  <si>
    <t>仙居县</t>
  </si>
  <si>
    <t xml:space="preserve">浙江省台州市仙居县白塔镇高迁上屋村 观景商务宾馆 </t>
  </si>
  <si>
    <t>轨道18936137111</t>
  </si>
  <si>
    <t>E20220907215928080500095</t>
  </si>
  <si>
    <t>高级感盐系名媛时尚洋气职业西装10RG22966(22966宝蓝色西服+22266裤+22566宝蓝色马甲-XXL（建议120-130斤）)(1件)</t>
  </si>
  <si>
    <t>E20220907215641072506173</t>
  </si>
  <si>
    <t>高级定制款女士西装套LYH9910(深咖 西装+裤子-165/L)(1件)</t>
  </si>
  <si>
    <t xml:space="preserve">	13991058292</t>
  </si>
  <si>
    <t>咸阳市</t>
  </si>
  <si>
    <t>秦都区</t>
  </si>
  <si>
    <t xml:space="preserve">陕西省咸阳市秦都区陕西省秦都区西兰路大秦御港城 </t>
  </si>
  <si>
    <t xml:space="preserve">	L</t>
  </si>
  <si>
    <t>友缘</t>
  </si>
  <si>
    <t>已下单代发周9.8</t>
  </si>
  <si>
    <t>E20220907215402072500061</t>
  </si>
  <si>
    <t>E20220907214823032900003</t>
  </si>
  <si>
    <t>高级定制款女士西装套LYH9910(黑色 西装+裤子-175/XXL)(1件)</t>
  </si>
  <si>
    <t xml:space="preserve">	17869807518</t>
  </si>
  <si>
    <t>安宁市</t>
  </si>
  <si>
    <t xml:space="preserve">云南省昆明市安宁市金方街道龙旺润泽园 </t>
  </si>
  <si>
    <t xml:space="preserve">	衣服XL，裤子XXL</t>
  </si>
  <si>
    <t>花仙子</t>
  </si>
  <si>
    <t>下单代发周9.8</t>
  </si>
  <si>
    <t>E20220907213405053706147</t>
  </si>
  <si>
    <t>新款休闲正装气质高端职业女士西服套装05RG9902(灰色西装+灰色西裤-XL（建议110-120斤）)(1件)</t>
  </si>
  <si>
    <t>E20220907213314080500079</t>
  </si>
  <si>
    <t>新款休闲正装气质高端职业女士西服套装05RG9902(灰色西装+灰色西裤-XXL（建议120-130斤）)(1件)</t>
  </si>
  <si>
    <t>E20220907212726047000029</t>
  </si>
  <si>
    <t>已排</t>
  </si>
  <si>
    <t>E20220907212511023200029</t>
  </si>
  <si>
    <t>雷嫔</t>
  </si>
  <si>
    <t xml:space="preserve">	13607342784</t>
  </si>
  <si>
    <t>望城区</t>
  </si>
  <si>
    <t xml:space="preserve">湖南省长沙市望城区月亮岛街道 杨丰社区 勤诚达新界 </t>
  </si>
  <si>
    <t>雨后彩虹</t>
  </si>
  <si>
    <t>E20220907212219023200015</t>
  </si>
  <si>
    <t>E20220907212021058600089</t>
  </si>
  <si>
    <t xml:space="preserve">	13782852934</t>
  </si>
  <si>
    <t>焦作市</t>
  </si>
  <si>
    <t>武陟县</t>
  </si>
  <si>
    <t xml:space="preserve">河南省焦作市武陟县马村四号院 </t>
  </si>
  <si>
    <t>李富云13782852934</t>
  </si>
  <si>
    <t>E20220907212019023200019</t>
  </si>
  <si>
    <t>秋冬厚款时尚气质中长款风衣女士修身显瘦长袖外套01RG1032(黑色-2XL（建议120-130斤）)(1件)</t>
  </si>
  <si>
    <t>E20220907211419061400053</t>
  </si>
  <si>
    <t xml:space="preserve">	15094796078</t>
  </si>
  <si>
    <t>泰安市</t>
  </si>
  <si>
    <t>宁阳县</t>
  </si>
  <si>
    <t xml:space="preserve">山东省泰安市宁阳县蒋集镇彩山大街东首友邦田园 </t>
  </si>
  <si>
    <t>红袖</t>
  </si>
  <si>
    <t>E20220907211406080700009</t>
  </si>
  <si>
    <t xml:space="preserve">	13769024512</t>
  </si>
  <si>
    <t>丽江市</t>
  </si>
  <si>
    <t>华坪县</t>
  </si>
  <si>
    <t xml:space="preserve">云南省丽江市华坪县荣将镇鑫华苑 </t>
  </si>
  <si>
    <t>秋水易寒</t>
  </si>
  <si>
    <t>E20220907211348047000035</t>
  </si>
  <si>
    <t>E20220907211000047006175</t>
  </si>
  <si>
    <t>E20220907210929080706193</t>
  </si>
  <si>
    <t>E20220907210912007600073</t>
  </si>
  <si>
    <t>E20220907210910032900045</t>
  </si>
  <si>
    <t xml:space="preserve">	衣服给我发XL，裤子给我发XXL，可以吗？</t>
  </si>
  <si>
    <t>上衣XL，裤子XXL，2-3天出货，已后台留言告知客户9.9</t>
  </si>
  <si>
    <t>E20220907210717025900037</t>
  </si>
  <si>
    <t>洋气英伦风小西装套装新款HYN1655(杏色-XL（建议115-125斤）)(1件)</t>
  </si>
  <si>
    <t xml:space="preserve">	18327861288</t>
  </si>
  <si>
    <t>湖北省黄石市阳新县铁辅路与下雉大道交叉口附近太阳城3期·状元府菜鸟驿站 太阳城三期进士第优居房产</t>
  </si>
  <si>
    <t>momo</t>
  </si>
  <si>
    <t>E20220907210132095100093</t>
  </si>
  <si>
    <t>E20220907205830022800041</t>
  </si>
  <si>
    <t xml:space="preserve">	13011996616</t>
  </si>
  <si>
    <t>泊头市</t>
  </si>
  <si>
    <t xml:space="preserve">河北省沧州市泊头市检察院  裕华路 </t>
  </si>
  <si>
    <t xml:space="preserve">	17467046479</t>
  </si>
  <si>
    <t>E20220907204858038900009</t>
  </si>
  <si>
    <t>【直播专属】高级感暗纹西装套装 时尚气质修身西服正装02RG6201(白色西装+白色西裤-M（建议90-100斤）)(1件)</t>
  </si>
  <si>
    <t xml:space="preserve">	15889720936</t>
  </si>
  <si>
    <t xml:space="preserve">广东省深圳市宝安区航城街道后瑞村南一巷84号 </t>
  </si>
  <si>
    <t xml:space="preserve">	记得赠运费险</t>
  </si>
  <si>
    <t>睿彤（钟李霄）</t>
  </si>
  <si>
    <t>E20220907204650041100095</t>
  </si>
  <si>
    <t xml:space="preserve">	4200001587202209070162416125</t>
  </si>
  <si>
    <t xml:space="preserve">	2209072046510002720082</t>
  </si>
  <si>
    <t>经典爆款英伦风偏小半码S-4XL时尚女士职业套装西装NZY-1712(黑色外套+裤子-4XL)(1件)</t>
  </si>
  <si>
    <t>崔双玉</t>
  </si>
  <si>
    <t xml:space="preserve">	15201027852</t>
  </si>
  <si>
    <t>朝阳区</t>
  </si>
  <si>
    <t xml:space="preserve">北京市北京市朝阳区北京市朝阳区广渠路66号百环家园西区4号楼快递驿站 </t>
  </si>
  <si>
    <t>E20220907204647025900023</t>
  </si>
  <si>
    <t>E20220907204028032900021</t>
  </si>
  <si>
    <t>改白色。莫9.7 正确单号772018176937118</t>
  </si>
  <si>
    <t>E20220907203953025900013</t>
  </si>
  <si>
    <t>E20220907203718032906153</t>
  </si>
  <si>
    <t>【直播专属】时尚气质修身西装套10RG22989(橘色 西装+裤-XL（建议110-120斤）)(1件)</t>
  </si>
  <si>
    <t>裤子发XXL，衣服发XL，莫9.7</t>
  </si>
  <si>
    <t>E20220907203652025900049</t>
  </si>
  <si>
    <t>客户要改成L码</t>
  </si>
  <si>
    <t>E20220907202955025900043</t>
  </si>
  <si>
    <t>【直播专属】高级感暗纹西装套装 时尚气质修身西服正装02RG6201(白色西装+白色西裤-2XL（建议120-130斤）)(1件)</t>
  </si>
  <si>
    <t>E20220907202353053700091</t>
  </si>
  <si>
    <t>E20220907202327032906145</t>
  </si>
  <si>
    <t>E20220907202239038306165</t>
  </si>
  <si>
    <t xml:space="preserve">	18155745338</t>
  </si>
  <si>
    <t>宿州市</t>
  </si>
  <si>
    <t>埇桥区</t>
  </si>
  <si>
    <t xml:space="preserve">安徽省宿州市埇桥区东方明珠小区A3栋602室 </t>
  </si>
  <si>
    <t>E20220907202208025900029</t>
  </si>
  <si>
    <t>E20220907201357094706187</t>
  </si>
  <si>
    <t>E20220907201326046400053</t>
  </si>
  <si>
    <t>E20220907201306052506169</t>
  </si>
  <si>
    <t xml:space="preserve">	19178453931</t>
  </si>
  <si>
    <t>贺州市</t>
  </si>
  <si>
    <t>八步区</t>
  </si>
  <si>
    <t xml:space="preserve">广西壮族自治区贺州市八步区城东街道嘉年豪庭3栋商铺，太氧谷硅藻泥店里 </t>
  </si>
  <si>
    <t>张晓鹏～平安保险19178453931</t>
  </si>
  <si>
    <t>E20220907201008080200051</t>
  </si>
  <si>
    <t xml:space="preserve">	13706679163</t>
  </si>
  <si>
    <t>温州市</t>
  </si>
  <si>
    <t>龙湾区</t>
  </si>
  <si>
    <t xml:space="preserve">浙江省温州市龙湾区永中街道宏联佳园11幢1单元1603室 </t>
  </si>
  <si>
    <t>多多多</t>
  </si>
  <si>
    <t>E20220907195914087700081</t>
  </si>
  <si>
    <t xml:space="preserve">	15819155382</t>
  </si>
  <si>
    <t>阳东区</t>
  </si>
  <si>
    <t xml:space="preserve">广东省阳江市阳东区东城镇广雅路恒大帝景3栋 </t>
  </si>
  <si>
    <t>阿娜</t>
  </si>
  <si>
    <t>E20220907195749032900045</t>
  </si>
  <si>
    <t>正确单号772018176937118</t>
  </si>
  <si>
    <t>E20220907195350025300073</t>
  </si>
  <si>
    <t xml:space="preserve">	18659294327</t>
  </si>
  <si>
    <t xml:space="preserve">福建省厦门市海沧区厦门嵘源日用品有限公司(厦门市海沧区) </t>
  </si>
  <si>
    <t>E20220907195043052600083</t>
  </si>
  <si>
    <t xml:space="preserve">	13754620573</t>
  </si>
  <si>
    <t>威海市</t>
  </si>
  <si>
    <t>环翠区</t>
  </si>
  <si>
    <t>山东省威海市环翠区草庙子 上河小镇</t>
  </si>
  <si>
    <t>E20220907194858078900073</t>
  </si>
  <si>
    <t>洪山区</t>
  </si>
  <si>
    <t xml:space="preserve">湖北省武汉市洪山区雄楚大街918号长江职业学院北一舍1栋2单元202 </t>
  </si>
  <si>
    <t>E20220907194854005500085</t>
  </si>
  <si>
    <t>E20220907194842014506189</t>
  </si>
  <si>
    <t>E20220910010546024406151</t>
  </si>
  <si>
    <t xml:space="preserve">	13766158096</t>
  </si>
  <si>
    <t xml:space="preserve">吉林省通化市梅河口市银河大街1540号诺石足疗 </t>
  </si>
  <si>
    <t>兰兰</t>
  </si>
  <si>
    <t>E20220910010511101200061</t>
  </si>
  <si>
    <t>上衣气质通勤打底长袖蝴蝶结印花衬衫NZY-NH1201(白色-3XL)(1件)</t>
  </si>
  <si>
    <t xml:space="preserve">	13651088176</t>
  </si>
  <si>
    <t>海淀区</t>
  </si>
  <si>
    <t>北京市北京市海淀区蓝靛厂南路39号玫瑰御园 4-3-102</t>
  </si>
  <si>
    <t>已排9.11</t>
  </si>
  <si>
    <t>E20220910010428024406163</t>
  </si>
  <si>
    <t>E20220910005841090000079</t>
  </si>
  <si>
    <t xml:space="preserve">	18927337450</t>
  </si>
  <si>
    <t xml:space="preserve">广东省惠州市惠城区水口华乐红1单元1807 </t>
  </si>
  <si>
    <t>庄彩梅18927337450</t>
  </si>
  <si>
    <t>E20220910005613059200027</t>
  </si>
  <si>
    <t>E20220910005611033700095</t>
  </si>
  <si>
    <t>【直播专属】时尚气质修身西装套10RG22989(橘色 西装+裤-S（建议80-90斤）)(1件)</t>
  </si>
  <si>
    <t xml:space="preserve">	13925033248</t>
  </si>
  <si>
    <t xml:space="preserve">广东省广州市海珠区滨江东路康怡街6号海雅楼502 </t>
  </si>
  <si>
    <t xml:space="preserve">	17480948006</t>
  </si>
  <si>
    <t>拍小了，改成发M码</t>
  </si>
  <si>
    <t>E20220910005514030706165</t>
  </si>
  <si>
    <t>牛油果绿长袖职业套装时尚气质小西装女显瘦西服套装11RG9671(米色西装＋裤-L)(1件)</t>
  </si>
  <si>
    <t xml:space="preserve">	18079553278</t>
  </si>
  <si>
    <t>靖安县</t>
  </si>
  <si>
    <t xml:space="preserve">江西省宜春市靖安县海力华庭3栋一单元501 </t>
  </si>
  <si>
    <t>罗小英（新时代风险管理师）</t>
  </si>
  <si>
    <t>E20220910004709010300111</t>
  </si>
  <si>
    <t>微信视频号</t>
  </si>
  <si>
    <t xml:space="preserve">	13872883601</t>
  </si>
  <si>
    <t xml:space="preserve">湖北省随州市曾都区东城街道湖岸新城24栋 </t>
  </si>
  <si>
    <t xml:space="preserve">	15079775971</t>
  </si>
  <si>
    <t>E20220910004432097600077</t>
  </si>
  <si>
    <t>高级定制款女士西装套LYH9910(高级灰 西装+裤子-165/L)(1件)</t>
  </si>
  <si>
    <t>雷虎</t>
  </si>
  <si>
    <t xml:space="preserve">	18099621472</t>
  </si>
  <si>
    <t>乌鲁木齐市</t>
  </si>
  <si>
    <t>新市区</t>
  </si>
  <si>
    <t xml:space="preserve">新疆维吾尔自治区乌鲁木齐市新市区鲤鱼山北路509号紫煜臻城小区27-2 </t>
  </si>
  <si>
    <t>涵迟</t>
  </si>
  <si>
    <t>E20220910004412051106175</t>
  </si>
  <si>
    <t>高级定制款女士西装套LYH9910(高级灰 西装+裤子-175/XXL)(1件)</t>
  </si>
  <si>
    <t xml:space="preserve">	18974839913</t>
  </si>
  <si>
    <t>开福区</t>
  </si>
  <si>
    <t>湖南省长沙市开福区湘江世纪城聚江苑 6栋</t>
  </si>
  <si>
    <t>下单代发周</t>
  </si>
  <si>
    <t>E20220910004302000000075</t>
  </si>
  <si>
    <t>时尚洋气职业气质中长款包臀鱼尾裙HYN1088(黑色-M（建议90-100斤）)(1件)</t>
  </si>
  <si>
    <t>E20220910004137051106219</t>
  </si>
  <si>
    <t>E20220910003955088700057</t>
  </si>
  <si>
    <t>时尚洋气职业气质中长款包臀鱼尾裙HYN1088(黑色-L（建议100-110斤）)(1件)</t>
  </si>
  <si>
    <t xml:space="preserve">	18610212107</t>
  </si>
  <si>
    <t>门头沟区</t>
  </si>
  <si>
    <t xml:space="preserve">北京市北京市门头沟区永定地区云梦嘉苑2号楼一单元1505 </t>
  </si>
  <si>
    <t xml:space="preserve">	15079691884</t>
  </si>
  <si>
    <t>E20220910003948091100067</t>
  </si>
  <si>
    <t>上衣气质通勤打底长袖蝴蝶结印花衬衫NZY-NH1201(白色-4XL)(1件)</t>
  </si>
  <si>
    <t xml:space="preserve">	13503061525</t>
  </si>
  <si>
    <t>白云区</t>
  </si>
  <si>
    <t xml:space="preserve">广东省广州市白云区松洲街道增槎路518号盈大科创园外12档六荣冻品商行 </t>
  </si>
  <si>
    <t>E20220910003755091106171</t>
  </si>
  <si>
    <t>黑色缎面长袖衬衫女洋气系带蝴蝶结雪纺职业衬衣HYN2153(黑色衬衫-4XL（建议140-150斤）)(1件)</t>
  </si>
  <si>
    <t>E20220910003723091100111</t>
  </si>
  <si>
    <t xml:space="preserve">广东省广州市花都区狮岭镇大道东1号御华园10栋2704 </t>
  </si>
  <si>
    <t>E20220910003630101200067</t>
  </si>
  <si>
    <t>E20220910003530091100043</t>
  </si>
  <si>
    <t>【直播专属】气质时尚职业衬衫11RG6726(米色-4XL（建议140-150斤）)(1件)</t>
  </si>
  <si>
    <t>E20220910003306000000013</t>
  </si>
  <si>
    <t>【直播专属】时尚气质百搭衬衣11RG6711(白色-S（建议80-90斤）)(1件)</t>
  </si>
  <si>
    <t>E20220910003026017406185</t>
  </si>
  <si>
    <t>高级定制款商务女士西装套装LYH9913(9913 四扣-高级灰 西装+裤-160/M)(1件)</t>
  </si>
  <si>
    <t xml:space="preserve">	18602896628</t>
  </si>
  <si>
    <t>武侯区</t>
  </si>
  <si>
    <t xml:space="preserve">四川省成都市武侯区天府一街616号三栋二单元 </t>
  </si>
  <si>
    <t xml:space="preserve">	15079687686</t>
  </si>
  <si>
    <t>下单代发</t>
  </si>
  <si>
    <t>E20220910002319006906189</t>
  </si>
  <si>
    <t xml:space="preserve">	18681227670</t>
  </si>
  <si>
    <t>龙泉驿区</t>
  </si>
  <si>
    <t xml:space="preserve">四川省成都市龙泉驿区洪河大道中路北段上东阳光3期 </t>
  </si>
  <si>
    <t>平安黄美洪绿洲沙棘&amp;简单就是美</t>
  </si>
  <si>
    <t>E20220910001656045700003</t>
  </si>
  <si>
    <t>卡其色风衣套装 中长款高级感西装套19RG9135(孔雀蓝外套+裤子-M（建议90-100斤）)(1件)</t>
  </si>
  <si>
    <t>E20220910001527101200117</t>
  </si>
  <si>
    <t>【直播专属】时尚气质修身西装套10RG22989(孔雀蓝 西装+裤-2XL（建议120-130斤）)(1件)</t>
  </si>
  <si>
    <t>E20220910001224074106197</t>
  </si>
  <si>
    <t>【直播专属】时尚气质修身西装套10RG22989(橘色 西装+裤-4XL（建议140-150斤）)(1件)</t>
  </si>
  <si>
    <t xml:space="preserve">	13761269637</t>
  </si>
  <si>
    <t>浦东新区</t>
  </si>
  <si>
    <t xml:space="preserve">上海市上海市浦东新区新川路209弄10号203室 </t>
  </si>
  <si>
    <t xml:space="preserve">	17480936460</t>
  </si>
  <si>
    <t>E20220910000652089300057</t>
  </si>
  <si>
    <t>【直播专属】时尚气质修身西装套10RG22989(孔雀蓝 西装+裤-4XL（建议140-150斤）)(1件)</t>
  </si>
  <si>
    <t xml:space="preserve">	13261660638</t>
  </si>
  <si>
    <t xml:space="preserve">北京市北京市朝阳区北京市朝阳区广渠路百环家园17号楼妈妈驿站 </t>
  </si>
  <si>
    <t>田秋艳（康怡养生养老庄园）</t>
  </si>
  <si>
    <t xml:space="preserve">	15835750846</t>
  </si>
  <si>
    <t>E20220910000441025806223</t>
  </si>
  <si>
    <t>吴燕华</t>
  </si>
  <si>
    <t xml:space="preserve">	15897634032</t>
  </si>
  <si>
    <t>广水市</t>
  </si>
  <si>
    <t xml:space="preserve">湖北省随州市广水市应山街道航空南路菜鸟驿站 </t>
  </si>
  <si>
    <t xml:space="preserve">	15079497341</t>
  </si>
  <si>
    <t>E20220910000355074106223</t>
  </si>
  <si>
    <t>E20220909235319014900115</t>
  </si>
  <si>
    <t xml:space="preserve">	15675143145</t>
  </si>
  <si>
    <t xml:space="preserve">湖南省湘潭市湘潭县君逸华庭三楼太平洋 </t>
  </si>
  <si>
    <t>刘璐菁一个把保险作为终身事业的人</t>
  </si>
  <si>
    <t>E20220909235216088400015</t>
  </si>
  <si>
    <t xml:space="preserve">	15817280913</t>
  </si>
  <si>
    <t xml:space="preserve">广东省深圳市龙岗区龙城街道名居广场3Ｂ1406 </t>
  </si>
  <si>
    <t xml:space="preserve">	15079584461</t>
  </si>
  <si>
    <t>E20220909234903039606147</t>
  </si>
  <si>
    <t xml:space="preserve">	15954534593</t>
  </si>
  <si>
    <t>芝罘区</t>
  </si>
  <si>
    <t>山东省烟台市芝罘区楚毓路2号1号楼3103 只楚街道</t>
  </si>
  <si>
    <t>E20220909234622039600017</t>
  </si>
  <si>
    <t>E20220909234312101200021</t>
  </si>
  <si>
    <t xml:space="preserve">北京市北京市海淀区蓝靛厂南路玫瑰御园4-3-102 </t>
  </si>
  <si>
    <t>E20220909234312084500043</t>
  </si>
  <si>
    <t>洋气英伦风小西装套装新款HYN1655(蓝色 西装+西裤-2XL（建议125-130斤）)(1件)</t>
  </si>
  <si>
    <t xml:space="preserve">	13922282910</t>
  </si>
  <si>
    <t>雨花区</t>
  </si>
  <si>
    <t xml:space="preserve">湖南省长沙市雨花区东二环一段678号 </t>
  </si>
  <si>
    <t xml:space="preserve">	14864077258</t>
  </si>
  <si>
    <t>E20220909234203044000021</t>
  </si>
  <si>
    <t xml:space="preserve">	18964705821</t>
  </si>
  <si>
    <t>黄浦区</t>
  </si>
  <si>
    <t xml:space="preserve">上海市上海市黄浦区南京东路街道北京西路199号405室 </t>
  </si>
  <si>
    <t>俞丽鸣福布斯中国百强保险精英</t>
  </si>
  <si>
    <t>E20220909234102005706173</t>
  </si>
  <si>
    <t xml:space="preserve">	15079488989</t>
  </si>
  <si>
    <t>E20220909234014097200055</t>
  </si>
  <si>
    <t xml:space="preserve">	17725617231</t>
  </si>
  <si>
    <t xml:space="preserve">广东省佛山市顺德区伦教世纪路华海大厦4座1002 </t>
  </si>
  <si>
    <t>平安保险王贤玉（MDRT会员）</t>
  </si>
  <si>
    <t xml:space="preserve">	18144723968</t>
  </si>
  <si>
    <t>E20220909233851014800131</t>
  </si>
  <si>
    <t>【直播专属】时尚气质修身西装套10RG22989(粉色 西装+裤-2XL（建议120-130斤）)(1件)</t>
  </si>
  <si>
    <t>E20220909233340051100091</t>
  </si>
  <si>
    <t>E20220909232450042506161</t>
  </si>
  <si>
    <t xml:space="preserve">	4200001566202209097781954836</t>
  </si>
  <si>
    <t xml:space="preserve">	2209092324510001220020</t>
  </si>
  <si>
    <t>文雅流行百搭连衣裙06RG2106(深蓝色-4XL（建议140-150斤）)(1件)</t>
  </si>
  <si>
    <t>王雪琼</t>
  </si>
  <si>
    <t xml:space="preserve">	15880896368</t>
  </si>
  <si>
    <t xml:space="preserve">福建省泉州市鲤城区金龙街道金峰社区御景嘉园3栋1801室 </t>
  </si>
  <si>
    <t>Dream</t>
  </si>
  <si>
    <t>E20220909232306029006173</t>
  </si>
  <si>
    <t>【直播专属】时尚气质修身西装套10RG22989(粉色 西装+裤-L（建议100-110斤）)(1件);【直播专属】高级感暗纹西装套装 时尚气质修身西服正装02RG6201(橙色西装＋橙色西裤-L（建议100-110斤）)(1件);新款休闲正装气质高端职业女士西服套装05RG9902(灰色西装+灰色西裤-L（建议100-110斤）)(1件)</t>
  </si>
  <si>
    <t>金平区</t>
  </si>
  <si>
    <t xml:space="preserve">广东省汕头市金平区鮀江街道大学路243号汕头大学 </t>
  </si>
  <si>
    <t>E20220909230819089700097</t>
  </si>
  <si>
    <t xml:space="preserve">	13794950668</t>
  </si>
  <si>
    <t>南城街道办事处</t>
  </si>
  <si>
    <t xml:space="preserve">广东省东莞市南城街道办事处宏远社区汇龙湾四栋一单元3203 </t>
  </si>
  <si>
    <t xml:space="preserve">	我之前买了会员的，为什么没有会员价！</t>
  </si>
  <si>
    <t>徐燕倩⁴ ¹ ³</t>
  </si>
  <si>
    <t>改成粉色</t>
  </si>
  <si>
    <t>E20220909230611037600041</t>
  </si>
  <si>
    <t xml:space="preserve">	15019201885</t>
  </si>
  <si>
    <t xml:space="preserve">广东省深圳市宝安区宝安区石岩街道宏发世纪花园1栋1单元803室 </t>
  </si>
  <si>
    <t>静能生慧</t>
  </si>
  <si>
    <t>E20220909230204039606207</t>
  </si>
  <si>
    <t>E20220909225612006706185</t>
  </si>
  <si>
    <t>【直播专属】时尚气质修身西装套10RG22989(黑色 西装+裤-L（建议100-110斤）)(1件)</t>
  </si>
  <si>
    <t xml:space="preserve">	13935446853</t>
  </si>
  <si>
    <t xml:space="preserve">山西省晋中市寿阳县宏源小区4-3-501 </t>
  </si>
  <si>
    <t>E20220909225158006700099</t>
  </si>
  <si>
    <t>新款休闲正装气质高端职业女士西服套装05RG9902(黑色西装+黑色西裤-L（建议100-110斤）)(1件)</t>
  </si>
  <si>
    <t>E20220909224607028300101</t>
  </si>
  <si>
    <t>【直播专属】时尚气质修身西装套10RG22989(孔雀蓝 西装+裤-L（建议100-110斤）)(1件)</t>
  </si>
  <si>
    <t xml:space="preserve">	13883968126</t>
  </si>
  <si>
    <t>巴南区</t>
  </si>
  <si>
    <t xml:space="preserve">重庆市重庆市巴南区龙洲湾街道龙洲大道100号 </t>
  </si>
  <si>
    <t xml:space="preserve">	15078878557</t>
  </si>
  <si>
    <t>E20220909224226006700085</t>
  </si>
  <si>
    <t>E20220909223623086700025</t>
  </si>
  <si>
    <t>新款休闲正装气质高端职业女士西服套装05RG9902(蓝色西装+蓝色西裤-XXXL（建议130-140斤）)(1件)</t>
  </si>
  <si>
    <t xml:space="preserve">	13782759891</t>
  </si>
  <si>
    <t>解放区</t>
  </si>
  <si>
    <t xml:space="preserve">河南省焦作市解放区丰收中路消防队西邻消防巷人事局家属院 </t>
  </si>
  <si>
    <t>哈哈</t>
  </si>
  <si>
    <t xml:space="preserve">	17539181157</t>
  </si>
  <si>
    <t>E20220909223447019700107</t>
  </si>
  <si>
    <t>新款休闲正装气质高端职业女士西服套装05RG9902(黑色西装+黑色西裤-XL（建议110-120斤）)(1件)</t>
  </si>
  <si>
    <t>改成L码</t>
  </si>
  <si>
    <t>E20220909222531086700099</t>
  </si>
  <si>
    <t>积分抵现(-11.00)</t>
  </si>
  <si>
    <t>高级感盐系名媛时尚洋气职业西装10RG22966(22966橄榄色西服+22266裤+22566橄榄色马甲-XXXXL（建议140-150斤）)(1件)</t>
  </si>
  <si>
    <t>E20220909222215086706187</t>
  </si>
  <si>
    <t>卡其色风衣套装 中长款高级感西装套19RG9135(孔雀蓝外套+裤子-4XL（建议140-150斤）)(1件)</t>
  </si>
  <si>
    <t>E20220909222024010800081</t>
  </si>
  <si>
    <t xml:space="preserve">	13326382456</t>
  </si>
  <si>
    <t>招远市</t>
  </si>
  <si>
    <t>山东省烟台市招远市金凤花园 金凤花园52号</t>
  </si>
  <si>
    <t>中国人寿唐金敏</t>
  </si>
  <si>
    <t>E20220909221225046200129</t>
  </si>
  <si>
    <t>【直播专属】时尚气质修身西装套10RG22989(粉色 西装+裤-S（建议80-90斤）)(1件)</t>
  </si>
  <si>
    <t>E20220909220751016306197</t>
  </si>
  <si>
    <t xml:space="preserve">	18357501995</t>
  </si>
  <si>
    <t>绍兴市</t>
  </si>
  <si>
    <t>越城区</t>
  </si>
  <si>
    <t xml:space="preserve">浙江省绍兴市越城区永成天御湾6栋2304 </t>
  </si>
  <si>
    <t xml:space="preserve">	14970298387</t>
  </si>
  <si>
    <t>E20220909215522060100069</t>
  </si>
  <si>
    <t xml:space="preserve">	13760408676</t>
  </si>
  <si>
    <t xml:space="preserve">广东省深圳市福田区梅林一村60栋701 </t>
  </si>
  <si>
    <t xml:space="preserve">	15078784791</t>
  </si>
  <si>
    <t>E20220909215055063906159</t>
  </si>
  <si>
    <t xml:space="preserve">	15588883273</t>
  </si>
  <si>
    <t xml:space="preserve">山东省济南市槐荫区美里湖街道美里路邹庄新村13号楼1单元1404 </t>
  </si>
  <si>
    <t>AAA天安保险～刘丽</t>
  </si>
  <si>
    <t>E20220909214858049706161</t>
  </si>
  <si>
    <t>洋气时尚职业缎面衬衫设计感女士衬衣06RG6591(白色衬衫-L（建议100-110斤）)(1件)</t>
  </si>
  <si>
    <t>E20220909214706007400029</t>
  </si>
  <si>
    <t>E20220909214656060106159</t>
  </si>
  <si>
    <t>E20220909213538017406165</t>
  </si>
  <si>
    <t xml:space="preserve">	13327132110</t>
  </si>
  <si>
    <t>阿拉善盟</t>
  </si>
  <si>
    <t>阿拉善左旗</t>
  </si>
  <si>
    <t xml:space="preserve">内蒙古自治区阿拉善盟阿拉善左旗西关新村11号楼3单元201 </t>
  </si>
  <si>
    <t>泰康人寿许晨</t>
  </si>
  <si>
    <t>E20220909213515046700133</t>
  </si>
  <si>
    <t xml:space="preserve">	13577267189</t>
  </si>
  <si>
    <t xml:space="preserve">云南省大理白族自治州大理市北市区玉海豪庭B区 </t>
  </si>
  <si>
    <t>何军13577267189</t>
  </si>
  <si>
    <t>E20220909213248033900001</t>
  </si>
  <si>
    <t xml:space="preserve">	15273136588</t>
  </si>
  <si>
    <t>芙蓉区</t>
  </si>
  <si>
    <t xml:space="preserve">湖南省长沙市芙蓉区嘉雨路110号天伦公寓 </t>
  </si>
  <si>
    <t>黄凤姣15273136588</t>
  </si>
  <si>
    <t>E20220909213159017500065</t>
  </si>
  <si>
    <t>针织罗纹弹力打底衫RF33099(白色-S (建议80-90斤）)(1件)</t>
  </si>
  <si>
    <t>E20220909212600048400039</t>
  </si>
  <si>
    <t xml:space="preserve">	13562297345</t>
  </si>
  <si>
    <t>东营市</t>
  </si>
  <si>
    <t>垦利区</t>
  </si>
  <si>
    <t xml:space="preserve">山东省东营市垦利区垦利万福佳苑 </t>
  </si>
  <si>
    <t>爱出者爱返  福往者福来</t>
  </si>
  <si>
    <t>E20220909212012003300003</t>
  </si>
  <si>
    <t>高级感中长款风衣外套小个子显瘦气质上衣06RGF5001(单件咖色风衣-L（建议100-110斤）)(1件)</t>
  </si>
  <si>
    <t>E20220909211730061806225</t>
  </si>
  <si>
    <t>其他(有赞大号小程序)</t>
  </si>
  <si>
    <t xml:space="preserve">	4200001611202209099677391685</t>
  </si>
  <si>
    <t xml:space="preserve">	2209092117320002120875</t>
  </si>
  <si>
    <t>纯牛皮复古针扣女式腰带女士真皮皮带DM-018(咖啡色-105cm)(1件)</t>
  </si>
  <si>
    <t>陈英艳</t>
  </si>
  <si>
    <t xml:space="preserve">	13196061518</t>
  </si>
  <si>
    <t>舒兰市</t>
  </si>
  <si>
    <t xml:space="preserve">吉林省吉林市舒兰市一道街停车场院内金利货站 </t>
  </si>
  <si>
    <t>舒兰金利货站陈英艳</t>
  </si>
  <si>
    <t>E20220909211557061800027</t>
  </si>
  <si>
    <t>E20220909205548018506181</t>
  </si>
  <si>
    <t>卡其色风衣套装 中长款高级感西装套19RG9135(雾霾蓝外套+裤子-M（建议90-100斤）)(1件)</t>
  </si>
  <si>
    <t xml:space="preserve">	18780718815</t>
  </si>
  <si>
    <t>南充市</t>
  </si>
  <si>
    <t>嘉陵区</t>
  </si>
  <si>
    <t xml:space="preserve">四川省南充市嘉陵区彩虹佳苑10号楼 </t>
  </si>
  <si>
    <t>何旭mei</t>
  </si>
  <si>
    <t>E20220909204123031106163</t>
  </si>
  <si>
    <t>新款休闲正装气质高端职业女士西服套装05RG9902(灰色西装+灰色西裤-M（建议90-100斤）)(1件)</t>
  </si>
  <si>
    <t>E20220909203603033606177</t>
  </si>
  <si>
    <t>【直播专属】高级感暗纹西装套装 时尚气质修身西服正装02RG6201(橙色西装＋橙色西裤-3XL（建议130-140斤）)(1件)</t>
  </si>
  <si>
    <t>黄冬梅</t>
  </si>
  <si>
    <t xml:space="preserve">	18696690081</t>
  </si>
  <si>
    <t>重庆市重庆市渝北区双湖路50号 B栋2单元1-2</t>
  </si>
  <si>
    <t>E20220909202917075606213</t>
  </si>
  <si>
    <t xml:space="preserve">	13016160644</t>
  </si>
  <si>
    <t xml:space="preserve">广东省广州市白云区同和街道蟾蜍石南街14号 </t>
  </si>
  <si>
    <t>E20220909201920034400127</t>
  </si>
  <si>
    <t xml:space="preserve">	13948061669</t>
  </si>
  <si>
    <t xml:space="preserve">内蒙古自治区阿拉善盟阿拉善左旗，B区物业办公室 </t>
  </si>
  <si>
    <t>lpx</t>
  </si>
  <si>
    <t>E20220909201210102206209</t>
  </si>
  <si>
    <t>卡其色风衣套装 中长款高级感西装套19RG9135(孔雀蓝外套+裤子-L（建议100-110斤）)(1件)</t>
  </si>
  <si>
    <t>E20220909200909086700111</t>
  </si>
  <si>
    <t>E20220909200723048806159</t>
  </si>
  <si>
    <t>高级感盐系名媛时尚洋气职业西装10RG22966(22966宝蓝色西服+22266裤+22566宝蓝色马甲-XL（建议110-120斤）)(1件)</t>
  </si>
  <si>
    <t>E20220909200702058600033</t>
  </si>
  <si>
    <t>高级感盐系名媛时尚洋气职业西装10RG22966(22966绿色西服+22266裤+22566绿色马甲-XL（建议110-120斤）)(1件)</t>
  </si>
  <si>
    <t>E20220909194525046600001</t>
  </si>
  <si>
    <t xml:space="preserve">	13314454638</t>
  </si>
  <si>
    <t>天柱县</t>
  </si>
  <si>
    <t>贵州省黔东南苗族侗族自治州天柱县凤城镇金三角 1栋1102</t>
  </si>
  <si>
    <t>中国人寿潘美玲13314454638</t>
  </si>
  <si>
    <t>E20220909194453049706155</t>
  </si>
  <si>
    <t xml:space="preserve">	13686168995</t>
  </si>
  <si>
    <t>企石镇</t>
  </si>
  <si>
    <t xml:space="preserve">广东省东莞市企石镇企石碧桂园二期7-2204 </t>
  </si>
  <si>
    <t>Angela</t>
  </si>
  <si>
    <t>E20220909194234086700139</t>
  </si>
  <si>
    <t>【直播专属】低圆领打底衫 女士套头针织毛衣女长袖薄款YD-NJR025(祖母绿-2XL（建议135-150斤）)(1件)</t>
  </si>
  <si>
    <t>E20220909194214072000063</t>
  </si>
  <si>
    <t xml:space="preserve">	13727437875</t>
  </si>
  <si>
    <t>禅城区</t>
  </si>
  <si>
    <t xml:space="preserve">广东省佛山市禅城区祖庙街道汾江中路远航酒店 </t>
  </si>
  <si>
    <t xml:space="preserve">	17479629130</t>
  </si>
  <si>
    <t>E20220909193838072000083</t>
  </si>
  <si>
    <t>E20220912005337096406151</t>
  </si>
  <si>
    <t xml:space="preserve">	13707712003</t>
  </si>
  <si>
    <t xml:space="preserve">广西壮族自治区南宁市西乡塘区科德西路2号瀚林雅筑 </t>
  </si>
  <si>
    <t xml:space="preserve">	17362645126</t>
  </si>
  <si>
    <t>E20220912005301045706149</t>
  </si>
  <si>
    <t>E20220912004826045700003</t>
  </si>
  <si>
    <t>海南省省直辖县澄迈县六巷无限极专卖店 14号</t>
  </si>
  <si>
    <t>E20220912004501096400005</t>
  </si>
  <si>
    <t>新款休闲正装气质高端职业女士西服套装05RG9902(蓝色西装+蓝色西裤-L（建议100-110斤）)(1件)</t>
  </si>
  <si>
    <t>E20220912004224045700025</t>
  </si>
  <si>
    <t>E20220912004046045700001</t>
  </si>
  <si>
    <t>E20220912003102043606145</t>
  </si>
  <si>
    <t>秋冬厚款时尚气质中长款风衣女士修身显瘦长袖外套01RG1032(卡其色-2XL（建议120-130斤）)(1件)</t>
  </si>
  <si>
    <t xml:space="preserve">	18187063557</t>
  </si>
  <si>
    <t>盘龙区</t>
  </si>
  <si>
    <t xml:space="preserve">云南省昆明市盘龙区穿金路8号楼新华保险6楼 </t>
  </si>
  <si>
    <t>E20220912002848043606159</t>
  </si>
  <si>
    <t>秋冬厚款时尚气质中长款风衣女士修身显瘦长袖外套01RG1032(卡其色-S（建议80-90斤）)(1件)</t>
  </si>
  <si>
    <t>五华区</t>
  </si>
  <si>
    <t xml:space="preserve">云南省昆明市五华区江岸小区曦江里7幢 </t>
  </si>
  <si>
    <t>E20220912002502094306149</t>
  </si>
  <si>
    <t xml:space="preserve">	4200001545202209121034016708</t>
  </si>
  <si>
    <t xml:space="preserve">	2209120025030000290861</t>
  </si>
  <si>
    <t>李楚红</t>
  </si>
  <si>
    <t xml:space="preserve">	13539353935</t>
  </si>
  <si>
    <t>潮州市</t>
  </si>
  <si>
    <t>湘桥区</t>
  </si>
  <si>
    <t xml:space="preserve">广东省潮州市湘桥区桥东恒大城11栋1204 </t>
  </si>
  <si>
    <t>E20220912001228075706157</t>
  </si>
  <si>
    <t>【直播专属】时尚气质半身裙11RG1098(黑色-3XL（建议130-140斤）)(1件)</t>
  </si>
  <si>
    <t>E20220912001206031600001</t>
  </si>
  <si>
    <t xml:space="preserve">	4200001546202209123748856063</t>
  </si>
  <si>
    <t xml:space="preserve">	2209120012080000530110</t>
  </si>
  <si>
    <t>【MUMUWIE胶原蛋白养护内衣】胶原蛋白精华滋养呵护，前扣立体上托、调整矫姿、聚拢固型，无钢圈无束缚，柔软无痕超舒适。(绚丽黑1件装-L)(1件)</t>
  </si>
  <si>
    <t>曾小惠</t>
  </si>
  <si>
    <t xml:space="preserve">	18960067797</t>
  </si>
  <si>
    <t>龙海市</t>
  </si>
  <si>
    <t xml:space="preserve">福建省漳州市龙海市海澄镇山后钻石水岸名城2期9栋804室 </t>
  </si>
  <si>
    <t>博闻小曾</t>
  </si>
  <si>
    <t>E20220912000944075706153</t>
  </si>
  <si>
    <t>【直播专属】秋装女士气质短裙11RG1086(黑色-3XL（建议130-140斤）)(1件)</t>
  </si>
  <si>
    <t>E20220912000647043706155</t>
  </si>
  <si>
    <t xml:space="preserve">	18561698570</t>
  </si>
  <si>
    <t xml:space="preserve">山东省青岛市城阳区城阳街道青特赫府二期1号办公楼 </t>
  </si>
  <si>
    <t xml:space="preserve">	发孔雀蓝色</t>
  </si>
  <si>
    <t>蓝天</t>
  </si>
  <si>
    <t>E20220912000036004106157</t>
  </si>
  <si>
    <t>高级定制款商务女士西装套装LYH9913(9913 四扣-高级灰 西装+裤-165/L)(1件)</t>
  </si>
  <si>
    <t xml:space="preserve">	13813941088</t>
  </si>
  <si>
    <t>南京市</t>
  </si>
  <si>
    <t>栖霞区</t>
  </si>
  <si>
    <t xml:space="preserve">江苏省南京市栖霞区华电路87号颐和家园三期1栋806 </t>
  </si>
  <si>
    <t xml:space="preserve">	孔雀蓝</t>
  </si>
  <si>
    <t xml:space="preserve">	17492107843</t>
  </si>
  <si>
    <t>客户改成黑色9.12</t>
  </si>
  <si>
    <t>E20220911235824092800005</t>
  </si>
  <si>
    <t>高级定制款商务女士西装套装LYH9913(9913 四扣-高级灰 西装+裤-180/4XL)(1件)</t>
  </si>
  <si>
    <t xml:space="preserve">	18901910998</t>
  </si>
  <si>
    <t xml:space="preserve">上海市上海市杨浦区政立路1585弄11号402室 </t>
  </si>
  <si>
    <t xml:space="preserve">	黑色一套</t>
  </si>
  <si>
    <t>駿</t>
  </si>
  <si>
    <t>E20220911234554043600009</t>
  </si>
  <si>
    <t>【直播专属】时尚气质修身西装套10RG22989(黑色 西装+裤-S（建议80-90斤）)(1件)</t>
  </si>
  <si>
    <t>E20220911234502083706157</t>
  </si>
  <si>
    <t xml:space="preserve">	18075672677</t>
  </si>
  <si>
    <t>娄底市</t>
  </si>
  <si>
    <t>娄星区</t>
  </si>
  <si>
    <t xml:space="preserve">湖南省娄底市娄星区扶青路429号世纪花城 </t>
  </si>
  <si>
    <t>平安高管朱鸾凤18075672677</t>
  </si>
  <si>
    <t>E20220911234244011400003</t>
  </si>
  <si>
    <t xml:space="preserve">	17491815454</t>
  </si>
  <si>
    <t>E20220911234108034500003</t>
  </si>
  <si>
    <t xml:space="preserve">	13839911899</t>
  </si>
  <si>
    <t>驻马店市</t>
  </si>
  <si>
    <t>驿城区</t>
  </si>
  <si>
    <t xml:space="preserve">河南省驻马店市驿城区通达路天中豪园2号楼2单元2304 </t>
  </si>
  <si>
    <t>E20220911233124043700039</t>
  </si>
  <si>
    <t>【直播专属】时尚气质修身西装套10RG22989(粉色 西装+裤-L（建议100-110斤）)(1件)</t>
  </si>
  <si>
    <t>E20220911232314006406169</t>
  </si>
  <si>
    <t>陈淑珍</t>
  </si>
  <si>
    <t xml:space="preserve">	13718189317</t>
  </si>
  <si>
    <t xml:space="preserve">北京市北京市朝阳区北京市朝阳区平房乡平房村1441号 </t>
  </si>
  <si>
    <t xml:space="preserve">	17480917989</t>
  </si>
  <si>
    <t>E20220911231523069906183</t>
  </si>
  <si>
    <t>【直播专属】高级感暗纹西装套装 时尚气质修身西服正装02RG6201(绿色西装＋绿色西裤-4XL（建议140-150斤）)(1件)</t>
  </si>
  <si>
    <t xml:space="preserve">	15853989500</t>
  </si>
  <si>
    <t>罗庄区</t>
  </si>
  <si>
    <t xml:space="preserve">山东省临沂市罗庄区付庄办事处 </t>
  </si>
  <si>
    <t>E20220911230910025400015</t>
  </si>
  <si>
    <t>【直播专属】时尚气质修身西装套10RG22989(黑色 西装+裤-3XL（建议130-140斤）)(1件)</t>
  </si>
  <si>
    <t xml:space="preserve">	13763055589</t>
  </si>
  <si>
    <t>遂溪县</t>
  </si>
  <si>
    <t xml:space="preserve">广东省湛江市遂溪县山湖海上城22栋2单元 </t>
  </si>
  <si>
    <t xml:space="preserve">	17491827258</t>
  </si>
  <si>
    <t>E20220911230132005206181</t>
  </si>
  <si>
    <t xml:space="preserve">	13683407261</t>
  </si>
  <si>
    <t xml:space="preserve">四川省成都市龙泉驿区航天南路83号 </t>
  </si>
  <si>
    <t xml:space="preserve">	15096596023</t>
  </si>
  <si>
    <t>E20220911230058034006175</t>
  </si>
  <si>
    <t>高级定制款商务女士西装套装LYH9913(9913 四扣-高级灰 西装+裤-155/S)(1件)</t>
  </si>
  <si>
    <t xml:space="preserve">	13799414319</t>
  </si>
  <si>
    <t>鼓楼区</t>
  </si>
  <si>
    <t>福建省福州市鼓楼区六一中路115号 13号203</t>
  </si>
  <si>
    <t xml:space="preserve">	17491729665</t>
  </si>
  <si>
    <t>E20220911225648077600061</t>
  </si>
  <si>
    <t xml:space="preserve">	15149666048</t>
  </si>
  <si>
    <t>鄂尔多斯市</t>
  </si>
  <si>
    <t>准格尔旗</t>
  </si>
  <si>
    <t>内蒙古自治区鄂尔多斯市准格尔旗鑫凯盛小区三号楼奥若拉店 10号</t>
  </si>
  <si>
    <t>用户要黑色，改黑色。</t>
  </si>
  <si>
    <t>E20220911225359101200087</t>
  </si>
  <si>
    <t xml:space="preserve">	我上衣3X裤子2X</t>
  </si>
  <si>
    <t>E20220911225352031600055</t>
  </si>
  <si>
    <t xml:space="preserve">	4200001565202209118816499254</t>
  </si>
  <si>
    <t xml:space="preserve">	2209112253542621450938</t>
  </si>
  <si>
    <t xml:space="preserve">	18317996933</t>
  </si>
  <si>
    <t>安源区</t>
  </si>
  <si>
    <t xml:space="preserve">江西省萍乡市安源区开发区三田村三田管理处三田加油站对面小巷200米 </t>
  </si>
  <si>
    <t>桃子</t>
  </si>
  <si>
    <t>E20220911224511059406165</t>
  </si>
  <si>
    <t xml:space="preserve">	4200001564202209111289954924</t>
  </si>
  <si>
    <t xml:space="preserve">	2209112245120009210193</t>
  </si>
  <si>
    <t>【MUMUWIE胶原蛋白养护内衣】胶原蛋白精华滋养呵护，前扣立体上托、调整矫姿、聚拢固型，无钢圈无束缚，柔软无痕超舒适。(琉璃粉1件装-M)(1件)</t>
  </si>
  <si>
    <t>孙姐</t>
  </si>
  <si>
    <t xml:space="preserve">	18662578068</t>
  </si>
  <si>
    <t>吴中区</t>
  </si>
  <si>
    <t xml:space="preserve">江苏省苏州市吴中区尼盛滨江城三期北门 </t>
  </si>
  <si>
    <t>E20220911224500060306183</t>
  </si>
  <si>
    <t xml:space="preserve">	18774901981</t>
  </si>
  <si>
    <t xml:space="preserve">湖南省长沙市岳麓区金星大道468号郡原广场二栋2103室 </t>
  </si>
  <si>
    <t>中国太平蒋苏红电话17763659998</t>
  </si>
  <si>
    <t xml:space="preserve">	17763659998</t>
  </si>
  <si>
    <t>E20220911224435074100063</t>
  </si>
  <si>
    <t xml:space="preserve">	15670561001</t>
  </si>
  <si>
    <t>新乡市</t>
  </si>
  <si>
    <t>长垣县</t>
  </si>
  <si>
    <t xml:space="preserve">河南省新乡市长垣县金豪府邸 </t>
  </si>
  <si>
    <t>E20220911224249060300061</t>
  </si>
  <si>
    <t>E20220911223838026500025</t>
  </si>
  <si>
    <t>洋气英伦风小西装套装新款HYN1655(杏色 西装+西裤-L（建议105-115斤）)(1件)</t>
  </si>
  <si>
    <t xml:space="preserve">	18910250413</t>
  </si>
  <si>
    <t>廊坊市</t>
  </si>
  <si>
    <t>三河市</t>
  </si>
  <si>
    <t xml:space="preserve">河北省廊坊市三河市燕郊镇嘉城国际5-2-1501 </t>
  </si>
  <si>
    <t xml:space="preserve">	想要裤子比衣服大一号</t>
  </si>
  <si>
    <t xml:space="preserve">	18911927657</t>
  </si>
  <si>
    <t>E20220911223637087800053</t>
  </si>
  <si>
    <t xml:space="preserve">	13889832081</t>
  </si>
  <si>
    <t>浑南区</t>
  </si>
  <si>
    <t>辽宁省沈阳市浑南区所在地区:五三街道详细地址:浑南新区朗云街1-612号（河畔公馆B座2-4-2） B座2-4-2</t>
  </si>
  <si>
    <t>刘丹13889832081</t>
  </si>
  <si>
    <t>E20220911223338040606163</t>
  </si>
  <si>
    <t xml:space="preserve">	4200001551202209111947193883</t>
  </si>
  <si>
    <t xml:space="preserve">	2209112233380001790383</t>
  </si>
  <si>
    <t>颜小娟</t>
  </si>
  <si>
    <t xml:space="preserve">	13480490681</t>
  </si>
  <si>
    <t>寮步镇</t>
  </si>
  <si>
    <t xml:space="preserve">广东省东莞市寮步镇齐昌大厦9楼 </t>
  </si>
  <si>
    <t>颜小娟（PWP私人财富规划师）</t>
  </si>
  <si>
    <t>E20220911223044049606157</t>
  </si>
  <si>
    <t xml:space="preserve">	13579935351</t>
  </si>
  <si>
    <t xml:space="preserve">新疆维吾尔自治区乌鲁木齐市新市区迎宾路33号飞机场南区75号3单元302室 </t>
  </si>
  <si>
    <t xml:space="preserve">	17480929421</t>
  </si>
  <si>
    <t>E20220911222955043600091</t>
  </si>
  <si>
    <t>刘康奇</t>
  </si>
  <si>
    <t xml:space="preserve">	18656023037</t>
  </si>
  <si>
    <t>龙华新区</t>
  </si>
  <si>
    <t xml:space="preserve">广东省深圳市龙华新区东环一路良基大厦522室 </t>
  </si>
  <si>
    <t xml:space="preserve">	17491914769</t>
  </si>
  <si>
    <t>E20220911222923097306161</t>
  </si>
  <si>
    <t>E20220911222902069900071</t>
  </si>
  <si>
    <t>自在多</t>
  </si>
  <si>
    <t>E20220911222825013800049</t>
  </si>
  <si>
    <t>E20220911222757040106147</t>
  </si>
  <si>
    <t xml:space="preserve">	13392792852</t>
  </si>
  <si>
    <t xml:space="preserve">广东省佛山市南海区狮山镇博爱湖一号4-204房 </t>
  </si>
  <si>
    <t>E20220911222731101206189</t>
  </si>
  <si>
    <t>E20220911222725074100081</t>
  </si>
  <si>
    <t>E20220911222425040100007</t>
  </si>
  <si>
    <t>【直播专属】时尚气质修身西装套10RG22989(孔雀蓝 西装+裤-3XL（建议130-140斤）)(1件)</t>
  </si>
  <si>
    <t>E20220911222321028900009</t>
  </si>
  <si>
    <t xml:space="preserve">	13529650982</t>
  </si>
  <si>
    <t xml:space="preserve">云南省大理白族自治州大理市云南省大理白族自治州大理市南涧路明福园 </t>
  </si>
  <si>
    <t>假如</t>
  </si>
  <si>
    <t>E20220911222047015200017</t>
  </si>
  <si>
    <t>【直播专属】低圆领打底衫 女士套头针织毛衣女长袖薄款YD-NJR025(金驼色-M（建议100-110斤）)(1件)</t>
  </si>
  <si>
    <t xml:space="preserve">	13769616439</t>
  </si>
  <si>
    <t>文山壮族苗族自治州</t>
  </si>
  <si>
    <t>富宁县</t>
  </si>
  <si>
    <t xml:space="preserve">云南省文山壮族苗族自治州富宁县新华镇文苑路农科局七楼 </t>
  </si>
  <si>
    <t>秋</t>
  </si>
  <si>
    <t>E20220911222033069900025</t>
  </si>
  <si>
    <t>缎面长袖衬衫女2022早秋新款时尚气质衬衣05RG652(酒红色衬衫单件-XL)(1件)</t>
  </si>
  <si>
    <t>E20220911221704061706149</t>
  </si>
  <si>
    <t xml:space="preserve">	15907055680</t>
  </si>
  <si>
    <t>樟树市</t>
  </si>
  <si>
    <t xml:space="preserve">江西省宜春市樟树市药都南大道83号城关信用社401 </t>
  </si>
  <si>
    <t>E20220911221606047800055</t>
  </si>
  <si>
    <t xml:space="preserve">	4200001538202209119691437937</t>
  </si>
  <si>
    <t xml:space="preserve">	2209112216080002070870</t>
  </si>
  <si>
    <t>【MUMUWIE胶原蛋白养护内衣】胶原蛋白精华滋养呵护，前扣立体上托、调整矫姿、聚拢固型，无钢圈无束缚，柔软无痕超舒适。(琉璃粉1件装-L)(1件)</t>
  </si>
  <si>
    <t>咕噜姐姐</t>
  </si>
  <si>
    <t xml:space="preserve">	13956953722</t>
  </si>
  <si>
    <t>包河区</t>
  </si>
  <si>
    <t xml:space="preserve">安徽省合肥市包河区海顿公馆一期七号楼3003室 </t>
  </si>
  <si>
    <t>七宝</t>
  </si>
  <si>
    <t xml:space="preserve">	13966331065</t>
  </si>
  <si>
    <t>E20220911221447047900077</t>
  </si>
  <si>
    <t>新款休闲正装气质高端职业女士西服套装05RG9902(灰色西装+灰色西裤-XXXL（建议130-140斤）)(1件)</t>
  </si>
  <si>
    <t xml:space="preserve">	15833146887</t>
  </si>
  <si>
    <t>承德市</t>
  </si>
  <si>
    <t>双桥区</t>
  </si>
  <si>
    <t xml:space="preserve">河北省承德市双桥区石油南路卓越祥园小区市政口腔 </t>
  </si>
  <si>
    <t xml:space="preserve">	15095877024</t>
  </si>
  <si>
    <t>E20220911221400005206157</t>
  </si>
  <si>
    <t>E20220911221354069906151</t>
  </si>
  <si>
    <t>E20220911215920034006163</t>
  </si>
  <si>
    <t>洋气英伦风小西装套装新款HYN1655(蓝色 西装+西裤-M（建议95-105斤）)(1件)</t>
  </si>
  <si>
    <t>E20220911215720077600063</t>
  </si>
  <si>
    <t>洋气英伦风小西装套装新款HYN1655(蓝色 西装+西裤-XL（建议115-125斤）)(1件)</t>
  </si>
  <si>
    <t>E20220911215630053500069</t>
  </si>
  <si>
    <t xml:space="preserve">	13600909228</t>
  </si>
  <si>
    <t>思明区</t>
  </si>
  <si>
    <t xml:space="preserve">福建省厦门市思明区思明区湖滨西路83号301 </t>
  </si>
  <si>
    <t>E20220911215540053506145</t>
  </si>
  <si>
    <t>洋气英伦风小西装套装新款HYN1655(杏色 西装+西裤-M（建议95-105斤）)(1件)</t>
  </si>
  <si>
    <t>E20220911215322034000083</t>
  </si>
  <si>
    <t>【直播专属】高级感暗纹西装套装 时尚气质修身西服正装02RG6201(橙色西装＋橙色西裤-M（建议90-100斤）)(1件)</t>
  </si>
  <si>
    <t>E20220911215202005200065</t>
  </si>
  <si>
    <t>E20220911215129005200013</t>
  </si>
  <si>
    <t>E20220911214707097106181</t>
  </si>
  <si>
    <t xml:space="preserve">	13600966398</t>
  </si>
  <si>
    <t xml:space="preserve">福建省厦门市思明区演武路67号大学城C栋1104室 </t>
  </si>
  <si>
    <t>冯</t>
  </si>
  <si>
    <t>E20220911214601019400003</t>
  </si>
  <si>
    <t xml:space="preserve">	4200001559202209114001055826</t>
  </si>
  <si>
    <t xml:space="preserve">	2209112146020017940557</t>
  </si>
  <si>
    <t>李先生</t>
  </si>
  <si>
    <t xml:space="preserve">	17875488887</t>
  </si>
  <si>
    <t xml:space="preserve">广东省深圳市宝安区沙井街道天悦大厦1311 </t>
  </si>
  <si>
    <t>企业个人信用贷款～债务重组～支付</t>
  </si>
  <si>
    <t xml:space="preserve">	15323715428</t>
  </si>
  <si>
    <t>E20220911213734051800067</t>
  </si>
  <si>
    <t xml:space="preserve">	15106900599</t>
  </si>
  <si>
    <t>历下区</t>
  </si>
  <si>
    <t xml:space="preserve">山东省济南市历下区山东省济南市历下区转山西路18号历下区姚家荷兰庄园(云驰路北100米) </t>
  </si>
  <si>
    <t>曹媛</t>
  </si>
  <si>
    <t>E20220911213702099406153</t>
  </si>
  <si>
    <t>积分抵现(-24.00)</t>
  </si>
  <si>
    <t xml:space="preserve">	18580045568</t>
  </si>
  <si>
    <t>重庆市重庆市渝北区重庆市渝北区龙寿路942号 2-2-4</t>
  </si>
  <si>
    <t>平安～雪梅</t>
  </si>
  <si>
    <t>换橘色，莫9.11</t>
  </si>
  <si>
    <t>E20220911213658076700021</t>
  </si>
  <si>
    <t xml:space="preserve">	15280210172</t>
  </si>
  <si>
    <t xml:space="preserve">福建省漳州市龙海市海澄镇罗坑村贤会36号 </t>
  </si>
  <si>
    <t xml:space="preserve">	17491642878</t>
  </si>
  <si>
    <t>E20220911213536048500071</t>
  </si>
  <si>
    <t>气质小清新打底吊带RF33066(白色-5XL (建议143-151斤）)(1件)</t>
  </si>
  <si>
    <t xml:space="preserve">	13435061206</t>
  </si>
  <si>
    <t xml:space="preserve">广东省韶关市武江区碧桂园太阳城芙蓉湾9街5座2302房 </t>
  </si>
  <si>
    <t>安家乐地产先花13435061206</t>
  </si>
  <si>
    <t>E20220911213025058600005</t>
  </si>
  <si>
    <t>金丝绒西装秋冬新款高端气质正装西服套装16RG6613(墨绿色（西装+603喇叭裤）-XL（建议110-120斤）)(1件)</t>
  </si>
  <si>
    <t>E20220911212931058606169</t>
  </si>
  <si>
    <t>E20220911212133041306173</t>
  </si>
  <si>
    <t xml:space="preserve">	4200001542202209111104895721</t>
  </si>
  <si>
    <t xml:space="preserve">	2209112121340003090273</t>
  </si>
  <si>
    <t>可调节牛皮腰带配西装连衣裙腰带DM-ZK-111(驼色-2.0cm（颜色随机）)(1件)</t>
  </si>
  <si>
    <t>张小姐</t>
  </si>
  <si>
    <t xml:space="preserve">	13622540869</t>
  </si>
  <si>
    <t>斗门区</t>
  </si>
  <si>
    <t xml:space="preserve">广东省珠海市斗门区白蕉镇万科魅力之城一号门 </t>
  </si>
  <si>
    <t>太平洋张社凤13622540869</t>
  </si>
  <si>
    <t>E20220911212045046200047</t>
  </si>
  <si>
    <t>E20220911211930046206175</t>
  </si>
  <si>
    <t>E20220911211623071906173</t>
  </si>
  <si>
    <t xml:space="preserve">	4200001546202209111582242130</t>
  </si>
  <si>
    <t xml:space="preserve">	2209112116250000270496</t>
  </si>
  <si>
    <t xml:space="preserve">	13540506122</t>
  </si>
  <si>
    <t>夹江县</t>
  </si>
  <si>
    <t xml:space="preserve">四川省乐山市夹江县青州乡东山村一组 </t>
  </si>
  <si>
    <t>A丽妞</t>
  </si>
  <si>
    <t>E20220911211204089506177</t>
  </si>
  <si>
    <t xml:space="preserve">	13991963016</t>
  </si>
  <si>
    <t>新城区</t>
  </si>
  <si>
    <t xml:space="preserve">陕西省西安市新城区尚德路85号太平洋保险公司六楼 </t>
  </si>
  <si>
    <t xml:space="preserve">	15096098669</t>
  </si>
  <si>
    <t>E20220911211108008100083</t>
  </si>
  <si>
    <t xml:space="preserve">	13134479471</t>
  </si>
  <si>
    <t xml:space="preserve">吉林省长春市朝阳区瑞鹏路拉洛小区 </t>
  </si>
  <si>
    <t>张译锦</t>
  </si>
  <si>
    <t xml:space="preserve">	13214313434</t>
  </si>
  <si>
    <t>E20220911210411047206159</t>
  </si>
  <si>
    <t xml:space="preserve">	15526115878</t>
  </si>
  <si>
    <t>芷江侗族自治县</t>
  </si>
  <si>
    <t xml:space="preserve">湖南省怀化市芷江侗族自治县河西么家坪和平大厦一单元 </t>
  </si>
  <si>
    <t>蒲芳15526115878</t>
  </si>
  <si>
    <t>E20220911210343076200091</t>
  </si>
  <si>
    <t xml:space="preserve">	13923406367</t>
  </si>
  <si>
    <t xml:space="preserve">广东省深圳市宝安区宝安36区岭下花园4巷22号1楼 </t>
  </si>
  <si>
    <t>平安李新良经理</t>
  </si>
  <si>
    <t>E20220911210134012206177</t>
  </si>
  <si>
    <t>【直播专属】时尚气质修身西装套10RG22989(粉色 西装+裤-3XL（建议130-140斤）)(1件)</t>
  </si>
  <si>
    <t xml:space="preserve">	15953316526</t>
  </si>
  <si>
    <t>张店区</t>
  </si>
  <si>
    <t xml:space="preserve">山东省淄博市张店区房镇镇华润橡树湾3号楼二单元101 </t>
  </si>
  <si>
    <t xml:space="preserve">	15096278578</t>
  </si>
  <si>
    <t>E20220911210110077100091</t>
  </si>
  <si>
    <t xml:space="preserve">	4200001549202209110680658476</t>
  </si>
  <si>
    <t xml:space="preserve">	2209112101120001960939</t>
  </si>
  <si>
    <t>苏青梅</t>
  </si>
  <si>
    <t xml:space="preserve">	13531675782</t>
  </si>
  <si>
    <t>广东省惠州市惠城区惠州市惠城区小金口大二村362号，白云山维一健康管理中心 362号</t>
  </si>
  <si>
    <t>青梅🍒白云山维一植物精油</t>
  </si>
  <si>
    <t>E20220911210058020706175</t>
  </si>
  <si>
    <t xml:space="preserve">	4200001586202209118862695265</t>
  </si>
  <si>
    <t xml:space="preserve">	2209112101000002350992</t>
  </si>
  <si>
    <t>【MUMUWIE胶原蛋白养护内衣】胶原蛋白精华滋养呵护，前扣立体上托、调整矫姿、聚拢固型，无钢圈无束缚，柔软无痕超舒适。(绚丽黑+墨本绿（2件更优惠）-L)(1件)</t>
  </si>
  <si>
    <t>E20220911205916089500049</t>
  </si>
  <si>
    <t>E20220911205858092306181</t>
  </si>
  <si>
    <t xml:space="preserve">	13812088012</t>
  </si>
  <si>
    <t>宜兴市</t>
  </si>
  <si>
    <t>江苏省无锡市宜兴市宜诚街道龙潭西路 98号宜兴蓝天颐养院</t>
  </si>
  <si>
    <t>E20220911205753011200077</t>
  </si>
  <si>
    <t xml:space="preserve">	4200001561202209117312681630</t>
  </si>
  <si>
    <t xml:space="preserve">	2209112057550000750973</t>
  </si>
  <si>
    <t>陈焕玲</t>
  </si>
  <si>
    <t xml:space="preserve">	15969292390</t>
  </si>
  <si>
    <t>文山市</t>
  </si>
  <si>
    <t xml:space="preserve">云南省文山壮族苗族自治州文山市云南省文山壮族苗族自治州文山市 望华路118号 </t>
  </si>
  <si>
    <t>玲玲</t>
  </si>
  <si>
    <t>E20220911205708066200049</t>
  </si>
  <si>
    <t>高级感盐系名媛时尚洋气职业西装10RG22966(22966橄榄色西服+22266裤+22566橄榄色马甲-XXL（建议120-130斤）)(1件)</t>
  </si>
  <si>
    <t xml:space="preserve">	17773220118</t>
  </si>
  <si>
    <t>雨湖区</t>
  </si>
  <si>
    <t xml:space="preserve">湖南省湘潭市雨湖区桔园路48号桔园公寓1栋 </t>
  </si>
  <si>
    <t>吉祥～陈艳17773220118</t>
  </si>
  <si>
    <t>E20220911205645089506181</t>
  </si>
  <si>
    <t>E20220911205633016306193</t>
  </si>
  <si>
    <t xml:space="preserve">	18507750997</t>
  </si>
  <si>
    <t>北流市</t>
  </si>
  <si>
    <t>广西壮族自治区玉林市北流市城西二路公园一号 6-14商铺</t>
  </si>
  <si>
    <t>PA廖日平</t>
  </si>
  <si>
    <t>E20220911205420067700001</t>
  </si>
  <si>
    <t xml:space="preserve">	4200001581202209119237907771</t>
  </si>
  <si>
    <t xml:space="preserve">	2209112054210001800794</t>
  </si>
  <si>
    <t>阳红春</t>
  </si>
  <si>
    <t xml:space="preserve">	18079964019</t>
  </si>
  <si>
    <t>湘东区</t>
  </si>
  <si>
    <t xml:space="preserve">江西省萍乡市湘东区东桥镇凫田村瓦厂组 </t>
  </si>
  <si>
    <t>E20220911204739093300037</t>
  </si>
  <si>
    <t>李颂安</t>
  </si>
  <si>
    <t xml:space="preserve">	13809249909</t>
  </si>
  <si>
    <t xml:space="preserve">广东省广州市番禺区广州市番禺区市桥街光明北路225号银都大厦1204房 </t>
  </si>
  <si>
    <t>彩虹姐姐</t>
  </si>
  <si>
    <t>E20220911204638098006173</t>
  </si>
  <si>
    <t>E20220911204509077606181</t>
  </si>
  <si>
    <t>【直播专属】时尚气质修身西装套10RG22989(粉色 西装+裤-XL（建议110-120斤）)(1件)</t>
  </si>
  <si>
    <t>换L码，莫9.11</t>
  </si>
  <si>
    <t>E20220911204455075706197</t>
  </si>
  <si>
    <t>洋气时尚职业缎面衬衫设计感女士衬衣06RG6591(白色衬衫-3XL（建议130-140斤）)(1件)</t>
  </si>
  <si>
    <t>E20220911204407092300013</t>
  </si>
  <si>
    <t>E20220911204338066206149</t>
  </si>
  <si>
    <t>E20220911204324098006181</t>
  </si>
  <si>
    <t>E20220911204303059606198</t>
  </si>
  <si>
    <t xml:space="preserve">	4200001543202209113174038238</t>
  </si>
  <si>
    <t xml:space="preserve">	2209112043040002241001</t>
  </si>
  <si>
    <t>周春梅</t>
  </si>
  <si>
    <t xml:space="preserve">	13927423889</t>
  </si>
  <si>
    <t>广东省深圳市龙岗区深圳市第三人民医院应急院区护士站 应急院区医护人员通</t>
  </si>
  <si>
    <t>E20220911204303059606197</t>
  </si>
  <si>
    <t xml:space="preserve">	2209112043040002261006</t>
  </si>
  <si>
    <t>【MUMUWIE胶原蛋白养护内衣】胶原蛋白精华滋养呵护，前扣立体上托、调整矫姿、聚拢固型，无钢圈无束缚，柔软无痕超舒适。(琉璃粉+绚丽黑（2件更优惠）-XL)(1件)</t>
  </si>
  <si>
    <t>E20220911204150092300083</t>
  </si>
  <si>
    <t>E20220911204114020100027</t>
  </si>
  <si>
    <t xml:space="preserve">	15898792199</t>
  </si>
  <si>
    <t xml:space="preserve">山东省临沂市莒南县道口镇西野埠村 </t>
  </si>
  <si>
    <t>徐彦玲Erica Xu</t>
  </si>
  <si>
    <t>E20220911204005062300015</t>
  </si>
  <si>
    <t xml:space="preserve">	13928272688</t>
  </si>
  <si>
    <t xml:space="preserve">广东省佛山市顺德区顺德大良鉴海南路都汇豪庭3座6B </t>
  </si>
  <si>
    <t>连</t>
  </si>
  <si>
    <t>E20220911203931020100015</t>
  </si>
  <si>
    <t>E20220911203930036400061</t>
  </si>
  <si>
    <t xml:space="preserve">	13101252231</t>
  </si>
  <si>
    <t xml:space="preserve">重庆市重庆市渝北区龙寿路648号富悦景园B-5-4-1 </t>
  </si>
  <si>
    <t xml:space="preserve">	17491346905</t>
  </si>
  <si>
    <t>E20220911203455058700019</t>
  </si>
  <si>
    <t>【直播专属】高级感暗纹西装套装 时尚气质修身西服正装02RG6201(橙色西装＋橙色西裤-XL（建议110-120斤）)(1件)</t>
  </si>
  <si>
    <t xml:space="preserve">	13762292821</t>
  </si>
  <si>
    <t>丹棱县</t>
  </si>
  <si>
    <t>四川省眉山市丹棱县新村路 女王传奇</t>
  </si>
  <si>
    <t xml:space="preserve">	17447745640</t>
  </si>
  <si>
    <t>E20220911203402005106179</t>
  </si>
  <si>
    <t xml:space="preserve">	15898526327</t>
  </si>
  <si>
    <t>岳塘区</t>
  </si>
  <si>
    <t xml:space="preserve">湖南省湘潭市岳塘区河东大道46号天瑞新城1栋 上海浦东发展银行(湘潭分行)18楼财信人寿 </t>
  </si>
  <si>
    <t xml:space="preserve">	上衣 xl，裤子2xl</t>
  </si>
  <si>
    <t>E20220911203312011800059</t>
  </si>
  <si>
    <t xml:space="preserve">	13602527008</t>
  </si>
  <si>
    <t xml:space="preserve">广东省深圳市龙岗区龙城街道对面岭一巷龙禧雅苑 </t>
  </si>
  <si>
    <t xml:space="preserve">	13608480840</t>
  </si>
  <si>
    <t>E20220911203028025600033</t>
  </si>
  <si>
    <t xml:space="preserve">	13434600795</t>
  </si>
  <si>
    <t xml:space="preserve">广东省湛江市霞山区工农西三路隆茂市场 </t>
  </si>
  <si>
    <t xml:space="preserve">	裤子要2尺2的</t>
  </si>
  <si>
    <t>中国人寿梁琳彬13434600795</t>
  </si>
  <si>
    <t>E20220911202908020100039</t>
  </si>
  <si>
    <t xml:space="preserve">山东省临沂市兰山区临西六路和银雀山路荣华园5号楼 </t>
  </si>
  <si>
    <t>E20220911202803077600039</t>
  </si>
  <si>
    <t>：换L码，莫9.11</t>
  </si>
  <si>
    <t>E20220911202631051400073</t>
  </si>
  <si>
    <t>E20220911202400023500043</t>
  </si>
  <si>
    <t xml:space="preserve">	18682698387</t>
  </si>
  <si>
    <t>成华区</t>
  </si>
  <si>
    <t xml:space="preserve">四川省成都市成华区浅水半岛C区 </t>
  </si>
  <si>
    <t xml:space="preserve">	15095899117</t>
  </si>
  <si>
    <t>E20220911202357008106151</t>
  </si>
  <si>
    <t>E20220911202207025606179</t>
  </si>
  <si>
    <t xml:space="preserve">	4200001568202209116031935373</t>
  </si>
  <si>
    <t xml:space="preserve">	2209112022080001180894</t>
  </si>
  <si>
    <t>【MUMUWIE胶原蛋白养护内衣】胶原蛋白精华滋养呵护，前扣立体上托、调整矫姿、聚拢固型，无钢圈无束缚，柔软无痕超舒适。(琉璃粉+绚丽黑（2件更优惠）-L)(1件)</t>
  </si>
  <si>
    <t>马丽梅</t>
  </si>
  <si>
    <t xml:space="preserve">	18113673426</t>
  </si>
  <si>
    <t xml:space="preserve">四川省眉山市东坡区四川省眉山市东坡区金罗马广场通义路麻辣三国自助火锅店 </t>
  </si>
  <si>
    <t>六月梅花</t>
  </si>
  <si>
    <t>E20220911202037058100047</t>
  </si>
  <si>
    <t xml:space="preserve">	4200001553202209119193555654</t>
  </si>
  <si>
    <t xml:space="preserve">	2209112020390000370244</t>
  </si>
  <si>
    <t>曾连娣</t>
  </si>
  <si>
    <t xml:space="preserve">	18929876562</t>
  </si>
  <si>
    <t>四会市</t>
  </si>
  <si>
    <t xml:space="preserve">广东省肇庆市四会市东城居委会槎山体育路 39座3号 </t>
  </si>
  <si>
    <t>E20220911201856039500051</t>
  </si>
  <si>
    <t xml:space="preserve">河南省驻马店市驿城区通达路天中豪园 </t>
  </si>
  <si>
    <t>E20220911201615086000089</t>
  </si>
  <si>
    <t>李新</t>
  </si>
  <si>
    <t xml:space="preserve">	13804989258</t>
  </si>
  <si>
    <t>铁西区</t>
  </si>
  <si>
    <t xml:space="preserve">辽宁省沈阳市铁西区大潘街道弘泽鸣邸(铁西区沈辽西路382-1号) </t>
  </si>
  <si>
    <t>E20220911201546070406149</t>
  </si>
  <si>
    <t xml:space="preserve">	4200001576202209117759009636</t>
  </si>
  <si>
    <t xml:space="preserve">	2209112015470001910170</t>
  </si>
  <si>
    <t>陈桂芳</t>
  </si>
  <si>
    <t xml:space="preserve">	13801948047</t>
  </si>
  <si>
    <t xml:space="preserve">上海市上海市松江区沪松路20弄（荣都公寓）48号602室 </t>
  </si>
  <si>
    <t>E20220911201310025600009</t>
  </si>
  <si>
    <t>高级定制款女士西装套LYH9910(黑色 西装+裤子-165/L)(1件)</t>
  </si>
  <si>
    <t xml:space="preserve">	裤子要2尺2</t>
  </si>
  <si>
    <t>E20220911201055087500039</t>
  </si>
  <si>
    <t xml:space="preserve">	4200001564202209112892108407</t>
  </si>
  <si>
    <t xml:space="preserve">	2209112010570000450902</t>
  </si>
  <si>
    <t>陈海芹</t>
  </si>
  <si>
    <t xml:space="preserve">	15366495233</t>
  </si>
  <si>
    <t>盐城市</t>
  </si>
  <si>
    <t>阜宁县</t>
  </si>
  <si>
    <t xml:space="preserve">江苏省盐城市阜宁县阜城镇城西三组（苏油加油站对面） </t>
  </si>
  <si>
    <t>E20220911201049008100071</t>
  </si>
  <si>
    <t>E20220911200943077606171</t>
  </si>
  <si>
    <t xml:space="preserve">	15095684735</t>
  </si>
  <si>
    <t>E20220911200927025600083</t>
  </si>
  <si>
    <t>E20220911200850053806169</t>
  </si>
  <si>
    <t xml:space="preserve">	13922701858</t>
  </si>
  <si>
    <t xml:space="preserve">广东省广州市天河区保利心语B栋3102房 </t>
  </si>
  <si>
    <t xml:space="preserve">	上衣M码，裤子L码</t>
  </si>
  <si>
    <t>E20220911200754044306153</t>
  </si>
  <si>
    <t xml:space="preserve">	17491129023</t>
  </si>
  <si>
    <t>E20220911200727013000079</t>
  </si>
  <si>
    <t xml:space="preserve">	4200001567202209115740966122</t>
  </si>
  <si>
    <t xml:space="preserve">	2209112007290000060235</t>
  </si>
  <si>
    <t>张丽丹</t>
  </si>
  <si>
    <t xml:space="preserve">	13727227970</t>
  </si>
  <si>
    <t>小榄镇</t>
  </si>
  <si>
    <t xml:space="preserve">广东省中山市小榄镇富民大道181号广立家具展厅 </t>
  </si>
  <si>
    <t>E20220911200459052606145</t>
  </si>
  <si>
    <t>E20220911200329073006183</t>
  </si>
  <si>
    <t xml:space="preserve">	18628224768</t>
  </si>
  <si>
    <t>四川省成都市双流区航空港临港路一段江安河绿道润扬19 3栋</t>
  </si>
  <si>
    <t>太平高新，高小海</t>
  </si>
  <si>
    <t>E20220911200254030106163</t>
  </si>
  <si>
    <t xml:space="preserve">	4200001575202209113347966652</t>
  </si>
  <si>
    <t xml:space="preserve">	2209112002552622070588</t>
  </si>
  <si>
    <t>工厂直发！【拍1发4】网红爆款！茶树精油多效内衣洗衣液  专业去血渍 蛋白酶 去黄渍 除异味 500ml/瓶(拍1发4【白茶*2+铃兰*2】)(1件)</t>
  </si>
  <si>
    <t>王酉梅</t>
  </si>
  <si>
    <t xml:space="preserve">	18711707908</t>
  </si>
  <si>
    <t>益阳市</t>
  </si>
  <si>
    <t>赫山区</t>
  </si>
  <si>
    <t xml:space="preserve">湖南省益阳市赫山区益阳大道317号 </t>
  </si>
  <si>
    <t>E20220911200245025600027</t>
  </si>
  <si>
    <t>E20220911195530078106191</t>
  </si>
  <si>
    <t xml:space="preserve">	17491132052</t>
  </si>
  <si>
    <t>E20220911195140037500041</t>
  </si>
  <si>
    <t xml:space="preserve">	13510086006</t>
  </si>
  <si>
    <t>广宁县</t>
  </si>
  <si>
    <t xml:space="preserve">广东省肇庆市广宁县中华东路54号烟草专卖局楼下（20支直营店） </t>
  </si>
  <si>
    <t>卢公子🤔</t>
  </si>
  <si>
    <t>E20220911195108043306187</t>
  </si>
  <si>
    <t xml:space="preserve">	4200001561202209115026251288</t>
  </si>
  <si>
    <t xml:space="preserve">	2209111951090001700609</t>
  </si>
  <si>
    <t>韦伟</t>
  </si>
  <si>
    <t xml:space="preserve">	13798391746</t>
  </si>
  <si>
    <t xml:space="preserve">广东省深圳市宝安区76区流塘路西区二巷7号 </t>
  </si>
  <si>
    <t>贞珠</t>
  </si>
  <si>
    <t>E20220911195009069106153</t>
  </si>
  <si>
    <t xml:space="preserve">	4200001553202209113406846919</t>
  </si>
  <si>
    <t xml:space="preserve">	2209111950100000500310</t>
  </si>
  <si>
    <t>张桃红</t>
  </si>
  <si>
    <t xml:space="preserve">	13479534107</t>
  </si>
  <si>
    <t>袁州区</t>
  </si>
  <si>
    <t xml:space="preserve">江西省宜春市袁州区烟雨路香苑小区 </t>
  </si>
  <si>
    <t>张桃红13479534107</t>
  </si>
  <si>
    <t>E20220911194837008900079</t>
  </si>
  <si>
    <t xml:space="preserve">	4200001583202209111129251963</t>
  </si>
  <si>
    <t xml:space="preserve">	2209111948380002650468</t>
  </si>
  <si>
    <t>【MUMUWIE胶原蛋白养护内衣】胶原蛋白精华滋养呵护，前扣立体上托、调整矫姿、聚拢固型，无钢圈无束缚，柔软无痕超舒适。(琉璃粉1件装-XXL)(1件)</t>
  </si>
  <si>
    <t xml:space="preserve">	13537657517</t>
  </si>
  <si>
    <t xml:space="preserve">广东省深圳市宝安区松岗街道中海西岸华府11栋C座17D </t>
  </si>
  <si>
    <t>平安张玲13537657517</t>
  </si>
  <si>
    <t>E20220911194655092500069</t>
  </si>
  <si>
    <t xml:space="preserve">	13806037031</t>
  </si>
  <si>
    <t>乳山市</t>
  </si>
  <si>
    <t xml:space="preserve">山东省威海市乳山市城区街道紫锦花园南区11号楼3单元3楼西户 </t>
  </si>
  <si>
    <t xml:space="preserve">	15095582706</t>
  </si>
  <si>
    <t>E20220911194314075706187</t>
  </si>
  <si>
    <t>E20220911194114092506197</t>
  </si>
  <si>
    <t>E20220911193942019306149</t>
  </si>
  <si>
    <t>裴春娥</t>
  </si>
  <si>
    <t xml:space="preserve">	18379429518</t>
  </si>
  <si>
    <t xml:space="preserve">江西省抚州市金溪县秀谷镇金灿豪门鼎尚养发馆 </t>
  </si>
  <si>
    <t xml:space="preserve">	17454928608</t>
  </si>
  <si>
    <t>E20220911193933051700057</t>
  </si>
  <si>
    <t xml:space="preserve">	13683595737</t>
  </si>
  <si>
    <t xml:space="preserve">北京市北京市朝阳区石佛营东里126号院3号楼202 </t>
  </si>
  <si>
    <t xml:space="preserve">	15079381641</t>
  </si>
  <si>
    <t>E20220911193803090306171</t>
  </si>
  <si>
    <t>孟书敏</t>
  </si>
  <si>
    <t xml:space="preserve">	15609914522</t>
  </si>
  <si>
    <t>沙依巴克区</t>
  </si>
  <si>
    <t xml:space="preserve">新疆维吾尔自治区乌鲁木齐市沙依巴克区沙区西北路887号naga尚院A座1507室 </t>
  </si>
  <si>
    <t>一抹笑颜</t>
  </si>
  <si>
    <t>E20220911193713068900059</t>
  </si>
  <si>
    <t xml:space="preserve">河北省廊坊市三河市燕郊经济技术开发区燕顺路嘉城国际5号楼2单元1101 </t>
  </si>
  <si>
    <t xml:space="preserve">	14970297183</t>
  </si>
  <si>
    <t>E20220911193629068900033</t>
  </si>
  <si>
    <t>E20220911193103061806153</t>
  </si>
  <si>
    <t xml:space="preserve">	17754983912</t>
  </si>
  <si>
    <t>长寿区</t>
  </si>
  <si>
    <t xml:space="preserve">重庆市重庆市长寿区凤城街道鹏运左岸(重庆市长寿区文苑中路1号) </t>
  </si>
  <si>
    <t>E20220911192911057300027</t>
  </si>
  <si>
    <t xml:space="preserve">	13824515622</t>
  </si>
  <si>
    <t xml:space="preserve">广东省佛山市顺德区勒流镇江义黄中南路4号诚艺美发 </t>
  </si>
  <si>
    <t>香</t>
  </si>
  <si>
    <t>E20220913001215053600021</t>
  </si>
  <si>
    <t xml:space="preserve">	4200001550202209137541615117</t>
  </si>
  <si>
    <t xml:space="preserve">	2209130012160000040163</t>
  </si>
  <si>
    <t>【穿出“苹果臀”】茧墨 玻尿酸高腰收腹苹果内裤 2条装 冰丝凉感 舒适透气 滋养润肤 呵护私处健康SMT-86213(粉色+孔雀蓝-L:1.8-2.1(70-105))(1件)</t>
  </si>
  <si>
    <t xml:space="preserve">	今晚买的两个单，一起发好了</t>
  </si>
  <si>
    <t>欢乐马</t>
  </si>
  <si>
    <t xml:space="preserve">	13717658227</t>
  </si>
  <si>
    <t>E20220912235913053606145</t>
  </si>
  <si>
    <t>【直播专属】低圆领打底衫 女士套头针织毛衣女长袖薄款YD-NJR025(皮粉-M（建议100-110斤）)(1件)</t>
  </si>
  <si>
    <t>E20220912234452056200017</t>
  </si>
  <si>
    <t xml:space="preserve">	4200001585202209128266135535</t>
  </si>
  <si>
    <t xml:space="preserve">	2209122344530001280029</t>
  </si>
  <si>
    <t>【 告别扁平臀大肚腩，一穿立显好身材！】3D立体剪裁 360度雕塑曲线！无痕腰边，提拉翘臀，束腰塑身YKF-2112(肤色 1件装-M 建议101-115斤)(1件)</t>
  </si>
  <si>
    <t xml:space="preserve">	18777896827</t>
  </si>
  <si>
    <t>宜州区</t>
  </si>
  <si>
    <t xml:space="preserve">广西壮族自治区河池市宜州区广西壮族自治区河池市宜州区刘三姐大道龙江新城16栋 </t>
  </si>
  <si>
    <t>玲儿</t>
  </si>
  <si>
    <t>E20220912233509068600083</t>
  </si>
  <si>
    <t>双排扣职业西装套装女秋冬新款职场正装时尚工作服21RG6288(蓝条西装+裤子-M（建议90-100斤）)(1件)</t>
  </si>
  <si>
    <t>E20220912230327094900049</t>
  </si>
  <si>
    <t>【直播专属】高级感暗纹西装套装 时尚气质修身西服正装02RG6201(橙色西装＋橙色西裤-L（建议100-110斤）)(1件)</t>
  </si>
  <si>
    <t xml:space="preserve">	18033355013</t>
  </si>
  <si>
    <t>河源市</t>
  </si>
  <si>
    <t>龙川县</t>
  </si>
  <si>
    <t xml:space="preserve">广东省河源市龙川县老隆镇新城海天财富广场12楼平安人寿 </t>
  </si>
  <si>
    <t>E20220912224932072406179</t>
  </si>
  <si>
    <t>职业西服套装秋冬新款女神范休闲工作服30RG8613(卡其 西服+裤-3XL（建议130-140斤）)(1件)</t>
  </si>
  <si>
    <t xml:space="preserve">	13923839912</t>
  </si>
  <si>
    <t xml:space="preserve">广东省深圳市宝安区新安街道留仙1路信义领御2栋822室 </t>
  </si>
  <si>
    <t xml:space="preserve">	15097186252</t>
  </si>
  <si>
    <t>E20220912224358100206157</t>
  </si>
  <si>
    <t>职业西服套装秋冬新款女神范休闲工作服30RG8613(藏青 西服+裤-S（建议80-90斤）)(1件)</t>
  </si>
  <si>
    <t xml:space="preserve">	13965148744</t>
  </si>
  <si>
    <t>瑶海区</t>
  </si>
  <si>
    <t xml:space="preserve">安徽省合肥市瑶海区明光路534号大院 </t>
  </si>
  <si>
    <t xml:space="preserve">	17400630273</t>
  </si>
  <si>
    <t>E20220912224323083700033</t>
  </si>
  <si>
    <t>职业西服套装秋冬新款女神范休闲工作服30RG8613(藏青 西服+裤-XL（建议110-120斤）)(1件)</t>
  </si>
  <si>
    <t>E20220912224149058600005</t>
  </si>
  <si>
    <t>E20220912224138066300043</t>
  </si>
  <si>
    <t>职业西服套装秋冬新款女神范休闲工作服30RG8613(橙红 西服+裤-XL（建议110-120斤）)(1件)</t>
  </si>
  <si>
    <t xml:space="preserve">	15977677064</t>
  </si>
  <si>
    <t>青秀区</t>
  </si>
  <si>
    <t xml:space="preserve">广西壮族自治区南宁市青秀区保利·领秀前城领秀府(青环路东)6#11#12#-113茗雅居 </t>
  </si>
  <si>
    <t>茗雅居13978749831</t>
  </si>
  <si>
    <t>E20220912223958100206153</t>
  </si>
  <si>
    <t>职业西服套装秋冬新款女神范休闲工作服30RG8613(橙红 西服+裤-S（建议80-90斤）)(1件)</t>
  </si>
  <si>
    <t>E20220912223435065900089</t>
  </si>
  <si>
    <t xml:space="preserve">	15704944488</t>
  </si>
  <si>
    <t xml:space="preserve">内蒙古自治区鄂尔多斯市准格尔旗薛家湾镇天娇华府 </t>
  </si>
  <si>
    <t xml:space="preserve">	15105983933</t>
  </si>
  <si>
    <t>E20220912222903061100019</t>
  </si>
  <si>
    <t xml:space="preserve">	13774888298</t>
  </si>
  <si>
    <t xml:space="preserve">福建省厦门市海沧区嵩屿街道南一里113号1201 </t>
  </si>
  <si>
    <t xml:space="preserve">	15059282472</t>
  </si>
  <si>
    <t>E20220912222735082706149</t>
  </si>
  <si>
    <t xml:space="preserve">	13170755688</t>
  </si>
  <si>
    <t xml:space="preserve">云南省大理白族自治州大理市凤仪镇文化一条街 </t>
  </si>
  <si>
    <t>简单</t>
  </si>
  <si>
    <t>E20220912222028060100059</t>
  </si>
  <si>
    <t xml:space="preserve">	13835397195</t>
  </si>
  <si>
    <t>广元市</t>
  </si>
  <si>
    <t>旺苍县</t>
  </si>
  <si>
    <t xml:space="preserve">四川省广元市旺苍县国华镇益民街18 </t>
  </si>
  <si>
    <t xml:space="preserve">	17497547174</t>
  </si>
  <si>
    <t>E20220912221705092300069</t>
  </si>
  <si>
    <t>E20220912221557060106187</t>
  </si>
  <si>
    <t>E20220912221556092306169</t>
  </si>
  <si>
    <t>E20220912221428015506195</t>
  </si>
  <si>
    <t xml:space="preserve">	15160185981</t>
  </si>
  <si>
    <t xml:space="preserve">福建省宁德市蕉城区马山村120号 </t>
  </si>
  <si>
    <t>E20220912220930027706147</t>
  </si>
  <si>
    <t>高级定制款商务女士西装套装LYH9913(高级灰 西装+裤-XL（建议110-120斤）)(1件)</t>
  </si>
  <si>
    <t xml:space="preserve">	13071840806</t>
  </si>
  <si>
    <t>拱墅区</t>
  </si>
  <si>
    <t xml:space="preserve">浙江省杭州市拱墅区半山街道田园山水里11-601室 </t>
  </si>
  <si>
    <t>马海琴13071840806</t>
  </si>
  <si>
    <t>E20220912214340039800065</t>
  </si>
  <si>
    <t xml:space="preserve">	13243868149</t>
  </si>
  <si>
    <t xml:space="preserve">广东省深圳市宝安区松岗街道前进公社8栋 </t>
  </si>
  <si>
    <t>E20220912213516088800051</t>
  </si>
  <si>
    <t>E20220912213350007100037</t>
  </si>
  <si>
    <t xml:space="preserve">	13653705368</t>
  </si>
  <si>
    <t>商丘市</t>
  </si>
  <si>
    <t>梁园区</t>
  </si>
  <si>
    <t xml:space="preserve">河南省商丘市梁园区货场西路云峰二铵门市部 </t>
  </si>
  <si>
    <t>E20220912213002090906163</t>
  </si>
  <si>
    <t>E20220912212503042606171</t>
  </si>
  <si>
    <t xml:space="preserve">	18936237068</t>
  </si>
  <si>
    <t>邗江区</t>
  </si>
  <si>
    <t xml:space="preserve">江苏省扬州市邗江区梅岭街道沿河街66号 </t>
  </si>
  <si>
    <t xml:space="preserve">	17497515028</t>
  </si>
  <si>
    <t>E20220912211830052700061</t>
  </si>
  <si>
    <t xml:space="preserve">	13709781815</t>
  </si>
  <si>
    <t>雁塔区</t>
  </si>
  <si>
    <t xml:space="preserve">陕西省西安市雁塔区芙蓉西路6号曲江明珠5-1104 </t>
  </si>
  <si>
    <t>木棉华</t>
  </si>
  <si>
    <t>E20220912211422021800003</t>
  </si>
  <si>
    <t xml:space="preserve">	4200001550202209127169554124</t>
  </si>
  <si>
    <t xml:space="preserve">	2209122114232621590644</t>
  </si>
  <si>
    <t>陈女士</t>
  </si>
  <si>
    <t xml:space="preserve">	13387283268</t>
  </si>
  <si>
    <t>宜昌市</t>
  </si>
  <si>
    <t>伍家岗区</t>
  </si>
  <si>
    <t xml:space="preserve">湖北省宜昌市伍家岗区合益路206号东辰雅园 </t>
  </si>
  <si>
    <t>保险让生活更美好</t>
  </si>
  <si>
    <t xml:space="preserve">	18671740446</t>
  </si>
  <si>
    <t>E20220912210753052700069</t>
  </si>
  <si>
    <t xml:space="preserve">	4200001546202209123989989664</t>
  </si>
  <si>
    <t xml:space="preserve">	2209122108110002250037</t>
  </si>
  <si>
    <t>格子西装外套女英伦风休闲复古收腰小西服09RG1988(灰细格小西装-L)(1件)</t>
  </si>
  <si>
    <t>E20220912210731065906161</t>
  </si>
  <si>
    <t xml:space="preserve">	13598995612</t>
  </si>
  <si>
    <t>许昌市</t>
  </si>
  <si>
    <t>鄢陵县</t>
  </si>
  <si>
    <t xml:space="preserve">河南省许昌市鄢陵县南关街四巷70一1号 </t>
  </si>
  <si>
    <t>董瑞娟13598995612</t>
  </si>
  <si>
    <t>E20220912210438092306195</t>
  </si>
  <si>
    <t>E20220912210237043600013</t>
  </si>
  <si>
    <t xml:space="preserve">	4200001586202209125916963206</t>
  </si>
  <si>
    <t xml:space="preserve">	2209122102390001140296</t>
  </si>
  <si>
    <t>无痕压胶男士商务竹纤维休闲衬衣YM-589-1(589-3-42)(1件)</t>
  </si>
  <si>
    <t>刘先生</t>
  </si>
  <si>
    <t xml:space="preserve">	15171203687</t>
  </si>
  <si>
    <t>仙桃市</t>
  </si>
  <si>
    <t xml:space="preserve">湖北省省直辖县仙桃市彭场镇牛路村委会 </t>
  </si>
  <si>
    <t>😀</t>
  </si>
  <si>
    <t xml:space="preserve">	18727315203</t>
  </si>
  <si>
    <t>E20220912205437054006179</t>
  </si>
  <si>
    <t xml:space="preserve">	15571758059</t>
  </si>
  <si>
    <t xml:space="preserve">湖北省宜昌市伍家岗区夷陵大道358号虹桥国际公寓 </t>
  </si>
  <si>
    <t xml:space="preserve">	17497306602</t>
  </si>
  <si>
    <t>E20220912205341043606157</t>
  </si>
  <si>
    <t>E20220912203832025800023</t>
  </si>
  <si>
    <t>吴玉红</t>
  </si>
  <si>
    <t xml:space="preserve">	15936477811</t>
  </si>
  <si>
    <t>安阳市</t>
  </si>
  <si>
    <t>安阳县</t>
  </si>
  <si>
    <t xml:space="preserve">河南省安阳市安阳县水冶镇松涛路阳光花园门口泰康人寿 </t>
  </si>
  <si>
    <t>E20220912203803084900061</t>
  </si>
  <si>
    <t xml:space="preserve">	13594656856</t>
  </si>
  <si>
    <t>瓯海区</t>
  </si>
  <si>
    <t xml:space="preserve">浙江省温州市瓯海区梧田街道沁绿馨苑 </t>
  </si>
  <si>
    <t>LYL</t>
  </si>
  <si>
    <t>E20220912202624043206175</t>
  </si>
  <si>
    <t>E20220912202409039400063</t>
  </si>
  <si>
    <t>【直播专属】低圆领打底衫 女士套头针织毛衣女长袖薄款YD-NJR025(芥末黄-2XL（建议135-150斤）)(1件)</t>
  </si>
  <si>
    <t>E20220912202355008806167</t>
  </si>
  <si>
    <t xml:space="preserve">	13701975728</t>
  </si>
  <si>
    <t>义乌市</t>
  </si>
  <si>
    <t xml:space="preserve">浙江省金华市义乌市大陈天行制衣有限公司 </t>
  </si>
  <si>
    <t xml:space="preserve">	出差在外，麻烦18号开始发货！</t>
  </si>
  <si>
    <t xml:space="preserve">	9258972669</t>
  </si>
  <si>
    <t>E20220912202339052700001</t>
  </si>
  <si>
    <t>E20220912202329008806151</t>
  </si>
  <si>
    <t>E20220912202123047900061</t>
  </si>
  <si>
    <t>洋气英伦风小西装套装新款HYN1655(蓝色 西装+西裤-3XL（建议135-145斤）)(1件)</t>
  </si>
  <si>
    <t>E20220912202028044506207</t>
  </si>
  <si>
    <t xml:space="preserve">	13868248962</t>
  </si>
  <si>
    <t>浙江省舟山市普陀区东港街道浙能蓝庭 6幢1002室</t>
  </si>
  <si>
    <t xml:space="preserve">	17480507443</t>
  </si>
  <si>
    <t>E20220912201846015000091</t>
  </si>
  <si>
    <t xml:space="preserve">	13557764054</t>
  </si>
  <si>
    <t>百色市</t>
  </si>
  <si>
    <t>田阳区</t>
  </si>
  <si>
    <t xml:space="preserve">广西壮族自治区百色市田阳区田州镇常安路东侧一巷28号 </t>
  </si>
  <si>
    <t xml:space="preserve">	15104598106</t>
  </si>
  <si>
    <t>E20220912201717024900025</t>
  </si>
  <si>
    <t xml:space="preserve">	13549656099</t>
  </si>
  <si>
    <t>浏阳市</t>
  </si>
  <si>
    <t xml:space="preserve">湖南省长沙市浏阳市碧桂园岭秀三十街二栋一零二 </t>
  </si>
  <si>
    <t xml:space="preserve">	14838375736</t>
  </si>
  <si>
    <t>E20220912201633002400101</t>
  </si>
  <si>
    <t>E20220912201530008806169</t>
  </si>
  <si>
    <t xml:space="preserve">	因为我出差在外，希望18号以后发货</t>
  </si>
  <si>
    <t>E20220912201050032900007</t>
  </si>
  <si>
    <t xml:space="preserve">	西装上衣L码，裤子XL码</t>
  </si>
  <si>
    <t>E20220912200243056206167</t>
  </si>
  <si>
    <t>邹华玲</t>
  </si>
  <si>
    <t xml:space="preserve">	13855006413</t>
  </si>
  <si>
    <t>滁州市</t>
  </si>
  <si>
    <t>琅琊区</t>
  </si>
  <si>
    <t>安徽省滁州市琅琊区清流路水银山庄 8幢1004</t>
  </si>
  <si>
    <t>邹华玲风险管控师</t>
  </si>
  <si>
    <t>E20220912195721032900103</t>
  </si>
  <si>
    <t>E20220912195321098800049</t>
  </si>
  <si>
    <t xml:space="preserve">	18607971051</t>
  </si>
  <si>
    <t xml:space="preserve">江西省赣州市章贡区新赣州大道水游城2栋 </t>
  </si>
  <si>
    <t>E20220912195241080700081</t>
  </si>
  <si>
    <t>E20220912195157033206145</t>
  </si>
  <si>
    <t xml:space="preserve">	15080770456</t>
  </si>
  <si>
    <t>湖南省湘潭市雨湖区步步高大道五矿尊城和泽保健会所 25栋2楼</t>
  </si>
  <si>
    <t>芳</t>
  </si>
  <si>
    <t>E20220912194835021306189</t>
  </si>
  <si>
    <t xml:space="preserve">	15360917218</t>
  </si>
  <si>
    <t xml:space="preserve">广东省惠州市惠阳区新圩镇产径村，产径小学后面的平记摩托维修店 </t>
  </si>
  <si>
    <t>源泉</t>
  </si>
  <si>
    <t>E20220912194627098806151</t>
  </si>
  <si>
    <t>E20220912194623005200067</t>
  </si>
  <si>
    <t>E20220912194618043500031</t>
  </si>
  <si>
    <t>赵海鸿</t>
  </si>
  <si>
    <t xml:space="preserve">	13605787131</t>
  </si>
  <si>
    <t>宁海县</t>
  </si>
  <si>
    <t xml:space="preserve">浙江省宁波市宁海县跃龙街道世贸中心九楼903-904室 </t>
  </si>
  <si>
    <t>E20220912194604032906159</t>
  </si>
  <si>
    <t>E20220912194552042806197</t>
  </si>
  <si>
    <t xml:space="preserve">	15952172319</t>
  </si>
  <si>
    <t>徐州市</t>
  </si>
  <si>
    <t>邳州市</t>
  </si>
  <si>
    <t xml:space="preserve">江苏省徐州市邳州市运河街道国际未来城B区 </t>
  </si>
  <si>
    <t>亦仕欣安</t>
  </si>
  <si>
    <t>E20220912194523005206155</t>
  </si>
  <si>
    <t>E20220912194517096406201</t>
  </si>
  <si>
    <t>E20220912194450032900009</t>
  </si>
  <si>
    <t>E20220912194427003400011</t>
  </si>
  <si>
    <t xml:space="preserve">	4200001561202209121279778441</t>
  </si>
  <si>
    <t xml:space="preserve">	2209121944270004050628</t>
  </si>
  <si>
    <t>高腰烟管九分裤小脚显瘦休闲修身长裤02RG-B86+87(B86黑色九分裤-XL)(1件)</t>
  </si>
  <si>
    <t xml:space="preserve">	18925288732</t>
  </si>
  <si>
    <t>南山区</t>
  </si>
  <si>
    <t xml:space="preserve">广东省深圳市南山区桃园路椰风海岸B2栋2D </t>
  </si>
  <si>
    <t>太阳花</t>
  </si>
  <si>
    <t>E20220914005218032500007</t>
  </si>
  <si>
    <t>田老师</t>
  </si>
  <si>
    <t xml:space="preserve">	15204286440</t>
  </si>
  <si>
    <t>盘锦市</t>
  </si>
  <si>
    <t>盘山县</t>
  </si>
  <si>
    <t xml:space="preserve">辽宁省盘锦市盘山县高升镇郁金香小区 </t>
  </si>
  <si>
    <t xml:space="preserve">	赠运费险</t>
  </si>
  <si>
    <t xml:space="preserve">	17503511617</t>
  </si>
  <si>
    <t>E20220914004640043600011</t>
  </si>
  <si>
    <t>高级定制款商务女士西装套装LYH9913(高级灰 西装+裤-L（建议100-110斤）)(1件)</t>
  </si>
  <si>
    <t>李省利姐</t>
  </si>
  <si>
    <t xml:space="preserve">	18092070159</t>
  </si>
  <si>
    <t>碑林区</t>
  </si>
  <si>
    <t xml:space="preserve">陕西省西安市碑林区张家村街道含光北路74号 </t>
  </si>
  <si>
    <t xml:space="preserve">	上衣L裤子XL</t>
  </si>
  <si>
    <t xml:space="preserve">	15121093573</t>
  </si>
  <si>
    <t>E20220914004556064506145</t>
  </si>
  <si>
    <t>张</t>
  </si>
  <si>
    <t xml:space="preserve">	17337283715</t>
  </si>
  <si>
    <t>殷都区</t>
  </si>
  <si>
    <t xml:space="preserve">河南省安阳市殷都区梅园庄街道福源运动城 </t>
  </si>
  <si>
    <t xml:space="preserve">	13423799558</t>
  </si>
  <si>
    <t>E20220914003651099600003</t>
  </si>
  <si>
    <t>2022秋冬时尚职业装气质西装套装女正装小西服05RG9905(橙色西装+裤-L（建议100-110斤）)(1件)</t>
  </si>
  <si>
    <t xml:space="preserve">	13978539295</t>
  </si>
  <si>
    <t xml:space="preserve">广西壮族自治区玉林市博白县博白镇公园路158号泓和旺角五组团 </t>
  </si>
  <si>
    <t xml:space="preserve">	17503431872</t>
  </si>
  <si>
    <t>E20220914002842064500023</t>
  </si>
  <si>
    <t>E20220914000405100406149</t>
  </si>
  <si>
    <t>程妹芳</t>
  </si>
  <si>
    <t xml:space="preserve">	13426733922</t>
  </si>
  <si>
    <t>新会区</t>
  </si>
  <si>
    <t xml:space="preserve">广东省江门市新会区会城街道南湖壹号 </t>
  </si>
  <si>
    <t xml:space="preserve">	加急，送运动险</t>
  </si>
  <si>
    <t xml:space="preserve">	15121882449</t>
  </si>
  <si>
    <t>E20220913235933048500041</t>
  </si>
  <si>
    <t xml:space="preserve">	13522451472</t>
  </si>
  <si>
    <t>通州区</t>
  </si>
  <si>
    <t xml:space="preserve">北京市北京市通州区竹木厂小区1号楼3单元1203 </t>
  </si>
  <si>
    <t xml:space="preserve">	15122390058</t>
  </si>
  <si>
    <t>拍大了，改成L码</t>
  </si>
  <si>
    <t>E20220913235515094900033</t>
  </si>
  <si>
    <t>E20220913235507072400043</t>
  </si>
  <si>
    <t>秋冬新款水波纹别致小西装气质修身西服套装11RG9691(黑色西装+裤子-XL（建议110-120斤）)(1件)</t>
  </si>
  <si>
    <t>E20220913235136094900001</t>
  </si>
  <si>
    <t>E20220913234542005506159</t>
  </si>
  <si>
    <t>高级感白色西装外套女时尚炸街御姐西服两件套11RG9626(白色西装+西裤-4XL（建议140-150斤）)(1件)</t>
  </si>
  <si>
    <t xml:space="preserve">	13918911924</t>
  </si>
  <si>
    <t xml:space="preserve">上海市上海市浦东新区张江高科技园区古桐路50弄1-202 </t>
  </si>
  <si>
    <t>Yuki</t>
  </si>
  <si>
    <t>E20220913234329098406153</t>
  </si>
  <si>
    <t>丁小菊</t>
  </si>
  <si>
    <t xml:space="preserve">	13979455653</t>
  </si>
  <si>
    <t xml:space="preserve">江西省抚州市金溪县溢香花城(抚州市金溪县园湖南路60号)或送至：金溪县秀谷镇秀谷大道金灿豪门沿街店铺太平洋保险公司（固定上午会在） </t>
  </si>
  <si>
    <t xml:space="preserve">	15122297109</t>
  </si>
  <si>
    <t>E20220913234245011300003</t>
  </si>
  <si>
    <t xml:space="preserve">	13139668675</t>
  </si>
  <si>
    <t>天山区</t>
  </si>
  <si>
    <t xml:space="preserve">新疆维吾尔自治区乌鲁木齐市天山区新华北路街道新华北路152号轻工综合楼 </t>
  </si>
  <si>
    <t xml:space="preserve">	17491712202</t>
  </si>
  <si>
    <t>E20220913233434071906155</t>
  </si>
  <si>
    <t>陈之春</t>
  </si>
  <si>
    <t xml:space="preserve">	13825710179</t>
  </si>
  <si>
    <t>博罗县</t>
  </si>
  <si>
    <t xml:space="preserve">广东省惠州市博罗县石湾镇新怡花园 </t>
  </si>
  <si>
    <t xml:space="preserve">	不合适退货</t>
  </si>
  <si>
    <t>陈之春13825710179</t>
  </si>
  <si>
    <t>E20220913233420007500079</t>
  </si>
  <si>
    <t xml:space="preserve">	13368681090</t>
  </si>
  <si>
    <t>六枝特区</t>
  </si>
  <si>
    <t>贵州省六盘水市六枝特区九龙街道东城惠民小区13栋一单元 201</t>
  </si>
  <si>
    <t xml:space="preserve">	15097394901</t>
  </si>
  <si>
    <t>E20220913233248011300025</t>
  </si>
  <si>
    <t>高级定制款商务女士西装套装LYH9913(高级灰 西装+裤-S(建议80-90斤))(1件)</t>
  </si>
  <si>
    <t xml:space="preserve">	L码的西装，3xL的裤子</t>
  </si>
  <si>
    <t>E20220913233102044006189</t>
  </si>
  <si>
    <t>个性优雅减龄西装11RG9696(黄色-3XL（建议130-140斤）)(1件)</t>
  </si>
  <si>
    <t>E20220913232805005506175</t>
  </si>
  <si>
    <t xml:space="preserve">	17491928289</t>
  </si>
  <si>
    <t>E20220913232107011306191</t>
  </si>
  <si>
    <t>秋冬新款水波纹别致小西装气质修身西服套装11RG9691(绿色西装+裤子-XL（建议110-120斤）)(1件)</t>
  </si>
  <si>
    <t xml:space="preserve">	XL西装，XⅩL裤子</t>
  </si>
  <si>
    <t>E20220913231750011300021</t>
  </si>
  <si>
    <t>E20220913230919051100075</t>
  </si>
  <si>
    <t>黑灰撞色西装套装女气质显瘦时尚女神范西服套YJH-EX8053(灰色西装+灰裤-XL（建议110-120斤）)(1件)</t>
  </si>
  <si>
    <t xml:space="preserve">	13726616116</t>
  </si>
  <si>
    <t>孝感市</t>
  </si>
  <si>
    <t>安陆市</t>
  </si>
  <si>
    <t xml:space="preserve">湖北省孝感市安陆市林语花都·北区(太白大道东) </t>
  </si>
  <si>
    <t xml:space="preserve">	请赠送运费险，</t>
  </si>
  <si>
    <t xml:space="preserve">	15122076365</t>
  </si>
  <si>
    <t>E20220913230902011300043</t>
  </si>
  <si>
    <t>个性优雅减龄西装11RG9696(绿色-2XL（建议120-130斤）)(1件)</t>
  </si>
  <si>
    <t>E20220913230700005500075</t>
  </si>
  <si>
    <t>个性优雅减龄西装11RG9696(绿色-4XL（建议140-150斤）)(1件)</t>
  </si>
  <si>
    <t>E20220913230642092100029</t>
  </si>
  <si>
    <t>黑灰撞色西装套装女气质显瘦时尚女神范西服套YJH-EX8053(灰色西装+黑裤-XL（建议110-120斤）)(1件)</t>
  </si>
  <si>
    <t>E20220913230525031900015</t>
  </si>
  <si>
    <t>职业西装套装气质名媛高级感炸街西服套装YJH-EM902(姜黄色西装+裤子-L（建议100-110斤）)(1件)</t>
  </si>
  <si>
    <t xml:space="preserve">	18528268314</t>
  </si>
  <si>
    <t xml:space="preserve">湖南省长沙市浏阳市古港镇桐坑北路71号 </t>
  </si>
  <si>
    <t>黎思辰18528268314</t>
  </si>
  <si>
    <t>E20220913230009005500081</t>
  </si>
  <si>
    <t>黑灰撞色西装套装女气质显瘦时尚女神范西服套YJH-EX8053(灰色西装+黑裤-4XL（建议140-150斤）)(1件)</t>
  </si>
  <si>
    <t>E20220913225737059700055</t>
  </si>
  <si>
    <t>秋冬新款气质时尚职业套装女休闲修身显瘦西服正装11RG9689(咖色西装+裤子-L（建议100-110斤）)(1件)</t>
  </si>
  <si>
    <t xml:space="preserve">	13652250503</t>
  </si>
  <si>
    <t xml:space="preserve">广东省珠海市香洲区金鼎镇金晖苑底层2A大唐辣妈绝技减肥店 </t>
  </si>
  <si>
    <t>E20220913225649075000033</t>
  </si>
  <si>
    <t>黑灰撞色西装套装女气质显瘦时尚女神范西服套YJH-EX8053(灰色西装+黑裤-3XL（建议130-140斤）)(1件)</t>
  </si>
  <si>
    <t xml:space="preserve">	13417133222</t>
  </si>
  <si>
    <t xml:space="preserve">广东省汕头市澄海区文冠路与安庆路交叉路口往西北约50米临街1楼泰康人寿保险(澄海服务支公司) </t>
  </si>
  <si>
    <t>泰康保险@杜素霞�</t>
  </si>
  <si>
    <t>E20220913225146075000095</t>
  </si>
  <si>
    <t xml:space="preserve">广东省汕头市澄海区溪南镇南砂乡国道旁三亚日用品店 </t>
  </si>
  <si>
    <t>E20220913225119011300003</t>
  </si>
  <si>
    <t>秋冬新款水波纹别致小西装气质修身西服套装11RG9691(卡其色西装+裤子-2XL（建议120-130斤）)(1件)</t>
  </si>
  <si>
    <t>E20220913224644005506191</t>
  </si>
  <si>
    <t>2022秋冬时尚职业装气质西装套装女正装小西服05RG9905(橙色西装+裤-4XL（建议140-150斤）)(1件)</t>
  </si>
  <si>
    <t>E20220913224128031906157</t>
  </si>
  <si>
    <t>职业西装套装气质名媛高级感炸街西服套装YJH-EM902(绿色西装+裤子-L（建议100-110斤）)(1件)</t>
  </si>
  <si>
    <t>E20220913223755011306171</t>
  </si>
  <si>
    <t>秋冬新款气质时尚职业套装女休闲修身显瘦西服正装11RG9689(咖色西装+裤子-2XL（建议120-130斤）)(1件)</t>
  </si>
  <si>
    <t>E20220913223511001206157</t>
  </si>
  <si>
    <t>2022秋冬时尚职业装气质西装套装女正装小西服05RG9905(橙色西装+裤-XL（建议110-120斤）)(1件)</t>
  </si>
  <si>
    <t xml:space="preserve">	13378075088</t>
  </si>
  <si>
    <t xml:space="preserve">湖南省益阳市赫山区益阳大道石化公司碧翠园小区7栋1O1 </t>
  </si>
  <si>
    <t>E20220913223444006200059</t>
  </si>
  <si>
    <t>新款休闲正装气质高端职业女士西服套装05RG9902(灰色西装+灰色西裤-S（建议80-90斤）)(1件)</t>
  </si>
  <si>
    <t xml:space="preserve">	18980697392</t>
  </si>
  <si>
    <t>大邑县</t>
  </si>
  <si>
    <t xml:space="preserve">四川省成都市大邑县新场镇永辉副食店 </t>
  </si>
  <si>
    <t xml:space="preserve">	衣服2L，裤子xL，地址四川省成都市大邑县新场镇永辉副食店</t>
  </si>
  <si>
    <t>心若莲花</t>
  </si>
  <si>
    <t>E20220913223003001406191</t>
  </si>
  <si>
    <t>2022秋冬时尚职业装气质西装套装女正装小西服05RG9905(橙色西装+裤-M（建议90-100斤）)(1件)</t>
  </si>
  <si>
    <t xml:space="preserve">	17503138869</t>
  </si>
  <si>
    <t>E20220913223001075006199</t>
  </si>
  <si>
    <t>黑灰撞色西装套装女气质显瘦时尚女神范西服套YJH-EX8053(灰色西装+灰裤-3XL（建议130-140斤）)(1件)</t>
  </si>
  <si>
    <t>E20220913222940076100029</t>
  </si>
  <si>
    <t xml:space="preserve">	13325018236</t>
  </si>
  <si>
    <t>市南区</t>
  </si>
  <si>
    <t xml:space="preserve">山东省青岛市市南区香港中路街道东海西路37号金都花园C-31G </t>
  </si>
  <si>
    <t xml:space="preserve">	17350937163</t>
  </si>
  <si>
    <t>E20220913222810011306149</t>
  </si>
  <si>
    <t>2022秋冬时尚职业装气质西装套装女正装小西服05RG9905(橙色西装+裤-2XL（建议120-130斤）)(1件)</t>
  </si>
  <si>
    <t>E20220913222718011300045</t>
  </si>
  <si>
    <t>2022秋冬时尚职业装气质西装套装女正装小西服05RG9905(绿西装+裤-2XL（建议120-130斤）)(1件)</t>
  </si>
  <si>
    <t>E20220913222706043800031</t>
  </si>
  <si>
    <t xml:space="preserve">	16636193862</t>
  </si>
  <si>
    <t xml:space="preserve">山西省晋中市寿阳县梅林花园工商银行左边丽福健二楼 </t>
  </si>
  <si>
    <t xml:space="preserve">	17363818656</t>
  </si>
  <si>
    <t>E20220913222402000906155</t>
  </si>
  <si>
    <t>高端职业套装 气质时尚正装西服职业套装02RG6208(藏青色西装+裤子-M（建议90-100斤）)(1件)</t>
  </si>
  <si>
    <t xml:space="preserve">	13787399939</t>
  </si>
  <si>
    <t>隆回县</t>
  </si>
  <si>
    <t xml:space="preserve">湖南省邵阳市隆回县湖南省邵阳市隆回县万和花园十栋二单元501房 </t>
  </si>
  <si>
    <t>E20220913221932017800083</t>
  </si>
  <si>
    <t>积分抵现(-21.00)</t>
  </si>
  <si>
    <t>通勤时尚气质商务白领正装洋气女神范套装YJH-EX8059(黑色西装+裤子-XL（建议110-120斤）)(1件)</t>
  </si>
  <si>
    <t xml:space="preserve">	13733598408</t>
  </si>
  <si>
    <t>湖北省十堰市张湾区阳光栖谷12栋 1单元8楼</t>
  </si>
  <si>
    <t>双英</t>
  </si>
  <si>
    <t>E20220913221246058606177</t>
  </si>
  <si>
    <t>秋冬加厚金丝绒西服套装女气质时尚06RG9653(紫色西装+紫色西裤-XL（建议110-120斤）)(1件)</t>
  </si>
  <si>
    <t>E20220913221236043800005</t>
  </si>
  <si>
    <t>秋冬加厚金丝绒西服套装女气质时尚06RG9653(紫色西装+紫色西裤-L（建议100-110斤）)(1件)</t>
  </si>
  <si>
    <t>E20220913220915058600045</t>
  </si>
  <si>
    <t>经理职场正装工作服职业装长袖西服套装21RG6261(黑色西装＋西裤-XL（建议110-120斤）)(1件)</t>
  </si>
  <si>
    <t>E20220913220255011306171</t>
  </si>
  <si>
    <t>高端干练气质系带长袖西装套 女时尚英伦风显瘦套装05RG9904(黑色西装+裤-2XL（建议120-130斤）)(1件)</t>
  </si>
  <si>
    <t xml:space="preserve">	藏蓝色</t>
  </si>
  <si>
    <t>E20220913220134061400077</t>
  </si>
  <si>
    <t>高端女神范西装套 气质女公务员经理总裁工作服29RG1888(黑色西装+西裤-4XL（建议140-150斤）)(1件)</t>
  </si>
  <si>
    <t>E20220913215941098006191</t>
  </si>
  <si>
    <t>高级感正装总裁工作服职业西服套装女01RG2213(黑色西装+裤子-S（建议80-90斤）)(1件)</t>
  </si>
  <si>
    <t>朱朱～健康管理�</t>
  </si>
  <si>
    <t>E20220913215743098000045</t>
  </si>
  <si>
    <t>高级感正装总裁工作服职业西服套装女01RG2213(黑色西装+裤子-L（建议100-110斤）)(1件)</t>
  </si>
  <si>
    <t>E20220913215702098006187</t>
  </si>
  <si>
    <t>E20220913215139059906191</t>
  </si>
  <si>
    <t>积分抵现(-25.00)</t>
  </si>
  <si>
    <t>高级感正装总裁工作服职业西服套装女01RG2213(白色西装+裤子-2XL（建议120-130斤）)(1件)</t>
  </si>
  <si>
    <t>E20220913214302096400077</t>
  </si>
  <si>
    <t>韩版休闲西装套装女时尚气质女神范西服05RG2325(卡其色西装+西裤-L（建议100-110斤）)(1件)</t>
  </si>
  <si>
    <t>可人</t>
  </si>
  <si>
    <t>E20220913211649096406173</t>
  </si>
  <si>
    <t>高端职业套装 气质时尚正装西服职业套装02RG6208(灰色西装+裤子-L（建议100-110斤）)(1件)</t>
  </si>
  <si>
    <t>E20220913211338036700023</t>
  </si>
  <si>
    <t>春秋开衫毛衣女V领糖果色外套羊毛短款外搭针织衫YD-ZD35(酒红色-S)(1件)</t>
  </si>
  <si>
    <t>E20220913210638011306193</t>
  </si>
  <si>
    <t>总裁秋冬气质女神范时尚职业装商务正装西服套装29RG20199(粉紫西装+裙-2XL（建议120-130斤）)(1件)</t>
  </si>
  <si>
    <t xml:space="preserve">新疆维吾尔自治区喀什地区喀什市图木舒克市福州路3号唐城综合市场 </t>
  </si>
  <si>
    <t>E20220913205813096406169</t>
  </si>
  <si>
    <t>高级感白色西装外套女时尚炸街御姐西服两件套11RG9626(白色西装+西裤-L（建议100-110斤）)(1件)</t>
  </si>
  <si>
    <t>E20220913205727011300031</t>
  </si>
  <si>
    <t>高级感白色西装外套女时尚炸街御姐西服两件套11RG9626(黑色西装+西裤-2XL（建议120-130斤）)(1件)</t>
  </si>
  <si>
    <t>E20220913205201011300069</t>
  </si>
  <si>
    <t>E20220913204458025900017</t>
  </si>
  <si>
    <t>高级定制款商务女士西装套装LYH9913(孔雀蓝 西装+裤-XL（建议110-120斤）)(1件)</t>
  </si>
  <si>
    <t xml:space="preserve">	15312261200</t>
  </si>
  <si>
    <t>江阴市</t>
  </si>
  <si>
    <t xml:space="preserve">江苏省无锡市江阴市祝塘镇新北路7号司法所 </t>
  </si>
  <si>
    <t xml:space="preserve">	17502340919</t>
  </si>
  <si>
    <t>E20220913204101096400075</t>
  </si>
  <si>
    <t>E20220913203954047200083</t>
  </si>
  <si>
    <t xml:space="preserve">	13752916916</t>
  </si>
  <si>
    <t xml:space="preserve">重庆市重庆市渝北区渝北渝北区丁香路200号 16栋 </t>
  </si>
  <si>
    <t>E20220913203852096406193</t>
  </si>
  <si>
    <t>E20220913202714047200027</t>
  </si>
  <si>
    <t>E20220913202351043900033</t>
  </si>
  <si>
    <t>E20220913202158098000073</t>
  </si>
  <si>
    <t>E20220913202128098000085</t>
  </si>
  <si>
    <t>E20220913202013096406163</t>
  </si>
  <si>
    <t>E20220913201658020100043</t>
  </si>
  <si>
    <t>高端女神范西装套 气质女公务员经理总裁工作服29RG1888(蓝色西装+西裤-3XL（建议130-140斤）)(1件)</t>
  </si>
  <si>
    <t>E20220913201631096406171</t>
  </si>
  <si>
    <t>高端女神范西装套 气质女公务员经理总裁工作服29RG1888(蓝色西装+短裙-XL（建议110-120斤）)(1件)</t>
  </si>
  <si>
    <t xml:space="preserve">	发不同码，上身L，裙子XL</t>
  </si>
  <si>
    <t>客户要求补差价发顺丰，记得联系客户</t>
  </si>
  <si>
    <t>E20220913200727071206145</t>
  </si>
  <si>
    <t>秋冬V领针织衫女宽松休闲套头毛衣薄款上衣YD-262(雾霾蓝-L)(1件)</t>
  </si>
  <si>
    <t>E20220913200112006800095</t>
  </si>
  <si>
    <t>秋冬V领针织衫女宽松休闲套头毛衣薄款上衣YD-262(皮粉-XXL)(1件)</t>
  </si>
  <si>
    <t xml:space="preserve">	13706991315</t>
  </si>
  <si>
    <t>闽侯县</t>
  </si>
  <si>
    <t xml:space="preserve">福建省福州市闽侯县青口镇海韵国际城18号楼 </t>
  </si>
  <si>
    <t>林东妹13706991315</t>
  </si>
  <si>
    <t>E20220913195956048906153</t>
  </si>
  <si>
    <t xml:space="preserve">	4200001548202209133178446867</t>
  </si>
  <si>
    <t xml:space="preserve">	2209131959570001310424</t>
  </si>
  <si>
    <t>小香风荷叶边弹力连衣裙时尚气质女人味一体裙BX6057-8158(6057黑色（送胸针）-L)(1件)</t>
  </si>
  <si>
    <t>曹娟</t>
  </si>
  <si>
    <t xml:space="preserve">	18675835153</t>
  </si>
  <si>
    <t>桃江县</t>
  </si>
  <si>
    <t xml:space="preserve">湖南省益阳市桃江县芙蓉路67号7天阳光酒店(桃江汽车站店) </t>
  </si>
  <si>
    <t>CJ</t>
  </si>
  <si>
    <t xml:space="preserve">	18675835183</t>
  </si>
  <si>
    <t>E20220913195525045700063</t>
  </si>
  <si>
    <t>春秋开衫毛衣女V领糖果色外套羊毛短款外搭针织衫YD-ZD35(奶白色-S)(1件)</t>
  </si>
  <si>
    <t>E20220913195109006800047</t>
  </si>
  <si>
    <t>春秋开衫毛衣女V领糖果色外套羊毛短款外搭针织衫YD-ZD35(浅灰色-XXL)(1件)</t>
  </si>
  <si>
    <t>E20220913194952026800019</t>
  </si>
  <si>
    <t>春秋开衫毛衣女V领糖果色外套羊毛短款外搭针织衫YD-ZD35(皮粉色-S)(1件)</t>
  </si>
  <si>
    <t>E20220913194418027800091</t>
  </si>
  <si>
    <t xml:space="preserve">	18777772432</t>
  </si>
  <si>
    <t>钦州市</t>
  </si>
  <si>
    <t>钦南区</t>
  </si>
  <si>
    <t xml:space="preserve">广西壮族自治区钦州市钦南区钦北区永福西大街东泉大厦1503 </t>
  </si>
  <si>
    <t>美力健康达人潘文仕18777772432</t>
  </si>
  <si>
    <t>E20220914235601078400009</t>
  </si>
  <si>
    <t>【 告别扁平臀大肚腩，一穿立显好身材！】3D立体剪裁 360度雕塑曲线！无痕腰边，提拉翘臀，束腰塑身YKF-2112(黑色+肤色 2件装-L 建议116-130斤)(1件)</t>
  </si>
  <si>
    <t>上善若水</t>
  </si>
  <si>
    <t>E20220914233020059906151</t>
  </si>
  <si>
    <t>秋冬V领针织衫女宽松休闲套头毛衣薄款上衣YD-262(红色-XL)(1件)</t>
  </si>
  <si>
    <t>E20220914231420069600083</t>
  </si>
  <si>
    <t xml:space="preserve">	4200001557202209144857616429</t>
  </si>
  <si>
    <t xml:space="preserve">	2209142314220000050623</t>
  </si>
  <si>
    <t>男女同款职业衬衣长袖修身工作服正装衬衫JH221(深灰衬衫男-XXXL)(1件)</t>
  </si>
  <si>
    <t>黄丽英</t>
  </si>
  <si>
    <t xml:space="preserve">	13860395933</t>
  </si>
  <si>
    <t>古田县</t>
  </si>
  <si>
    <t xml:space="preserve">福建省宁德市古田县城东街道前山新路88号富德生命人寿五层 </t>
  </si>
  <si>
    <t>E20220914231207069606191</t>
  </si>
  <si>
    <t xml:space="preserve">	4200001561202209141502448432</t>
  </si>
  <si>
    <t xml:space="preserve">	2209142312090001080728</t>
  </si>
  <si>
    <t>男女同款职业衬衣长袖修身工作服正装衬衫JH221(白衬衫男-XXXL)(1件)</t>
  </si>
  <si>
    <t>E20220914230859069600045</t>
  </si>
  <si>
    <t xml:space="preserve">	4200001562202209146645549937</t>
  </si>
  <si>
    <t xml:space="preserve">	2209142309000002000717</t>
  </si>
  <si>
    <t>防晒开衫女小披肩外套 外搭空调衫长袖薄款冰丝针织衫YD-NJR1908(米色-S)(1件)</t>
  </si>
  <si>
    <t>E20220914225234099900067</t>
  </si>
  <si>
    <t>针织长袖上衣女装内搭高弹修身T恤RF33096(黑色-2XL码118-126斤)(1件)</t>
  </si>
  <si>
    <t xml:space="preserve">	15909676254</t>
  </si>
  <si>
    <t xml:space="preserve">宁夏回族自治区银川市兴庆区银燕圆33号楼3单元501 </t>
  </si>
  <si>
    <t xml:space="preserve">	17508449437</t>
  </si>
  <si>
    <t>E20220914223739033100035</t>
  </si>
  <si>
    <t>针织长袖上衣女装内搭高弹修身T恤RF33096(白色-XL码109-117斤)(1件)</t>
  </si>
  <si>
    <t xml:space="preserve">	18090779806</t>
  </si>
  <si>
    <t>旌阳区</t>
  </si>
  <si>
    <t xml:space="preserve">四川省德阳市旌阳区庐山北路505号5楼中国平安 </t>
  </si>
  <si>
    <t>An安(艳梅)18090779806</t>
  </si>
  <si>
    <t xml:space="preserve">	18281098719</t>
  </si>
  <si>
    <t>E20220914223428034500035</t>
  </si>
  <si>
    <t>秋冬新款气质时尚职业套装女休闲修身显瘦西服正装11RG9689(咖色西装+裤子-S（建议80-90斤）)(1件)</t>
  </si>
  <si>
    <t>改成XL码</t>
  </si>
  <si>
    <t>E20220914222759069600001</t>
  </si>
  <si>
    <t xml:space="preserve">	4200001539202209149319936012</t>
  </si>
  <si>
    <t xml:space="preserve">	2209142228000000310963</t>
  </si>
  <si>
    <t>西装裤女春秋季高腰职业长裤垂坠感直筒裤HSS2385(黑色-26)(1件)</t>
  </si>
  <si>
    <t>E20220914222452099600029</t>
  </si>
  <si>
    <t>针织长袖上衣女装内搭高弹修身T恤RF33096(白色-L码100-108斤)(1件)</t>
  </si>
  <si>
    <t>E20220914222436044006185</t>
  </si>
  <si>
    <t xml:space="preserve">	18570304963</t>
  </si>
  <si>
    <t>湖南省长沙市望城区月亮岛街道普瑞大道888号富基世纪公园丹桂园 10栋1201</t>
  </si>
  <si>
    <t>E20220914222030099600047</t>
  </si>
  <si>
    <t>秋冬V领针织衫女宽松休闲套头毛衣薄款上衣YD-262(草木绿-M)(1件)</t>
  </si>
  <si>
    <t>E20220914220250026306185</t>
  </si>
  <si>
    <t xml:space="preserve">	19802677868</t>
  </si>
  <si>
    <t>泰州市</t>
  </si>
  <si>
    <t>靖江市</t>
  </si>
  <si>
    <t>江苏省泰州市靖江市江苏省泰州市靖江市供销新村六区86 供销新村六区86号</t>
  </si>
  <si>
    <t xml:space="preserve">	17508315209</t>
  </si>
  <si>
    <t>E20220914213637062306185</t>
  </si>
  <si>
    <t xml:space="preserve">	4200001550202209143453937809</t>
  </si>
  <si>
    <t xml:space="preserve">	2209142136380002600553</t>
  </si>
  <si>
    <t>粉色系带长袖衬衫 休闲气质高级感法式衬衣13RG587(单件粉色衬衫-3XL（建议130-140斤）)(1件)</t>
  </si>
  <si>
    <t>徐惠萍</t>
  </si>
  <si>
    <t xml:space="preserve">	15014981118</t>
  </si>
  <si>
    <t>源城区</t>
  </si>
  <si>
    <t xml:space="preserve">广东省河源市源城区河源大道北135号之1 金泽客栈701房 </t>
  </si>
  <si>
    <t>E20220914213455022000057</t>
  </si>
  <si>
    <t>秋冬V领针织衫女宽松休闲套头毛衣薄款上衣YD-262(黑色-XXL)(1件)</t>
  </si>
  <si>
    <t xml:space="preserve">	13355146166</t>
  </si>
  <si>
    <t>汶上县</t>
  </si>
  <si>
    <t>山东省济宁市汶上县尚书苑 3—3—702</t>
  </si>
  <si>
    <t>中国人寿梁红美13355146166</t>
  </si>
  <si>
    <t xml:space="preserve">	13583713627</t>
  </si>
  <si>
    <t>E20220914212820045706161</t>
  </si>
  <si>
    <t>【直播专属】气质职业装修身小西装女士西服正装套装01RG2229(玫红色西装＋裤-M（建议90-100斤）)(1件)</t>
  </si>
  <si>
    <t>E20220914212111052100033</t>
  </si>
  <si>
    <t>针织长袖上衣女装内搭高弹修身T恤RF33096(卡其色-L码100-108斤)(1件)</t>
  </si>
  <si>
    <t>E20220914211402030700043</t>
  </si>
  <si>
    <t>E20220914211328092106169</t>
  </si>
  <si>
    <t>高级感正装总裁工作服职业西服套装女01RG2213(黑色西装+裤子-XL（建议110-120斤）)(1件)</t>
  </si>
  <si>
    <t>E20220914205956100606177</t>
  </si>
  <si>
    <t xml:space="preserve">	13794739036</t>
  </si>
  <si>
    <t>和平县</t>
  </si>
  <si>
    <t xml:space="preserve">广东省河源市和平县阳明镇华城翡翠新银和商场 </t>
  </si>
  <si>
    <t xml:space="preserve">	点不了灯牌，高总说可以送运费险和衬衫的，希望能收到�</t>
  </si>
  <si>
    <t xml:space="preserve">	17497441259</t>
  </si>
  <si>
    <t>E20220914203801003306167</t>
  </si>
  <si>
    <t>针织长袖上衣女装内搭高弹修身T恤RF33096(黑色-L码100-108斤)(1件)</t>
  </si>
  <si>
    <t>E20220914203751039206179</t>
  </si>
  <si>
    <t>针织长袖上衣女装内搭高弹修身T恤RF33096(黑色-3XL码127-135斤)(1件)</t>
  </si>
  <si>
    <t xml:space="preserve">	13578019072</t>
  </si>
  <si>
    <t>昭通市</t>
  </si>
  <si>
    <t>昭阳区</t>
  </si>
  <si>
    <t xml:space="preserve">云南省昭通市昭阳区二环西路交投大厦三楼泰康人寿保险公司 </t>
  </si>
  <si>
    <t>E20220914203719092100047</t>
  </si>
  <si>
    <t>针织长袖上衣女装内搭高弹修身T恤RF33096(黑色-XL码109-117斤)(1件)</t>
  </si>
  <si>
    <t>E20220914202941068406145</t>
  </si>
  <si>
    <t xml:space="preserve">	15506288889</t>
  </si>
  <si>
    <t xml:space="preserve">江苏省苏州市昆山市古城北路翡翠湾41栋108室 </t>
  </si>
  <si>
    <t>桃子夏�</t>
  </si>
  <si>
    <t>E20220914202757013700077</t>
  </si>
  <si>
    <t>【直播专属】时尚气质修身西装套10RG22989(孔雀蓝 西装+裤-M（建议90-100斤）)(1件)</t>
  </si>
  <si>
    <t xml:space="preserve">	15592672764</t>
  </si>
  <si>
    <t>渭滨区</t>
  </si>
  <si>
    <t xml:space="preserve">陕西省宝鸡市渭滨区广元南路化机家属院1号楼 </t>
  </si>
  <si>
    <t xml:space="preserve">	15129077919</t>
  </si>
  <si>
    <t>E20220914193147089406169</t>
  </si>
  <si>
    <t xml:space="preserve">	4200001558202209143604481814</t>
  </si>
  <si>
    <t xml:space="preserve">	2209141931490004981012</t>
  </si>
  <si>
    <t>棉感暗条纹女长袖宽松显瘦休闲衬衫10RG21653(白条衬衫-S)(1件);春款半高领针织+高腰显瘦赫本风大摆中长裙PX-W26S50506(W26S50506 米色毛衣-S)(1件);春款半高领针织+高腰显瘦赫本风大摆中长裙PX-W26S50506(W26Q50591黑色半裙-S)(1件)</t>
  </si>
  <si>
    <t>王波</t>
  </si>
  <si>
    <t xml:space="preserve">	18909033766</t>
  </si>
  <si>
    <t xml:space="preserve">四川省眉山市东坡区东湖春天 </t>
  </si>
  <si>
    <t>A周霞</t>
  </si>
  <si>
    <t>E20220917002242079306155</t>
  </si>
  <si>
    <t>高级定制款双排扣女士西装套LYH9910(深咖 西装+裤子-4XL(建议140-150斤))(1件)</t>
  </si>
  <si>
    <t>张俪</t>
  </si>
  <si>
    <t xml:space="preserve">	15801453770</t>
  </si>
  <si>
    <t xml:space="preserve">河北省廊坊市三河市燕郊经济技术开发区学院大街1167号燕新集团后院4211室 </t>
  </si>
  <si>
    <t xml:space="preserve">	15146784361</t>
  </si>
  <si>
    <t>E20220917002012051006145</t>
  </si>
  <si>
    <t>高级定制款双排扣女士西装套LYH9910(湖水蓝 西装+裤子-3XL（建议130-140斤）)(1件)</t>
  </si>
  <si>
    <t>徐凤</t>
  </si>
  <si>
    <t xml:space="preserve">	18663431888</t>
  </si>
  <si>
    <t xml:space="preserve">山东省济南市莱芜区雪湖大街福莱佳园南门东特荬特便利店 </t>
  </si>
  <si>
    <t xml:space="preserve">	17521233281</t>
  </si>
  <si>
    <t>E20220916234720007000043</t>
  </si>
  <si>
    <t xml:space="preserve">	13303856361</t>
  </si>
  <si>
    <t>新郑市</t>
  </si>
  <si>
    <t xml:space="preserve">河南省郑州市新郑市永宁街与解放路交叉口5号公馆 </t>
  </si>
  <si>
    <t xml:space="preserve">	上衣拍L</t>
  </si>
  <si>
    <t>勿忘初心</t>
  </si>
  <si>
    <t>E20220916234224079406155</t>
  </si>
  <si>
    <t xml:space="preserve">	18825590466</t>
  </si>
  <si>
    <t>长安镇</t>
  </si>
  <si>
    <t xml:space="preserve">广东省东莞市长安镇沙头东大六街长富雅宛 </t>
  </si>
  <si>
    <t xml:space="preserve">	17502839085</t>
  </si>
  <si>
    <t>E20220916234145100306151</t>
  </si>
  <si>
    <t xml:space="preserve">	4200001542202209160667342887</t>
  </si>
  <si>
    <t xml:space="preserve">	2209162341460000060583</t>
  </si>
  <si>
    <t>法式无袖连衣裙不规则气质百搭两件套06RG2098(蓝色连衣裙-XL（建议110-120斤）)(1件)</t>
  </si>
  <si>
    <t>方蕾</t>
  </si>
  <si>
    <t xml:space="preserve">	13531023513</t>
  </si>
  <si>
    <t xml:space="preserve">广东省湛江市霞山区人民大道中20号汇景豪庭汇智广场A座四楼平安超越部 </t>
  </si>
  <si>
    <t>方蕾总监招聘家庭财富风险管理师</t>
  </si>
  <si>
    <t>E20220916234105100306151</t>
  </si>
  <si>
    <t>赤坎区</t>
  </si>
  <si>
    <t xml:space="preserve">广东省湛江市赤坎区南国豪苑三期25-2702 </t>
  </si>
  <si>
    <t>E20220916233602062506189</t>
  </si>
  <si>
    <t xml:space="preserve">	4200001540202209168820108360</t>
  </si>
  <si>
    <t xml:space="preserve">	2209162336040000350445</t>
  </si>
  <si>
    <t>新款职业装女纯色连衣裙春夏小个子YL-211(蓝色短袖连衣裙-2XL（建议120-130斤）)(1件)</t>
  </si>
  <si>
    <t xml:space="preserve">重庆市重庆市渝北区人和镇龙寿路648号富悦景园B-5-4-1 </t>
  </si>
  <si>
    <t>zhl</t>
  </si>
  <si>
    <t>E20220916233226007000047</t>
  </si>
  <si>
    <t>E20220916232637007000015</t>
  </si>
  <si>
    <t xml:space="preserve">	裤子</t>
  </si>
  <si>
    <t>E20220916232134059306191</t>
  </si>
  <si>
    <t xml:space="preserve">	18978708022</t>
  </si>
  <si>
    <t>陆川县</t>
  </si>
  <si>
    <t xml:space="preserve">广西壮族自治区玉林市陆川县温泉镇园林路16号 </t>
  </si>
  <si>
    <t>毅</t>
  </si>
  <si>
    <t>E20220916231707028600009</t>
  </si>
  <si>
    <t>春秋开衫毛衣女V领糖果色外套羊毛短款外搭针织衫YD-ZD35(米色-L)(1件)</t>
  </si>
  <si>
    <t xml:space="preserve">	13685222075</t>
  </si>
  <si>
    <t>常熟市</t>
  </si>
  <si>
    <t xml:space="preserve">江苏省苏州市常熟市沙家浜镇沙家浜常昆工业园腾晖路1号中利腾晖光伏科技公司东门 </t>
  </si>
  <si>
    <t>Cailin_WU</t>
  </si>
  <si>
    <t>E20220916230733031000007</t>
  </si>
  <si>
    <t>高级定制款商务单排扣女士西装套装LYH9913(孔雀蓝 西装+裤-XL（建议110-120斤）)(1件)</t>
  </si>
  <si>
    <t>净心</t>
  </si>
  <si>
    <t xml:space="preserve">	18500602252</t>
  </si>
  <si>
    <t xml:space="preserve">辽宁省沈阳市皇姑区陵东街道翰卿超市 </t>
  </si>
  <si>
    <t xml:space="preserve">	17520648735</t>
  </si>
  <si>
    <t>E20220916230548092100013</t>
  </si>
  <si>
    <t>女士职业衬衫长袖正装上衣内搭通勤洋气29RG0581(黑色-L（建议100-110斤）)(1件)</t>
  </si>
  <si>
    <t>E20220916225950007006147</t>
  </si>
  <si>
    <t>E20220916225205013006151</t>
  </si>
  <si>
    <t xml:space="preserve">	4200001568202209168297534172</t>
  </si>
  <si>
    <t xml:space="preserve">	2209162252062621540849</t>
  </si>
  <si>
    <t>松紧腰哈伦裤女夏薄款宽松九分裤子YY-ML6268(ML6268黑长裤-M)(1件)</t>
  </si>
  <si>
    <t>黄香</t>
  </si>
  <si>
    <t xml:space="preserve">	18228746902</t>
  </si>
  <si>
    <t>凉山彝族自治州</t>
  </si>
  <si>
    <t>西昌市</t>
  </si>
  <si>
    <t>四川省凉山彝族自治州西昌市建昌路彩云府 7栋一单元1403</t>
  </si>
  <si>
    <t>黄香ღ</t>
  </si>
  <si>
    <t>E20220916224936092106175</t>
  </si>
  <si>
    <t>优惠卡券(-30.00);积分抵现(-6.00)</t>
  </si>
  <si>
    <t>总裁秋冬气质女神范时尚职业装商务正装西服套装29RG20199(粉紫西装+裙-L（建议100-110斤）)(1件)</t>
  </si>
  <si>
    <t xml:space="preserve">	裙子要xl码</t>
  </si>
  <si>
    <t>社群积分福利券</t>
  </si>
  <si>
    <t>E20220916224356010300079</t>
  </si>
  <si>
    <t>E20220916222259087906177</t>
  </si>
  <si>
    <t xml:space="preserve">	4200001548202209160353089574</t>
  </si>
  <si>
    <t xml:space="preserve">	2209162223000002840116</t>
  </si>
  <si>
    <t>保暖加厚修身白领职业衬衣RG-AS6816(【加绒款】白色-S)(1件)</t>
  </si>
  <si>
    <t>吴宝贝</t>
  </si>
  <si>
    <t xml:space="preserve">	15859800533</t>
  </si>
  <si>
    <t xml:space="preserve">福建省厦门市思明区文屏路文屏山庄137号604 </t>
  </si>
  <si>
    <t>肖世烜</t>
  </si>
  <si>
    <t>E20220916221738087906165</t>
  </si>
  <si>
    <t xml:space="preserve">	4200001572202209168820228398</t>
  </si>
  <si>
    <t xml:space="preserve">	2209162217390005021022</t>
  </si>
  <si>
    <t>925银针欧美风几何菱形耳环女DL-h5115(香槟金色菱形耳环)(1件)</t>
  </si>
  <si>
    <t>E20220916221209087900007</t>
  </si>
  <si>
    <t xml:space="preserve">	4200001577202209160954764463</t>
  </si>
  <si>
    <t xml:space="preserve">	2209162212090004460073</t>
  </si>
  <si>
    <t>E20220916221052087906157</t>
  </si>
  <si>
    <t xml:space="preserve">	4200001547202209164403131076</t>
  </si>
  <si>
    <t xml:space="preserve">	2209162210530000500825</t>
  </si>
  <si>
    <t>【MUMUWIE胶原蛋白养护内衣】胶原蛋白精华滋养呵护，前扣立体上托、调整矫姿、聚拢固型，无钢圈无束缚，柔软无痕超舒适。(琉璃粉+绚丽黑（2件更优惠）-M)(1件)</t>
  </si>
  <si>
    <t>E20220916220327086706155</t>
  </si>
  <si>
    <t>高级定制款商务女士西装套装LYH9913(孔雀蓝 西装+裤-3XL（建议130-140斤）)(1件)</t>
  </si>
  <si>
    <t>E20220916220238044000019</t>
  </si>
  <si>
    <t>高级定制款女士西装套LYH9910(湖水蓝 西装+裤子-XXL（建议120-130斤）)(1件)</t>
  </si>
  <si>
    <t>用户衣服2XL，裤子需要换成3XL</t>
  </si>
  <si>
    <t>E20220916214455040500059</t>
  </si>
  <si>
    <t>高端职业套装 气质时尚正装西服职业套装02RG6208(灰色西装+裤子-2XL（建议120-130斤）)(1件)</t>
  </si>
  <si>
    <t>杜华</t>
  </si>
  <si>
    <t xml:space="preserve">	13085263770</t>
  </si>
  <si>
    <t xml:space="preserve">湖北省十堰市张湾区友谊巷友谊新村14号楼二单元二门二号 </t>
  </si>
  <si>
    <t xml:space="preserve">	17520614474</t>
  </si>
  <si>
    <t>E20220916214359040506161</t>
  </si>
  <si>
    <t>高端职业套装 气质时尚正装西服职业套装02RG6208(灰色西装+裤子-S（建议80-90斤）)(1件)</t>
  </si>
  <si>
    <t>E20220916212749061500031</t>
  </si>
  <si>
    <t>高级定制款商务女士西装套装LYH9913(高级灰 西装+裤-3XL（建议130-140斤）)(1件)</t>
  </si>
  <si>
    <t xml:space="preserve">	15348121089</t>
  </si>
  <si>
    <t>四川省自贡市富顺县北湖南路 338</t>
  </si>
  <si>
    <t>中国人寿邹永书（15348121089）</t>
  </si>
  <si>
    <t>E20220916212400053600079</t>
  </si>
  <si>
    <t>高级定制款女士西装套LYH9910(孔雀蓝  西装+裤子-L（建议100-110斤）)(1件)</t>
  </si>
  <si>
    <t>E20220916211657053600053</t>
  </si>
  <si>
    <t>高级定制款商务女士西装套装LYH9913(孔雀蓝 西装+裤-L（建议100-110斤）)(1件)</t>
  </si>
  <si>
    <t xml:space="preserve">	双排扣，款式2！</t>
  </si>
  <si>
    <t>E20220916204311008306175</t>
  </si>
  <si>
    <t xml:space="preserve">	4200001588202209160511865431</t>
  </si>
  <si>
    <t xml:space="preserve">	2209162043120000770757</t>
  </si>
  <si>
    <t>新款气质高腰显瘦时尚百搭女a字半身裙CY-AZR6753(黑色-2XL/30)(1件)</t>
  </si>
  <si>
    <t>谷存芬</t>
  </si>
  <si>
    <t xml:space="preserve">	13529552980</t>
  </si>
  <si>
    <t>保山市</t>
  </si>
  <si>
    <t>腾冲县</t>
  </si>
  <si>
    <t xml:space="preserve">云南省保山市腾冲县高黎贡2组团2栋3单元401 </t>
  </si>
  <si>
    <t>E20220916203144037600025</t>
  </si>
  <si>
    <t>高级感正装总裁工作服职业西服套装女01RG2213(橙色西装+裤子-L（建议100-110斤）)(1件)</t>
  </si>
  <si>
    <t>E20220916202312047900015</t>
  </si>
  <si>
    <t>高级感正装总裁工作服职业西服套装女01RG2213(黑色西装+裤子-3XL（建议130-140斤）)(1件)</t>
  </si>
  <si>
    <t>E20220916201247008100067</t>
  </si>
  <si>
    <t>E20220926002744072406171</t>
  </si>
  <si>
    <t>职业套装高端时尚设计感西服服套装MY8089(蓝色  西装+裤子-XL（建议110-120斤）)(1件)</t>
  </si>
  <si>
    <t>E20220926002524024006147</t>
  </si>
  <si>
    <t>高级定制款双排扣女士西装套LYH9910(湖水蓝 西装+裤子-XXL（建议120-130斤）)(1件)</t>
  </si>
  <si>
    <t xml:space="preserve">	15713882256</t>
  </si>
  <si>
    <t xml:space="preserve">河南省郑州市金水区国基路街道香山路宏祥路新龙 </t>
  </si>
  <si>
    <t xml:space="preserve">	上衣XXL，肚子有肉要裤子XXXL</t>
  </si>
  <si>
    <t>青山绿水王老师</t>
  </si>
  <si>
    <t>E20220926002256018306145</t>
  </si>
  <si>
    <t>高级定制款双排扣女士西装套LYH9910(湖水蓝 西装+裤子-L（建议100-110斤）)(1件)</t>
  </si>
  <si>
    <t xml:space="preserve">	13392734631</t>
  </si>
  <si>
    <t xml:space="preserve">广东省东莞市塘厦镇丽景花园云腴茶舍(丽景花园店) </t>
  </si>
  <si>
    <t xml:space="preserve">	12511081082</t>
  </si>
  <si>
    <t>E20220926002255014200003</t>
  </si>
  <si>
    <t xml:space="preserve">	13854630997</t>
  </si>
  <si>
    <t>广饶县</t>
  </si>
  <si>
    <t>山东省东营市广饶县大王镇晨光花园 19号楼二单元四楼402室</t>
  </si>
  <si>
    <t>李梦芬13854630997</t>
  </si>
  <si>
    <t>E20220926002110028106155</t>
  </si>
  <si>
    <t xml:space="preserve">	4200001548202209263311769199</t>
  </si>
  <si>
    <t xml:space="preserve">	2209260021112621560620</t>
  </si>
  <si>
    <t>v领修身打底衫 春款职业装内搭上衣RF9932(白色-L码 98-106斤)(1件)</t>
  </si>
  <si>
    <t xml:space="preserve">	15973999200</t>
  </si>
  <si>
    <t>双清区</t>
  </si>
  <si>
    <t xml:space="preserve">湖南省邵阳市双清区华艺灯饰 </t>
  </si>
  <si>
    <t>华艺灯饰15973999200</t>
  </si>
  <si>
    <t>E20220926002108036500023</t>
  </si>
  <si>
    <t>职业套装高端时尚设计感西服服套装MY8089(咖啡色  西装+裤子-M（建议90-100斤）)(1件)</t>
  </si>
  <si>
    <t xml:space="preserve">	18678762587</t>
  </si>
  <si>
    <t xml:space="preserve">山东省济宁市任城区南苑街道凤凰城凤鸣区19号楼菜鸟驿站 </t>
  </si>
  <si>
    <t xml:space="preserve">	裤子要L码</t>
  </si>
  <si>
    <t xml:space="preserve">	17574606275</t>
  </si>
  <si>
    <t>E20220926001946028100037</t>
  </si>
  <si>
    <t xml:space="preserve">	4200001568202209267290437262</t>
  </si>
  <si>
    <t xml:space="preserve">	2209260019472621540226</t>
  </si>
  <si>
    <t>E20220926001633024006159</t>
  </si>
  <si>
    <t>E20220926001450093800055</t>
  </si>
  <si>
    <t xml:space="preserve">	4200001573202209269721379647</t>
  </si>
  <si>
    <t xml:space="preserve">	2209260014510001071023</t>
  </si>
  <si>
    <t>真皮女士腰带 时尚百搭连衣裙装饰腰带DM-ZK048(红色)(1件)</t>
  </si>
  <si>
    <t xml:space="preserve">广东省东莞市凤岗镇翡翠山湖金碧阁A座102 </t>
  </si>
  <si>
    <t xml:space="preserve">	13642383021</t>
  </si>
  <si>
    <t>已排9.26</t>
  </si>
  <si>
    <t>E20220926001300024000001</t>
  </si>
  <si>
    <t xml:space="preserve">	肚子有肉，裤子要大一号</t>
  </si>
  <si>
    <t>E20220925235332068006147</t>
  </si>
  <si>
    <t>高端西装套装女秋冬气质女神范工作服29RG20228(蓝色西装+西裤-S（建议80-90斤）)(1件)</t>
  </si>
  <si>
    <t>E20220925235215028100045</t>
  </si>
  <si>
    <t>高端OL西服套装 气质长袖休闲西服套装05RG9906(长袖红色西装＋裤子-XL（建议110-120斤）)(1件)</t>
  </si>
  <si>
    <t>E20220925233746028106161</t>
  </si>
  <si>
    <t xml:space="preserve">	4200001546202209255850143002</t>
  </si>
  <si>
    <t xml:space="preserve">	2209252337480000360533</t>
  </si>
  <si>
    <t>职业套装女士时尚气质通勤一粒扣修身百搭62RG8917B(湖蓝色西装+5007B裤-XL（建议110-120斤）)(1件)</t>
  </si>
  <si>
    <t>E20220925233634039006171</t>
  </si>
  <si>
    <t>高端西装套装女秋冬气质女神范工作服29RG20228(蓝色西装+西裤-L（建议100-110斤）)(1件)</t>
  </si>
  <si>
    <t xml:space="preserve">	13466159136</t>
  </si>
  <si>
    <t xml:space="preserve">云南省大理白族自治州大理市下关街道五金一条街B区1037 </t>
  </si>
  <si>
    <t xml:space="preserve">	17507826959</t>
  </si>
  <si>
    <t>E20220925233356004806219</t>
  </si>
  <si>
    <t>高端西装套装女秋冬气质女神范工作服29RG20228(米杏色西装+西裤-L（建议100-110斤）)(1件)</t>
  </si>
  <si>
    <t xml:space="preserve">	13929464188</t>
  </si>
  <si>
    <t xml:space="preserve">广东省东莞市凤岗镇雁田丰田花园8座5栋9B </t>
  </si>
  <si>
    <t>E20220925232951013400033</t>
  </si>
  <si>
    <t xml:space="preserve">	4200001554202209250199632857</t>
  </si>
  <si>
    <t xml:space="preserve">	2209252329510000880841</t>
  </si>
  <si>
    <t>【安梨口袋早秋泡芙糯米内裤】紫衫醇净化裤 健康洁净 净化异味  柔软无缝面料 3D蜜桃臀 兼顾多种体型 无限包容 轻若无感 近零负担 透气面料 轻薄耐穿(组合五：香芋紫*2+裸肤色*2+杏粉色*1-均码(80-140斤）-5条装)(1件)</t>
  </si>
  <si>
    <t>陈在</t>
  </si>
  <si>
    <t xml:space="preserve">	13635356998</t>
  </si>
  <si>
    <t>万州区</t>
  </si>
  <si>
    <t xml:space="preserve">重庆市重庆市万州区孙家书房路29号1幢407 </t>
  </si>
  <si>
    <t>E20220925232556005500021</t>
  </si>
  <si>
    <t xml:space="preserve">	4200001588202209259396794256</t>
  </si>
  <si>
    <t xml:space="preserve">	2209252325580000940961</t>
  </si>
  <si>
    <t>【安梨口袋早秋泡芙糯米内裤】紫衫醇净化裤 健康洁净 净化异味  柔软无缝面料 3D蜜桃臀 兼顾多种体型 无限包容 轻若无感 近零负担 透气面料 轻薄耐穿(组合三：杏粉色+姜黄色+雅绿色+裸肤色+奶茶色-均码(80-140斤）-5条装)(1件)</t>
  </si>
  <si>
    <t>韦宝玉</t>
  </si>
  <si>
    <t xml:space="preserve">	18077878545</t>
  </si>
  <si>
    <t>凤山县</t>
  </si>
  <si>
    <t xml:space="preserve">广西壮族自治区河池市凤山县中国人寿保险公司 </t>
  </si>
  <si>
    <t>韦宝玉18077878545</t>
  </si>
  <si>
    <t>E20220925232521082506191</t>
  </si>
  <si>
    <t>职业套装高端时尚设计感西服服套装MY8089(蓝色  西装+裤子-3XL（建议130-140斤）)(1件)</t>
  </si>
  <si>
    <t xml:space="preserve">	15662096799</t>
  </si>
  <si>
    <t>新泰市</t>
  </si>
  <si>
    <t xml:space="preserve">山东省泰安市新泰市开发区国贸路国新汽车斜对面 </t>
  </si>
  <si>
    <t>夹心</t>
  </si>
  <si>
    <t>E20220925232500082800095</t>
  </si>
  <si>
    <t xml:space="preserve">	4200001562202209257552763485</t>
  </si>
  <si>
    <t xml:space="preserve">	2209252325020000750276</t>
  </si>
  <si>
    <t>高腰垂感阔腿九分裤 夏报薄款休闲裤HSS-2576(焦糖色-L)(1件)</t>
  </si>
  <si>
    <t>刘左云</t>
  </si>
  <si>
    <t xml:space="preserve">	18748743924</t>
  </si>
  <si>
    <t>毕节市</t>
  </si>
  <si>
    <t>威宁彝族回族苗族自治县</t>
  </si>
  <si>
    <t>贵州省毕节市威宁彝族回族苗族自治县金岭蓝湾6号楼 F205</t>
  </si>
  <si>
    <t>小左</t>
  </si>
  <si>
    <t>E20220925231550021500017</t>
  </si>
  <si>
    <t>高级定制款双排扣女士西装套LYH9910(孔雀蓝  西装+裤子-M（建议90-100斤）)(1件)</t>
  </si>
  <si>
    <t>沙金女神</t>
  </si>
  <si>
    <t xml:space="preserve">	17725794313</t>
  </si>
  <si>
    <t xml:space="preserve">广东省佛山市高明区荷城街道文昌路25号 </t>
  </si>
  <si>
    <t xml:space="preserve">	17560810588</t>
  </si>
  <si>
    <t>E20220925231208082300161</t>
  </si>
  <si>
    <t xml:space="preserve">	13796601920</t>
  </si>
  <si>
    <t>苏州工业园区</t>
  </si>
  <si>
    <t xml:space="preserve">江苏省苏州市苏州工业园区唯亭街道澄边路8号泰康之家吴园护理公寓三楼照护服务室姜雅男 </t>
  </si>
  <si>
    <t xml:space="preserve">	17573817715</t>
  </si>
  <si>
    <t>E20220925230649083100075</t>
  </si>
  <si>
    <t xml:space="preserve">	4200001552202209257435360960</t>
  </si>
  <si>
    <t xml:space="preserve">	2209252306510000010842</t>
  </si>
  <si>
    <t>李长美</t>
  </si>
  <si>
    <t xml:space="preserve">	15828062960</t>
  </si>
  <si>
    <t>青白江区</t>
  </si>
  <si>
    <t xml:space="preserve">四川省成都市青白江区瀚城新天地一栋一单元十楼五号 </t>
  </si>
  <si>
    <t>E20220925230523003100125</t>
  </si>
  <si>
    <t xml:space="preserve">	4200001542202209254422315328</t>
  </si>
  <si>
    <t xml:space="preserve">	2209252305240001160234</t>
  </si>
  <si>
    <t>穿出饱满胸型，Q弹柔软好舒服林小眠抱抱内衣 | 无钢圈，包裹承托力好，高弹无痕收副乳(碳黑-L码 36/80ABC-两件装（更优惠）)(1件)</t>
  </si>
  <si>
    <t>金美霞</t>
  </si>
  <si>
    <t xml:space="preserve">	13851564549</t>
  </si>
  <si>
    <t xml:space="preserve">江苏省南京市鼓楼区和会街87号703室 </t>
  </si>
  <si>
    <t xml:space="preserve">	一件黑色和一件裸肤色，谢谢！</t>
  </si>
  <si>
    <t>中国平安美霞13851564549</t>
  </si>
  <si>
    <t>E20220925230320082800005</t>
  </si>
  <si>
    <t xml:space="preserve">	4200001576202209255031962760</t>
  </si>
  <si>
    <t xml:space="preserve">	2209252303210001250073</t>
  </si>
  <si>
    <t>泡泡袖法式衬衫时尚白色设计感小众衬衣22RG6702(杏色衬衫-M（建议90-100斤）)(1件)</t>
  </si>
  <si>
    <t>E20220925230026023400157</t>
  </si>
  <si>
    <t xml:space="preserve">	4200001578202209250009944859</t>
  </si>
  <si>
    <t xml:space="preserve">	2209252300280001240851</t>
  </si>
  <si>
    <t>【安梨口袋早秋泡芙糯米内裤】紫衫醇净化裤 健康洁净 净化异味  柔软无缝面料 3D蜜桃臀 兼顾多种体型 无限包容 轻若无感 近零负担 透气面料 轻薄耐穿(组合一：香芋紫+杏粉色+姜黄色+奶茶色+雅绿色-均码(80-140斤）-5条装)(1件)</t>
  </si>
  <si>
    <t>王丽英</t>
  </si>
  <si>
    <t xml:space="preserve">	18977397707</t>
  </si>
  <si>
    <t>阳朔县</t>
  </si>
  <si>
    <t xml:space="preserve">广西壮族自治区桂林市阳朔县书童国际苑37-1 </t>
  </si>
  <si>
    <t>水晶</t>
  </si>
  <si>
    <t>E20220925225159018006225</t>
  </si>
  <si>
    <t xml:space="preserve">	4200001607202209256777960037</t>
  </si>
  <si>
    <t xml:space="preserve">	2209252252010000020013</t>
  </si>
  <si>
    <t>s925银针 气质花朵耳环时尚简约个性耳饰DL-H1235(香槟金耳钉)(1件)</t>
  </si>
  <si>
    <t>张键</t>
  </si>
  <si>
    <t xml:space="preserve">	18916018516</t>
  </si>
  <si>
    <t xml:space="preserve">上海市上海市松江区车墩镇环城路258号申韵公寓306室 </t>
  </si>
  <si>
    <t>见见</t>
  </si>
  <si>
    <t>E20220925225145061406173</t>
  </si>
  <si>
    <t>高端OL西服套装 气质长袖休闲西服套装05RG9906(长袖红色西装＋裤子-2XL（建议120-130斤）)(1件)</t>
  </si>
  <si>
    <t xml:space="preserve">	13451825217</t>
  </si>
  <si>
    <t>秦淮区</t>
  </si>
  <si>
    <t xml:space="preserve">江苏省南京市秦淮区来凤小区太平苑9号201 </t>
  </si>
  <si>
    <t xml:space="preserve">	17574337028</t>
  </si>
  <si>
    <t>E20220925225118011800143</t>
  </si>
  <si>
    <t>秋冬加厚金丝绒西服套装女气质时尚06RG9653(黑色西装+黑色西裤-4XL（建议140-150斤）)(1件)</t>
  </si>
  <si>
    <t>张钧菁</t>
  </si>
  <si>
    <t xml:space="preserve">	15950221061</t>
  </si>
  <si>
    <t>亭湖区</t>
  </si>
  <si>
    <t xml:space="preserve">江苏省盐城市亭湖区美岸华庭6号504 </t>
  </si>
  <si>
    <t>A平安张钧菁(jīng)15950221061</t>
  </si>
  <si>
    <t>E20220925224811084900159</t>
  </si>
  <si>
    <t>高级感休闲气质女神范通勤厚西服套装42RG607(咖啡色西装＋咖啡色正装裤-L（建议100-110斤）)(1件)</t>
  </si>
  <si>
    <t>外套M码数，裤子L码，莫9.26</t>
  </si>
  <si>
    <t>E20220925223918068000085</t>
  </si>
  <si>
    <t>E20220925223814025500007</t>
  </si>
  <si>
    <t>蜜桃绒保暖内衣女超薄V领弹力修身美肤保暖套装HLL-T129(黑色（上衣+裤）-M-L(建议80-115）)(1件)</t>
  </si>
  <si>
    <t xml:space="preserve">	13501392861</t>
  </si>
  <si>
    <t>北京市北京市海淀区苏州街12号 A座602</t>
  </si>
  <si>
    <t xml:space="preserve">	黑色+灰蓝</t>
  </si>
  <si>
    <t xml:space="preserve">	15221876165</t>
  </si>
  <si>
    <t>HLL以下已排9.26</t>
  </si>
  <si>
    <t>E20220925223110068000003</t>
  </si>
  <si>
    <t>E20220925222741084900071</t>
  </si>
  <si>
    <t>E20220925222529032400089</t>
  </si>
  <si>
    <t>蜜桃绒保暖内衣女超薄V领弹力修身美肤保暖套装HLL-T129(灰蓝（上衣+裤）-L-XL(建议100-135）)(1件)</t>
  </si>
  <si>
    <t xml:space="preserve">	15950523608</t>
  </si>
  <si>
    <t>江宁区</t>
  </si>
  <si>
    <t xml:space="preserve">江苏省南京市江宁区文靖路59号12幢201室 </t>
  </si>
  <si>
    <t xml:space="preserve">	一套肤色</t>
  </si>
  <si>
    <t xml:space="preserve">	18115121518</t>
  </si>
  <si>
    <t>E20220925222521102206155</t>
  </si>
  <si>
    <t>蜜桃绒保暖内衣女超薄V领弹力修身美肤保暖套装HLL-T129(肤色（上衣+裤）-L-XL(建议100-135）)(1件)</t>
  </si>
  <si>
    <t xml:space="preserve">	15010862710</t>
  </si>
  <si>
    <t xml:space="preserve">北京市北京市海淀区清河街道永泰西里20-4-202 </t>
  </si>
  <si>
    <t xml:space="preserve">	一套肤色，一套灰色</t>
  </si>
  <si>
    <t xml:space="preserve">	15827930332</t>
  </si>
  <si>
    <t>E20220925222503074300003</t>
  </si>
  <si>
    <t xml:space="preserve">	13983477488</t>
  </si>
  <si>
    <t>綦江区</t>
  </si>
  <si>
    <t xml:space="preserve">重庆市重庆市綦江区通惠惠都芳庭2栋14~2 </t>
  </si>
  <si>
    <t xml:space="preserve">	送肤色</t>
  </si>
  <si>
    <t>蒲 旭[太阳]</t>
  </si>
  <si>
    <t>E20220925222206069400035</t>
  </si>
  <si>
    <t xml:space="preserve">	4200001583202209257665653946</t>
  </si>
  <si>
    <t xml:space="preserve">	2209252222070001340455</t>
  </si>
  <si>
    <t>孔翠兰</t>
  </si>
  <si>
    <t xml:space="preserve">	13314633887</t>
  </si>
  <si>
    <t>牡丹江市</t>
  </si>
  <si>
    <t>西安区</t>
  </si>
  <si>
    <t xml:space="preserve">黑龙江省牡丹江市西安区景福街金鼎国际酒店803室 </t>
  </si>
  <si>
    <t>E20220925222107034906155</t>
  </si>
  <si>
    <t xml:space="preserve">	4200001554202209254658696509</t>
  </si>
  <si>
    <t xml:space="preserve">	2209252221080001180149</t>
  </si>
  <si>
    <t>【安梨口袋早秋泡芙糯米内裤】紫衫醇净化裤 健康洁净 净化异味  柔软无缝面料 3D蜜桃臀 兼顾多种体型 无限包容 轻若无感 近零负担 透气面料 轻薄耐穿(组合六：雅绿色*2+姜黄色*2+香芋紫*1-均码(80-140斤）-5条装)(1件)</t>
  </si>
  <si>
    <t>张祺榕</t>
  </si>
  <si>
    <t xml:space="preserve">	17688917578</t>
  </si>
  <si>
    <t xml:space="preserve">广东省深圳市龙华区观澜街道吓呃新村55号 </t>
  </si>
  <si>
    <t>祺榕打造IP群主裂变教练</t>
  </si>
  <si>
    <t>E20220925222031082306223</t>
  </si>
  <si>
    <t>【直播专属】高级感暗纹西装套装 时尚气质修身西服正装SY-6201(白色西装+白色西裤-L（建议100-110斤）)(1件)</t>
  </si>
  <si>
    <t>E20220925221926084900115</t>
  </si>
  <si>
    <t>E20220925221900071300171</t>
  </si>
  <si>
    <t>【直播专属】高级感暗纹西装套装 时尚气质修身西服正装SY-6201(绿色西装＋绿色西裤-L（建议100-110斤）)(1件)</t>
  </si>
  <si>
    <t>沈海燕</t>
  </si>
  <si>
    <t xml:space="preserve">	13552349354</t>
  </si>
  <si>
    <t>秦皇岛市</t>
  </si>
  <si>
    <t>海港区</t>
  </si>
  <si>
    <t xml:space="preserve">河北省秦皇岛市海港区杜庄镇蓝图嘉园9号楼 </t>
  </si>
  <si>
    <t xml:space="preserve">	14882799738</t>
  </si>
  <si>
    <t>E20220925221658055700039</t>
  </si>
  <si>
    <t xml:space="preserve">	4200001615202209258411453915</t>
  </si>
  <si>
    <t xml:space="preserve">	2209252216580002240982</t>
  </si>
  <si>
    <t>金丝绒纯色V领显瘦衬衫 通勤洋气优雅衬衣13RG561(单色黑色衬衫-4XL)(1件)</t>
  </si>
  <si>
    <t>李延文</t>
  </si>
  <si>
    <t xml:space="preserve">	13853100101</t>
  </si>
  <si>
    <t>历城区</t>
  </si>
  <si>
    <t xml:space="preserve">山东省济南市历城区唐冶中路4567号鲁商凤凰广场1号楼606 </t>
  </si>
  <si>
    <t>李军筱</t>
  </si>
  <si>
    <t>E20220925220955001900011</t>
  </si>
  <si>
    <t xml:space="preserve">	4200001558202209250070244078</t>
  </si>
  <si>
    <t xml:space="preserve">	2209252209560001220286</t>
  </si>
  <si>
    <t xml:space="preserve">	18209153656</t>
  </si>
  <si>
    <t>安康市</t>
  </si>
  <si>
    <t>汉滨区</t>
  </si>
  <si>
    <t xml:space="preserve">陕西省安康市汉滨区香溪路16号 天宝公司家属院 </t>
  </si>
  <si>
    <t>@星晨大海</t>
  </si>
  <si>
    <t>E20220925220813084900125</t>
  </si>
  <si>
    <t>高级感休闲气质女神范通勤厚西服套装42RG607(灰色西装＋灰色正装裤-L（建议100-110斤）)(1件)</t>
  </si>
  <si>
    <t>E20220925220614068006217</t>
  </si>
  <si>
    <t>高端西装套女气质职业装时尚女神范西服套装SY-6215(橙色西装＋裤子-L（建议100-110斤）)(1件)</t>
  </si>
  <si>
    <t>E20220925215421055300117</t>
  </si>
  <si>
    <t xml:space="preserve">	4200001559202209259617223832</t>
  </si>
  <si>
    <t xml:space="preserve">	2209252154220001380957</t>
  </si>
  <si>
    <t>黄新星</t>
  </si>
  <si>
    <t xml:space="preserve">	18779092190</t>
  </si>
  <si>
    <t xml:space="preserve">江西省赣州市章贡区沙河镇八一四大道九方巨亿城 </t>
  </si>
  <si>
    <t xml:space="preserve">	18079717568</t>
  </si>
  <si>
    <t>E20220925214629011700061</t>
  </si>
  <si>
    <t xml:space="preserve">	4200001546202209255222615729</t>
  </si>
  <si>
    <t xml:space="preserve">	2209252146300000660602</t>
  </si>
  <si>
    <t>高腰显瘦西裙包臀裙白色半身裙子11RG1096(单件黑色半身裙-M)(1件)</t>
  </si>
  <si>
    <t>刘波</t>
  </si>
  <si>
    <t xml:space="preserve">	13734992559</t>
  </si>
  <si>
    <t>越西县</t>
  </si>
  <si>
    <t xml:space="preserve">四川省凉山彝族自治州越西县四川省凉山州越西县二中住宅区 </t>
  </si>
  <si>
    <t>兼葭苍苍</t>
  </si>
  <si>
    <t>E20220925213940061300043</t>
  </si>
  <si>
    <t>高端OL西服套装 气质长袖休闲西服套装05RG9906(长袖红色西装＋裤子-L（建议100-110斤）)(1件)</t>
  </si>
  <si>
    <t xml:space="preserve">	上衣M，裤子L</t>
  </si>
  <si>
    <t>E20220925213804076400053</t>
  </si>
  <si>
    <t>秋季时尚气质西装职业女士西服套装MY8070(杏西装+裤-M（建议90-100斤）)(1件)</t>
  </si>
  <si>
    <t xml:space="preserve">	13515066901</t>
  </si>
  <si>
    <t>福安市</t>
  </si>
  <si>
    <t xml:space="preserve">福建省宁德市福安市城北街道新阳路311号 </t>
  </si>
  <si>
    <t>陈碧庄13515066901</t>
  </si>
  <si>
    <t>E20220925213726082300089</t>
  </si>
  <si>
    <t>秋季时尚气质西装职业女士西服套装MY8070(杏西装+裤-L（建议100-110斤）)(1件)</t>
  </si>
  <si>
    <t>E20220925213708028000089</t>
  </si>
  <si>
    <t>秋季时尚气质西装职业女士西服套装MY8070(杏西装+裤-2XL（建议120-130斤）)(1件)</t>
  </si>
  <si>
    <t xml:space="preserve">	13210460567</t>
  </si>
  <si>
    <t>东昌府区</t>
  </si>
  <si>
    <t xml:space="preserve">山东省聊城市东昌府区北城街道星美大厦3栋21楼 </t>
  </si>
  <si>
    <t xml:space="preserve">	17574012205</t>
  </si>
  <si>
    <t>E20220925213300009300031</t>
  </si>
  <si>
    <t>高端OL西服套装 气质长袖休闲西服套装05RG9906(长袖黑色西装＋裤子-L（建议100-110斤）)(1件)</t>
  </si>
  <si>
    <t xml:space="preserve">	15113792525</t>
  </si>
  <si>
    <t>云浮市</t>
  </si>
  <si>
    <t>云安区</t>
  </si>
  <si>
    <t xml:space="preserve">广东省云浮市云安区石城镇珠洞中磊石材市场鸿叶石材厂 </t>
  </si>
  <si>
    <t>练昕琦</t>
  </si>
  <si>
    <t>E20220925213219052006163</t>
  </si>
  <si>
    <t xml:space="preserve">	4200001579202209258688004045</t>
  </si>
  <si>
    <t xml:space="preserve">	2209252132200001770276</t>
  </si>
  <si>
    <t>情侣莫代尔家居服套装 男女慵懒风撞色套装可外穿居家睡衣套装(（男士）灰色-XXL码)(1件);情侣莫代尔家居服套装 男女慵懒风撞色套装可外穿居家睡衣套装(（男士） 蓝色-XXL码)(1件)</t>
  </si>
  <si>
    <t>唐生</t>
  </si>
  <si>
    <t xml:space="preserve">	18822967599</t>
  </si>
  <si>
    <t xml:space="preserve">广东省东莞市凤岗镇排沙围新围二街2号卓顺环保 </t>
  </si>
  <si>
    <t>道奇</t>
  </si>
  <si>
    <t>E20220925213152024206215</t>
  </si>
  <si>
    <t xml:space="preserve">	4200001575202209251365765556</t>
  </si>
  <si>
    <t xml:space="preserve">	2209252131540000150977</t>
  </si>
  <si>
    <t>双排扣职业西装套装女秋冬新款职场正装时尚工作服21RG6288(蓝条西装+裤子-3XL（建议130-140斤）)(1件)</t>
  </si>
  <si>
    <t xml:space="preserve">	18561202016</t>
  </si>
  <si>
    <t>东营区</t>
  </si>
  <si>
    <t xml:space="preserve">山东省东营市东营区兴河东2区85号楼 </t>
  </si>
  <si>
    <t>向阳花儿开</t>
  </si>
  <si>
    <t>E20220925212949027906155</t>
  </si>
  <si>
    <t>高端OL西服套装 气质长袖休闲西服套装05RG9906(长袖黑色西装＋裤子-3XL（建议130-140斤）)(1件)</t>
  </si>
  <si>
    <t xml:space="preserve">	15723030986</t>
  </si>
  <si>
    <t>县</t>
  </si>
  <si>
    <t>垫江县</t>
  </si>
  <si>
    <t xml:space="preserve">重庆市县垫江县澄溪镇步行街68号 </t>
  </si>
  <si>
    <t>家庭财富管理 周朝琼</t>
  </si>
  <si>
    <t>客户要退款，先不安排9.26</t>
  </si>
  <si>
    <t>E20220925212318034500035</t>
  </si>
  <si>
    <t>E20220925212225062906165</t>
  </si>
  <si>
    <t xml:space="preserve">	4200001546202209250728830220</t>
  </si>
  <si>
    <t xml:space="preserve">	2209252122270001060305</t>
  </si>
  <si>
    <t>软皮软底职业中跟高跟鞋细跟久站工作鞋QZT-222-3-5(黑色（跟高5CM）-36)(1件)</t>
  </si>
  <si>
    <t xml:space="preserve">	15182447987</t>
  </si>
  <si>
    <t>三台县</t>
  </si>
  <si>
    <t xml:space="preserve">四川省绵阳市三台县北泉路417号梓信超市北泉路店（琴泉雅苑门口） </t>
  </si>
  <si>
    <t>梁梓</t>
  </si>
  <si>
    <t>E20220925212046051706165</t>
  </si>
  <si>
    <t xml:space="preserve">	4200001571202209253893336686</t>
  </si>
  <si>
    <t xml:space="preserve">	2209252120470001380298</t>
  </si>
  <si>
    <t>【安梨口袋早秋泡芙糯米内裤】紫衫醇净化裤 健康洁净 净化异味  柔软无缝面料 3D蜜桃臀 兼顾多种体型 无限包容 轻若无感 近零负担 透气面料 轻薄耐穿(组合二:香芋紫+杏粉色+姜黄色+奶茶色+裸肤色-均码(80-140斤）-5条装)(2件)</t>
  </si>
  <si>
    <t>李春苗</t>
  </si>
  <si>
    <t xml:space="preserve">	13760029152</t>
  </si>
  <si>
    <t xml:space="preserve">广东省肇庆市四会市碧海湾御水皇庭 </t>
  </si>
  <si>
    <t>E20220925212014047500125</t>
  </si>
  <si>
    <t xml:space="preserve">	4200001571202209259034017239</t>
  </si>
  <si>
    <t xml:space="preserve">	2209252120160000080081</t>
  </si>
  <si>
    <t>陈俊梅</t>
  </si>
  <si>
    <t xml:space="preserve">	18666860091</t>
  </si>
  <si>
    <t xml:space="preserve">广东省东莞市常平镇佳超五金科技有限公司 </t>
  </si>
  <si>
    <t>梅兰妮</t>
  </si>
  <si>
    <t>E20220925211852097800101</t>
  </si>
  <si>
    <t xml:space="preserve">	4200001561202209258014898276</t>
  </si>
  <si>
    <t xml:space="preserve">	2209252118530000770214</t>
  </si>
  <si>
    <t>E20220925211107075600135</t>
  </si>
  <si>
    <t xml:space="preserve">	4200001576202209257586565701</t>
  </si>
  <si>
    <t xml:space="preserve">	2209252111090000440082</t>
  </si>
  <si>
    <t>魏福林</t>
  </si>
  <si>
    <t xml:space="preserve">	13882377858</t>
  </si>
  <si>
    <t>攀枝花市</t>
  </si>
  <si>
    <t>西区</t>
  </si>
  <si>
    <t xml:space="preserve">四川省攀枝花市西区格里坪镇格里坪村二组 </t>
  </si>
  <si>
    <t>民生保险魏福林</t>
  </si>
  <si>
    <t>E20220925210702024200047</t>
  </si>
  <si>
    <t>蜜桃绒保暖内衣女超薄V领弹力修身美肤保暖套装HLL-T129(黑色（上衣+裤）-L-XL(建议100-135）)(1件)</t>
  </si>
  <si>
    <t xml:space="preserve">	L码</t>
  </si>
  <si>
    <t>E20220925210655062906165</t>
  </si>
  <si>
    <t>蜜桃绒保暖内衣女超薄V领弹力修身美肤保暖套装HLL-T129(肤色（上衣+裤）-M-L(建议80-115）)(1件)</t>
  </si>
  <si>
    <t xml:space="preserve">	送的选灰蓝色</t>
  </si>
  <si>
    <t>E20220925210558014706147</t>
  </si>
  <si>
    <t xml:space="preserve">	4200001579202209252905189173</t>
  </si>
  <si>
    <t xml:space="preserve">	2209252105580001160679</t>
  </si>
  <si>
    <t>【安梨口袋早秋泡芙糯米内裤】紫衫醇净化裤 健康洁净 净化异味  柔软无缝面料 3D蜜桃臀 兼顾多种体型 无限包容 轻若无感 近零负担 透气面料 轻薄耐穿(组合二:香芋紫+杏粉色+姜黄色+奶茶色+裸肤色-均码(80-140斤）-5条装)(1件)</t>
  </si>
  <si>
    <t xml:space="preserve">	13995400325</t>
  </si>
  <si>
    <t xml:space="preserve">宁夏回族自治区银川市兴庆区富宁街与长城东路交汇处西南150米 凤凰花园东区小区门口 </t>
  </si>
  <si>
    <t>E20220925210442039500115</t>
  </si>
  <si>
    <t xml:space="preserve">	15835841889</t>
  </si>
  <si>
    <t>孝义市</t>
  </si>
  <si>
    <t xml:space="preserve">山西省吕梁市孝义市振兴街与顺义巷口1号 </t>
  </si>
  <si>
    <t>A杨艳梅℡¹⁵⁸³⁵⁸⁴¹⁸⁸⁹</t>
  </si>
  <si>
    <t>黑色2套</t>
  </si>
  <si>
    <t>E20220925210337031406213</t>
  </si>
  <si>
    <t>针织长袖上衣女装内搭高弹修身T恤RF33096(卡其色-4XL码135-143斤)(1件)</t>
  </si>
  <si>
    <t>王一</t>
  </si>
  <si>
    <t xml:space="preserve">	15077186610</t>
  </si>
  <si>
    <t>防城港市</t>
  </si>
  <si>
    <t>东兴市</t>
  </si>
  <si>
    <t xml:space="preserve">广西壮族自治区防城港市东兴市高兴大道63号（红木机电城旁）广西路建大院一楼综合办 </t>
  </si>
  <si>
    <t>一萍</t>
  </si>
  <si>
    <t>E20220925205805034500137</t>
  </si>
  <si>
    <t>时尚气质小西装女士职业套装MY8090(墨绿色  西装+裤子-L（建议100-110斤）)(1件)</t>
  </si>
  <si>
    <t>E20220925205747020000057</t>
  </si>
  <si>
    <t>时尚气质小西装女士职业套装MY8090(黑色 西装+裤子-L（建议100-110斤）)(1件)</t>
  </si>
  <si>
    <t>E20220925205710034400073</t>
  </si>
  <si>
    <t>时尚气质小西装女士职业套装MY8090(黑色 西装+裤子-3XL（建议130-140斤）)(1件)</t>
  </si>
  <si>
    <t>客户要退，先不安排9.25</t>
  </si>
  <si>
    <t>E20220925204615067206205</t>
  </si>
  <si>
    <t xml:space="preserve">	18178512532</t>
  </si>
  <si>
    <t xml:space="preserve">广西壮族自治区贵港市港北区仙衣路与布山大道交汇处东南角钓鱼台·和府 </t>
  </si>
  <si>
    <t xml:space="preserve">	17354625358</t>
  </si>
  <si>
    <t>E20220925204413046200105</t>
  </si>
  <si>
    <t>吴英</t>
  </si>
  <si>
    <t xml:space="preserve">	13594346033</t>
  </si>
  <si>
    <t xml:space="preserve">重庆市重庆市渝北区兴科三路金福花园c幢13单元 </t>
  </si>
  <si>
    <t>吴华英保险13594346033</t>
  </si>
  <si>
    <t xml:space="preserve">	17843658722</t>
  </si>
  <si>
    <t>E20220925204318074906145</t>
  </si>
  <si>
    <t xml:space="preserve">	4200001582202209253440328187</t>
  </si>
  <si>
    <t xml:space="preserve">	2209252043190000420305</t>
  </si>
  <si>
    <t>【超值5瓶装】HEYXI内衣洗衣液 三重复合酶去污去渍  温和不伤手！300ml/瓶(蓝色3瓶+粉色2瓶)(1件)</t>
  </si>
  <si>
    <t>毛毛同学</t>
  </si>
  <si>
    <t xml:space="preserve">	15812442004</t>
  </si>
  <si>
    <t xml:space="preserve">广东省广州市增城区荔湖街增城大道244号三泰车行 </t>
  </si>
  <si>
    <t>啊颖～汽车.金融.房产15812442004</t>
  </si>
  <si>
    <t>E20220925204207062900169</t>
  </si>
  <si>
    <t>E20220925203731036306231</t>
  </si>
  <si>
    <t>买一送一【安梨口袋美肌光腿神器】柔软亲肤 不易起球  慕斯质感 不易勾丝  百搭显瘦  自然显瘦 细腻柔滑面料 婴儿肌肤般柔顺(肤色-150g：买一送一 （薄绒适合10°~15°）-连脚款)(1件)</t>
  </si>
  <si>
    <t>蔡壹帆</t>
  </si>
  <si>
    <t xml:space="preserve">	18678197759</t>
  </si>
  <si>
    <t xml:space="preserve">山东省淄博市张店区云龙国际金晟丽水景园4号楼201 </t>
  </si>
  <si>
    <t>壹帆风顺666</t>
  </si>
  <si>
    <t>E20220925203605014706175</t>
  </si>
  <si>
    <t xml:space="preserve">	4200001585202209254561128143</t>
  </si>
  <si>
    <t xml:space="preserve">	2209252036060001790044</t>
  </si>
  <si>
    <t>E20220925203340069306191</t>
  </si>
  <si>
    <t xml:space="preserve">	4200001566202209257728343574</t>
  </si>
  <si>
    <t xml:space="preserve">	2209252033570001000102</t>
  </si>
  <si>
    <t>韩意</t>
  </si>
  <si>
    <t xml:space="preserve">	13984245053</t>
  </si>
  <si>
    <t>红花岗区</t>
  </si>
  <si>
    <t xml:space="preserve">贵州省遵义市红花岗区长征镇坪丰市场金桐壹号B栋15一6 </t>
  </si>
  <si>
    <t>韩yi</t>
  </si>
  <si>
    <t>E20220925203235067700049</t>
  </si>
  <si>
    <t xml:space="preserve">	4200001540202209259346764502</t>
  </si>
  <si>
    <t xml:space="preserve">	2209252032370000220856</t>
  </si>
  <si>
    <t>买一送一【安梨口袋美肌光腿神器】柔软亲肤 不易起球  慕斯质感 不易勾丝  百搭显瘦  自然显瘦 细腻柔滑面料 婴儿肌肤般柔顺(肤色-50g：买一送一 （薄款不加绒适合20°~25°）-连脚款)(1件)</t>
  </si>
  <si>
    <t>E20220925203216069300109</t>
  </si>
  <si>
    <t>E20220925202045033406215</t>
  </si>
  <si>
    <t>百搭短款小个子西服 2色 中袖/长袖YJH-EL82(8242 长袖 白色外套-S（建议80-90斤）)(1件)</t>
  </si>
  <si>
    <t>向小源</t>
  </si>
  <si>
    <t xml:space="preserve">	15200781225</t>
  </si>
  <si>
    <t>湘西土家族苗族自治州</t>
  </si>
  <si>
    <t>花垣县</t>
  </si>
  <si>
    <t xml:space="preserve">湖南省湘西土家族苗族自治州花垣县步行街柑子园路口太平洋保险公司六楼 </t>
  </si>
  <si>
    <t>太保向小源</t>
  </si>
  <si>
    <t>E20220925201746078100119</t>
  </si>
  <si>
    <t xml:space="preserve">	4200001548202209256446936771</t>
  </si>
  <si>
    <t xml:space="preserve">	2209252017470002470768</t>
  </si>
  <si>
    <t>冯云香</t>
  </si>
  <si>
    <t xml:space="preserve">	13647624067</t>
  </si>
  <si>
    <t>九龙坡区</t>
  </si>
  <si>
    <t xml:space="preserve">重庆市重庆市九龙坡区袁家岗金茂珑悦三期12栋25一7 </t>
  </si>
  <si>
    <t>冯云香五福人生</t>
  </si>
  <si>
    <t>E20220925201101080600049</t>
  </si>
  <si>
    <t xml:space="preserve">	15840586025</t>
  </si>
  <si>
    <t>沈北新区</t>
  </si>
  <si>
    <t xml:space="preserve">辽宁省沈阳市沈北新区明珠路2号亚瑟蓝湾 </t>
  </si>
  <si>
    <t>胡春凤15840586025</t>
  </si>
  <si>
    <t>E20220925200742066406157</t>
  </si>
  <si>
    <t xml:space="preserve">	4200001566202209252608192572</t>
  </si>
  <si>
    <t xml:space="preserve">	2209252007440000460248</t>
  </si>
  <si>
    <t>杜丽</t>
  </si>
  <si>
    <t xml:space="preserve">	18983001099</t>
  </si>
  <si>
    <t xml:space="preserve">重庆市重庆市渝北区新南路36号19-5 </t>
  </si>
  <si>
    <t>E20220925200646032206235</t>
  </si>
  <si>
    <t>高端OL西服套装 气质长袖休闲西服套装05RG9906(长袖黑色西装＋裤子-4XL（建议140-150斤）)(1件)</t>
  </si>
  <si>
    <t>王明娣</t>
  </si>
  <si>
    <t xml:space="preserve">	13034668056</t>
  </si>
  <si>
    <t>浙江省宁波市宁海县凤山路与权宸路交叉口东60米中乌高端新材料产业园 梅林镇权宸1号</t>
  </si>
  <si>
    <t>感恩之心</t>
  </si>
  <si>
    <t>E20220925200632028500033</t>
  </si>
  <si>
    <t xml:space="preserve">	4200001571202209258267266392</t>
  </si>
  <si>
    <t xml:space="preserve">	2209252006330000430333</t>
  </si>
  <si>
    <t>软糯亲肤慵懒风早秋开衫 80-150斤百搭气质外套YD-NJR009开衫(黑色-XXL)(1件)</t>
  </si>
  <si>
    <t>郑翠莲</t>
  </si>
  <si>
    <t xml:space="preserve">	18959626600</t>
  </si>
  <si>
    <t>漳浦县</t>
  </si>
  <si>
    <t>福建省漳州市漳浦县绥安镇印石中路（漳州晶冠新能源科技有限公司） 154-62号</t>
  </si>
  <si>
    <t>♀微♂笑♀</t>
  </si>
  <si>
    <t>E20220925200611043200029</t>
  </si>
  <si>
    <t xml:space="preserve">	4200001579202209255262871106</t>
  </si>
  <si>
    <t xml:space="preserve">	2209252006120004740549</t>
  </si>
  <si>
    <t>【安梨口袋早秋泡芙糯米内裤】紫衫醇净化裤 健康洁净 净化异味  柔软无缝面料 3D蜜桃臀 兼顾多种体型 无限包容 轻若无感 近零负担 透气面料 轻薄耐穿(组合四：姜黄色*2+奶茶色*2+雅绿色*1-均码(80-140斤）-5条装)(1件)</t>
  </si>
  <si>
    <t>徐小芬</t>
  </si>
  <si>
    <t xml:space="preserve">	13757195077</t>
  </si>
  <si>
    <t>兰溪市</t>
  </si>
  <si>
    <t xml:space="preserve">浙江省金华市兰溪市中亚·东方名都(兰溪市黄大仙路212号) </t>
  </si>
  <si>
    <t>年末，往事清零；余生，一切随缘</t>
  </si>
  <si>
    <t>E20220925200544044000003</t>
  </si>
  <si>
    <t xml:space="preserve">	衣服2⃣️x乚，裤子发3x儿。之前买过一套。</t>
  </si>
  <si>
    <t>上衣2XL，裤子3XL，9.25</t>
  </si>
  <si>
    <t>E20220925200543024200183</t>
  </si>
  <si>
    <t>E20220925200539076200151</t>
  </si>
  <si>
    <t>E20220925200459089000163</t>
  </si>
  <si>
    <t>高端OL西服套装 气质长袖休闲西服套装05RG9906(长袖红色西装＋裤子-3XL（建议130-140斤）)(1件)</t>
  </si>
  <si>
    <t xml:space="preserve">	13631910935</t>
  </si>
  <si>
    <t xml:space="preserve">广东省惠州市惠城区江北街道佳兆业写字楼14楼刘新兰部刘新兰收 </t>
  </si>
  <si>
    <t xml:space="preserve">	17573503583</t>
  </si>
  <si>
    <t>E20220925200223028500039</t>
  </si>
  <si>
    <t xml:space="preserve">	4200001561202209253780294763</t>
  </si>
  <si>
    <t xml:space="preserve">	2209252002240004950694</t>
  </si>
  <si>
    <t>E20220925195759083500113</t>
  </si>
  <si>
    <t xml:space="preserve">	13679333691</t>
  </si>
  <si>
    <t>平凉市</t>
  </si>
  <si>
    <t>崆峒区</t>
  </si>
  <si>
    <t xml:space="preserve">甘肃省平凉市崆峒区东关街道盘旋路恒润大厦二楼泰康人寿平凉中支 </t>
  </si>
  <si>
    <t xml:space="preserve">	15221678503</t>
  </si>
  <si>
    <t>E20220925195726039606185</t>
  </si>
  <si>
    <t xml:space="preserve">	4200001574202209256499040618</t>
  </si>
  <si>
    <t xml:space="preserve">	2209251957280001670751</t>
  </si>
  <si>
    <t>刘平菊</t>
  </si>
  <si>
    <t xml:space="preserve">	13927425085</t>
  </si>
  <si>
    <t>武冈市</t>
  </si>
  <si>
    <t xml:space="preserve">湖南省邵阳市武冈市法相岩街道玉龙路落马桥巷16号 </t>
  </si>
  <si>
    <t>粉色~甜心</t>
  </si>
  <si>
    <t>E20220925195630010000153</t>
  </si>
  <si>
    <t xml:space="preserve">	4200001543202209251651290713</t>
  </si>
  <si>
    <t xml:space="preserve">	2209251956310002730413</t>
  </si>
  <si>
    <t>刘粤</t>
  </si>
  <si>
    <t xml:space="preserve">	13100223735</t>
  </si>
  <si>
    <t>永州市</t>
  </si>
  <si>
    <t>冷水滩区</t>
  </si>
  <si>
    <t xml:space="preserve">湖南省永州市冷水滩区远志新外滩6栋 </t>
  </si>
  <si>
    <t>E20220925195613057000103</t>
  </si>
  <si>
    <t xml:space="preserve">	4200001542202209259935278823</t>
  </si>
  <si>
    <t xml:space="preserve">	2209251956292621670507</t>
  </si>
  <si>
    <t>范向军</t>
  </si>
  <si>
    <t xml:space="preserve">	15237508877</t>
  </si>
  <si>
    <t>湛河区</t>
  </si>
  <si>
    <t xml:space="preserve">河南省平顶山市湛河区神马大道与开源路交叉口往东500米平安保险公司5楼十二部 </t>
  </si>
  <si>
    <t>E20220925194742056200043</t>
  </si>
  <si>
    <t xml:space="preserve">	4200001584202209258363787874</t>
  </si>
  <si>
    <t xml:space="preserve">	2209251947430001910040</t>
  </si>
  <si>
    <t>杨术平</t>
  </si>
  <si>
    <t xml:space="preserve">	13802236515</t>
  </si>
  <si>
    <t xml:space="preserve">广东省深圳市龙岗区南湾街道荔枝花园C5栋2103房 </t>
  </si>
  <si>
    <t>杨术萍</t>
  </si>
  <si>
    <t>E20220925194517037006207</t>
  </si>
  <si>
    <t xml:space="preserve">	4200001557202209257022097982</t>
  </si>
  <si>
    <t xml:space="preserve">	2209251945182621720480</t>
  </si>
  <si>
    <t>熊英</t>
  </si>
  <si>
    <t xml:space="preserve">	17843572314</t>
  </si>
  <si>
    <t xml:space="preserve">重庆市重庆市九龙坡区谢家湾街道永辉超市28栋27楼5号 </t>
  </si>
  <si>
    <t>E20220925194118070606147</t>
  </si>
  <si>
    <t xml:space="preserve">	4200001586202209254827890501</t>
  </si>
  <si>
    <t xml:space="preserve">	2209251941200000040980</t>
  </si>
  <si>
    <t>李满林</t>
  </si>
  <si>
    <t xml:space="preserve">	15377835899</t>
  </si>
  <si>
    <t>南朗镇</t>
  </si>
  <si>
    <t xml:space="preserve">广东省中山市南朗镇中山市南朗镇大车村湖溪里南岐北路76号 新聿科技 </t>
  </si>
  <si>
    <t>Linda</t>
  </si>
  <si>
    <t>E20220925194007053600015</t>
  </si>
  <si>
    <t>质感西装气质女神范工作服西服套装MY8093(浅蓝  西装+裤子-L（建议100-110斤）)(1件)</t>
  </si>
  <si>
    <t>E20220925194000053100033</t>
  </si>
  <si>
    <t>质感西装气质女神范工作服西服套装MY8093(黑色  西装+裤子-XL（建议110-120斤）)(1件)</t>
  </si>
  <si>
    <t xml:space="preserve">	13768441362</t>
  </si>
  <si>
    <t>邕宁区</t>
  </si>
  <si>
    <t>广西壮族自治区南宁市邕宁区中国人寿保险公司 彩虹南路35号</t>
  </si>
  <si>
    <t xml:space="preserve">	17573324547</t>
  </si>
  <si>
    <t>E20220925193844079700027</t>
  </si>
  <si>
    <t>质感西装气质女神范工作服西服套装MY8093(浅蓝  西装+裤子-XL（建议110-120斤）)(1件)</t>
  </si>
  <si>
    <t xml:space="preserve">	13977319348</t>
  </si>
  <si>
    <t xml:space="preserve">广西壮族自治区桂林市七星区棠棣之华20栋1单元102 </t>
  </si>
  <si>
    <t>央企新华保险周露兰13977319348</t>
  </si>
  <si>
    <t>E20220925193827062600075</t>
  </si>
  <si>
    <t xml:space="preserve">	4200001569202209255997355481</t>
  </si>
  <si>
    <t xml:space="preserve">	2209251938280001220621</t>
  </si>
  <si>
    <t xml:space="preserve">	13822958482</t>
  </si>
  <si>
    <t>揭阳市</t>
  </si>
  <si>
    <t>普宁市</t>
  </si>
  <si>
    <t xml:space="preserve">广东省揭阳市普宁市洪阳镇万花雅苑B栋中梯1304（寄放保安） </t>
  </si>
  <si>
    <t>李洁娜13822958482</t>
  </si>
  <si>
    <t>E20220925193813089700101</t>
  </si>
  <si>
    <t xml:space="preserve">	4200001585202209256193483781</t>
  </si>
  <si>
    <t xml:space="preserve">	2209251938150000970233</t>
  </si>
  <si>
    <t>郑伟明</t>
  </si>
  <si>
    <t xml:space="preserve">	18819132673</t>
  </si>
  <si>
    <t xml:space="preserve">广东省广州市海珠区广州市海珠区南洲北路海新街13号704 </t>
  </si>
  <si>
    <t>安然~自在~13710113295</t>
  </si>
  <si>
    <t>E20220925193734015506155</t>
  </si>
  <si>
    <t>质感西装气质女神范工作服西服套装MY8093(浅蓝  西装+裤子-4XL（建议140-150斤）)(1件)</t>
  </si>
  <si>
    <t>E20220925193731099106227</t>
  </si>
  <si>
    <t xml:space="preserve">	4200001539202209254599146172</t>
  </si>
  <si>
    <t xml:space="preserve">	2209251937330001370325</t>
  </si>
  <si>
    <t>【超值5瓶装】HEYXI内衣洗衣液 三重复合酶去污去渍  温和不伤手！300ml/瓶(粉色3瓶+蓝色2瓶)(1件)</t>
  </si>
  <si>
    <t>葉子</t>
  </si>
  <si>
    <t xml:space="preserve">	17371673505</t>
  </si>
  <si>
    <t>通山县</t>
  </si>
  <si>
    <t>湖北省咸宁市通山县兴业街二路 13号二楼</t>
  </si>
  <si>
    <t>肩颈调理师王丽17371673505</t>
  </si>
  <si>
    <t xml:space="preserve">	15172074515</t>
  </si>
  <si>
    <t>E20220925193105015400111</t>
  </si>
  <si>
    <t>蜜桃绒保暖内衣女超薄V领弹力修身美肤保暖套装HLL-T129(白色（上衣+裤）-M-L(建议80-115）)(1件)</t>
  </si>
  <si>
    <t xml:space="preserve">	18666762441</t>
  </si>
  <si>
    <t>云城区</t>
  </si>
  <si>
    <t xml:space="preserve">广东省云浮市云城区育华路166号恒美糕点 </t>
  </si>
  <si>
    <t xml:space="preserve">	➕灰色</t>
  </si>
  <si>
    <t xml:space="preserve">	17573210220</t>
  </si>
  <si>
    <t>白色缺货，已告知客户9.26，客户要退款，不安排</t>
  </si>
  <si>
    <t>E20220925193002053600137</t>
  </si>
  <si>
    <t xml:space="preserve">	买肤色送白色</t>
  </si>
  <si>
    <t>白色缺货，已告知客户9.26，灰蓝+肤色</t>
  </si>
  <si>
    <t>E20220925192914085300029</t>
  </si>
  <si>
    <t>蜜桃绒保暖内衣女超薄V领弹力修身美肤保暖套装HLL-T129(灰蓝（上衣+裤）-M-L(建议80-115）)(1件)</t>
  </si>
  <si>
    <t xml:space="preserve">	一套灰蓝一套黑色</t>
  </si>
  <si>
    <t>E20220925192903037000085</t>
  </si>
  <si>
    <t>啊珠珠</t>
  </si>
  <si>
    <t xml:space="preserve">	15013090812</t>
  </si>
  <si>
    <t xml:space="preserve">广东省广州市番禺区巨大创意产业园17栋二楼202号 </t>
  </si>
  <si>
    <t>瘦三斤</t>
  </si>
  <si>
    <t>E20220925192853100100091</t>
  </si>
  <si>
    <t xml:space="preserve">	13880036596</t>
  </si>
  <si>
    <t>郫都区</t>
  </si>
  <si>
    <t xml:space="preserve">四川省成都市郫都区犀浦镇校园东路368号 盛世桃源 </t>
  </si>
  <si>
    <t xml:space="preserve">	发一套黑一套灰色</t>
  </si>
  <si>
    <t>平安一生</t>
  </si>
  <si>
    <t>E20220925192835077700089</t>
  </si>
  <si>
    <t xml:space="preserve">	灰色十黑色</t>
  </si>
  <si>
    <t>E20220925192756078200027</t>
  </si>
  <si>
    <t xml:space="preserve">	13696088455</t>
  </si>
  <si>
    <t xml:space="preserve">四川省眉山市东坡区珠市东街162号 </t>
  </si>
  <si>
    <t xml:space="preserve">	灰蓝</t>
  </si>
  <si>
    <t>E20220925192749079706155</t>
  </si>
  <si>
    <t xml:space="preserve">	另一套要黑</t>
  </si>
  <si>
    <t>E20220925192631010906163</t>
  </si>
  <si>
    <t xml:space="preserve">	13755147394</t>
  </si>
  <si>
    <t>辰溪县</t>
  </si>
  <si>
    <t xml:space="preserve">湖南省怀化市辰溪县辰阳镇金时圆小区醉江湖酒楼 </t>
  </si>
  <si>
    <t xml:space="preserve">	灰蓝，黑色各1</t>
  </si>
  <si>
    <t>A� 辰辰贝贝</t>
  </si>
  <si>
    <t>E20220925192553052100015</t>
  </si>
  <si>
    <t xml:space="preserve">	灰色</t>
  </si>
  <si>
    <t>E20220925191946075600053</t>
  </si>
  <si>
    <t xml:space="preserve">	13704314888</t>
  </si>
  <si>
    <t xml:space="preserve">吉林省吉林市船营区西安路碧水山城a区26号楼3单元602室 </t>
  </si>
  <si>
    <t xml:space="preserve">	15221388141</t>
  </si>
  <si>
    <t>E20220925191830027500171</t>
  </si>
  <si>
    <t>针织长袖上衣女装内搭高弹修身T恤RF33096(黑色-S码80-90斤)(1件)</t>
  </si>
  <si>
    <t xml:space="preserve">	13924540279</t>
  </si>
  <si>
    <t xml:space="preserve">广东省佛山市南海区狮山镇松岗商业大道39号锦绣桃园3栋3座201房 </t>
  </si>
  <si>
    <t>李伟连保险13924540279</t>
  </si>
  <si>
    <t>E20220925191803015400145</t>
  </si>
  <si>
    <t>针织长袖上衣女装内搭高弹修身T恤RF33096(卡其色-M码91-99斤)(1件)</t>
  </si>
  <si>
    <t>E20220925191748010900019</t>
  </si>
  <si>
    <t>E20220925191726077700003</t>
  </si>
  <si>
    <t>针织长袖上衣女装内搭高弹修身T恤RF33096(黑色-M码91-99斤)(1件)</t>
  </si>
  <si>
    <t>E20220925191656075600007</t>
  </si>
  <si>
    <t xml:space="preserve">湖南省长沙市浏阳市菊花石路碧桂园岭誉2期7街2栋1201室 </t>
  </si>
  <si>
    <t>水润珍珠</t>
  </si>
  <si>
    <t>E20220925191639052600023</t>
  </si>
  <si>
    <t xml:space="preserve">	18229586869</t>
  </si>
  <si>
    <t>湖南省邵阳市邵东市高丽路75号金鹏家园 惠玲商店旁</t>
  </si>
  <si>
    <t>阿凤</t>
  </si>
  <si>
    <t>改黑色9.25</t>
  </si>
  <si>
    <t>E20220925191624015500079</t>
  </si>
  <si>
    <t>针织长袖上衣女装内搭高弹修身T恤RF33096(白色-4XL码135-143斤)(1件)</t>
  </si>
  <si>
    <t>E20220925191608085300159</t>
  </si>
  <si>
    <t>E20220925191545015506179</t>
  </si>
  <si>
    <t>针织长袖上衣女装内搭高弹修身T恤RF33096(黑色-4XL码135-143斤)(1件)</t>
  </si>
  <si>
    <t>E20220925191415062106209</t>
  </si>
  <si>
    <t xml:space="preserve">	4200001541202209258700011152</t>
  </si>
  <si>
    <t xml:space="preserve">	2209251914172621670758</t>
  </si>
  <si>
    <t>情侣莫代尔家居服套装 男女慵懒风撞色套装可外穿居家睡衣套装(（男士） 蓝色-XXL码)(1件)</t>
  </si>
  <si>
    <t>张德莲</t>
  </si>
  <si>
    <t xml:space="preserve">	13960523923</t>
  </si>
  <si>
    <t>泰宁县</t>
  </si>
  <si>
    <t xml:space="preserve">福建省三明市泰宁县杉城镇松光三巷7号 </t>
  </si>
  <si>
    <t>张德莲13960523923</t>
  </si>
  <si>
    <t>E20220927001858017306149</t>
  </si>
  <si>
    <t>质感西装气质女神范工作服西服套装MY8093(雾霾蓝  西装+裤子-3XL（建议130-140斤）)(1件)</t>
  </si>
  <si>
    <t xml:space="preserve">	15275276735</t>
  </si>
  <si>
    <t xml:space="preserve">山东省青岛市李沧区九水路13号一24 </t>
  </si>
  <si>
    <t>翏渔</t>
  </si>
  <si>
    <t>E20220927001404012400021</t>
  </si>
  <si>
    <t xml:space="preserve">	4200001586202209278991748025</t>
  </si>
  <si>
    <t xml:space="preserve">	2209270014060000090252</t>
  </si>
  <si>
    <t>时尚气质通勤连衣裙职业套装11RG9628(白色西装＋051米黄色连衣裙-XL)(1件)</t>
  </si>
  <si>
    <t>刘淳</t>
  </si>
  <si>
    <t xml:space="preserve">	18827199566</t>
  </si>
  <si>
    <t>黄冈市</t>
  </si>
  <si>
    <t>英山县</t>
  </si>
  <si>
    <t xml:space="preserve">湖北省黄冈市英山县山货一条街良运小区院内二楼 </t>
  </si>
  <si>
    <t>碧波庭身材私密管理18827199566</t>
  </si>
  <si>
    <t>E20220927000102087500065</t>
  </si>
  <si>
    <t>高端OL西服套装 气质长袖休闲西服套装05RG9906(长袖绿色西装＋裤子-2XL（建议120-130斤）)(1件)</t>
  </si>
  <si>
    <t xml:space="preserve">	13371577767</t>
  </si>
  <si>
    <t>沂源县</t>
  </si>
  <si>
    <t xml:space="preserve">山东省淄博市沂源县东河北小区大领青年房13楼 </t>
  </si>
  <si>
    <t>131419越来越好�</t>
  </si>
  <si>
    <t>E20220926234820030200031</t>
  </si>
  <si>
    <t xml:space="preserve">	18927799071</t>
  </si>
  <si>
    <t xml:space="preserve">广东省佛山市南海区罗村依云华府17座101 </t>
  </si>
  <si>
    <t xml:space="preserve">	15230480711</t>
  </si>
  <si>
    <t>E20220926234750087500053</t>
  </si>
  <si>
    <t>E20220926234658004800069</t>
  </si>
  <si>
    <t xml:space="preserve">	4200001560202209262435108815</t>
  </si>
  <si>
    <t xml:space="preserve">	2209262347000000460854</t>
  </si>
  <si>
    <t>法式气质长袖雪纺衬衫XC1667(绿色-S)(1件);水晶天鹅小胸针高级女士高档锆石领针XG1067(白金064)(1件)</t>
  </si>
  <si>
    <t>E20220926234538087500073</t>
  </si>
  <si>
    <t>针织长袖上衣女装内搭高弹修身T恤RF33096(卡其色-3XL码127-135斤)(1件)</t>
  </si>
  <si>
    <t>E20220926234233030200007</t>
  </si>
  <si>
    <t>E20220926234025087500017</t>
  </si>
  <si>
    <t>外穿美背V领打底衫内搭RF7793(白色-3XL)(1件)</t>
  </si>
  <si>
    <t>E20220926233500001400039</t>
  </si>
  <si>
    <t>优惠卡券(-10.98);积分抵现(-1.00)</t>
  </si>
  <si>
    <t>外穿美背V领打底衫内搭RF7793(香槟色-XL)(1件)</t>
  </si>
  <si>
    <t xml:space="preserve">	15949906799</t>
  </si>
  <si>
    <t xml:space="preserve">山东省淄博市沂源县山东淄博沂源济宁银行院内民生保险 </t>
  </si>
  <si>
    <t>梅丽华4139</t>
  </si>
  <si>
    <t>有奖调研优惠券</t>
  </si>
  <si>
    <t>E20220926232235033906181</t>
  </si>
  <si>
    <t>田田老师</t>
  </si>
  <si>
    <t xml:space="preserve">	18744250073</t>
  </si>
  <si>
    <t>永吉县</t>
  </si>
  <si>
    <t>吉林省吉林市永吉县口前镇站前路燕山胡同胡同 柏文一门</t>
  </si>
  <si>
    <t>田田老师托辅中心  18744250073</t>
  </si>
  <si>
    <t>E20220926231647048600089</t>
  </si>
  <si>
    <t>双排扣通勤职业套装 女西装外套裤子包臀半身裙11RG9920(【2件套 绿色】外套+8079裤子-3XL（建议130-140斤）)(1件)</t>
  </si>
  <si>
    <t xml:space="preserve">	13807852806</t>
  </si>
  <si>
    <t>桂平市</t>
  </si>
  <si>
    <t xml:space="preserve">广西壮族自治区贵港市桂平市广西省桂平市凤凰新区7-5#二楼 </t>
  </si>
  <si>
    <t xml:space="preserve">	17579647488</t>
  </si>
  <si>
    <t>E20220926230414036700003</t>
  </si>
  <si>
    <t xml:space="preserve">	4200001569202209264653838176</t>
  </si>
  <si>
    <t xml:space="preserve">	2209262304150001470309</t>
  </si>
  <si>
    <t>职业西裤 女工作服大码直筒长裤职业正装裤RG-K302(【常规】黑色直筒裤-2XL)(1件)</t>
  </si>
  <si>
    <t>欧阳艳华</t>
  </si>
  <si>
    <t xml:space="preserve">	15802657939</t>
  </si>
  <si>
    <t>宁远县</t>
  </si>
  <si>
    <t xml:space="preserve">湖南省永州市宁远县柏家坪镇老油站对面顺泰电子 </t>
  </si>
  <si>
    <t>E20220926225046095700039</t>
  </si>
  <si>
    <t>高级感休闲气质女神范通勤厚西服套装42RG607(灰色西装＋灰色正装裤-2XL（建议120-130斤）)(1件)</t>
  </si>
  <si>
    <t xml:space="preserve">	18783128868</t>
  </si>
  <si>
    <t xml:space="preserve">四川省宜宾市屏山县新县城九地块五幢 </t>
  </si>
  <si>
    <t>小辣椒</t>
  </si>
  <si>
    <t>E20220926225010078006173</t>
  </si>
  <si>
    <t>外穿美背V领打底衫内搭RF7793(白色-XXL)(1件)</t>
  </si>
  <si>
    <t xml:space="preserve">	15063973836</t>
  </si>
  <si>
    <t>市北区</t>
  </si>
  <si>
    <t xml:space="preserve">山东省青岛市市北区四方街道嘉善路9-5号元顺凯鑫超市 </t>
  </si>
  <si>
    <t xml:space="preserve">	15105398306</t>
  </si>
  <si>
    <t>E20220926224923078000045</t>
  </si>
  <si>
    <t>外穿美背V领打底衫内搭RF7793(黑色-XXL)(1件)</t>
  </si>
  <si>
    <t>E20220926224730034500141</t>
  </si>
  <si>
    <t>外穿美背V领打底衫内搭RF7793(白色-L)(1件)</t>
  </si>
  <si>
    <t>E20220926224417036800017</t>
  </si>
  <si>
    <t>外穿美背V领打底衫内搭RF7793(白色-XL)(1件)</t>
  </si>
  <si>
    <t xml:space="preserve">	18736834414</t>
  </si>
  <si>
    <t>睢阳区</t>
  </si>
  <si>
    <t xml:space="preserve">河南省商丘市睢阳区香君路凯帝花园 </t>
  </si>
  <si>
    <t>温艳艳～太平洋保险～贷款</t>
  </si>
  <si>
    <t>E20220926224218034800095</t>
  </si>
  <si>
    <t>外穿美背V领打底衫内搭RF7793(黑色-S)(1件)</t>
  </si>
  <si>
    <t>赵小样</t>
  </si>
  <si>
    <t xml:space="preserve">	13926002544</t>
  </si>
  <si>
    <t>广东省广州市番禺区巨大创意产业园 17栋202</t>
  </si>
  <si>
    <t>cying</t>
  </si>
  <si>
    <t xml:space="preserve">	18826256091</t>
  </si>
  <si>
    <t>E20220926224151034800167</t>
  </si>
  <si>
    <t>高级感盐系名媛时尚洋气职业西装10RG22966(22966宝蓝色西服+22266裤+22566宝蓝色马甲-S（建议80-90斤）)(1件)</t>
  </si>
  <si>
    <t>E20220926223951048600027</t>
  </si>
  <si>
    <t>时尚气质小西装女士职业套装MY8090(橙色  西装+裤子-3XL（建议130-140斤）)(1件)</t>
  </si>
  <si>
    <t>E20220926223342048600099</t>
  </si>
  <si>
    <t>外穿美背V领打底衫内搭RF7793(黑色-3XL)(1件)</t>
  </si>
  <si>
    <t>E20220926222436048600055</t>
  </si>
  <si>
    <t>E20220926222239037206223</t>
  </si>
  <si>
    <t xml:space="preserve">	18842143805</t>
  </si>
  <si>
    <t>朝阳市</t>
  </si>
  <si>
    <t>凌源市</t>
  </si>
  <si>
    <t xml:space="preserve">辽宁省朝阳市凌源市毓秀园小区12号楼12一1 </t>
  </si>
  <si>
    <t xml:space="preserve">	17579649768</t>
  </si>
  <si>
    <t>E20220926222205032000073</t>
  </si>
  <si>
    <t xml:space="preserve">	18996809868</t>
  </si>
  <si>
    <t xml:space="preserve">重庆市县垫江县牡丹湖碧水庄园门卫门室 </t>
  </si>
  <si>
    <t xml:space="preserve">	15823027573</t>
  </si>
  <si>
    <t>E20220926222045050900037</t>
  </si>
  <si>
    <t xml:space="preserve">	4200001578202209269767834955</t>
  </si>
  <si>
    <t xml:space="preserve">	2209262220460002030501</t>
  </si>
  <si>
    <t>职业西裤 女工作服大码直筒长裤职业正装裤RG-K302(【常规】黑色直筒裤-L)(1件)</t>
  </si>
  <si>
    <t>E20220926221036059300159</t>
  </si>
  <si>
    <t>高级定制款双排扣女士西装套LYH9910(黑色 西装+裤子-XL（建议110-120斤）)(1件)</t>
  </si>
  <si>
    <t xml:space="preserve">	18373467949</t>
  </si>
  <si>
    <t>衡南县</t>
  </si>
  <si>
    <t xml:space="preserve">湖南省衡阳市衡南县泉溪镇泉长村黄芽嘴组 </t>
  </si>
  <si>
    <t>许嫦梅15574757408</t>
  </si>
  <si>
    <t>E20220926220653052700073</t>
  </si>
  <si>
    <t>外穿美背V领打底衫内搭RF7793(黑色-XL)(1件)</t>
  </si>
  <si>
    <t>E20220926220641076200015</t>
  </si>
  <si>
    <t xml:space="preserve">	15103012026</t>
  </si>
  <si>
    <t>琼海市</t>
  </si>
  <si>
    <t xml:space="preserve">海南省省直辖县琼海市新田小学温泉新村街27号台铃电动车对面 </t>
  </si>
  <si>
    <t>E20220926215001052700075</t>
  </si>
  <si>
    <t>E20220926214959059306207</t>
  </si>
  <si>
    <t xml:space="preserve">	衣服XL，裤子L码</t>
  </si>
  <si>
    <t>E20220926214902034906209</t>
  </si>
  <si>
    <t>【三椒精华】wecan维康三椒植物祛螨包 植物成分祛螨 免洗免晒 母婴可用(买四送一【共50包装】)(1件)</t>
  </si>
  <si>
    <t>梁桂梅</t>
  </si>
  <si>
    <t xml:space="preserve">	15678551296</t>
  </si>
  <si>
    <t>港南区</t>
  </si>
  <si>
    <t>广西壮族自治区贵港市港南区旧车路 249－7</t>
  </si>
  <si>
    <t>梅</t>
  </si>
  <si>
    <t>E20220926213225053606181</t>
  </si>
  <si>
    <t>上衣发XL，裤子发L</t>
  </si>
  <si>
    <t>E20220926213130094700023</t>
  </si>
  <si>
    <t xml:space="preserve">	18971313413</t>
  </si>
  <si>
    <t>武昌区</t>
  </si>
  <si>
    <t xml:space="preserve">湖北省武汉市武昌区欢乐大道华侨城一期T3-1-1503室 </t>
  </si>
  <si>
    <t xml:space="preserve">	西服3XL码，裤子请配2XL码</t>
  </si>
  <si>
    <t xml:space="preserve">	17455829882</t>
  </si>
  <si>
    <t>E20220926212939053600125</t>
  </si>
  <si>
    <t>E20220926212640076200137</t>
  </si>
  <si>
    <t>E20220926212503001400087</t>
  </si>
  <si>
    <t>高端OL西服套装 气质长袖休闲西服套装05RG9906(长袖黑色西装＋裤子-XL（建议110-120斤）)(1件)</t>
  </si>
  <si>
    <t>E20220926212329092100107</t>
  </si>
  <si>
    <t>E20220926211749001400043</t>
  </si>
  <si>
    <t>针织长袖上衣女装内搭高弹修身T恤RF33096(卡其色-XL码109-117斤)(1件)</t>
  </si>
  <si>
    <t>E20220926211650092100133</t>
  </si>
  <si>
    <t>时尚气质小西装女士职业套装MY8090(墨绿色  西装+裤子-XL（建议110-120斤）)(1件)</t>
  </si>
  <si>
    <t>E20220926211537022800157</t>
  </si>
  <si>
    <t>秋装新款百搭气质小西装03RG2245(黑白格-L（建议100-110斤）)(1件)</t>
  </si>
  <si>
    <t xml:space="preserve">	13530693738</t>
  </si>
  <si>
    <t xml:space="preserve">广东省深圳市龙华区美丽365花园K1栋菜鸟驿站 </t>
  </si>
  <si>
    <t>王海华</t>
  </si>
  <si>
    <t xml:space="preserve">	15302662912</t>
  </si>
  <si>
    <t>E20220926205912058600125</t>
  </si>
  <si>
    <t>E20220926205324099100171</t>
  </si>
  <si>
    <t>高端OL西服套装 气质长袖休闲西服套装05RG9906(长袖绿色西装＋裤子-3XL（建议130-140斤）)(1件)</t>
  </si>
  <si>
    <t xml:space="preserve">	13701057908</t>
  </si>
  <si>
    <t xml:space="preserve">北京市北京市朝阳区定福庄北街瑞和国际小区3-1403 </t>
  </si>
  <si>
    <t xml:space="preserve">	15222998222</t>
  </si>
  <si>
    <t>E20220926205300043200165</t>
  </si>
  <si>
    <t>忆往昔�</t>
  </si>
  <si>
    <t>E20220926204857101206199</t>
  </si>
  <si>
    <t>优惠卡券(-10.98)</t>
  </si>
  <si>
    <t>E20220926204836044000145</t>
  </si>
  <si>
    <t>外穿美背V领打底衫内搭RF7793(白色-S)(1件)</t>
  </si>
  <si>
    <t>E20220926204520051406183</t>
  </si>
  <si>
    <t>E20220926204434095700033</t>
  </si>
  <si>
    <t>E20220926204417024206213</t>
  </si>
  <si>
    <t>E20220926204405051406219</t>
  </si>
  <si>
    <t>E20220926204357010900019</t>
  </si>
  <si>
    <t>E20220926204356095706215</t>
  </si>
  <si>
    <t>E20220926204346099106157</t>
  </si>
  <si>
    <t>E20220926204217099100131</t>
  </si>
  <si>
    <t>E20220926204004024200013</t>
  </si>
  <si>
    <t>E20220926204001099106161</t>
  </si>
  <si>
    <t>针织长袖上衣女装内搭高弹修身T恤RF33096(白色-3XL码127-135斤)(1件)</t>
  </si>
  <si>
    <t>E20220926203457010906209</t>
  </si>
  <si>
    <t>E20220926201700053500005</t>
  </si>
  <si>
    <t>秋季时尚气质西装职业女士西服套装MY8070(黑西装+裤-4XL（建议140-150斤）)(1件)</t>
  </si>
  <si>
    <t xml:space="preserve">	13029572345</t>
  </si>
  <si>
    <t>东胜区</t>
  </si>
  <si>
    <t>内蒙古自治区鄂尔多斯市东胜区鄂尔多斯宏源一品 5号楼2单元1103</t>
  </si>
  <si>
    <t xml:space="preserve">	17579134547</t>
  </si>
  <si>
    <t>E20220926201633024200003</t>
  </si>
  <si>
    <t>E20220926201326095700045</t>
  </si>
  <si>
    <t>E20220926200632095700115</t>
  </si>
  <si>
    <t>职业套装高端时尚设计感西服服套装MY8089(蓝色  西装+裤子-2XL（建议120-130斤）)(1件)</t>
  </si>
  <si>
    <t>E20220926200210070000139</t>
  </si>
  <si>
    <t xml:space="preserve">	15253179635</t>
  </si>
  <si>
    <t>市中区</t>
  </si>
  <si>
    <t xml:space="preserve">山东省济南市市中区千禧嘉园2号楼（丰巢快递柜） </t>
  </si>
  <si>
    <t>李晓娜</t>
  </si>
  <si>
    <t>E20220926195859095700041</t>
  </si>
  <si>
    <t>E20220926195037014006175</t>
  </si>
  <si>
    <t xml:space="preserve">	13906776219</t>
  </si>
  <si>
    <t>龙港市</t>
  </si>
  <si>
    <t xml:space="preserve">浙江省温州市龙港市龙港县直辖村级区划金钗街555号锦绣名园35A </t>
  </si>
  <si>
    <t xml:space="preserve">	17353804371</t>
  </si>
  <si>
    <t>E20220926194247041100081</t>
  </si>
  <si>
    <t xml:space="preserve">	13453306829</t>
  </si>
  <si>
    <t>阳泉市</t>
  </si>
  <si>
    <t>平定县</t>
  </si>
  <si>
    <t xml:space="preserve">山西省阳泉市平定县府新街卓正名城2号楼四单元 </t>
  </si>
  <si>
    <t>张1345</t>
  </si>
  <si>
    <t>E20220926193836070000147</t>
  </si>
  <si>
    <t>客户改成4XL，9.27</t>
  </si>
  <si>
    <t>E20220926193806019400093</t>
  </si>
  <si>
    <t xml:space="preserve">	15165440621</t>
  </si>
  <si>
    <t>奎文区</t>
  </si>
  <si>
    <t>山东省潍坊市奎文区宝通街与东方路凤鸣郡 2-1-501</t>
  </si>
  <si>
    <t>E20220928003444043600001</t>
  </si>
  <si>
    <t>高级定制款双排扣女士西装套LYH9910(高级灰 西装+裤子-XL（建议110-120斤）)(1件)</t>
  </si>
  <si>
    <t xml:space="preserve">	18641309717</t>
  </si>
  <si>
    <t>抚顺市</t>
  </si>
  <si>
    <t>顺城区</t>
  </si>
  <si>
    <t xml:space="preserve">辽宁省抚顺市顺城区长春街道水岸东城 </t>
  </si>
  <si>
    <t xml:space="preserve">	15229594090</t>
  </si>
  <si>
    <t>E20220928001140013706149</t>
  </si>
  <si>
    <t>小个子职业正装时尚气质高级感职业西服套装12RG9571(橘色西装+裤-M（建议90-100斤）)(1件)</t>
  </si>
  <si>
    <t xml:space="preserve">	15184303201</t>
  </si>
  <si>
    <t xml:space="preserve">四川省成都市郫都区郫筒街道桃园柳岸17-3-8 </t>
  </si>
  <si>
    <t xml:space="preserve">	17580012830</t>
  </si>
  <si>
    <t>E20220928000454010600027</t>
  </si>
  <si>
    <t>高端职业套装 气质时尚正装西服职业套装SY-6208(灰色西装+裤子-S（建议80-90斤）)(1件)</t>
  </si>
  <si>
    <t xml:space="preserve">	15977727185</t>
  </si>
  <si>
    <t xml:space="preserve">广西壮族自治区南宁市青秀区葛村路8号 </t>
  </si>
  <si>
    <t xml:space="preserve">	17580045441</t>
  </si>
  <si>
    <t>E20220927235648010606145</t>
  </si>
  <si>
    <t>高端OL西服套装 气质长袖休闲西服套装05RG9906(长袖黑色西装＋裤子-S（建议80-90斤）)(1件)</t>
  </si>
  <si>
    <t>E20220927234138010600037</t>
  </si>
  <si>
    <t>E20220927233513049600029</t>
  </si>
  <si>
    <t>高级感气质职业洋气西装套装 SY-6218(藏青 西装（含腰带）+裤子-XL)(1件)</t>
  </si>
  <si>
    <t>E20220927233203014906147</t>
  </si>
  <si>
    <t xml:space="preserve">	13895154789</t>
  </si>
  <si>
    <t>盐池县</t>
  </si>
  <si>
    <t>宁夏回族自治区吴忠市盐池县南苑新村 三区3－10</t>
  </si>
  <si>
    <t xml:space="preserve">	15237288451</t>
  </si>
  <si>
    <t>E20220927231447039800051</t>
  </si>
  <si>
    <t xml:space="preserve">四川省成都市大邑县新场镇三河口德兴副食店 </t>
  </si>
  <si>
    <t>E20220927230702010600087</t>
  </si>
  <si>
    <t>E20220927230555010600041</t>
  </si>
  <si>
    <t>E20220927230548066300057</t>
  </si>
  <si>
    <t>高端职业套装 气质时尚正装西服职业套装SY-6208(灰色西装+裤子-XL（建议110-120斤）)(1件)</t>
  </si>
  <si>
    <t xml:space="preserve">	13902748225</t>
  </si>
  <si>
    <t>濠江区</t>
  </si>
  <si>
    <t xml:space="preserve">广东省汕头市濠江区达濠街道汕头保税区洛斯特大道洛斯特制药 </t>
  </si>
  <si>
    <t xml:space="preserve">	17508112167</t>
  </si>
  <si>
    <t>E20220927224719011400061</t>
  </si>
  <si>
    <t>高级感西装外套女职业装正装西服套装SY-6239(咖色西装+裤子-4XL（建议140-150斤）)(1件)</t>
  </si>
  <si>
    <t>E20220927222852095100025</t>
  </si>
  <si>
    <t>高级感西装外套女职业装正装西服套装SY-6239(咖色西装+裤子-2XL（建议120-130斤）)(1件)</t>
  </si>
  <si>
    <t>E20220927222301026506155</t>
  </si>
  <si>
    <t>E20220927222243095100055</t>
  </si>
  <si>
    <t>高级感西装外套女职业装正装西服套装SY-6239(咖色西装+裤子-S（建议80-90斤）)(1件)</t>
  </si>
  <si>
    <t>E20220927221646053600045</t>
  </si>
  <si>
    <t>高级感西装外套女职业装正装西服套装SY-6239(孔雀蓝西装+裤子-L（建议100-110斤）)(1件)</t>
  </si>
  <si>
    <t>E20220927221526100506173</t>
  </si>
  <si>
    <t>高级感西装外套女职业装正装西服套装SY-6239(黑色西装+裤子-XL（建议110-120斤）)(1件)</t>
  </si>
  <si>
    <t xml:space="preserve">	13942660835</t>
  </si>
  <si>
    <t xml:space="preserve">上海市上海市杨浦区五角场街道国福路50号复旦大学国福路教师公寓 </t>
  </si>
  <si>
    <t xml:space="preserve">	17585906900</t>
  </si>
  <si>
    <t>E20220927221518039906151</t>
  </si>
  <si>
    <t xml:space="preserve">	4200001559202209278947212157</t>
  </si>
  <si>
    <t xml:space="preserve">	2209272215200000180728</t>
  </si>
  <si>
    <t>可调节牛皮腰带配西装连衣裙腰带DM-ZK-111(黑色-2.0cm（颜色随机）)(1件)</t>
  </si>
  <si>
    <t>薛丽华</t>
  </si>
  <si>
    <t xml:space="preserve">	13860537195</t>
  </si>
  <si>
    <t>湖州市</t>
  </si>
  <si>
    <t>南浔区</t>
  </si>
  <si>
    <t xml:space="preserve">浙江省湖州市南浔区千金镇朝阳路113号沙县小吃 </t>
  </si>
  <si>
    <t>丽华</t>
  </si>
  <si>
    <t>E20220927214700051100047</t>
  </si>
  <si>
    <t>高端职业套装 气质时尚正装西服职业套装SY-6208(藏青色西装+裤子-2XL（建议120-130斤）)(1件)</t>
  </si>
  <si>
    <t>E20220927214619065400043</t>
  </si>
  <si>
    <t xml:space="preserve">	4200001543202209279629614259</t>
  </si>
  <si>
    <t xml:space="preserve">	2209272146202621510742</t>
  </si>
  <si>
    <t>套头时尚气质洋气 长/短袖衬衫 不起球 免熨烫百搭上衣08RG8036+27(8036 长袖 绿色衬衫-L（建议100-110斤）)(1件);高端V领显瘦遮肚连衣裙 抗皱免烫中袖包臀裙28RG620（不含腰带）(中袖蓝色连衣裙（不含腰带）-L)(1件)</t>
  </si>
  <si>
    <t xml:space="preserve">	13809293129</t>
  </si>
  <si>
    <t>广东省汕头市龙湖区金湖花园9幢 榕江路12号</t>
  </si>
  <si>
    <t>E20220927213452047000057</t>
  </si>
  <si>
    <t xml:space="preserve">	18993183969</t>
  </si>
  <si>
    <t>兰州市</t>
  </si>
  <si>
    <t>七里河区</t>
  </si>
  <si>
    <t xml:space="preserve">甘肃省兰州市七里河区西津东路180号雅园小区1202 </t>
  </si>
  <si>
    <t xml:space="preserve">	17585801586</t>
  </si>
  <si>
    <t>E20220927213052050700013</t>
  </si>
  <si>
    <t>高级定制款双排扣女士西装套LYH9910(湖水蓝 西装+裤子-XL（建议110-120斤）)(1件)</t>
  </si>
  <si>
    <t xml:space="preserve">	13766621057</t>
  </si>
  <si>
    <t>东宁市</t>
  </si>
  <si>
    <t xml:space="preserve">黑龙江省牡丹江市东宁市公安小区鑫海商店 </t>
  </si>
  <si>
    <t xml:space="preserve">	17585745603</t>
  </si>
  <si>
    <t>E20220927205918093506145</t>
  </si>
  <si>
    <t xml:space="preserve">	19839379123</t>
  </si>
  <si>
    <t>濮阳市</t>
  </si>
  <si>
    <t>南乐县</t>
  </si>
  <si>
    <t xml:space="preserve">河南省濮阳市南乐县仓颉宾馆对面菜鸟驿站 </t>
  </si>
  <si>
    <t xml:space="preserve">	17585530956</t>
  </si>
  <si>
    <t>E20220927205119087506185</t>
  </si>
  <si>
    <t>职业套装高端时尚设计感小个子服装MY8068(黑条 西装+裤子-2XL（建议120-130斤）)(1件)</t>
  </si>
  <si>
    <t>2208直播下单用户金额排行榜(前20名）</t>
  </si>
  <si>
    <t>2208直播下单用户订单排行榜(前20名）</t>
  </si>
  <si>
    <t>直播金额</t>
  </si>
</sst>
</file>

<file path=xl/styles.xml><?xml version="1.0" encoding="utf-8"?>
<styleSheet xmlns="http://schemas.openxmlformats.org/spreadsheetml/2006/main">
  <numFmts count="14">
    <numFmt numFmtId="6" formatCode="&quot;￥&quot;#,##0;[Red]&quot;￥&quot;\-#,##0"/>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_);[Red]\(&quot;￥&quot;#,##0.00\)"/>
    <numFmt numFmtId="177" formatCode="0_ "/>
    <numFmt numFmtId="178" formatCode="\¥#,##0.00_);[Red]\(\¥#,##0.00\)"/>
    <numFmt numFmtId="179" formatCode="\¥#,##0;[Red]\¥\-#,##0"/>
    <numFmt numFmtId="180" formatCode="\¥#,##0.00;[Red]\¥\-#,##0.00"/>
    <numFmt numFmtId="181" formatCode="0_);[Red]\(0\)"/>
    <numFmt numFmtId="182" formatCode="0.00_ "/>
    <numFmt numFmtId="183" formatCode="0.00_);[Red]\(0.00\)"/>
  </numFmts>
  <fonts count="27">
    <font>
      <sz val="11"/>
      <color theme="1"/>
      <name val="等线"/>
      <charset val="134"/>
      <scheme val="minor"/>
    </font>
    <font>
      <b/>
      <sz val="12"/>
      <color theme="1"/>
      <name val="等线"/>
      <charset val="134"/>
      <scheme val="minor"/>
    </font>
    <font>
      <sz val="12"/>
      <color theme="1"/>
      <name val="等线"/>
      <charset val="134"/>
      <scheme val="minor"/>
    </font>
    <font>
      <b/>
      <sz val="11"/>
      <color theme="1"/>
      <name val="等线"/>
      <charset val="134"/>
      <scheme val="minor"/>
    </font>
    <font>
      <b/>
      <sz val="14"/>
      <color theme="1"/>
      <name val="等线"/>
      <charset val="134"/>
      <scheme val="minor"/>
    </font>
    <font>
      <b/>
      <sz val="14"/>
      <color rgb="FFFF0000"/>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9"/>
      <name val="宋体"/>
      <charset val="134"/>
    </font>
    <font>
      <b/>
      <sz val="9"/>
      <name val="宋体"/>
      <charset val="134"/>
    </font>
  </fonts>
  <fills count="4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8"/>
        <bgColor indexed="64"/>
      </patternFill>
    </fill>
    <fill>
      <patternFill patternType="solid">
        <fgColor rgb="FFEFAAC4"/>
        <bgColor indexed="64"/>
      </patternFill>
    </fill>
    <fill>
      <patternFill patternType="solid">
        <fgColor theme="4" tint="0.799981688894314"/>
        <bgColor theme="4" tint="0.799981688894314"/>
      </patternFill>
    </fill>
    <fill>
      <patternFill patternType="solid">
        <fgColor theme="4" tint="0.799951170384838"/>
        <bgColor theme="4" tint="0.799951170384838"/>
      </patternFill>
    </fill>
    <fill>
      <patternFill patternType="solid">
        <fgColor theme="9" tint="0.799981688894314"/>
        <bgColor indexed="64"/>
      </patternFill>
    </fill>
    <fill>
      <patternFill patternType="solid">
        <fgColor rgb="FFFFC000"/>
        <bgColor indexed="64"/>
      </patternFill>
    </fill>
    <fill>
      <patternFill patternType="solid">
        <fgColor theme="0"/>
        <bgColor theme="4" tint="0.799951170384838"/>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auto="1"/>
      </left>
      <right style="thin">
        <color auto="1"/>
      </right>
      <top/>
      <bottom style="thin">
        <color auto="1"/>
      </bottom>
      <diagonal/>
    </border>
    <border>
      <left/>
      <right/>
      <top style="thin">
        <color theme="4" tint="0.399975585192419"/>
      </top>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11" borderId="0" applyNumberFormat="0" applyBorder="0" applyAlignment="0" applyProtection="0">
      <alignment vertical="center"/>
    </xf>
    <xf numFmtId="0" fontId="7" fillId="12"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13" borderId="0" applyNumberFormat="0" applyBorder="0" applyAlignment="0" applyProtection="0">
      <alignment vertical="center"/>
    </xf>
    <xf numFmtId="0" fontId="8" fillId="14" borderId="0" applyNumberFormat="0" applyBorder="0" applyAlignment="0" applyProtection="0">
      <alignment vertical="center"/>
    </xf>
    <xf numFmtId="43" fontId="0" fillId="0" borderId="0" applyFont="0" applyFill="0" applyBorder="0" applyAlignment="0" applyProtection="0">
      <alignment vertical="center"/>
    </xf>
    <xf numFmtId="0" fontId="9" fillId="15"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6" borderId="9" applyNumberFormat="0" applyFont="0" applyAlignment="0" applyProtection="0">
      <alignment vertical="center"/>
    </xf>
    <xf numFmtId="0" fontId="9" fillId="17"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9" fillId="18" borderId="0" applyNumberFormat="0" applyBorder="0" applyAlignment="0" applyProtection="0">
      <alignment vertical="center"/>
    </xf>
    <xf numFmtId="0" fontId="12" fillId="0" borderId="11" applyNumberFormat="0" applyFill="0" applyAlignment="0" applyProtection="0">
      <alignment vertical="center"/>
    </xf>
    <xf numFmtId="0" fontId="9" fillId="19" borderId="0" applyNumberFormat="0" applyBorder="0" applyAlignment="0" applyProtection="0">
      <alignment vertical="center"/>
    </xf>
    <xf numFmtId="0" fontId="18" fillId="20" borderId="12" applyNumberFormat="0" applyAlignment="0" applyProtection="0">
      <alignment vertical="center"/>
    </xf>
    <xf numFmtId="0" fontId="19" fillId="20" borderId="8" applyNumberFormat="0" applyAlignment="0" applyProtection="0">
      <alignment vertical="center"/>
    </xf>
    <xf numFmtId="0" fontId="20" fillId="21" borderId="13" applyNumberFormat="0" applyAlignment="0" applyProtection="0">
      <alignment vertical="center"/>
    </xf>
    <xf numFmtId="0" fontId="6" fillId="8" borderId="0" applyNumberFormat="0" applyBorder="0" applyAlignment="0" applyProtection="0">
      <alignment vertical="center"/>
    </xf>
    <xf numFmtId="0" fontId="9" fillId="22" borderId="0" applyNumberFormat="0" applyBorder="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6" fillId="25" borderId="0" applyNumberFormat="0" applyBorder="0" applyAlignment="0" applyProtection="0">
      <alignment vertical="center"/>
    </xf>
    <xf numFmtId="0" fontId="9"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9" fillId="35" borderId="0" applyNumberFormat="0" applyBorder="0" applyAlignment="0" applyProtection="0">
      <alignment vertical="center"/>
    </xf>
    <xf numFmtId="0" fontId="6" fillId="36"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6" fillId="39" borderId="0" applyNumberFormat="0" applyBorder="0" applyAlignment="0" applyProtection="0">
      <alignment vertical="center"/>
    </xf>
    <xf numFmtId="0" fontId="9" fillId="40" borderId="0" applyNumberFormat="0" applyBorder="0" applyAlignment="0" applyProtection="0">
      <alignment vertical="center"/>
    </xf>
  </cellStyleXfs>
  <cellXfs count="171">
    <xf numFmtId="0" fontId="0" fillId="0" borderId="0" xfId="0">
      <alignment vertical="center"/>
    </xf>
    <xf numFmtId="0" fontId="0" fillId="2" borderId="0" xfId="0" applyFill="1" applyBorder="1" applyAlignment="1">
      <alignment vertical="center"/>
    </xf>
    <xf numFmtId="0" fontId="0" fillId="2" borderId="0" xfId="0" applyFill="1">
      <alignment vertical="center"/>
    </xf>
    <xf numFmtId="57" fontId="1" fillId="0" borderId="0" xfId="0" applyNumberFormat="1" applyFont="1" applyFill="1" applyBorder="1" applyAlignment="1">
      <alignment horizontal="left" vertical="center"/>
    </xf>
    <xf numFmtId="0" fontId="2" fillId="0" borderId="0" xfId="0" applyFont="1" applyFill="1" applyBorder="1" applyAlignment="1">
      <alignment horizontal="left" vertical="center"/>
    </xf>
    <xf numFmtId="0" fontId="2" fillId="2" borderId="0" xfId="0" applyFont="1" applyFill="1" applyBorder="1" applyAlignment="1">
      <alignment vertical="center"/>
    </xf>
    <xf numFmtId="0" fontId="1" fillId="3" borderId="1" xfId="0" applyFont="1" applyFill="1" applyBorder="1" applyAlignment="1">
      <alignment horizontal="left" vertical="center"/>
    </xf>
    <xf numFmtId="0" fontId="2" fillId="0" borderId="1" xfId="0" applyFont="1" applyFill="1" applyBorder="1" applyAlignment="1">
      <alignment horizontal="left" vertical="center"/>
    </xf>
    <xf numFmtId="176" fontId="2" fillId="2" borderId="1" xfId="0" applyNumberFormat="1" applyFont="1" applyFill="1" applyBorder="1" applyAlignment="1">
      <alignment horizontal="left" vertical="center"/>
    </xf>
    <xf numFmtId="0" fontId="2" fillId="2" borderId="1" xfId="0" applyFont="1" applyFill="1" applyBorder="1" applyAlignment="1">
      <alignment horizontal="left" vertical="center"/>
    </xf>
    <xf numFmtId="177" fontId="2" fillId="2" borderId="1" xfId="0" applyNumberFormat="1" applyFont="1" applyFill="1" applyBorder="1" applyAlignment="1">
      <alignment horizontal="left" vertical="center"/>
    </xf>
    <xf numFmtId="0" fontId="3" fillId="4" borderId="0" xfId="0" applyFont="1" applyFill="1" applyAlignment="1">
      <alignment horizontal="left" vertical="center"/>
    </xf>
    <xf numFmtId="0" fontId="3" fillId="5" borderId="0" xfId="0" applyFont="1" applyFill="1" applyAlignment="1">
      <alignment horizontal="left" vertical="center"/>
    </xf>
    <xf numFmtId="0" fontId="3" fillId="6" borderId="1" xfId="0" applyFont="1" applyFill="1" applyBorder="1" applyAlignment="1">
      <alignment horizontal="left" vertical="center"/>
    </xf>
    <xf numFmtId="0" fontId="3" fillId="6" borderId="2" xfId="0" applyFont="1" applyFill="1" applyBorder="1" applyAlignment="1">
      <alignment horizontal="left" vertical="center"/>
    </xf>
    <xf numFmtId="0" fontId="3" fillId="6" borderId="1" xfId="0" applyFont="1" applyFill="1" applyBorder="1" applyAlignment="1">
      <alignment horizontal="center" vertical="center"/>
    </xf>
    <xf numFmtId="14" fontId="0" fillId="0" borderId="1" xfId="0" applyNumberFormat="1" applyFill="1" applyBorder="1" applyAlignment="1">
      <alignment horizontal="left" vertical="center"/>
    </xf>
    <xf numFmtId="0" fontId="0" fillId="0" borderId="1" xfId="0" applyFill="1" applyBorder="1" applyAlignment="1">
      <alignment horizontal="left" vertical="center"/>
    </xf>
    <xf numFmtId="176" fontId="0" fillId="0" borderId="2" xfId="0" applyNumberFormat="1" applyFill="1" applyBorder="1" applyAlignment="1">
      <alignment horizontal="left" vertical="center"/>
    </xf>
    <xf numFmtId="176" fontId="0" fillId="2" borderId="1" xfId="0" applyNumberFormat="1" applyFill="1" applyBorder="1" applyAlignment="1">
      <alignment horizontal="left" vertical="center"/>
    </xf>
    <xf numFmtId="176" fontId="0" fillId="0" borderId="1" xfId="0" applyNumberFormat="1" applyFont="1" applyFill="1" applyBorder="1" applyAlignment="1">
      <alignment horizontal="left" vertical="center"/>
    </xf>
    <xf numFmtId="10" fontId="0" fillId="0" borderId="1" xfId="11" applyNumberFormat="1" applyBorder="1" applyAlignment="1">
      <alignment horizontal="left" vertical="center"/>
    </xf>
    <xf numFmtId="0" fontId="0" fillId="0" borderId="1" xfId="0" applyFill="1" applyBorder="1" applyAlignment="1">
      <alignment horizontal="center" vertical="center"/>
    </xf>
    <xf numFmtId="176" fontId="0" fillId="0" borderId="1" xfId="0" applyNumberFormat="1" applyFill="1" applyBorder="1" applyAlignment="1">
      <alignment horizontal="left" vertical="center"/>
    </xf>
    <xf numFmtId="0" fontId="0" fillId="0" borderId="0" xfId="0" applyFill="1" applyBorder="1" applyAlignment="1">
      <alignment horizontal="left" vertical="center"/>
    </xf>
    <xf numFmtId="176" fontId="0" fillId="0" borderId="0" xfId="0" applyNumberFormat="1" applyFill="1" applyBorder="1" applyAlignment="1">
      <alignment horizontal="left" vertical="center"/>
    </xf>
    <xf numFmtId="0" fontId="0" fillId="0" borderId="3" xfId="0" applyFill="1" applyBorder="1" applyAlignment="1">
      <alignment horizontal="left" vertical="center"/>
    </xf>
    <xf numFmtId="0" fontId="0" fillId="0" borderId="4" xfId="0" applyFill="1" applyBorder="1" applyAlignment="1">
      <alignment horizontal="left" vertical="center"/>
    </xf>
    <xf numFmtId="10" fontId="0" fillId="2" borderId="1" xfId="11" applyNumberFormat="1" applyFill="1" applyBorder="1" applyAlignment="1">
      <alignment horizontal="left" vertical="center"/>
    </xf>
    <xf numFmtId="0" fontId="3" fillId="3" borderId="1" xfId="0" applyFont="1" applyFill="1" applyBorder="1" applyAlignment="1">
      <alignment horizontal="left" vertical="center"/>
    </xf>
    <xf numFmtId="177" fontId="3" fillId="3" borderId="1" xfId="0" applyNumberFormat="1" applyFont="1" applyFill="1" applyBorder="1" applyAlignment="1">
      <alignment horizontal="left" vertical="center"/>
    </xf>
    <xf numFmtId="176" fontId="3" fillId="3" borderId="1" xfId="0" applyNumberFormat="1" applyFont="1" applyFill="1" applyBorder="1" applyAlignment="1">
      <alignment horizontal="left" vertical="center"/>
    </xf>
    <xf numFmtId="9" fontId="3" fillId="3" borderId="1" xfId="11" applyNumberFormat="1" applyFont="1" applyFill="1" applyBorder="1" applyAlignment="1">
      <alignment horizontal="left" vertical="center"/>
    </xf>
    <xf numFmtId="177" fontId="3" fillId="3" borderId="1" xfId="0" applyNumberFormat="1" applyFont="1" applyFill="1" applyBorder="1" applyAlignment="1">
      <alignment horizontal="center" vertical="center"/>
    </xf>
    <xf numFmtId="176" fontId="3" fillId="6" borderId="1" xfId="0" applyNumberFormat="1" applyFont="1" applyFill="1" applyBorder="1" applyAlignment="1">
      <alignment horizontal="left" vertical="center"/>
    </xf>
    <xf numFmtId="176" fontId="3" fillId="6" borderId="2" xfId="0" applyNumberFormat="1" applyFont="1" applyFill="1" applyBorder="1" applyAlignment="1">
      <alignment horizontal="left" vertical="center"/>
    </xf>
    <xf numFmtId="10" fontId="3" fillId="6" borderId="1" xfId="11" applyNumberFormat="1" applyFont="1" applyFill="1" applyBorder="1" applyAlignment="1">
      <alignment horizontal="left" vertical="center"/>
    </xf>
    <xf numFmtId="0" fontId="3" fillId="6" borderId="1" xfId="0" applyNumberFormat="1" applyFon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left" vertical="center"/>
    </xf>
    <xf numFmtId="0" fontId="3" fillId="3" borderId="0" xfId="0" applyFont="1" applyFill="1" applyBorder="1" applyAlignment="1">
      <alignment vertical="center"/>
    </xf>
    <xf numFmtId="9" fontId="0" fillId="2" borderId="1" xfId="11" applyNumberFormat="1" applyFill="1" applyBorder="1" applyAlignment="1">
      <alignment horizontal="left" vertical="center"/>
    </xf>
    <xf numFmtId="10" fontId="0" fillId="0" borderId="1" xfId="11" applyNumberFormat="1" applyBorder="1" applyAlignment="1">
      <alignment horizontal="center" vertical="center"/>
    </xf>
    <xf numFmtId="10" fontId="0" fillId="2" borderId="1" xfId="11" applyNumberFormat="1" applyFill="1" applyBorder="1" applyAlignment="1">
      <alignment horizontal="center" vertical="center"/>
    </xf>
    <xf numFmtId="10" fontId="3" fillId="3" borderId="1" xfId="11" applyNumberFormat="1" applyFont="1" applyFill="1" applyBorder="1" applyAlignment="1">
      <alignment horizontal="left" vertical="center"/>
    </xf>
    <xf numFmtId="22" fontId="0" fillId="0" borderId="0" xfId="0" applyNumberFormat="1">
      <alignment vertical="center"/>
    </xf>
    <xf numFmtId="0" fontId="0" fillId="0" borderId="0" xfId="0" applyFont="1" applyFill="1" applyAlignment="1">
      <alignment vertical="center"/>
    </xf>
    <xf numFmtId="22" fontId="0" fillId="0" borderId="0" xfId="0" applyNumberFormat="1" applyFont="1" applyFill="1" applyAlignment="1">
      <alignment vertical="center"/>
    </xf>
    <xf numFmtId="0" fontId="0" fillId="0" borderId="0" xfId="0" applyFill="1" applyAlignment="1">
      <alignment vertical="center"/>
    </xf>
    <xf numFmtId="22" fontId="0" fillId="0" borderId="0" xfId="0" applyNumberFormat="1" applyFill="1" applyAlignment="1">
      <alignment vertical="center"/>
    </xf>
    <xf numFmtId="0" fontId="3" fillId="7" borderId="1" xfId="0" applyFont="1" applyFill="1" applyBorder="1" applyAlignment="1">
      <alignment horizontal="left" vertical="center"/>
    </xf>
    <xf numFmtId="14" fontId="0" fillId="0" borderId="1" xfId="0" applyNumberFormat="1" applyBorder="1" applyAlignment="1">
      <alignment horizontal="left" vertical="center"/>
    </xf>
    <xf numFmtId="0" fontId="0" fillId="0" borderId="1" xfId="0" applyBorder="1" applyAlignment="1">
      <alignment horizontal="left" vertical="center"/>
    </xf>
    <xf numFmtId="0" fontId="0" fillId="0" borderId="1" xfId="0" applyNumberFormat="1" applyBorder="1" applyAlignment="1">
      <alignment horizontal="left" vertical="center"/>
    </xf>
    <xf numFmtId="0" fontId="0" fillId="0" borderId="0" xfId="0" applyAlignment="1">
      <alignment horizontal="left" vertical="center"/>
    </xf>
    <xf numFmtId="57" fontId="1" fillId="0" borderId="0" xfId="0" applyNumberFormat="1" applyFont="1" applyAlignment="1">
      <alignment horizontal="left" vertical="center"/>
    </xf>
    <xf numFmtId="0" fontId="2" fillId="0" borderId="0" xfId="0" applyFont="1" applyAlignment="1">
      <alignment horizontal="left" vertical="center"/>
    </xf>
    <xf numFmtId="0" fontId="2" fillId="2" borderId="0" xfId="0" applyFont="1" applyFill="1">
      <alignment vertical="center"/>
    </xf>
    <xf numFmtId="0" fontId="2" fillId="0" borderId="1" xfId="0" applyFont="1" applyBorder="1" applyAlignment="1">
      <alignment horizontal="left" vertical="center"/>
    </xf>
    <xf numFmtId="178" fontId="0" fillId="2" borderId="1" xfId="0" applyNumberFormat="1" applyFill="1" applyBorder="1" applyAlignment="1">
      <alignment horizontal="left" vertical="center"/>
    </xf>
    <xf numFmtId="1" fontId="2" fillId="2" borderId="1" xfId="0" applyNumberFormat="1" applyFont="1" applyFill="1" applyBorder="1" applyAlignment="1">
      <alignment horizontal="left" vertical="center"/>
    </xf>
    <xf numFmtId="0" fontId="3" fillId="3" borderId="0" xfId="0" applyFont="1" applyFill="1">
      <alignment vertical="center"/>
    </xf>
    <xf numFmtId="0" fontId="3" fillId="8" borderId="0" xfId="0" applyFont="1" applyFill="1" applyAlignment="1">
      <alignment horizontal="left" vertical="center"/>
    </xf>
    <xf numFmtId="0" fontId="3" fillId="7" borderId="2" xfId="0" applyFont="1" applyFill="1" applyBorder="1" applyAlignment="1">
      <alignment horizontal="left" vertical="center"/>
    </xf>
    <xf numFmtId="0" fontId="3" fillId="7" borderId="1" xfId="0" applyFont="1" applyFill="1" applyBorder="1" applyAlignment="1">
      <alignment horizontal="center" vertical="center"/>
    </xf>
    <xf numFmtId="14" fontId="0" fillId="3" borderId="1" xfId="0" applyNumberFormat="1" applyFill="1" applyBorder="1" applyAlignment="1">
      <alignment horizontal="left" vertical="center"/>
    </xf>
    <xf numFmtId="0" fontId="3" fillId="6" borderId="1" xfId="0" applyNumberFormat="1" applyFont="1" applyFill="1" applyBorder="1" applyAlignment="1">
      <alignment horizontal="left" vertical="center"/>
    </xf>
    <xf numFmtId="178" fontId="0" fillId="0" borderId="1" xfId="0" applyNumberFormat="1" applyFont="1" applyFill="1" applyBorder="1" applyAlignment="1">
      <alignment horizontal="left" vertical="center"/>
    </xf>
    <xf numFmtId="176" fontId="0" fillId="0" borderId="1" xfId="0" applyNumberFormat="1" applyBorder="1" applyAlignment="1">
      <alignment horizontal="left" vertical="center"/>
    </xf>
    <xf numFmtId="0" fontId="0" fillId="0" borderId="1" xfId="0" applyBorder="1" applyAlignment="1">
      <alignment horizontal="center" vertical="center"/>
    </xf>
    <xf numFmtId="0" fontId="0" fillId="0" borderId="5" xfId="0" applyBorder="1" applyAlignment="1">
      <alignment horizontal="left" vertical="center"/>
    </xf>
    <xf numFmtId="176" fontId="0" fillId="0" borderId="2" xfId="0" applyNumberFormat="1" applyBorder="1" applyAlignment="1">
      <alignment horizontal="left" vertical="center"/>
    </xf>
    <xf numFmtId="176" fontId="0" fillId="0" borderId="0" xfId="0" applyNumberFormat="1" applyAlignment="1">
      <alignment horizontal="left" vertical="center"/>
    </xf>
    <xf numFmtId="0" fontId="0" fillId="0" borderId="3" xfId="0" applyBorder="1" applyAlignment="1">
      <alignment horizontal="left" vertical="center"/>
    </xf>
    <xf numFmtId="176" fontId="0" fillId="0" borderId="6" xfId="0" applyNumberFormat="1" applyFont="1" applyFill="1" applyBorder="1" applyAlignment="1">
      <alignment horizontal="left" vertical="center"/>
    </xf>
    <xf numFmtId="0" fontId="0" fillId="2" borderId="1" xfId="0" applyFill="1" applyBorder="1" applyAlignment="1">
      <alignment horizontal="center" vertical="center"/>
    </xf>
    <xf numFmtId="0" fontId="0" fillId="2" borderId="1" xfId="0" applyFill="1" applyBorder="1">
      <alignment vertical="center"/>
    </xf>
    <xf numFmtId="9" fontId="3" fillId="3" borderId="1" xfId="11" applyFont="1" applyFill="1" applyBorder="1" applyAlignment="1">
      <alignment horizontal="left" vertical="center"/>
    </xf>
    <xf numFmtId="176" fontId="3" fillId="7" borderId="1" xfId="0" applyNumberFormat="1" applyFont="1" applyFill="1" applyBorder="1" applyAlignment="1">
      <alignment horizontal="left" vertical="center"/>
    </xf>
    <xf numFmtId="176" fontId="3" fillId="7" borderId="2" xfId="0" applyNumberFormat="1" applyFont="1" applyFill="1" applyBorder="1" applyAlignment="1">
      <alignment horizontal="left" vertical="center"/>
    </xf>
    <xf numFmtId="10" fontId="3" fillId="7" borderId="1" xfId="11" applyNumberFormat="1" applyFont="1" applyFill="1" applyBorder="1" applyAlignment="1">
      <alignment horizontal="left" vertical="center"/>
    </xf>
    <xf numFmtId="9" fontId="0" fillId="2" borderId="1" xfId="11" applyFill="1" applyBorder="1" applyAlignment="1">
      <alignment horizontal="left" vertical="center"/>
    </xf>
    <xf numFmtId="0" fontId="3" fillId="2" borderId="0" xfId="0" applyFont="1" applyFill="1" applyBorder="1">
      <alignment vertical="center"/>
    </xf>
    <xf numFmtId="0" fontId="0" fillId="2" borderId="0" xfId="0" applyFill="1" applyBorder="1">
      <alignment vertical="center"/>
    </xf>
    <xf numFmtId="0" fontId="3" fillId="2" borderId="0" xfId="0" applyFont="1" applyFill="1" applyAlignment="1">
      <alignment horizontal="left" vertical="center"/>
    </xf>
    <xf numFmtId="14" fontId="0" fillId="0" borderId="0" xfId="0" applyNumberFormat="1">
      <alignment vertical="center"/>
    </xf>
    <xf numFmtId="179" fontId="0" fillId="0" borderId="0" xfId="0" applyNumberFormat="1">
      <alignment vertical="center"/>
    </xf>
    <xf numFmtId="180" fontId="0" fillId="0" borderId="0" xfId="0" applyNumberFormat="1">
      <alignment vertical="center"/>
    </xf>
    <xf numFmtId="14" fontId="0" fillId="0" borderId="0" xfId="0" applyNumberFormat="1" applyAlignment="1">
      <alignment horizontal="left" vertical="center"/>
    </xf>
    <xf numFmtId="0" fontId="0" fillId="0" borderId="0" xfId="0" applyAlignment="1">
      <alignment horizontal="left" vertical="center"/>
    </xf>
    <xf numFmtId="6" fontId="0" fillId="0" borderId="0" xfId="0" applyNumberFormat="1" applyFont="1" applyFill="1" applyAlignment="1">
      <alignment vertical="center"/>
    </xf>
    <xf numFmtId="8" fontId="0" fillId="0" borderId="0" xfId="0" applyNumberFormat="1" applyFont="1" applyFill="1" applyAlignment="1">
      <alignment vertical="center"/>
    </xf>
    <xf numFmtId="6" fontId="0" fillId="0" borderId="0" xfId="0" applyNumberFormat="1" applyFill="1" applyAlignment="1">
      <alignment vertical="center"/>
    </xf>
    <xf numFmtId="8" fontId="0" fillId="0" borderId="0" xfId="0" applyNumberFormat="1" applyFill="1" applyAlignment="1">
      <alignment vertical="center"/>
    </xf>
    <xf numFmtId="0" fontId="0" fillId="2" borderId="0" xfId="0" applyFill="1" applyAlignment="1">
      <alignment horizontal="left" vertical="center"/>
    </xf>
    <xf numFmtId="0" fontId="2" fillId="2" borderId="0" xfId="0" applyFont="1" applyFill="1" applyAlignment="1">
      <alignment horizontal="left" vertical="center"/>
    </xf>
    <xf numFmtId="10" fontId="2" fillId="2" borderId="1" xfId="11" applyNumberFormat="1" applyFont="1" applyFill="1" applyBorder="1" applyAlignment="1">
      <alignment horizontal="left" vertical="center"/>
    </xf>
    <xf numFmtId="9" fontId="0" fillId="0" borderId="1" xfId="11" applyBorder="1" applyAlignment="1">
      <alignment horizontal="left" vertical="center"/>
    </xf>
    <xf numFmtId="0" fontId="0" fillId="0" borderId="1" xfId="0" applyNumberFormat="1" applyFont="1" applyFill="1" applyBorder="1" applyAlignment="1">
      <alignment horizontal="left" vertical="center"/>
    </xf>
    <xf numFmtId="0" fontId="0" fillId="6" borderId="1" xfId="0" applyNumberFormat="1" applyFont="1" applyFill="1" applyBorder="1" applyAlignment="1">
      <alignment horizontal="left" vertical="center"/>
    </xf>
    <xf numFmtId="0" fontId="0" fillId="0" borderId="2" xfId="0" applyBorder="1" applyAlignment="1">
      <alignment horizontal="left" vertical="center"/>
    </xf>
    <xf numFmtId="0" fontId="0" fillId="0" borderId="6" xfId="0" applyNumberFormat="1" applyFont="1" applyFill="1" applyBorder="1" applyAlignment="1">
      <alignment horizontal="left" vertical="center"/>
    </xf>
    <xf numFmtId="0" fontId="0" fillId="0" borderId="1" xfId="0" applyFont="1" applyFill="1" applyBorder="1" applyAlignment="1">
      <alignment horizontal="left" vertical="center"/>
    </xf>
    <xf numFmtId="0" fontId="0" fillId="2" borderId="2" xfId="0" applyFill="1" applyBorder="1" applyAlignment="1">
      <alignment horizontal="left" vertical="center"/>
    </xf>
    <xf numFmtId="0" fontId="3" fillId="2" borderId="0" xfId="0" applyFont="1" applyFill="1">
      <alignment vertical="center"/>
    </xf>
    <xf numFmtId="0" fontId="2" fillId="2" borderId="1" xfId="0" applyNumberFormat="1" applyFont="1" applyFill="1" applyBorder="1" applyAlignment="1">
      <alignment horizontal="left" vertical="center"/>
    </xf>
    <xf numFmtId="178" fontId="0" fillId="0" borderId="1" xfId="0" applyNumberFormat="1" applyFont="1" applyBorder="1" applyAlignment="1">
      <alignment horizontal="left" vertical="center"/>
    </xf>
    <xf numFmtId="176" fontId="0" fillId="0" borderId="1" xfId="0" applyNumberFormat="1" applyFont="1" applyBorder="1" applyAlignment="1">
      <alignment horizontal="left" vertical="center"/>
    </xf>
    <xf numFmtId="176" fontId="0" fillId="2" borderId="1" xfId="0" applyNumberFormat="1" applyFont="1" applyFill="1" applyBorder="1" applyAlignment="1">
      <alignment horizontal="left" vertical="center"/>
    </xf>
    <xf numFmtId="178" fontId="3" fillId="7" borderId="1" xfId="0" applyNumberFormat="1" applyFont="1" applyFill="1" applyBorder="1" applyAlignment="1">
      <alignment horizontal="left" vertical="center"/>
    </xf>
    <xf numFmtId="0" fontId="0" fillId="2" borderId="0" xfId="0" applyFill="1" applyBorder="1" applyAlignment="1">
      <alignment horizontal="left" vertical="center"/>
    </xf>
    <xf numFmtId="178" fontId="3" fillId="2" borderId="0" xfId="0" applyNumberFormat="1" applyFont="1" applyFill="1" applyBorder="1" applyAlignment="1">
      <alignment horizontal="left" vertical="center"/>
    </xf>
    <xf numFmtId="0" fontId="3" fillId="9" borderId="1" xfId="0" applyFont="1" applyFill="1" applyBorder="1" applyAlignment="1">
      <alignment horizontal="left" vertical="center"/>
    </xf>
    <xf numFmtId="176" fontId="3" fillId="9" borderId="1" xfId="0" applyNumberFormat="1" applyFont="1" applyFill="1" applyBorder="1" applyAlignment="1">
      <alignment horizontal="left" vertical="center"/>
    </xf>
    <xf numFmtId="0" fontId="3" fillId="3" borderId="1" xfId="0" applyFont="1" applyFill="1" applyBorder="1">
      <alignment vertical="center"/>
    </xf>
    <xf numFmtId="0" fontId="3" fillId="9" borderId="1" xfId="0" applyFont="1" applyFill="1" applyBorder="1">
      <alignment vertical="center"/>
    </xf>
    <xf numFmtId="10" fontId="3" fillId="9" borderId="1" xfId="11" applyNumberFormat="1" applyFont="1" applyFill="1" applyBorder="1" applyAlignment="1">
      <alignment horizontal="left" vertical="center"/>
    </xf>
    <xf numFmtId="10" fontId="0" fillId="2" borderId="0" xfId="11" applyNumberFormat="1" applyFill="1" applyBorder="1" applyAlignment="1">
      <alignment horizontal="left" vertical="center"/>
    </xf>
    <xf numFmtId="0" fontId="3" fillId="10" borderId="0" xfId="0" applyFont="1" applyFill="1" applyBorder="1" applyAlignment="1">
      <alignment horizontal="left" vertical="center"/>
    </xf>
    <xf numFmtId="10" fontId="3" fillId="10" borderId="0" xfId="11" applyNumberFormat="1" applyFont="1" applyFill="1" applyBorder="1" applyAlignment="1">
      <alignment horizontal="left" vertical="center"/>
    </xf>
    <xf numFmtId="178" fontId="3" fillId="10" borderId="0" xfId="0" applyNumberFormat="1" applyFont="1" applyFill="1" applyBorder="1" applyAlignment="1">
      <alignment horizontal="left" vertical="center"/>
    </xf>
    <xf numFmtId="0" fontId="0" fillId="0" borderId="1" xfId="0" applyBorder="1" applyAlignment="1">
      <alignment vertical="center"/>
    </xf>
    <xf numFmtId="0" fontId="0" fillId="0" borderId="1" xfId="0" applyBorder="1">
      <alignment vertical="center"/>
    </xf>
    <xf numFmtId="0" fontId="0" fillId="0" borderId="1" xfId="0" applyFont="1" applyFill="1" applyBorder="1" applyAlignment="1">
      <alignment vertical="center"/>
    </xf>
    <xf numFmtId="0" fontId="0" fillId="0" borderId="1" xfId="0" applyFill="1" applyBorder="1" applyAlignment="1">
      <alignment vertical="center"/>
    </xf>
    <xf numFmtId="180" fontId="0" fillId="0" borderId="1" xfId="0" applyNumberFormat="1" applyBorder="1" applyAlignment="1">
      <alignment vertical="center"/>
    </xf>
    <xf numFmtId="179" fontId="0" fillId="0" borderId="1" xfId="0" applyNumberFormat="1" applyBorder="1" applyAlignment="1">
      <alignment vertical="center"/>
    </xf>
    <xf numFmtId="179" fontId="0" fillId="0" borderId="1" xfId="0" applyNumberFormat="1" applyBorder="1">
      <alignment vertical="center"/>
    </xf>
    <xf numFmtId="180" fontId="0" fillId="0" borderId="1" xfId="0" applyNumberFormat="1" applyBorder="1">
      <alignment vertical="center"/>
    </xf>
    <xf numFmtId="6" fontId="0" fillId="0" borderId="1" xfId="0" applyNumberFormat="1" applyFont="1" applyFill="1" applyBorder="1" applyAlignment="1">
      <alignment vertical="center"/>
    </xf>
    <xf numFmtId="6" fontId="0" fillId="0" borderId="1" xfId="0" applyNumberFormat="1" applyFill="1" applyBorder="1" applyAlignment="1">
      <alignment vertical="center"/>
    </xf>
    <xf numFmtId="8" fontId="0" fillId="0" borderId="1" xfId="0" applyNumberFormat="1" applyFill="1" applyBorder="1" applyAlignment="1">
      <alignment vertical="center"/>
    </xf>
    <xf numFmtId="0" fontId="3" fillId="3" borderId="0" xfId="0" applyFont="1" applyFill="1" applyAlignment="1">
      <alignment horizontal="left" vertical="center"/>
    </xf>
    <xf numFmtId="0" fontId="3" fillId="2" borderId="1" xfId="0" applyFont="1" applyFill="1" applyBorder="1" applyAlignment="1">
      <alignment horizontal="left" vertical="center"/>
    </xf>
    <xf numFmtId="0" fontId="4" fillId="3" borderId="7" xfId="0" applyFont="1" applyFill="1" applyBorder="1" applyAlignment="1">
      <alignment horizontal="center" vertical="center"/>
    </xf>
    <xf numFmtId="0" fontId="4" fillId="3" borderId="5" xfId="0" applyFont="1" applyFill="1" applyBorder="1" applyAlignment="1">
      <alignment horizontal="center" vertical="center"/>
    </xf>
    <xf numFmtId="0" fontId="5" fillId="0" borderId="0" xfId="0" applyFont="1" applyAlignment="1">
      <alignment horizontal="center" vertical="center"/>
    </xf>
    <xf numFmtId="176" fontId="2" fillId="2" borderId="0" xfId="0" applyNumberFormat="1" applyFont="1" applyFill="1" applyAlignment="1">
      <alignment horizontal="left" vertical="center"/>
    </xf>
    <xf numFmtId="180" fontId="0" fillId="0" borderId="1" xfId="0" applyNumberFormat="1" applyBorder="1" applyAlignment="1">
      <alignment horizontal="left" vertical="center"/>
    </xf>
    <xf numFmtId="10" fontId="0" fillId="2" borderId="1" xfId="11" applyNumberFormat="1" applyFont="1" applyFill="1" applyBorder="1" applyAlignment="1">
      <alignment horizontal="left" vertical="center"/>
    </xf>
    <xf numFmtId="14" fontId="0" fillId="2" borderId="1" xfId="0" applyNumberFormat="1" applyFill="1" applyBorder="1" applyAlignment="1">
      <alignment horizontal="left" vertical="center"/>
    </xf>
    <xf numFmtId="179" fontId="0" fillId="0" borderId="1" xfId="0" applyNumberFormat="1" applyBorder="1" applyAlignment="1">
      <alignment horizontal="left" vertical="center"/>
    </xf>
    <xf numFmtId="6" fontId="0" fillId="0" borderId="1" xfId="0" applyNumberFormat="1" applyFill="1" applyBorder="1" applyAlignment="1">
      <alignment horizontal="left" vertical="center"/>
    </xf>
    <xf numFmtId="0" fontId="0" fillId="0" borderId="0" xfId="0" applyFill="1" applyAlignment="1">
      <alignment horizontal="left" vertical="center"/>
    </xf>
    <xf numFmtId="8" fontId="0" fillId="0" borderId="1" xfId="0" applyNumberFormat="1" applyFill="1" applyBorder="1" applyAlignment="1">
      <alignment horizontal="left" vertical="center"/>
    </xf>
    <xf numFmtId="178" fontId="3" fillId="9" borderId="1" xfId="0" applyNumberFormat="1" applyFont="1" applyFill="1" applyBorder="1" applyAlignment="1">
      <alignment horizontal="left" vertical="center"/>
    </xf>
    <xf numFmtId="177" fontId="3" fillId="9" borderId="1" xfId="0" applyNumberFormat="1" applyFont="1" applyFill="1" applyBorder="1" applyAlignment="1">
      <alignment horizontal="left" vertical="center"/>
    </xf>
    <xf numFmtId="180" fontId="3" fillId="3" borderId="1" xfId="0" applyNumberFormat="1" applyFont="1" applyFill="1" applyBorder="1" applyAlignment="1">
      <alignment horizontal="left" vertical="center"/>
    </xf>
    <xf numFmtId="0" fontId="3" fillId="3" borderId="1" xfId="0" applyNumberFormat="1" applyFont="1" applyFill="1" applyBorder="1" applyAlignment="1">
      <alignment horizontal="left" vertical="center"/>
    </xf>
    <xf numFmtId="8" fontId="0" fillId="2" borderId="1" xfId="0" applyNumberFormat="1" applyFill="1" applyBorder="1" applyAlignment="1">
      <alignment horizontal="left" vertical="center"/>
    </xf>
    <xf numFmtId="8" fontId="0" fillId="0" borderId="1" xfId="0" applyNumberFormat="1" applyBorder="1" applyAlignment="1">
      <alignment horizontal="left" vertical="center"/>
    </xf>
    <xf numFmtId="10" fontId="0" fillId="2" borderId="1" xfId="0" applyNumberFormat="1" applyFill="1" applyBorder="1" applyAlignment="1">
      <alignment horizontal="left" vertical="center"/>
    </xf>
    <xf numFmtId="177" fontId="0" fillId="2" borderId="1" xfId="0" applyNumberFormat="1" applyFill="1" applyBorder="1" applyAlignment="1">
      <alignment horizontal="left" vertical="center"/>
    </xf>
    <xf numFmtId="181" fontId="0" fillId="2" borderId="1" xfId="0" applyNumberFormat="1" applyFill="1" applyBorder="1" applyAlignment="1">
      <alignment horizontal="left" vertical="center"/>
    </xf>
    <xf numFmtId="10" fontId="2" fillId="2" borderId="0" xfId="11" applyNumberFormat="1" applyFont="1" applyFill="1" applyAlignment="1">
      <alignment horizontal="left" vertical="center"/>
    </xf>
    <xf numFmtId="177" fontId="2" fillId="2" borderId="0" xfId="0" applyNumberFormat="1" applyFont="1" applyFill="1" applyAlignment="1">
      <alignment horizontal="left" vertical="center"/>
    </xf>
    <xf numFmtId="177" fontId="2" fillId="2" borderId="0" xfId="0" applyNumberFormat="1" applyFont="1" applyFill="1" applyAlignment="1">
      <alignment horizontal="center" vertical="center"/>
    </xf>
    <xf numFmtId="10" fontId="0" fillId="0" borderId="2" xfId="11" applyNumberFormat="1" applyBorder="1" applyAlignment="1">
      <alignment horizontal="left" vertical="center"/>
    </xf>
    <xf numFmtId="180" fontId="0" fillId="2" borderId="1" xfId="0" applyNumberFormat="1" applyFill="1" applyBorder="1" applyAlignment="1">
      <alignment horizontal="left" vertical="center"/>
    </xf>
    <xf numFmtId="182" fontId="2" fillId="2" borderId="1" xfId="0" applyNumberFormat="1" applyFont="1" applyFill="1" applyBorder="1" applyAlignment="1">
      <alignment horizontal="center" vertical="center"/>
    </xf>
    <xf numFmtId="10" fontId="0" fillId="0" borderId="2" xfId="11" applyNumberFormat="1" applyFont="1" applyFill="1" applyBorder="1" applyAlignment="1">
      <alignment horizontal="left" vertical="center"/>
    </xf>
    <xf numFmtId="10" fontId="0" fillId="0" borderId="0" xfId="11" applyNumberFormat="1" applyFill="1" applyAlignment="1">
      <alignment horizontal="left" vertical="center"/>
    </xf>
    <xf numFmtId="10" fontId="0" fillId="0" borderId="2" xfId="11" applyNumberFormat="1" applyFill="1" applyBorder="1" applyAlignment="1">
      <alignment horizontal="left" vertical="center"/>
    </xf>
    <xf numFmtId="10" fontId="0" fillId="2" borderId="2" xfId="11" applyNumberFormat="1" applyFill="1" applyBorder="1" applyAlignment="1">
      <alignment horizontal="left" vertical="center"/>
    </xf>
    <xf numFmtId="181" fontId="3" fillId="9" borderId="1" xfId="0" applyNumberFormat="1" applyFont="1" applyFill="1" applyBorder="1" applyAlignment="1">
      <alignment horizontal="left" vertical="center"/>
    </xf>
    <xf numFmtId="182" fontId="1" fillId="9" borderId="1" xfId="0" applyNumberFormat="1" applyFont="1" applyFill="1" applyBorder="1" applyAlignment="1">
      <alignment horizontal="center" vertical="center"/>
    </xf>
    <xf numFmtId="183" fontId="3" fillId="3" borderId="1" xfId="0" applyNumberFormat="1" applyFont="1" applyFill="1" applyBorder="1" applyAlignment="1">
      <alignment horizontal="center" vertical="center"/>
    </xf>
    <xf numFmtId="9" fontId="0" fillId="2" borderId="0" xfId="11" applyFont="1" applyFill="1" applyAlignment="1">
      <alignment horizontal="left" vertical="center"/>
    </xf>
    <xf numFmtId="182" fontId="0" fillId="2" borderId="1" xfId="0" applyNumberFormat="1" applyFill="1" applyBorder="1" applyAlignment="1">
      <alignment horizontal="left" vertical="center"/>
    </xf>
    <xf numFmtId="183" fontId="3" fillId="3" borderId="1" xfId="11" applyNumberFormat="1" applyFont="1" applyFill="1" applyBorder="1" applyAlignment="1">
      <alignment horizontal="left" vertical="center"/>
    </xf>
    <xf numFmtId="181" fontId="3" fillId="3" borderId="1" xfId="11" applyNumberFormat="1" applyFont="1" applyFill="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9">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customXml" Target="../customXml/item1.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1" Type="http://schemas.openxmlformats.org/officeDocument/2006/relationships/pivotCacheDefinition" Target="pivotCache/pivotCacheDefinition3.xml"/><Relationship Id="rId10" Type="http://schemas.openxmlformats.org/officeDocument/2006/relationships/pivotCacheDefinition" Target="pivotCache/pivotCacheDefinition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lineChart>
        <c:grouping val="standard"/>
        <c:varyColors val="0"/>
        <c:ser>
          <c:idx val="0"/>
          <c:order val="0"/>
          <c:tx>
            <c:strRef>
              <c:f>'9月直播平台数据(视频号）'!$B$25</c:f>
              <c:strCache>
                <c:ptCount val="1"/>
                <c:pt idx="0">
                  <c:v>下单金额</c:v>
                </c:pt>
              </c:strCache>
            </c:strRef>
          </c:tx>
          <c:spPr>
            <a:ln w="28575" cap="rnd">
              <a:solidFill>
                <a:schemeClr val="accent1"/>
              </a:solidFill>
              <a:round/>
            </a:ln>
            <a:effectLst/>
          </c:spPr>
          <c:marker>
            <c:symbol val="none"/>
          </c:marker>
          <c:dLbls>
            <c:delete val="1"/>
          </c:dLbls>
          <c:trendline>
            <c:spPr>
              <a:ln w="19050" cap="rnd">
                <a:solidFill>
                  <a:schemeClr val="accent1"/>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'9月直播平台数据(视频号）'!$B$26:$B$41</c:f>
              <c:numCache>
                <c:formatCode>\¥#,##0.00;[Red]\¥\-#,##0.00</c:formatCode>
                <c:ptCount val="16"/>
                <c:pt idx="0">
                  <c:v>15929.71</c:v>
                </c:pt>
                <c:pt idx="1" c:formatCode="\¥#,##0;[Red]\¥\-#,##0">
                  <c:v>5382</c:v>
                </c:pt>
                <c:pt idx="2">
                  <c:v>9594.6</c:v>
                </c:pt>
                <c:pt idx="3" c:formatCode="\¥#,##0;[Red]\¥\-#,##0">
                  <c:v>2830</c:v>
                </c:pt>
                <c:pt idx="4">
                  <c:v>12530.65</c:v>
                </c:pt>
                <c:pt idx="5">
                  <c:v>19456.2</c:v>
                </c:pt>
                <c:pt idx="6">
                  <c:v>8158.7</c:v>
                </c:pt>
                <c:pt idx="7">
                  <c:v>16744</c:v>
                </c:pt>
                <c:pt idx="8" c:formatCode="&quot;￥&quot;#,##0;[Red]&quot;￥&quot;\-#,##0">
                  <c:v>2212</c:v>
                </c:pt>
                <c:pt idx="9" c:formatCode="&quot;￥&quot;#,##0.00;[Red]&quot;￥&quot;\-#,##0.00">
                  <c:v>4030.8</c:v>
                </c:pt>
                <c:pt idx="10" c:formatCode="&quot;￥&quot;#,##0.00;[Red]&quot;￥&quot;\-#,##0.00">
                  <c:v>13762.92</c:v>
                </c:pt>
                <c:pt idx="11" c:formatCode="&quot;￥&quot;#,##0.00;[Red]&quot;￥&quot;\-#,##0.00">
                  <c:v>8944.04</c:v>
                </c:pt>
                <c:pt idx="12" c:formatCode="&quot;￥&quot;#,##0.00;[Red]&quot;￥&quot;\-#,##0.00">
                  <c:v>5548.9</c:v>
                </c:pt>
                <c:pt idx="13" c:formatCode="&quot;￥&quot;#,##0.00;[Red]&quot;￥&quot;\-#,##0.00">
                  <c:v>7893.8</c:v>
                </c:pt>
              </c:numCache>
            </c:numRef>
          </c:val>
          <c:smooth val="0"/>
        </c:ser>
        <c:dLbls>
          <c:showLegendKey val="0"/>
          <c:showVal val="0"/>
          <c:showCatName val="0"/>
          <c:showSerName val="0"/>
          <c:showPercent val="0"/>
          <c:showBubbleSize val="0"/>
        </c:dLbls>
        <c:marker val="0"/>
        <c:smooth val="0"/>
        <c:axId val="611005240"/>
        <c:axId val="611001720"/>
      </c:lineChart>
      <c:dateAx>
        <c:axId val="6110052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11001720"/>
        <c:crosses val="autoZero"/>
        <c:auto val="1"/>
        <c:lblOffset val="100"/>
        <c:baseTimeUnit val="days"/>
      </c:dateAx>
      <c:valAx>
        <c:axId val="611001720"/>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110052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订单笔数</a:t>
            </a:r>
            <a:r>
              <a:rPr lang="en-US" altLang="zh-CN"/>
              <a:t>|</a:t>
            </a:r>
            <a:r>
              <a:rPr lang="zh-CN" altLang="en-US"/>
              <a:t>下单人数</a:t>
            </a:r>
            <a:endParaRPr lang="zh-CN" altLang="en-US"/>
          </a:p>
        </c:rich>
      </c:tx>
      <c:layout/>
      <c:overlay val="0"/>
      <c:spPr>
        <a:noFill/>
        <a:ln>
          <a:noFill/>
        </a:ln>
        <a:effectLst/>
      </c:spPr>
    </c:title>
    <c:autoTitleDeleted val="0"/>
    <c:plotArea>
      <c:layout/>
      <c:lineChart>
        <c:grouping val="standard"/>
        <c:varyColors val="0"/>
        <c:ser>
          <c:idx val="1"/>
          <c:order val="0"/>
          <c:tx>
            <c:strRef>
              <c:f>'9月直播平台数据(视频号）'!$C$25</c:f>
              <c:strCache>
                <c:ptCount val="1"/>
                <c:pt idx="0">
                  <c:v>订单笔数</c:v>
                </c:pt>
              </c:strCache>
            </c:strRef>
          </c:tx>
          <c:spPr>
            <a:ln w="28575" cap="rnd">
              <a:solidFill>
                <a:schemeClr val="accent2"/>
              </a:solidFill>
              <a:round/>
            </a:ln>
            <a:effectLst/>
          </c:spPr>
          <c:marker>
            <c:symbol val="none"/>
          </c:marker>
          <c:dLbls>
            <c:delete val="1"/>
          </c:dLbls>
          <c:trendline>
            <c:spPr>
              <a:ln w="19050" cap="rnd">
                <a:solidFill>
                  <a:schemeClr val="accent2"/>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'9月直播平台数据(视频号）'!$C$26:$C$41</c:f>
              <c:numCache>
                <c:formatCode>General</c:formatCode>
                <c:ptCount val="16"/>
                <c:pt idx="0">
                  <c:v>222</c:v>
                </c:pt>
                <c:pt idx="1">
                  <c:v>83</c:v>
                </c:pt>
                <c:pt idx="2">
                  <c:v>73</c:v>
                </c:pt>
                <c:pt idx="3">
                  <c:v>30</c:v>
                </c:pt>
                <c:pt idx="4">
                  <c:v>67</c:v>
                </c:pt>
                <c:pt idx="5">
                  <c:v>89</c:v>
                </c:pt>
                <c:pt idx="6">
                  <c:v>43</c:v>
                </c:pt>
                <c:pt idx="7">
                  <c:v>65</c:v>
                </c:pt>
                <c:pt idx="8">
                  <c:v>17</c:v>
                </c:pt>
                <c:pt idx="9">
                  <c:v>12</c:v>
                </c:pt>
                <c:pt idx="10">
                  <c:v>59</c:v>
                </c:pt>
                <c:pt idx="11">
                  <c:v>49</c:v>
                </c:pt>
                <c:pt idx="12">
                  <c:v>18</c:v>
                </c:pt>
                <c:pt idx="13">
                  <c:v>130</c:v>
                </c:pt>
              </c:numCache>
            </c:numRef>
          </c:val>
          <c:smooth val="0"/>
        </c:ser>
        <c:ser>
          <c:idx val="2"/>
          <c:order val="1"/>
          <c:tx>
            <c:strRef>
              <c:f>'9月直播平台数据(视频号）'!$D$25</c:f>
              <c:strCache>
                <c:ptCount val="1"/>
                <c:pt idx="0">
                  <c:v>下单人数</c:v>
                </c:pt>
              </c:strCache>
            </c:strRef>
          </c:tx>
          <c:spPr>
            <a:ln w="28575" cap="rnd">
              <a:solidFill>
                <a:schemeClr val="accent3"/>
              </a:solidFill>
              <a:round/>
            </a:ln>
            <a:effectLst/>
          </c:spPr>
          <c:marker>
            <c:symbol val="none"/>
          </c:marker>
          <c:dLbls>
            <c:delete val="1"/>
          </c:dLbls>
          <c:trendline>
            <c:spPr>
              <a:ln w="19050" cap="rnd">
                <a:solidFill>
                  <a:schemeClr val="accent3"/>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'9月直播平台数据(视频号）'!$D$26:$D$41</c:f>
              <c:numCache>
                <c:formatCode>General</c:formatCode>
                <c:ptCount val="16"/>
                <c:pt idx="0">
                  <c:v>132</c:v>
                </c:pt>
                <c:pt idx="1">
                  <c:v>55</c:v>
                </c:pt>
                <c:pt idx="2">
                  <c:v>40</c:v>
                </c:pt>
                <c:pt idx="3">
                  <c:v>21</c:v>
                </c:pt>
                <c:pt idx="4">
                  <c:v>49</c:v>
                </c:pt>
                <c:pt idx="5">
                  <c:v>63</c:v>
                </c:pt>
                <c:pt idx="6">
                  <c:v>37</c:v>
                </c:pt>
                <c:pt idx="7">
                  <c:v>35</c:v>
                </c:pt>
                <c:pt idx="8">
                  <c:v>15</c:v>
                </c:pt>
                <c:pt idx="9">
                  <c:v>10</c:v>
                </c:pt>
                <c:pt idx="10">
                  <c:v>47</c:v>
                </c:pt>
                <c:pt idx="11">
                  <c:v>27</c:v>
                </c:pt>
                <c:pt idx="12">
                  <c:v>15</c:v>
                </c:pt>
                <c:pt idx="13">
                  <c:v>84</c:v>
                </c:pt>
              </c:numCache>
            </c:numRef>
          </c:val>
          <c:smooth val="0"/>
        </c:ser>
        <c:dLbls>
          <c:showLegendKey val="0"/>
          <c:showVal val="0"/>
          <c:showCatName val="0"/>
          <c:showSerName val="0"/>
          <c:showPercent val="0"/>
          <c:showBubbleSize val="0"/>
        </c:dLbls>
        <c:marker val="0"/>
        <c:smooth val="0"/>
        <c:axId val="646669768"/>
        <c:axId val="646670088"/>
      </c:lineChart>
      <c:dateAx>
        <c:axId val="64666976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6670088"/>
        <c:crosses val="autoZero"/>
        <c:auto val="1"/>
        <c:lblOffset val="100"/>
        <c:baseTimeUnit val="days"/>
      </c:dateAx>
      <c:valAx>
        <c:axId val="646670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66697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下单转化率</a:t>
            </a:r>
            <a:r>
              <a:rPr lang="en-US" altLang="zh-CN"/>
              <a:t>|</a:t>
            </a:r>
            <a:r>
              <a:rPr lang="zh-CN" altLang="en-US"/>
              <a:t>新增关注率</a:t>
            </a:r>
            <a:endParaRPr lang="zh-CN" altLang="en-US"/>
          </a:p>
        </c:rich>
      </c:tx>
      <c:layout/>
      <c:overlay val="0"/>
      <c:spPr>
        <a:noFill/>
        <a:ln>
          <a:noFill/>
        </a:ln>
        <a:effectLst/>
      </c:spPr>
    </c:title>
    <c:autoTitleDeleted val="0"/>
    <c:plotArea>
      <c:layout/>
      <c:lineChart>
        <c:grouping val="standard"/>
        <c:varyColors val="0"/>
        <c:ser>
          <c:idx val="3"/>
          <c:order val="0"/>
          <c:tx>
            <c:strRef>
              <c:f>'9月直播平台数据(视频号）'!$E$25</c:f>
              <c:strCache>
                <c:ptCount val="1"/>
                <c:pt idx="0">
                  <c:v>下单转化率</c:v>
                </c:pt>
              </c:strCache>
            </c:strRef>
          </c:tx>
          <c:spPr>
            <a:ln w="28575" cap="rnd">
              <a:solidFill>
                <a:schemeClr val="accent4"/>
              </a:solidFill>
              <a:round/>
            </a:ln>
            <a:effectLst/>
          </c:spPr>
          <c:marker>
            <c:symbol val="none"/>
          </c:marker>
          <c:dLbls>
            <c:delete val="1"/>
          </c:dLbls>
          <c:trendline>
            <c:spPr>
              <a:ln w="19050" cap="rnd">
                <a:solidFill>
                  <a:schemeClr val="accent4"/>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'9月直播平台数据(视频号）'!$E$26:$E$41</c:f>
              <c:numCache>
                <c:formatCode>0.00%</c:formatCode>
                <c:ptCount val="16"/>
                <c:pt idx="0">
                  <c:v>0.0285961871750433</c:v>
                </c:pt>
                <c:pt idx="1">
                  <c:v>0.0317919075144509</c:v>
                </c:pt>
                <c:pt idx="2">
                  <c:v>0.0115506786023679</c:v>
                </c:pt>
                <c:pt idx="3">
                  <c:v>0.0151405912040375</c:v>
                </c:pt>
                <c:pt idx="4">
                  <c:v>0.0173206079886886</c:v>
                </c:pt>
                <c:pt idx="5">
                  <c:v>0.0114089098152843</c:v>
                </c:pt>
                <c:pt idx="6">
                  <c:v>0.00899368011667477</c:v>
                </c:pt>
                <c:pt idx="7">
                  <c:v>0.00907441016333938</c:v>
                </c:pt>
                <c:pt idx="8">
                  <c:v>0.00548847420417124</c:v>
                </c:pt>
                <c:pt idx="9">
                  <c:v>0.00385653682992673</c:v>
                </c:pt>
                <c:pt idx="10">
                  <c:v>0.00978758850478967</c:v>
                </c:pt>
                <c:pt idx="11">
                  <c:v>0.0101085735679521</c:v>
                </c:pt>
                <c:pt idx="12">
                  <c:v>0.00772399588053553</c:v>
                </c:pt>
                <c:pt idx="13">
                  <c:v>0.0122627737226277</c:v>
                </c:pt>
                <c:pt idx="14">
                  <c:v>0</c:v>
                </c:pt>
                <c:pt idx="15">
                  <c:v>0</c:v>
                </c:pt>
              </c:numCache>
            </c:numRef>
          </c:val>
          <c:smooth val="0"/>
        </c:ser>
        <c:ser>
          <c:idx val="4"/>
          <c:order val="1"/>
          <c:tx>
            <c:strRef>
              <c:f>'9月直播平台数据(视频号）'!$L$25</c:f>
              <c:strCache>
                <c:ptCount val="1"/>
                <c:pt idx="0">
                  <c:v>新增关注率</c:v>
                </c:pt>
              </c:strCache>
            </c:strRef>
          </c:tx>
          <c:spPr>
            <a:ln w="28575" cap="rnd">
              <a:solidFill>
                <a:schemeClr val="accent5"/>
              </a:solidFill>
              <a:round/>
            </a:ln>
            <a:effectLst/>
          </c:spPr>
          <c:marker>
            <c:symbol val="none"/>
          </c:marker>
          <c:dLbls>
            <c:delete val="1"/>
          </c:dLbls>
          <c:trendline>
            <c:spPr>
              <a:ln w="19050" cap="rnd">
                <a:solidFill>
                  <a:schemeClr val="accent5"/>
                </a:solidFill>
                <a:prstDash val="sysDot"/>
              </a:ln>
              <a:effectLst/>
            </c:spPr>
            <c:trendlineType val="linear"/>
            <c:dispRSqr val="0"/>
            <c:dispEq val="0"/>
          </c:trendline>
          <c:trendline>
            <c:spPr>
              <a:ln w="19050" cap="rnd">
                <a:solidFill>
                  <a:schemeClr val="accent5"/>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'9月直播平台数据(视频号）'!$L$26:$L$41</c:f>
              <c:numCache>
                <c:formatCode>0.00%</c:formatCode>
                <c:ptCount val="16"/>
                <c:pt idx="0">
                  <c:v>0.0457105719237435</c:v>
                </c:pt>
                <c:pt idx="1">
                  <c:v>0.0416184971098266</c:v>
                </c:pt>
                <c:pt idx="2">
                  <c:v>0.0228125902396766</c:v>
                </c:pt>
                <c:pt idx="3">
                  <c:v>0.0324441240086518</c:v>
                </c:pt>
                <c:pt idx="4">
                  <c:v>0.0296924708377519</c:v>
                </c:pt>
                <c:pt idx="5">
                  <c:v>0.0329590727997102</c:v>
                </c:pt>
                <c:pt idx="6">
                  <c:v>0.0206611570247934</c:v>
                </c:pt>
                <c:pt idx="7">
                  <c:v>0.023074928701063</c:v>
                </c:pt>
                <c:pt idx="8">
                  <c:v>0.0153677277716795</c:v>
                </c:pt>
                <c:pt idx="9">
                  <c:v>0.0250674893945237</c:v>
                </c:pt>
                <c:pt idx="10">
                  <c:v>0.0374843815077051</c:v>
                </c:pt>
                <c:pt idx="11">
                  <c:v>0.0370647697491576</c:v>
                </c:pt>
                <c:pt idx="12">
                  <c:v>0.0262615859938208</c:v>
                </c:pt>
                <c:pt idx="13">
                  <c:v>0.0112408759124088</c:v>
                </c:pt>
                <c:pt idx="14">
                  <c:v>0</c:v>
                </c:pt>
                <c:pt idx="15">
                  <c:v>0</c:v>
                </c:pt>
              </c:numCache>
            </c:numRef>
          </c:val>
          <c:smooth val="0"/>
        </c:ser>
        <c:dLbls>
          <c:showLegendKey val="0"/>
          <c:showVal val="0"/>
          <c:showCatName val="0"/>
          <c:showSerName val="0"/>
          <c:showPercent val="0"/>
          <c:showBubbleSize val="0"/>
        </c:dLbls>
        <c:marker val="0"/>
        <c:smooth val="0"/>
        <c:axId val="611039480"/>
        <c:axId val="611039800"/>
      </c:lineChart>
      <c:dateAx>
        <c:axId val="61103948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11039800"/>
        <c:crosses val="autoZero"/>
        <c:auto val="1"/>
        <c:lblOffset val="100"/>
        <c:baseTimeUnit val="days"/>
      </c:dateAx>
      <c:valAx>
        <c:axId val="611039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1103948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观看人数</a:t>
            </a:r>
            <a:r>
              <a:rPr lang="en-US" altLang="zh-CN"/>
              <a:t>|</a:t>
            </a:r>
            <a:r>
              <a:rPr lang="zh-CN" altLang="en-US"/>
              <a:t>观看次数</a:t>
            </a:r>
            <a:endParaRPr lang="zh-CN" altLang="en-US"/>
          </a:p>
        </c:rich>
      </c:tx>
      <c:layout/>
      <c:overlay val="0"/>
      <c:spPr>
        <a:noFill/>
        <a:ln>
          <a:noFill/>
        </a:ln>
        <a:effectLst/>
      </c:spPr>
    </c:title>
    <c:autoTitleDeleted val="0"/>
    <c:plotArea>
      <c:layout/>
      <c:lineChart>
        <c:grouping val="standard"/>
        <c:varyColors val="0"/>
        <c:ser>
          <c:idx val="4"/>
          <c:order val="0"/>
          <c:tx>
            <c:strRef>
              <c:f>'9月直播平台数据(视频号）'!$F$25</c:f>
              <c:strCache>
                <c:ptCount val="1"/>
                <c:pt idx="0">
                  <c:v>观看人数</c:v>
                </c:pt>
              </c:strCache>
            </c:strRef>
          </c:tx>
          <c:spPr>
            <a:ln w="28575" cap="rnd">
              <a:solidFill>
                <a:schemeClr val="accent5"/>
              </a:solidFill>
              <a:round/>
            </a:ln>
            <a:effectLst/>
          </c:spPr>
          <c:marker>
            <c:symbol val="none"/>
          </c:marker>
          <c:dLbls>
            <c:delete val="1"/>
          </c:dLbls>
          <c:trendline>
            <c:spPr>
              <a:ln w="19050" cap="rnd">
                <a:solidFill>
                  <a:schemeClr val="accent5"/>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'9月直播平台数据(视频号）'!$F$26:$F$41</c:f>
              <c:numCache>
                <c:formatCode>General</c:formatCode>
                <c:ptCount val="16"/>
                <c:pt idx="0">
                  <c:v>4616</c:v>
                </c:pt>
                <c:pt idx="1">
                  <c:v>1730</c:v>
                </c:pt>
                <c:pt idx="2">
                  <c:v>3463</c:v>
                </c:pt>
                <c:pt idx="3">
                  <c:v>1387</c:v>
                </c:pt>
                <c:pt idx="4">
                  <c:v>2829</c:v>
                </c:pt>
                <c:pt idx="5">
                  <c:v>5522</c:v>
                </c:pt>
                <c:pt idx="6">
                  <c:v>4114</c:v>
                </c:pt>
                <c:pt idx="7">
                  <c:v>3857</c:v>
                </c:pt>
                <c:pt idx="8">
                  <c:v>2733</c:v>
                </c:pt>
                <c:pt idx="9">
                  <c:v>2593</c:v>
                </c:pt>
                <c:pt idx="10">
                  <c:v>4802</c:v>
                </c:pt>
                <c:pt idx="11">
                  <c:v>2671</c:v>
                </c:pt>
                <c:pt idx="12">
                  <c:v>1942</c:v>
                </c:pt>
                <c:pt idx="13">
                  <c:v>6850</c:v>
                </c:pt>
              </c:numCache>
            </c:numRef>
          </c:val>
          <c:smooth val="0"/>
        </c:ser>
        <c:ser>
          <c:idx val="5"/>
          <c:order val="1"/>
          <c:tx>
            <c:strRef>
              <c:f>'9月直播平台数据(视频号）'!$G$25</c:f>
              <c:strCache>
                <c:ptCount val="1"/>
                <c:pt idx="0">
                  <c:v>观看次数</c:v>
                </c:pt>
              </c:strCache>
            </c:strRef>
          </c:tx>
          <c:spPr>
            <a:ln w="28575" cap="rnd">
              <a:solidFill>
                <a:schemeClr val="accent6"/>
              </a:solidFill>
              <a:round/>
            </a:ln>
            <a:effectLst/>
          </c:spPr>
          <c:marker>
            <c:symbol val="none"/>
          </c:marker>
          <c:dLbls>
            <c:delete val="1"/>
          </c:dLbls>
          <c:trendline>
            <c:spPr>
              <a:ln w="19050" cap="rnd">
                <a:solidFill>
                  <a:schemeClr val="accent6"/>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'9月直播平台数据(视频号）'!$G$26:$G$41</c:f>
              <c:numCache>
                <c:formatCode>General</c:formatCode>
                <c:ptCount val="16"/>
                <c:pt idx="0">
                  <c:v>6277</c:v>
                </c:pt>
                <c:pt idx="1">
                  <c:v>2471</c:v>
                </c:pt>
                <c:pt idx="2">
                  <c:v>4457</c:v>
                </c:pt>
                <c:pt idx="3">
                  <c:v>2166</c:v>
                </c:pt>
                <c:pt idx="4">
                  <c:v>3859</c:v>
                </c:pt>
                <c:pt idx="5">
                  <c:v>7216</c:v>
                </c:pt>
                <c:pt idx="6">
                  <c:v>5235</c:v>
                </c:pt>
                <c:pt idx="7">
                  <c:v>5138</c:v>
                </c:pt>
                <c:pt idx="8">
                  <c:v>3503</c:v>
                </c:pt>
                <c:pt idx="9">
                  <c:v>3443</c:v>
                </c:pt>
                <c:pt idx="10">
                  <c:v>6459</c:v>
                </c:pt>
                <c:pt idx="11">
                  <c:v>3692</c:v>
                </c:pt>
                <c:pt idx="12">
                  <c:v>2714</c:v>
                </c:pt>
                <c:pt idx="13">
                  <c:v>8879</c:v>
                </c:pt>
              </c:numCache>
            </c:numRef>
          </c:val>
          <c:smooth val="0"/>
        </c:ser>
        <c:dLbls>
          <c:showLegendKey val="0"/>
          <c:showVal val="0"/>
          <c:showCatName val="0"/>
          <c:showSerName val="0"/>
          <c:showPercent val="0"/>
          <c:showBubbleSize val="0"/>
        </c:dLbls>
        <c:marker val="0"/>
        <c:smooth val="0"/>
        <c:axId val="548079248"/>
        <c:axId val="548081808"/>
      </c:lineChart>
      <c:dateAx>
        <c:axId val="5480792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48081808"/>
        <c:crosses val="autoZero"/>
        <c:auto val="1"/>
        <c:lblOffset val="100"/>
        <c:baseTimeUnit val="days"/>
      </c:dateAx>
      <c:valAx>
        <c:axId val="54808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480792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新增关注</a:t>
            </a:r>
            <a:r>
              <a:rPr lang="en-US" altLang="zh-CN"/>
              <a:t>|</a:t>
            </a:r>
            <a:r>
              <a:rPr lang="zh-CN" altLang="en-US"/>
              <a:t>最高在线</a:t>
            </a:r>
            <a:endParaRPr lang="zh-CN" altLang="en-US"/>
          </a:p>
        </c:rich>
      </c:tx>
      <c:layout/>
      <c:overlay val="0"/>
      <c:spPr>
        <a:noFill/>
        <a:ln>
          <a:noFill/>
        </a:ln>
        <a:effectLst/>
      </c:spPr>
    </c:title>
    <c:autoTitleDeleted val="0"/>
    <c:plotArea>
      <c:layout/>
      <c:lineChart>
        <c:grouping val="standard"/>
        <c:varyColors val="0"/>
        <c:ser>
          <c:idx val="8"/>
          <c:order val="0"/>
          <c:tx>
            <c:strRef>
              <c:f>'9月直播平台数据(视频号）'!$K$25</c:f>
              <c:strCache>
                <c:ptCount val="1"/>
                <c:pt idx="0">
                  <c:v>新增关注</c:v>
                </c:pt>
              </c:strCache>
            </c:strRef>
          </c:tx>
          <c:spPr>
            <a:ln w="28575" cap="rnd">
              <a:solidFill>
                <a:schemeClr val="accent3">
                  <a:lumMod val="60000"/>
                </a:schemeClr>
              </a:solidFill>
              <a:round/>
            </a:ln>
            <a:effectLst/>
          </c:spPr>
          <c:marker>
            <c:symbol val="none"/>
          </c:marker>
          <c:dLbls>
            <c:delete val="1"/>
          </c:dLbls>
          <c:trendline>
            <c:spPr>
              <a:ln w="19050" cap="rnd">
                <a:solidFill>
                  <a:schemeClr val="accent3">
                    <a:lumMod val="60000"/>
                  </a:schemeClr>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'9月直播平台数据(视频号）'!$K$26:$K$41</c:f>
              <c:numCache>
                <c:formatCode>General</c:formatCode>
                <c:ptCount val="16"/>
                <c:pt idx="0">
                  <c:v>211</c:v>
                </c:pt>
                <c:pt idx="1">
                  <c:v>72</c:v>
                </c:pt>
                <c:pt idx="2">
                  <c:v>79</c:v>
                </c:pt>
                <c:pt idx="3">
                  <c:v>45</c:v>
                </c:pt>
                <c:pt idx="4">
                  <c:v>84</c:v>
                </c:pt>
                <c:pt idx="5">
                  <c:v>182</c:v>
                </c:pt>
                <c:pt idx="6">
                  <c:v>85</c:v>
                </c:pt>
                <c:pt idx="7">
                  <c:v>89</c:v>
                </c:pt>
                <c:pt idx="8">
                  <c:v>42</c:v>
                </c:pt>
                <c:pt idx="9">
                  <c:v>65</c:v>
                </c:pt>
                <c:pt idx="10">
                  <c:v>180</c:v>
                </c:pt>
                <c:pt idx="11">
                  <c:v>99</c:v>
                </c:pt>
                <c:pt idx="12">
                  <c:v>51</c:v>
                </c:pt>
                <c:pt idx="13">
                  <c:v>77</c:v>
                </c:pt>
              </c:numCache>
            </c:numRef>
          </c:val>
          <c:smooth val="0"/>
        </c:ser>
        <c:ser>
          <c:idx val="10"/>
          <c:order val="1"/>
          <c:tx>
            <c:strRef>
              <c:f>'9月直播平台数据(视频号）'!$H$25</c:f>
              <c:strCache>
                <c:ptCount val="1"/>
                <c:pt idx="0">
                  <c:v>最高在线</c:v>
                </c:pt>
              </c:strCache>
            </c:strRef>
          </c:tx>
          <c:spPr>
            <a:ln w="28575" cap="rnd">
              <a:solidFill>
                <a:schemeClr val="accent5">
                  <a:lumMod val="60000"/>
                </a:schemeClr>
              </a:solidFill>
              <a:round/>
            </a:ln>
            <a:effectLst/>
          </c:spPr>
          <c:marker>
            <c:symbol val="none"/>
          </c:marker>
          <c:dLbls>
            <c:delete val="1"/>
          </c:dLbls>
          <c:trendline>
            <c:spPr>
              <a:ln w="19050" cap="rnd">
                <a:solidFill>
                  <a:schemeClr val="accent5">
                    <a:lumMod val="60000"/>
                  </a:schemeClr>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'9月直播平台数据(视频号）'!$H$26:$H$41</c:f>
              <c:numCache>
                <c:formatCode>General</c:formatCode>
                <c:ptCount val="16"/>
                <c:pt idx="0">
                  <c:v>127</c:v>
                </c:pt>
                <c:pt idx="1">
                  <c:v>57</c:v>
                </c:pt>
                <c:pt idx="2">
                  <c:v>60</c:v>
                </c:pt>
                <c:pt idx="3">
                  <c:v>83</c:v>
                </c:pt>
                <c:pt idx="4">
                  <c:v>54</c:v>
                </c:pt>
                <c:pt idx="5">
                  <c:v>122</c:v>
                </c:pt>
                <c:pt idx="6">
                  <c:v>68</c:v>
                </c:pt>
                <c:pt idx="7">
                  <c:v>59</c:v>
                </c:pt>
                <c:pt idx="8">
                  <c:v>68</c:v>
                </c:pt>
                <c:pt idx="9">
                  <c:v>55</c:v>
                </c:pt>
                <c:pt idx="10">
                  <c:v>115</c:v>
                </c:pt>
                <c:pt idx="11">
                  <c:v>56</c:v>
                </c:pt>
                <c:pt idx="12">
                  <c:v>52</c:v>
                </c:pt>
                <c:pt idx="13">
                  <c:v>117</c:v>
                </c:pt>
              </c:numCache>
            </c:numRef>
          </c:val>
          <c:smooth val="0"/>
        </c:ser>
        <c:dLbls>
          <c:showLegendKey val="0"/>
          <c:showVal val="0"/>
          <c:showCatName val="0"/>
          <c:showSerName val="0"/>
          <c:showPercent val="0"/>
          <c:showBubbleSize val="0"/>
        </c:dLbls>
        <c:marker val="0"/>
        <c:smooth val="0"/>
        <c:axId val="641496136"/>
        <c:axId val="641494856"/>
      </c:lineChart>
      <c:dateAx>
        <c:axId val="6414961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1494856"/>
        <c:crosses val="autoZero"/>
        <c:auto val="1"/>
        <c:lblOffset val="100"/>
        <c:baseTimeUnit val="days"/>
      </c:dateAx>
      <c:valAx>
        <c:axId val="641494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14961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分享次数</a:t>
            </a:r>
            <a:r>
              <a:rPr lang="en-US" altLang="zh-CN"/>
              <a:t>|</a:t>
            </a:r>
            <a:r>
              <a:rPr lang="zh-CN" altLang="en-US"/>
              <a:t>送礼人数</a:t>
            </a:r>
            <a:r>
              <a:rPr lang="en-US" altLang="zh-CN"/>
              <a:t>|</a:t>
            </a:r>
            <a:r>
              <a:rPr lang="zh-CN" altLang="en-US"/>
              <a:t>送礼次数</a:t>
            </a:r>
            <a:endParaRPr lang="zh-CN" altLang="en-US"/>
          </a:p>
        </c:rich>
      </c:tx>
      <c:layout/>
      <c:overlay val="0"/>
      <c:spPr>
        <a:noFill/>
        <a:ln>
          <a:noFill/>
        </a:ln>
        <a:effectLst/>
      </c:spPr>
    </c:title>
    <c:autoTitleDeleted val="0"/>
    <c:plotArea>
      <c:layout/>
      <c:lineChart>
        <c:grouping val="standard"/>
        <c:varyColors val="0"/>
        <c:ser>
          <c:idx val="9"/>
          <c:order val="0"/>
          <c:tx>
            <c:strRef>
              <c:f>'9月直播平台数据(视频号）'!$J$25</c:f>
              <c:strCache>
                <c:ptCount val="1"/>
                <c:pt idx="0">
                  <c:v>分享次数</c:v>
                </c:pt>
              </c:strCache>
            </c:strRef>
          </c:tx>
          <c:spPr>
            <a:ln w="28575" cap="rnd">
              <a:solidFill>
                <a:schemeClr val="accent4">
                  <a:lumMod val="60000"/>
                </a:schemeClr>
              </a:solidFill>
              <a:round/>
            </a:ln>
            <a:effectLst/>
          </c:spPr>
          <c:marker>
            <c:symbol val="none"/>
          </c:marker>
          <c:dLbls>
            <c:delete val="1"/>
          </c:dLbls>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'9月直播平台数据(视频号）'!$J$26:$J$41</c:f>
              <c:numCache>
                <c:formatCode>General</c:formatCode>
                <c:ptCount val="16"/>
                <c:pt idx="0">
                  <c:v>95</c:v>
                </c:pt>
                <c:pt idx="1">
                  <c:v>42</c:v>
                </c:pt>
                <c:pt idx="2">
                  <c:v>54</c:v>
                </c:pt>
                <c:pt idx="3">
                  <c:v>55</c:v>
                </c:pt>
                <c:pt idx="4">
                  <c:v>57</c:v>
                </c:pt>
                <c:pt idx="5">
                  <c:v>79</c:v>
                </c:pt>
                <c:pt idx="6">
                  <c:v>51</c:v>
                </c:pt>
                <c:pt idx="7">
                  <c:v>54</c:v>
                </c:pt>
                <c:pt idx="8">
                  <c:v>22</c:v>
                </c:pt>
                <c:pt idx="9">
                  <c:v>18</c:v>
                </c:pt>
                <c:pt idx="10">
                  <c:v>60</c:v>
                </c:pt>
                <c:pt idx="11">
                  <c:v>41</c:v>
                </c:pt>
                <c:pt idx="12">
                  <c:v>27</c:v>
                </c:pt>
                <c:pt idx="13">
                  <c:v>65</c:v>
                </c:pt>
              </c:numCache>
            </c:numRef>
          </c:val>
          <c:smooth val="0"/>
        </c:ser>
        <c:ser>
          <c:idx val="10"/>
          <c:order val="1"/>
          <c:tx>
            <c:strRef>
              <c:f>'9月直播平台数据(视频号）'!$M$25</c:f>
              <c:strCache>
                <c:ptCount val="1"/>
                <c:pt idx="0">
                  <c:v>送礼人数</c:v>
                </c:pt>
              </c:strCache>
            </c:strRef>
          </c:tx>
          <c:spPr>
            <a:ln w="28575" cap="rnd">
              <a:solidFill>
                <a:schemeClr val="accent5">
                  <a:lumMod val="60000"/>
                </a:schemeClr>
              </a:solidFill>
              <a:round/>
            </a:ln>
            <a:effectLst/>
          </c:spPr>
          <c:marker>
            <c:symbol val="none"/>
          </c:marker>
          <c:dLbls>
            <c:delete val="1"/>
          </c:dLbls>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'9月直播平台数据(视频号）'!$M$26:$M$41</c:f>
              <c:numCache>
                <c:formatCode>General</c:formatCode>
                <c:ptCount val="16"/>
                <c:pt idx="0">
                  <c:v>42</c:v>
                </c:pt>
                <c:pt idx="1">
                  <c:v>6</c:v>
                </c:pt>
                <c:pt idx="2">
                  <c:v>10</c:v>
                </c:pt>
                <c:pt idx="3">
                  <c:v>20</c:v>
                </c:pt>
                <c:pt idx="4">
                  <c:v>17</c:v>
                </c:pt>
                <c:pt idx="5">
                  <c:v>26</c:v>
                </c:pt>
                <c:pt idx="6">
                  <c:v>26</c:v>
                </c:pt>
                <c:pt idx="7">
                  <c:v>15</c:v>
                </c:pt>
                <c:pt idx="8">
                  <c:v>3</c:v>
                </c:pt>
                <c:pt idx="9">
                  <c:v>6</c:v>
                </c:pt>
                <c:pt idx="10">
                  <c:v>23</c:v>
                </c:pt>
                <c:pt idx="11">
                  <c:v>13</c:v>
                </c:pt>
                <c:pt idx="12">
                  <c:v>6</c:v>
                </c:pt>
                <c:pt idx="13">
                  <c:v>11</c:v>
                </c:pt>
              </c:numCache>
            </c:numRef>
          </c:val>
          <c:smooth val="0"/>
        </c:ser>
        <c:ser>
          <c:idx val="11"/>
          <c:order val="2"/>
          <c:tx>
            <c:strRef>
              <c:f>'9月直播平台数据(视频号）'!$N$25</c:f>
              <c:strCache>
                <c:ptCount val="1"/>
                <c:pt idx="0">
                  <c:v>送礼次数</c:v>
                </c:pt>
              </c:strCache>
            </c:strRef>
          </c:tx>
          <c:spPr>
            <a:ln w="28575" cap="rnd">
              <a:solidFill>
                <a:schemeClr val="accent6">
                  <a:lumMod val="60000"/>
                </a:schemeClr>
              </a:solidFill>
              <a:round/>
            </a:ln>
            <a:effectLst/>
          </c:spPr>
          <c:marker>
            <c:symbol val="none"/>
          </c:marker>
          <c:dLbls>
            <c:delete val="1"/>
          </c:dLbls>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'9月直播平台数据(视频号）'!$N$26:$N$41</c:f>
              <c:numCache>
                <c:formatCode>General</c:formatCode>
                <c:ptCount val="16"/>
                <c:pt idx="0">
                  <c:v>46</c:v>
                </c:pt>
                <c:pt idx="1">
                  <c:v>10</c:v>
                </c:pt>
                <c:pt idx="2">
                  <c:v>11</c:v>
                </c:pt>
                <c:pt idx="3">
                  <c:v>27</c:v>
                </c:pt>
                <c:pt idx="4">
                  <c:v>23</c:v>
                </c:pt>
                <c:pt idx="5">
                  <c:v>37</c:v>
                </c:pt>
                <c:pt idx="6">
                  <c:v>27</c:v>
                </c:pt>
                <c:pt idx="7">
                  <c:v>21</c:v>
                </c:pt>
                <c:pt idx="8">
                  <c:v>3</c:v>
                </c:pt>
                <c:pt idx="9">
                  <c:v>7</c:v>
                </c:pt>
                <c:pt idx="10">
                  <c:v>25</c:v>
                </c:pt>
                <c:pt idx="11">
                  <c:v>19</c:v>
                </c:pt>
                <c:pt idx="12">
                  <c:v>6</c:v>
                </c:pt>
                <c:pt idx="13">
                  <c:v>15</c:v>
                </c:pt>
              </c:numCache>
            </c:numRef>
          </c:val>
          <c:smooth val="0"/>
        </c:ser>
        <c:dLbls>
          <c:showLegendKey val="0"/>
          <c:showVal val="0"/>
          <c:showCatName val="0"/>
          <c:showSerName val="0"/>
          <c:showPercent val="0"/>
          <c:showBubbleSize val="0"/>
        </c:dLbls>
        <c:marker val="0"/>
        <c:smooth val="0"/>
        <c:axId val="533079504"/>
        <c:axId val="533081424"/>
      </c:lineChart>
      <c:dateAx>
        <c:axId val="53307950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33081424"/>
        <c:crosses val="autoZero"/>
        <c:auto val="1"/>
        <c:lblOffset val="100"/>
        <c:baseTimeUnit val="days"/>
      </c:dateAx>
      <c:valAx>
        <c:axId val="53308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3307950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lineChart>
        <c:grouping val="standard"/>
        <c:varyColors val="0"/>
        <c:ser>
          <c:idx val="12"/>
          <c:order val="0"/>
          <c:tx>
            <c:strRef>
              <c:f>'9月直播平台数据(视频号）'!$I$25</c:f>
              <c:strCache>
                <c:ptCount val="1"/>
                <c:pt idx="0">
                  <c:v>平均停留时长/秒</c:v>
                </c:pt>
              </c:strCache>
            </c:strRef>
          </c:tx>
          <c:spPr>
            <a:ln w="28575" cap="rnd">
              <a:solidFill>
                <a:schemeClr val="accent1">
                  <a:lumMod val="80000"/>
                  <a:lumOff val="20000"/>
                </a:schemeClr>
              </a:solidFill>
              <a:round/>
            </a:ln>
            <a:effectLst/>
          </c:spPr>
          <c:marker>
            <c:symbol val="none"/>
          </c:marker>
          <c:dLbls>
            <c:delete val="1"/>
          </c:dLbls>
          <c:trendline>
            <c:spPr>
              <a:ln w="19050" cap="rnd">
                <a:solidFill>
                  <a:schemeClr val="accent1">
                    <a:lumMod val="80000"/>
                    <a:lumOff val="20000"/>
                  </a:schemeClr>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'9月直播平台数据(视频号）'!$I$26:$I$41</c:f>
              <c:numCache>
                <c:formatCode>General</c:formatCode>
                <c:ptCount val="16"/>
                <c:pt idx="0">
                  <c:v>274</c:v>
                </c:pt>
                <c:pt idx="1">
                  <c:v>378</c:v>
                </c:pt>
                <c:pt idx="2">
                  <c:v>247</c:v>
                </c:pt>
                <c:pt idx="3">
                  <c:v>495</c:v>
                </c:pt>
                <c:pt idx="4">
                  <c:v>299</c:v>
                </c:pt>
                <c:pt idx="5">
                  <c:v>246</c:v>
                </c:pt>
                <c:pt idx="6">
                  <c:v>157</c:v>
                </c:pt>
                <c:pt idx="7">
                  <c:v>216</c:v>
                </c:pt>
                <c:pt idx="8">
                  <c:v>172</c:v>
                </c:pt>
                <c:pt idx="9">
                  <c:v>254</c:v>
                </c:pt>
                <c:pt idx="10">
                  <c:v>252</c:v>
                </c:pt>
                <c:pt idx="11">
                  <c:v>257</c:v>
                </c:pt>
                <c:pt idx="12">
                  <c:v>300</c:v>
                </c:pt>
                <c:pt idx="13">
                  <c:v>164</c:v>
                </c:pt>
              </c:numCache>
            </c:numRef>
          </c:val>
          <c:smooth val="0"/>
        </c:ser>
        <c:dLbls>
          <c:showLegendKey val="0"/>
          <c:showVal val="0"/>
          <c:showCatName val="0"/>
          <c:showSerName val="0"/>
          <c:showPercent val="0"/>
          <c:showBubbleSize val="0"/>
        </c:dLbls>
        <c:marker val="0"/>
        <c:smooth val="0"/>
        <c:axId val="101069480"/>
        <c:axId val="101069800"/>
      </c:lineChart>
      <c:dateAx>
        <c:axId val="10106948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1069800"/>
        <c:crosses val="autoZero"/>
        <c:auto val="1"/>
        <c:lblOffset val="100"/>
        <c:baseTimeUnit val="days"/>
      </c:dateAx>
      <c:valAx>
        <c:axId val="101069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106948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lineChart>
        <c:grouping val="standard"/>
        <c:varyColors val="0"/>
        <c:ser>
          <c:idx val="13"/>
          <c:order val="0"/>
          <c:tx>
            <c:strRef>
              <c:f>'9月直播平台数据(视频号）'!$O$25</c:f>
              <c:strCache>
                <c:ptCount val="1"/>
                <c:pt idx="0">
                  <c:v>客单价</c:v>
                </c:pt>
              </c:strCache>
            </c:strRef>
          </c:tx>
          <c:spPr>
            <a:ln w="28575" cap="rnd">
              <a:solidFill>
                <a:schemeClr val="accent2">
                  <a:lumMod val="80000"/>
                  <a:lumOff val="20000"/>
                </a:schemeClr>
              </a:solidFill>
              <a:round/>
            </a:ln>
            <a:effectLst/>
          </c:spPr>
          <c:marker>
            <c:symbol val="none"/>
          </c:marker>
          <c:dLbls>
            <c:delete val="1"/>
          </c:dLbls>
          <c:trendline>
            <c:spPr>
              <a:ln w="19050" cap="rnd">
                <a:solidFill>
                  <a:schemeClr val="accent2">
                    <a:lumMod val="80000"/>
                    <a:lumOff val="20000"/>
                  </a:schemeClr>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'9月直播平台数据(视频号）'!$O$26:$O$41</c:f>
              <c:numCache>
                <c:formatCode>\¥#,##0.00;[Red]\¥\-#,##0.00</c:formatCode>
                <c:ptCount val="16"/>
                <c:pt idx="0">
                  <c:v>120.679621212121</c:v>
                </c:pt>
                <c:pt idx="1">
                  <c:v>97.8545454545455</c:v>
                </c:pt>
                <c:pt idx="2">
                  <c:v>239.865</c:v>
                </c:pt>
                <c:pt idx="3">
                  <c:v>134.761904761905</c:v>
                </c:pt>
                <c:pt idx="4">
                  <c:v>255.727551020408</c:v>
                </c:pt>
                <c:pt idx="5">
                  <c:v>308.828571428571</c:v>
                </c:pt>
                <c:pt idx="6">
                  <c:v>220.505405405405</c:v>
                </c:pt>
                <c:pt idx="7">
                  <c:v>478.4</c:v>
                </c:pt>
                <c:pt idx="8">
                  <c:v>147.466666666667</c:v>
                </c:pt>
                <c:pt idx="9">
                  <c:v>403.08</c:v>
                </c:pt>
                <c:pt idx="10">
                  <c:v>292.828085106383</c:v>
                </c:pt>
                <c:pt idx="11">
                  <c:v>331.260740740741</c:v>
                </c:pt>
                <c:pt idx="12">
                  <c:v>369.926666666667</c:v>
                </c:pt>
                <c:pt idx="13">
                  <c:v>93.9738095238095</c:v>
                </c:pt>
                <c:pt idx="14">
                  <c:v>0</c:v>
                </c:pt>
                <c:pt idx="15">
                  <c:v>0</c:v>
                </c:pt>
              </c:numCache>
            </c:numRef>
          </c:val>
          <c:smooth val="0"/>
        </c:ser>
        <c:dLbls>
          <c:showLegendKey val="0"/>
          <c:showVal val="0"/>
          <c:showCatName val="0"/>
          <c:showSerName val="0"/>
          <c:showPercent val="0"/>
          <c:showBubbleSize val="0"/>
        </c:dLbls>
        <c:marker val="0"/>
        <c:smooth val="0"/>
        <c:axId val="641445896"/>
        <c:axId val="641447816"/>
      </c:lineChart>
      <c:dateAx>
        <c:axId val="64144589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1447816"/>
        <c:crosses val="autoZero"/>
        <c:auto val="1"/>
        <c:lblOffset val="100"/>
        <c:baseTimeUnit val="days"/>
      </c:dateAx>
      <c:valAx>
        <c:axId val="641447816"/>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14458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lineChart>
        <c:grouping val="standard"/>
        <c:varyColors val="0"/>
        <c:ser>
          <c:idx val="14"/>
          <c:order val="3"/>
          <c:tx>
            <c:strRef>
              <c:f>'9月直播平台数据(视频号）'!$P$25</c:f>
              <c:strCache>
                <c:ptCount val="1"/>
                <c:pt idx="0">
                  <c:v>场均UV值</c:v>
                </c:pt>
              </c:strCache>
            </c:strRef>
          </c:tx>
          <c:spPr>
            <a:ln w="28575" cap="rnd">
              <a:solidFill>
                <a:schemeClr val="accent3">
                  <a:lumMod val="80000"/>
                  <a:lumOff val="20000"/>
                </a:schemeClr>
              </a:solidFill>
              <a:round/>
            </a:ln>
            <a:effectLst/>
          </c:spPr>
          <c:marker>
            <c:symbol val="none"/>
          </c:marker>
          <c:dLbls>
            <c:delete val="1"/>
          </c:dLbls>
          <c:trendline>
            <c:spPr>
              <a:ln w="19050" cap="rnd">
                <a:solidFill>
                  <a:schemeClr val="accent3">
                    <a:lumMod val="80000"/>
                    <a:lumOff val="20000"/>
                  </a:schemeClr>
                </a:solidFill>
                <a:prstDash val="sysDot"/>
              </a:ln>
              <a:effectLst/>
            </c:spPr>
            <c:trendlineType val="linear"/>
            <c:dispRSqr val="0"/>
            <c:dispEq val="0"/>
          </c:trendline>
          <c:cat>
            <c:numRef>
              <c:f>'9月直播平台数据(视频号）'!$A$26:$A$41</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'9月直播平台数据(视频号）'!$P$26:$P$42</c:f>
              <c:numCache>
                <c:formatCode>0.00_ </c:formatCode>
                <c:ptCount val="17"/>
                <c:pt idx="0">
                  <c:v>3.45097703639515</c:v>
                </c:pt>
                <c:pt idx="1">
                  <c:v>3.11098265895954</c:v>
                </c:pt>
                <c:pt idx="2">
                  <c:v>2.77060352295697</c:v>
                </c:pt>
                <c:pt idx="3">
                  <c:v>2.04037490987743</c:v>
                </c:pt>
                <c:pt idx="4">
                  <c:v>4.42935666313185</c:v>
                </c:pt>
                <c:pt idx="5">
                  <c:v>3.52339731981166</c:v>
                </c:pt>
                <c:pt idx="6">
                  <c:v>1.9831550802139</c:v>
                </c:pt>
                <c:pt idx="7">
                  <c:v>4.34119782214156</c:v>
                </c:pt>
                <c:pt idx="8">
                  <c:v>0.809366995975119</c:v>
                </c:pt>
                <c:pt idx="9">
                  <c:v>1.55449286540686</c:v>
                </c:pt>
                <c:pt idx="10">
                  <c:v>2.86608079966681</c:v>
                </c:pt>
                <c:pt idx="11">
                  <c:v>3.34857356795208</c:v>
                </c:pt>
                <c:pt idx="12">
                  <c:v>2.85731204943357</c:v>
                </c:pt>
                <c:pt idx="13">
                  <c:v>1.1523795620438</c:v>
                </c:pt>
                <c:pt idx="14">
                  <c:v>0</c:v>
                </c:pt>
                <c:pt idx="15">
                  <c:v>0</c:v>
                </c:pt>
                <c:pt idx="16">
                  <c:v>2.63161868159036</c:v>
                </c:pt>
              </c:numCache>
            </c:numRef>
          </c:val>
          <c:smooth val="0"/>
        </c:ser>
        <c:dLbls>
          <c:showLegendKey val="0"/>
          <c:showVal val="0"/>
          <c:showCatName val="0"/>
          <c:showSerName val="0"/>
          <c:showPercent val="0"/>
          <c:showBubbleSize val="0"/>
        </c:dLbls>
        <c:marker val="0"/>
        <c:smooth val="0"/>
        <c:axId val="646675528"/>
        <c:axId val="646676168"/>
        <c:extLst>
          <c:ext xmlns:c15="http://schemas.microsoft.com/office/drawing/2012/chart" uri="{02D57815-91ED-43cb-92C2-25804820EDAC}">
            <c15:filteredLineSeries>
              <c15:ser>
                <c:idx val="3"/>
                <c:order val="0"/>
                <c:tx>
                  <c:strRef>
                    <c:extLst>
                      <c:ext uri="{02D57815-91ED-43cb-92C2-25804820EDAC}">
                        <c15:formulaRef>
                          <c15:sqref>'9月直播平台数据(视频号）'!$E$25</c15:sqref>
                        </c15:formulaRef>
                      </c:ext>
                    </c:extLst>
                    <c:strCache>
                      <c:ptCount val="1"/>
                      <c:pt idx="0">
                        <c:v>下单转化率</c:v>
                      </c:pt>
                    </c:strCache>
                  </c:strRef>
                </c:tx>
                <c:spPr>
                  <a:ln w="28575" cap="rnd">
                    <a:solidFill>
                      <a:schemeClr val="accent4"/>
                    </a:solidFill>
                    <a:round/>
                  </a:ln>
                  <a:effectLst/>
                </c:spPr>
                <c:marker>
                  <c:symbol val="none"/>
                </c:marker>
                <c:dLbls>
                  <c:delete val="1"/>
                </c:dLbls>
                <c:cat>
                  <c:numRef>
                    <c:extLst>
                      <c:ext uri="{02D57815-91ED-43cb-92C2-25804820EDAC}">
                        <c15:fullRef>
                          <c15:sqref/>
                        </c15:fullRef>
                        <c15:formulaRef>
                          <c15:sqref>'9月直播平台数据(视频号）'!$A$26:$A$41</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'9月直播平台数据(视频号）'!$E$26:$E$41</c15:sqref>
                        </c15:formulaRef>
                      </c:ext>
                    </c:extLst>
                    <c:numCache>
                      <c:formatCode>0.00%</c:formatCode>
                      <c:ptCount val="16"/>
                      <c:pt idx="0">
                        <c:v>0.0285961871750433</c:v>
                      </c:pt>
                      <c:pt idx="1">
                        <c:v>0.0317919075144509</c:v>
                      </c:pt>
                      <c:pt idx="2">
                        <c:v>0.0115506786023679</c:v>
                      </c:pt>
                      <c:pt idx="3">
                        <c:v>0.0151405912040375</c:v>
                      </c:pt>
                      <c:pt idx="4">
                        <c:v>0.0173206079886886</c:v>
                      </c:pt>
                      <c:pt idx="5">
                        <c:v>0.0114089098152843</c:v>
                      </c:pt>
                      <c:pt idx="6">
                        <c:v>0.00899368011667477</c:v>
                      </c:pt>
                      <c:pt idx="7">
                        <c:v>0.00907441016333938</c:v>
                      </c:pt>
                      <c:pt idx="8">
                        <c:v>0.00548847420417124</c:v>
                      </c:pt>
                      <c:pt idx="9">
                        <c:v>0.00385653682992673</c:v>
                      </c:pt>
                      <c:pt idx="10">
                        <c:v>0.00978758850478967</c:v>
                      </c:pt>
                      <c:pt idx="11">
                        <c:v>0.0101085735679521</c:v>
                      </c:pt>
                      <c:pt idx="12">
                        <c:v>0.00772399588053553</c:v>
                      </c:pt>
                      <c:pt idx="13">
                        <c:v>0.0122627737226277</c:v>
                      </c:pt>
                      <c:pt idx="14">
                        <c:v>0</c:v>
                      </c:pt>
                      <c:pt idx="15">
                        <c:v>0</c:v>
                      </c:pt>
                    </c:numCache>
                  </c:numRef>
                </c:val>
                <c:smooth val="0"/>
              </c15:ser>
            </c15:filteredLineSeries>
            <c15:filteredLineSeries>
              <c15:ser>
                <c:idx val="7"/>
                <c:order val="1"/>
                <c:tx>
                  <c:strRef>
                    <c:extLst>
                      <c:ext uri="{02D57815-91ED-43cb-92C2-25804820EDAC}">
                        <c15:formulaRef>
                          <c15:sqref>'9月直播平台数据(视频号）'!$L$25</c15:sqref>
                        </c15:formulaRef>
                      </c:ext>
                    </c:extLst>
                    <c:strCache>
                      <c:ptCount val="1"/>
                      <c:pt idx="0">
                        <c:v>新增关注率</c:v>
                      </c:pt>
                    </c:strCache>
                  </c:strRef>
                </c:tx>
                <c:spPr>
                  <a:ln w="28575" cap="rnd">
                    <a:solidFill>
                      <a:schemeClr val="accent2">
                        <a:lumMod val="60000"/>
                      </a:schemeClr>
                    </a:solidFill>
                    <a:round/>
                  </a:ln>
                  <a:effectLst/>
                </c:spPr>
                <c:marker>
                  <c:symbol val="none"/>
                </c:marker>
                <c:dLbls>
                  <c:delete val="1"/>
                </c:dLbls>
                <c:cat>
                  <c:numRef>
                    <c:extLst>
                      <c:ext uri="{02D57815-91ED-43cb-92C2-25804820EDAC}">
                        <c15:fullRef>
                          <c15:sqref/>
                        </c15:fullRef>
                        <c15:formulaRef>
                          <c15:sqref>'9月直播平台数据(视频号）'!$A$26:$A$41</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'9月直播平台数据(视频号）'!$L$26:$L$41</c15:sqref>
                        </c15:formulaRef>
                      </c:ext>
                    </c:extLst>
                    <c:numCache>
                      <c:formatCode>0.00%</c:formatCode>
                      <c:ptCount val="16"/>
                      <c:pt idx="0">
                        <c:v>0.0457105719237435</c:v>
                      </c:pt>
                      <c:pt idx="1">
                        <c:v>0.0416184971098266</c:v>
                      </c:pt>
                      <c:pt idx="2">
                        <c:v>0.0228125902396766</c:v>
                      </c:pt>
                      <c:pt idx="3">
                        <c:v>0.0324441240086518</c:v>
                      </c:pt>
                      <c:pt idx="4">
                        <c:v>0.0296924708377519</c:v>
                      </c:pt>
                      <c:pt idx="5">
                        <c:v>0.0329590727997102</c:v>
                      </c:pt>
                      <c:pt idx="6">
                        <c:v>0.0206611570247934</c:v>
                      </c:pt>
                      <c:pt idx="7">
                        <c:v>0.023074928701063</c:v>
                      </c:pt>
                      <c:pt idx="8">
                        <c:v>0.0153677277716795</c:v>
                      </c:pt>
                      <c:pt idx="9">
                        <c:v>0.0250674893945237</c:v>
                      </c:pt>
                      <c:pt idx="10">
                        <c:v>0.0374843815077051</c:v>
                      </c:pt>
                      <c:pt idx="11">
                        <c:v>0.0370647697491576</c:v>
                      </c:pt>
                      <c:pt idx="12">
                        <c:v>0.0262615859938208</c:v>
                      </c:pt>
                      <c:pt idx="13">
                        <c:v>0.0112408759124088</c:v>
                      </c:pt>
                      <c:pt idx="14">
                        <c:v>0</c:v>
                      </c:pt>
                      <c:pt idx="15">
                        <c:v>0</c:v>
                      </c:pt>
                    </c:numCache>
                  </c:numRef>
                </c:val>
                <c:smooth val="0"/>
              </c15:ser>
            </c15:filteredLineSeries>
            <c15:filteredLineSeries>
              <c15:ser>
                <c:idx val="10"/>
                <c:order val="2"/>
                <c:tx>
                  <c:strRef>
                    <c:extLst>
                      <c:ext uri="{02D57815-91ED-43cb-92C2-25804820EDAC}">
                        <c15:formulaRef>
                          <c15:sqref>'9月直播平台数据(视频号）'!$M$25</c15:sqref>
                        </c15:formulaRef>
                      </c:ext>
                    </c:extLst>
                    <c:strCache>
                      <c:ptCount val="1"/>
                      <c:pt idx="0">
                        <c:v>送礼人数</c:v>
                      </c:pt>
                    </c:strCache>
                  </c:strRef>
                </c:tx>
                <c:spPr>
                  <a:ln w="28575" cap="rnd">
                    <a:solidFill>
                      <a:schemeClr val="accent5">
                        <a:lumMod val="60000"/>
                      </a:schemeClr>
                    </a:solidFill>
                    <a:round/>
                  </a:ln>
                  <a:effectLst/>
                </c:spPr>
                <c:marker>
                  <c:symbol val="none"/>
                </c:marker>
                <c:dLbls>
                  <c:delete val="1"/>
                </c:dLbls>
                <c:cat>
                  <c:numRef>
                    <c:extLst>
                      <c:ext uri="{02D57815-91ED-43cb-92C2-25804820EDAC}">
                        <c15:fullRef>
                          <c15:sqref/>
                        </c15:fullRef>
                        <c15:formulaRef>
                          <c15:sqref>'9月直播平台数据(视频号）'!$A$26:$A$41</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'9月直播平台数据(视频号）'!$M$26:$M$41</c15:sqref>
                        </c15:formulaRef>
                      </c:ext>
                    </c:extLst>
                    <c:numCache>
                      <c:formatCode>General</c:formatCode>
                      <c:ptCount val="16"/>
                      <c:pt idx="0">
                        <c:v>42</c:v>
                      </c:pt>
                      <c:pt idx="1">
                        <c:v>6</c:v>
                      </c:pt>
                      <c:pt idx="2">
                        <c:v>10</c:v>
                      </c:pt>
                      <c:pt idx="3">
                        <c:v>20</c:v>
                      </c:pt>
                      <c:pt idx="4">
                        <c:v>17</c:v>
                      </c:pt>
                      <c:pt idx="5">
                        <c:v>26</c:v>
                      </c:pt>
                      <c:pt idx="6">
                        <c:v>26</c:v>
                      </c:pt>
                      <c:pt idx="7">
                        <c:v>15</c:v>
                      </c:pt>
                      <c:pt idx="8">
                        <c:v>3</c:v>
                      </c:pt>
                      <c:pt idx="9">
                        <c:v>6</c:v>
                      </c:pt>
                      <c:pt idx="10">
                        <c:v>23</c:v>
                      </c:pt>
                      <c:pt idx="11">
                        <c:v>13</c:v>
                      </c:pt>
                      <c:pt idx="12">
                        <c:v>6</c:v>
                      </c:pt>
                      <c:pt idx="13">
                        <c:v>11</c:v>
                      </c:pt>
                    </c:numCache>
                  </c:numRef>
                </c:val>
                <c:smooth val="0"/>
              </c15:ser>
            </c15:filteredLineSeries>
          </c:ext>
        </c:extLst>
      </c:lineChart>
      <c:dateAx>
        <c:axId val="64667552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6676168"/>
        <c:crosses val="autoZero"/>
        <c:auto val="1"/>
        <c:lblOffset val="100"/>
        <c:baseTimeUnit val="days"/>
      </c:dateAx>
      <c:valAx>
        <c:axId val="646676168"/>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667552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直播商品数</a:t>
            </a:r>
            <a:r>
              <a:rPr lang="en-US" altLang="zh-CN"/>
              <a:t>|</a:t>
            </a:r>
            <a:r>
              <a:rPr lang="zh-CN" altLang="en-US"/>
              <a:t>销售商品数</a:t>
            </a:r>
            <a:r>
              <a:rPr lang="en-US" altLang="zh-CN"/>
              <a:t>|</a:t>
            </a:r>
            <a:r>
              <a:rPr lang="zh-CN" altLang="en-US"/>
              <a:t>成交人数</a:t>
            </a:r>
            <a:endParaRPr lang="zh-CN" altLang="en-US"/>
          </a:p>
        </c:rich>
      </c:tx>
      <c:layout/>
      <c:overlay val="0"/>
      <c:spPr>
        <a:noFill/>
        <a:ln>
          <a:noFill/>
        </a:ln>
        <a:effectLst/>
      </c:spPr>
    </c:title>
    <c:autoTitleDeleted val="0"/>
    <c:plotArea>
      <c:layout/>
      <c:lineChart>
        <c:grouping val="standard"/>
        <c:varyColors val="0"/>
        <c:ser>
          <c:idx val="0"/>
          <c:order val="0"/>
          <c:tx>
            <c:strRef>
              <c:f>'9月直播商品数据（视频号）'!$B$7</c:f>
              <c:strCache>
                <c:ptCount val="1"/>
                <c:pt idx="0">
                  <c:v>直播商品数</c:v>
                </c:pt>
              </c:strCache>
            </c:strRef>
          </c:tx>
          <c:spPr>
            <a:ln w="28575" cap="rnd">
              <a:solidFill>
                <a:schemeClr val="accent6"/>
              </a:solidFill>
              <a:round/>
            </a:ln>
            <a:effectLst/>
          </c:spPr>
          <c:marker>
            <c:symbol val="none"/>
          </c:marker>
          <c:dLbls>
            <c:delete val="1"/>
          </c:dLbls>
          <c:cat>
            <c:numRef>
              <c:f>'9月直播商品数据（视频号）'!$A$8:$A$23</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'9月直播商品数据（视频号）'!$B$8:$B$23</c:f>
              <c:numCache>
                <c:formatCode>General</c:formatCode>
                <c:ptCount val="16"/>
                <c:pt idx="0">
                  <c:v>32</c:v>
                </c:pt>
                <c:pt idx="1">
                  <c:v>32</c:v>
                </c:pt>
                <c:pt idx="2">
                  <c:v>35</c:v>
                </c:pt>
                <c:pt idx="3">
                  <c:v>23</c:v>
                </c:pt>
                <c:pt idx="4">
                  <c:v>36</c:v>
                </c:pt>
                <c:pt idx="5">
                  <c:v>33</c:v>
                </c:pt>
                <c:pt idx="6">
                  <c:v>33</c:v>
                </c:pt>
                <c:pt idx="7">
                  <c:v>33</c:v>
                </c:pt>
                <c:pt idx="8">
                  <c:v>31</c:v>
                </c:pt>
                <c:pt idx="9">
                  <c:v>28</c:v>
                </c:pt>
                <c:pt idx="10">
                  <c:v>31</c:v>
                </c:pt>
                <c:pt idx="11">
                  <c:v>32</c:v>
                </c:pt>
                <c:pt idx="12">
                  <c:v>29</c:v>
                </c:pt>
                <c:pt idx="13">
                  <c:v>36</c:v>
                </c:pt>
              </c:numCache>
            </c:numRef>
          </c:val>
          <c:smooth val="0"/>
        </c:ser>
        <c:ser>
          <c:idx val="1"/>
          <c:order val="1"/>
          <c:tx>
            <c:strRef>
              <c:f>'9月直播商品数据（视频号）'!$C$7</c:f>
              <c:strCache>
                <c:ptCount val="1"/>
                <c:pt idx="0">
                  <c:v>销售商品数</c:v>
                </c:pt>
              </c:strCache>
            </c:strRef>
          </c:tx>
          <c:spPr>
            <a:ln w="28575" cap="rnd">
              <a:solidFill>
                <a:schemeClr val="accent2"/>
              </a:solidFill>
              <a:round/>
            </a:ln>
            <a:effectLst/>
          </c:spPr>
          <c:marker>
            <c:symbol val="none"/>
          </c:marker>
          <c:dLbls>
            <c:delete val="1"/>
          </c:dLbls>
          <c:cat>
            <c:numRef>
              <c:f>'9月直播商品数据（视频号）'!$A$8:$A$23</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'9月直播商品数据（视频号）'!$C$8:$C$23</c:f>
              <c:numCache>
                <c:formatCode>General</c:formatCode>
                <c:ptCount val="16"/>
                <c:pt idx="0">
                  <c:v>16</c:v>
                </c:pt>
                <c:pt idx="1">
                  <c:v>11</c:v>
                </c:pt>
                <c:pt idx="2">
                  <c:v>18</c:v>
                </c:pt>
                <c:pt idx="3">
                  <c:v>11</c:v>
                </c:pt>
                <c:pt idx="4">
                  <c:v>22</c:v>
                </c:pt>
                <c:pt idx="5">
                  <c:v>18</c:v>
                </c:pt>
                <c:pt idx="6">
                  <c:v>10</c:v>
                </c:pt>
                <c:pt idx="7">
                  <c:v>24</c:v>
                </c:pt>
                <c:pt idx="8">
                  <c:v>17</c:v>
                </c:pt>
                <c:pt idx="9">
                  <c:v>6</c:v>
                </c:pt>
                <c:pt idx="10">
                  <c:v>14</c:v>
                </c:pt>
                <c:pt idx="11">
                  <c:v>10</c:v>
                </c:pt>
                <c:pt idx="12">
                  <c:v>10</c:v>
                </c:pt>
                <c:pt idx="13">
                  <c:v>12</c:v>
                </c:pt>
              </c:numCache>
            </c:numRef>
          </c:val>
          <c:smooth val="0"/>
        </c:ser>
        <c:ser>
          <c:idx val="6"/>
          <c:order val="6"/>
          <c:tx>
            <c:strRef>
              <c:f>'9月直播商品数据（视频号）'!$H$7</c:f>
              <c:strCache>
                <c:ptCount val="1"/>
                <c:pt idx="0">
                  <c:v>成交人数</c:v>
                </c:pt>
              </c:strCache>
            </c:strRef>
          </c:tx>
          <c:spPr>
            <a:ln w="28575" cap="rnd">
              <a:solidFill>
                <a:schemeClr val="accent1">
                  <a:lumMod val="60000"/>
                </a:schemeClr>
              </a:solidFill>
              <a:round/>
            </a:ln>
            <a:effectLst/>
          </c:spPr>
          <c:marker>
            <c:symbol val="none"/>
          </c:marker>
          <c:dLbls>
            <c:delete val="1"/>
          </c:dLbls>
          <c:trendline>
            <c:spPr>
              <a:ln w="19050" cap="rnd">
                <a:solidFill>
                  <a:schemeClr val="accent1">
                    <a:lumMod val="60000"/>
                  </a:schemeClr>
                </a:solidFill>
                <a:prstDash val="sysDot"/>
              </a:ln>
              <a:effectLst/>
            </c:spPr>
            <c:trendlineType val="linear"/>
            <c:dispRSqr val="0"/>
            <c:dispEq val="0"/>
          </c:trendline>
          <c:cat>
            <c:numRef>
              <c:f>'9月直播商品数据（视频号）'!$A$8:$A$23</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'9月直播商品数据（视频号）'!$H$8:$H$23</c:f>
              <c:numCache>
                <c:formatCode>General</c:formatCode>
                <c:ptCount val="16"/>
                <c:pt idx="0">
                  <c:v>209</c:v>
                </c:pt>
                <c:pt idx="1">
                  <c:v>80</c:v>
                </c:pt>
                <c:pt idx="2">
                  <c:v>72</c:v>
                </c:pt>
                <c:pt idx="3">
                  <c:v>30</c:v>
                </c:pt>
                <c:pt idx="4">
                  <c:v>63</c:v>
                </c:pt>
                <c:pt idx="5">
                  <c:v>89</c:v>
                </c:pt>
                <c:pt idx="6">
                  <c:v>41</c:v>
                </c:pt>
                <c:pt idx="7">
                  <c:v>60</c:v>
                </c:pt>
                <c:pt idx="8">
                  <c:v>17</c:v>
                </c:pt>
                <c:pt idx="9">
                  <c:v>11</c:v>
                </c:pt>
                <c:pt idx="10">
                  <c:v>58</c:v>
                </c:pt>
                <c:pt idx="11">
                  <c:v>45</c:v>
                </c:pt>
                <c:pt idx="12">
                  <c:v>17</c:v>
                </c:pt>
                <c:pt idx="13">
                  <c:v>111</c:v>
                </c:pt>
              </c:numCache>
            </c:numRef>
          </c:val>
          <c:smooth val="0"/>
        </c:ser>
        <c:dLbls>
          <c:showLegendKey val="0"/>
          <c:showVal val="0"/>
          <c:showCatName val="0"/>
          <c:showSerName val="0"/>
          <c:showPercent val="0"/>
          <c:showBubbleSize val="0"/>
        </c:dLbls>
        <c:marker val="0"/>
        <c:smooth val="0"/>
        <c:axId val="646688648"/>
        <c:axId val="646689608"/>
        <c:extLst>
          <c:ext xmlns:c15="http://schemas.microsoft.com/office/drawing/2012/chart" uri="{02D57815-91ED-43cb-92C2-25804820EDAC}">
            <c15:filteredLineSeries>
              <c15:ser>
                <c:idx val="2"/>
                <c:order val="2"/>
                <c:tx>
                  <c:strRef>
                    <c:extLst>
                      <c:ext uri="{02D57815-91ED-43cb-92C2-25804820EDAC}">
                        <c15:formulaRef>
                          <c15:sqref>'9月直播商品数据（视频号）'!$D$7</c15:sqref>
                        </c15:formulaRef>
                      </c:ext>
                    </c:extLst>
                    <c:strCache>
                      <c:ptCount val="1"/>
                      <c:pt idx="0">
                        <c:v>动销率</c:v>
                      </c:pt>
                    </c:strCache>
                  </c:strRef>
                </c:tx>
                <c:spPr>
                  <a:ln w="28575" cap="rnd">
                    <a:solidFill>
                      <a:schemeClr val="accent3"/>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'9月直播商品数据（视频号）'!$D$8:$D$23</c15:sqref>
                        </c15:formulaRef>
                      </c:ext>
                    </c:extLst>
                    <c:numCache>
                      <c:formatCode>0%</c:formatCode>
                      <c:ptCount val="16"/>
                      <c:pt idx="0">
                        <c:v>0.5</c:v>
                      </c:pt>
                      <c:pt idx="1">
                        <c:v>0.34375</c:v>
                      </c:pt>
                      <c:pt idx="2">
                        <c:v>0.514285714285714</c:v>
                      </c:pt>
                      <c:pt idx="3">
                        <c:v>0.478260869565217</c:v>
                      </c:pt>
                      <c:pt idx="4">
                        <c:v>0.611111111111111</c:v>
                      </c:pt>
                      <c:pt idx="5">
                        <c:v>0.545454545454545</c:v>
                      </c:pt>
                      <c:pt idx="6">
                        <c:v>0.303030303030303</c:v>
                      </c:pt>
                      <c:pt idx="7">
                        <c:v>0.727272727272727</c:v>
                      </c:pt>
                      <c:pt idx="8">
                        <c:v>0.548387096774194</c:v>
                      </c:pt>
                      <c:pt idx="9">
                        <c:v>0.214285714285714</c:v>
                      </c:pt>
                      <c:pt idx="10">
                        <c:v>0.451612903225806</c:v>
                      </c:pt>
                      <c:pt idx="11">
                        <c:v>0.3125</c:v>
                      </c:pt>
                      <c:pt idx="12">
                        <c:v>0.344827586206897</c:v>
                      </c:pt>
                      <c:pt idx="13">
                        <c:v>0.333333333333333</c:v>
                      </c:pt>
                      <c:pt idx="14">
                        <c:v>0</c:v>
                      </c:pt>
                      <c:pt idx="15">
                        <c:v>0</c:v>
                      </c:pt>
                    </c:numCache>
                  </c:numRef>
                </c:val>
                <c:smooth val="0"/>
              </c15:ser>
            </c15:filteredLineSeries>
            <c15:filteredLineSeries>
              <c15:ser>
                <c:idx val="3"/>
                <c:order val="3"/>
                <c:tx>
                  <c:strRef>
                    <c:extLst>
                      <c:ext uri="{02D57815-91ED-43cb-92C2-25804820EDAC}">
                        <c15:formulaRef>
                          <c15:sqref>'9月直播商品数据（视频号）'!$E$7</c15:sqref>
                        </c15:formulaRef>
                      </c:ext>
                    </c:extLst>
                    <c:strCache>
                      <c:ptCount val="1"/>
                      <c:pt idx="0">
                        <c:v>曝光次数</c:v>
                      </c:pt>
                    </c:strCache>
                  </c:strRef>
                </c:tx>
                <c:spPr>
                  <a:ln w="28575" cap="rnd">
                    <a:solidFill>
                      <a:schemeClr val="accent4"/>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'9月直播商品数据（视频号）'!$E$8:$E$23</c15:sqref>
                        </c15:formulaRef>
                      </c:ext>
                    </c:extLst>
                    <c:numCache>
                      <c:formatCode>General</c:formatCode>
                      <c:ptCount val="16"/>
                      <c:pt idx="0">
                        <c:v>85321</c:v>
                      </c:pt>
                      <c:pt idx="1">
                        <c:v>44170</c:v>
                      </c:pt>
                      <c:pt idx="2">
                        <c:v>40438</c:v>
                      </c:pt>
                      <c:pt idx="3">
                        <c:v>31209</c:v>
                      </c:pt>
                      <c:pt idx="4">
                        <c:v>45040</c:v>
                      </c:pt>
                      <c:pt idx="5">
                        <c:v>91770</c:v>
                      </c:pt>
                      <c:pt idx="6">
                        <c:v>40520</c:v>
                      </c:pt>
                      <c:pt idx="7">
                        <c:v>56271</c:v>
                      </c:pt>
                      <c:pt idx="8">
                        <c:v>29401</c:v>
                      </c:pt>
                      <c:pt idx="9">
                        <c:v>32071</c:v>
                      </c:pt>
                      <c:pt idx="10">
                        <c:v>68258</c:v>
                      </c:pt>
                      <c:pt idx="11">
                        <c:v>33363</c:v>
                      </c:pt>
                      <c:pt idx="12">
                        <c:v>22540</c:v>
                      </c:pt>
                      <c:pt idx="13">
                        <c:v>46388</c:v>
                      </c:pt>
                    </c:numCache>
                  </c:numRef>
                </c:val>
                <c:smooth val="0"/>
              </c15:ser>
            </c15:filteredLineSeries>
            <c15:filteredLineSeries>
              <c15:ser>
                <c:idx val="4"/>
                <c:order val="4"/>
                <c:tx>
                  <c:strRef>
                    <c:extLst>
                      <c:ext uri="{02D57815-91ED-43cb-92C2-25804820EDAC}">
                        <c15:formulaRef>
                          <c15:sqref>'9月直播商品数据（视频号）'!$F$7</c15:sqref>
                        </c15:formulaRef>
                      </c:ext>
                    </c:extLst>
                    <c:strCache>
                      <c:ptCount val="1"/>
                      <c:pt idx="0">
                        <c:v>点击次数</c:v>
                      </c:pt>
                    </c:strCache>
                  </c:strRef>
                </c:tx>
                <c:spPr>
                  <a:ln w="28575" cap="rnd">
                    <a:solidFill>
                      <a:schemeClr val="accent5"/>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'9月直播商品数据（视频号）'!$F$8:$F$23</c15:sqref>
                        </c15:formulaRef>
                      </c:ext>
                    </c:extLst>
                    <c:numCache>
                      <c:formatCode>General</c:formatCode>
                      <c:ptCount val="16"/>
                      <c:pt idx="0">
                        <c:v>4277</c:v>
                      </c:pt>
                      <c:pt idx="1">
                        <c:v>1647</c:v>
                      </c:pt>
                      <c:pt idx="2">
                        <c:v>1729</c:v>
                      </c:pt>
                      <c:pt idx="3">
                        <c:v>1731</c:v>
                      </c:pt>
                      <c:pt idx="4">
                        <c:v>2000</c:v>
                      </c:pt>
                      <c:pt idx="5">
                        <c:v>3614</c:v>
                      </c:pt>
                      <c:pt idx="6">
                        <c:v>1677</c:v>
                      </c:pt>
                      <c:pt idx="7">
                        <c:v>2736</c:v>
                      </c:pt>
                      <c:pt idx="8">
                        <c:v>1336</c:v>
                      </c:pt>
                      <c:pt idx="9">
                        <c:v>1418</c:v>
                      </c:pt>
                      <c:pt idx="10">
                        <c:v>3411</c:v>
                      </c:pt>
                      <c:pt idx="11">
                        <c:v>1795</c:v>
                      </c:pt>
                      <c:pt idx="12">
                        <c:v>1196</c:v>
                      </c:pt>
                      <c:pt idx="13">
                        <c:v>1963</c:v>
                      </c:pt>
                    </c:numCache>
                  </c:numRef>
                </c:val>
                <c:smooth val="0"/>
              </c15:ser>
            </c15:filteredLineSeries>
            <c15:filteredLineSeries>
              <c15:ser>
                <c:idx val="5"/>
                <c:order val="5"/>
                <c:tx>
                  <c:strRef>
                    <c:extLst>
                      <c:ext uri="{02D57815-91ED-43cb-92C2-25804820EDAC}">
                        <c15:formulaRef>
                          <c15:sqref>'9月直播商品数据（视频号）'!$G$7</c15:sqref>
                        </c15:formulaRef>
                      </c:ext>
                    </c:extLst>
                    <c:strCache>
                      <c:ptCount val="1"/>
                      <c:pt idx="0">
                        <c:v>曝光点击率</c:v>
                      </c:pt>
                    </c:strCache>
                  </c:strRef>
                </c:tx>
                <c:spPr>
                  <a:ln w="28575" cap="rnd">
                    <a:solidFill>
                      <a:schemeClr val="accent6"/>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'9月直播商品数据（视频号）'!$G$8:$G$23</c15:sqref>
                        </c15:formulaRef>
                      </c:ext>
                    </c:extLst>
                    <c:numCache>
                      <c:formatCode>0.00%</c:formatCode>
                      <c:ptCount val="16"/>
                      <c:pt idx="0">
                        <c:v>0.0501283388614761</c:v>
                      </c:pt>
                      <c:pt idx="1">
                        <c:v>0.0372877518677836</c:v>
                      </c:pt>
                      <c:pt idx="2">
                        <c:v>0.0427568128987586</c:v>
                      </c:pt>
                      <c:pt idx="3">
                        <c:v>0.0554647697779487</c:v>
                      </c:pt>
                      <c:pt idx="4">
                        <c:v>0.044404973357016</c:v>
                      </c:pt>
                      <c:pt idx="5">
                        <c:v>0.0393810613490247</c:v>
                      </c:pt>
                      <c:pt idx="6">
                        <c:v>0.0413869693978282</c:v>
                      </c:pt>
                      <c:pt idx="7">
                        <c:v>0.0486218478434718</c:v>
                      </c:pt>
                      <c:pt idx="8">
                        <c:v>0.0454406312710452</c:v>
                      </c:pt>
                      <c:pt idx="9">
                        <c:v>0.0442143993015497</c:v>
                      </c:pt>
                      <c:pt idx="10">
                        <c:v>0.049972164434938</c:v>
                      </c:pt>
                      <c:pt idx="11">
                        <c:v>0.0538021161166562</c:v>
                      </c:pt>
                      <c:pt idx="12">
                        <c:v>0.0530612244897959</c:v>
                      </c:pt>
                      <c:pt idx="13">
                        <c:v>0.0423169785289299</c:v>
                      </c:pt>
                      <c:pt idx="14">
                        <c:v>0</c:v>
                      </c:pt>
                      <c:pt idx="15">
                        <c:v>0</c:v>
                      </c:pt>
                    </c:numCache>
                  </c:numRef>
                </c:val>
                <c:smooth val="0"/>
              </c15:ser>
            </c15:filteredLineSeries>
          </c:ext>
        </c:extLst>
      </c:lineChart>
      <c:dateAx>
        <c:axId val="6466886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6689608"/>
        <c:crosses val="autoZero"/>
        <c:auto val="1"/>
        <c:lblOffset val="100"/>
        <c:baseTimeUnit val="days"/>
      </c:dateAx>
      <c:valAx>
        <c:axId val="646689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66886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商品曝光数</a:t>
            </a:r>
            <a:r>
              <a:rPr lang="en-US" altLang="zh-CN"/>
              <a:t>|</a:t>
            </a:r>
            <a:r>
              <a:rPr lang="zh-CN" altLang="en-US"/>
              <a:t>商品点击次数</a:t>
            </a:r>
            <a:endParaRPr lang="zh-CN" altLang="en-US"/>
          </a:p>
        </c:rich>
      </c:tx>
      <c:layout/>
      <c:overlay val="0"/>
      <c:spPr>
        <a:noFill/>
        <a:ln>
          <a:noFill/>
        </a:ln>
        <a:effectLst/>
      </c:spPr>
    </c:title>
    <c:autoTitleDeleted val="0"/>
    <c:plotArea>
      <c:layout/>
      <c:lineChart>
        <c:grouping val="standard"/>
        <c:varyColors val="0"/>
        <c:ser>
          <c:idx val="3"/>
          <c:order val="3"/>
          <c:tx>
            <c:strRef>
              <c:f>'9月直播商品数据（视频号）'!$E$7</c:f>
              <c:strCache>
                <c:ptCount val="1"/>
                <c:pt idx="0">
                  <c:v>曝光次数</c:v>
                </c:pt>
              </c:strCache>
            </c:strRef>
          </c:tx>
          <c:spPr>
            <a:ln w="28575" cap="rnd">
              <a:solidFill>
                <a:schemeClr val="accent4"/>
              </a:solidFill>
              <a:round/>
            </a:ln>
            <a:effectLst/>
          </c:spPr>
          <c:marker>
            <c:symbol val="none"/>
          </c:marker>
          <c:dLbls>
            <c:delete val="1"/>
          </c:dLbls>
          <c:trendline>
            <c:spPr>
              <a:ln w="19050" cap="rnd">
                <a:solidFill>
                  <a:schemeClr val="accent4"/>
                </a:solidFill>
                <a:prstDash val="sysDot"/>
              </a:ln>
              <a:effectLst/>
            </c:spPr>
            <c:trendlineType val="linear"/>
            <c:dispRSqr val="0"/>
            <c:dispEq val="0"/>
          </c:trendline>
          <c:cat>
            <c:numRef>
              <c:f>'9月直播商品数据（视频号）'!$A$8:$A$23</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'9月直播商品数据（视频号）'!$E$8:$E$23</c:f>
              <c:numCache>
                <c:formatCode>General</c:formatCode>
                <c:ptCount val="16"/>
                <c:pt idx="0">
                  <c:v>85321</c:v>
                </c:pt>
                <c:pt idx="1">
                  <c:v>44170</c:v>
                </c:pt>
                <c:pt idx="2">
                  <c:v>40438</c:v>
                </c:pt>
                <c:pt idx="3">
                  <c:v>31209</c:v>
                </c:pt>
                <c:pt idx="4">
                  <c:v>45040</c:v>
                </c:pt>
                <c:pt idx="5">
                  <c:v>91770</c:v>
                </c:pt>
                <c:pt idx="6">
                  <c:v>40520</c:v>
                </c:pt>
                <c:pt idx="7">
                  <c:v>56271</c:v>
                </c:pt>
                <c:pt idx="8">
                  <c:v>29401</c:v>
                </c:pt>
                <c:pt idx="9">
                  <c:v>32071</c:v>
                </c:pt>
                <c:pt idx="10">
                  <c:v>68258</c:v>
                </c:pt>
                <c:pt idx="11">
                  <c:v>33363</c:v>
                </c:pt>
                <c:pt idx="12">
                  <c:v>22540</c:v>
                </c:pt>
                <c:pt idx="13">
                  <c:v>46388</c:v>
                </c:pt>
              </c:numCache>
            </c:numRef>
          </c:val>
          <c:smooth val="0"/>
        </c:ser>
        <c:ser>
          <c:idx val="4"/>
          <c:order val="4"/>
          <c:tx>
            <c:strRef>
              <c:f>'9月直播商品数据（视频号）'!$F$7</c:f>
              <c:strCache>
                <c:ptCount val="1"/>
                <c:pt idx="0">
                  <c:v>点击次数</c:v>
                </c:pt>
              </c:strCache>
            </c:strRef>
          </c:tx>
          <c:spPr>
            <a:ln w="28575" cap="rnd">
              <a:solidFill>
                <a:schemeClr val="accent5"/>
              </a:solidFill>
              <a:round/>
            </a:ln>
            <a:effectLst/>
          </c:spPr>
          <c:marker>
            <c:symbol val="none"/>
          </c:marker>
          <c:dLbls>
            <c:delete val="1"/>
          </c:dLbls>
          <c:trendline>
            <c:spPr>
              <a:ln w="19050" cap="rnd">
                <a:solidFill>
                  <a:schemeClr val="accent5"/>
                </a:solidFill>
                <a:prstDash val="sysDot"/>
              </a:ln>
              <a:effectLst/>
            </c:spPr>
            <c:trendlineType val="linear"/>
            <c:dispRSqr val="0"/>
            <c:dispEq val="0"/>
          </c:trendline>
          <c:cat>
            <c:numRef>
              <c:f>'9月直播商品数据（视频号）'!$A$8:$A$23</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'9月直播商品数据（视频号）'!$F$8:$F$23</c:f>
              <c:numCache>
                <c:formatCode>General</c:formatCode>
                <c:ptCount val="16"/>
                <c:pt idx="0">
                  <c:v>4277</c:v>
                </c:pt>
                <c:pt idx="1">
                  <c:v>1647</c:v>
                </c:pt>
                <c:pt idx="2">
                  <c:v>1729</c:v>
                </c:pt>
                <c:pt idx="3">
                  <c:v>1731</c:v>
                </c:pt>
                <c:pt idx="4">
                  <c:v>2000</c:v>
                </c:pt>
                <c:pt idx="5">
                  <c:v>3614</c:v>
                </c:pt>
                <c:pt idx="6">
                  <c:v>1677</c:v>
                </c:pt>
                <c:pt idx="7">
                  <c:v>2736</c:v>
                </c:pt>
                <c:pt idx="8">
                  <c:v>1336</c:v>
                </c:pt>
                <c:pt idx="9">
                  <c:v>1418</c:v>
                </c:pt>
                <c:pt idx="10">
                  <c:v>3411</c:v>
                </c:pt>
                <c:pt idx="11">
                  <c:v>1795</c:v>
                </c:pt>
                <c:pt idx="12">
                  <c:v>1196</c:v>
                </c:pt>
                <c:pt idx="13">
                  <c:v>1963</c:v>
                </c:pt>
              </c:numCache>
            </c:numRef>
          </c:val>
          <c:smooth val="0"/>
        </c:ser>
        <c:dLbls>
          <c:showLegendKey val="0"/>
          <c:showVal val="0"/>
          <c:showCatName val="0"/>
          <c:showSerName val="0"/>
          <c:showPercent val="0"/>
          <c:showBubbleSize val="0"/>
        </c:dLbls>
        <c:marker val="0"/>
        <c:smooth val="0"/>
        <c:axId val="646688648"/>
        <c:axId val="646689608"/>
        <c:extLst>
          <c:ext xmlns:c15="http://schemas.microsoft.com/office/drawing/2012/chart" uri="{02D57815-91ED-43cb-92C2-25804820EDAC}">
            <c15:filteredLineSeries>
              <c15:ser>
                <c:idx val="0"/>
                <c:order val="0"/>
                <c:tx>
                  <c:strRef>
                    <c:extLst>
                      <c:ext uri="{02D57815-91ED-43cb-92C2-25804820EDAC}">
                        <c15:formulaRef>
                          <c15:sqref>'9月直播商品数据（视频号）'!$B$7</c15:sqref>
                        </c15:formulaRef>
                      </c:ext>
                    </c:extLst>
                    <c:strCache>
                      <c:ptCount val="1"/>
                      <c:pt idx="0">
                        <c:v>直播商品数</c:v>
                      </c:pt>
                    </c:strCache>
                  </c:strRef>
                </c:tx>
                <c:spPr>
                  <a:ln w="28575" cap="rnd">
                    <a:solidFill>
                      <a:schemeClr val="accent1"/>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'9月直播商品数据（视频号）'!$B$8:$B$23</c15:sqref>
                        </c15:formulaRef>
                      </c:ext>
                    </c:extLst>
                    <c:numCache>
                      <c:formatCode>General</c:formatCode>
                      <c:ptCount val="16"/>
                      <c:pt idx="0">
                        <c:v>32</c:v>
                      </c:pt>
                      <c:pt idx="1">
                        <c:v>32</c:v>
                      </c:pt>
                      <c:pt idx="2">
                        <c:v>35</c:v>
                      </c:pt>
                      <c:pt idx="3">
                        <c:v>23</c:v>
                      </c:pt>
                      <c:pt idx="4">
                        <c:v>36</c:v>
                      </c:pt>
                      <c:pt idx="5">
                        <c:v>33</c:v>
                      </c:pt>
                      <c:pt idx="6">
                        <c:v>33</c:v>
                      </c:pt>
                      <c:pt idx="7">
                        <c:v>33</c:v>
                      </c:pt>
                      <c:pt idx="8">
                        <c:v>31</c:v>
                      </c:pt>
                      <c:pt idx="9">
                        <c:v>28</c:v>
                      </c:pt>
                      <c:pt idx="10">
                        <c:v>31</c:v>
                      </c:pt>
                      <c:pt idx="11">
                        <c:v>32</c:v>
                      </c:pt>
                      <c:pt idx="12">
                        <c:v>29</c:v>
                      </c:pt>
                      <c:pt idx="13">
                        <c:v>36</c:v>
                      </c:pt>
                    </c:numCache>
                  </c:numRef>
                </c:val>
                <c:smooth val="0"/>
              </c15:ser>
            </c15:filteredLineSeries>
            <c15:filteredLineSeries>
              <c15:ser>
                <c:idx val="1"/>
                <c:order val="1"/>
                <c:tx>
                  <c:strRef>
                    <c:extLst>
                      <c:ext uri="{02D57815-91ED-43cb-92C2-25804820EDAC}">
                        <c15:formulaRef>
                          <c15:sqref>'9月直播商品数据（视频号）'!$C$7</c15:sqref>
                        </c15:formulaRef>
                      </c:ext>
                    </c:extLst>
                    <c:strCache>
                      <c:ptCount val="1"/>
                      <c:pt idx="0">
                        <c:v>销售商品数</c:v>
                      </c:pt>
                    </c:strCache>
                  </c:strRef>
                </c:tx>
                <c:spPr>
                  <a:ln w="28575" cap="rnd">
                    <a:solidFill>
                      <a:schemeClr val="accent2"/>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'9月直播商品数据（视频号）'!$C$8:$C$23</c15:sqref>
                        </c15:formulaRef>
                      </c:ext>
                    </c:extLst>
                    <c:numCache>
                      <c:formatCode>General</c:formatCode>
                      <c:ptCount val="16"/>
                      <c:pt idx="0">
                        <c:v>16</c:v>
                      </c:pt>
                      <c:pt idx="1">
                        <c:v>11</c:v>
                      </c:pt>
                      <c:pt idx="2">
                        <c:v>18</c:v>
                      </c:pt>
                      <c:pt idx="3">
                        <c:v>11</c:v>
                      </c:pt>
                      <c:pt idx="4">
                        <c:v>22</c:v>
                      </c:pt>
                      <c:pt idx="5">
                        <c:v>18</c:v>
                      </c:pt>
                      <c:pt idx="6">
                        <c:v>10</c:v>
                      </c:pt>
                      <c:pt idx="7">
                        <c:v>24</c:v>
                      </c:pt>
                      <c:pt idx="8">
                        <c:v>17</c:v>
                      </c:pt>
                      <c:pt idx="9">
                        <c:v>6</c:v>
                      </c:pt>
                      <c:pt idx="10">
                        <c:v>14</c:v>
                      </c:pt>
                      <c:pt idx="11">
                        <c:v>10</c:v>
                      </c:pt>
                      <c:pt idx="12">
                        <c:v>10</c:v>
                      </c:pt>
                      <c:pt idx="13">
                        <c:v>12</c:v>
                      </c:pt>
                    </c:numCache>
                  </c:numRef>
                </c:val>
                <c:smooth val="0"/>
              </c15:ser>
            </c15:filteredLineSeries>
            <c15:filteredLineSeries>
              <c15:ser>
                <c:idx val="2"/>
                <c:order val="2"/>
                <c:tx>
                  <c:strRef>
                    <c:extLst>
                      <c:ext uri="{02D57815-91ED-43cb-92C2-25804820EDAC}">
                        <c15:formulaRef>
                          <c15:sqref>'9月直播商品数据（视频号）'!$D$7</c15:sqref>
                        </c15:formulaRef>
                      </c:ext>
                    </c:extLst>
                    <c:strCache>
                      <c:ptCount val="1"/>
                      <c:pt idx="0">
                        <c:v>动销率</c:v>
                      </c:pt>
                    </c:strCache>
                  </c:strRef>
                </c:tx>
                <c:spPr>
                  <a:ln w="28575" cap="rnd">
                    <a:solidFill>
                      <a:schemeClr val="accent3"/>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'9月直播商品数据（视频号）'!$D$8:$D$23</c15:sqref>
                        </c15:formulaRef>
                      </c:ext>
                    </c:extLst>
                    <c:numCache>
                      <c:formatCode>0%</c:formatCode>
                      <c:ptCount val="16"/>
                      <c:pt idx="0">
                        <c:v>0.5</c:v>
                      </c:pt>
                      <c:pt idx="1">
                        <c:v>0.34375</c:v>
                      </c:pt>
                      <c:pt idx="2">
                        <c:v>0.514285714285714</c:v>
                      </c:pt>
                      <c:pt idx="3">
                        <c:v>0.478260869565217</c:v>
                      </c:pt>
                      <c:pt idx="4">
                        <c:v>0.611111111111111</c:v>
                      </c:pt>
                      <c:pt idx="5">
                        <c:v>0.545454545454545</c:v>
                      </c:pt>
                      <c:pt idx="6">
                        <c:v>0.303030303030303</c:v>
                      </c:pt>
                      <c:pt idx="7">
                        <c:v>0.727272727272727</c:v>
                      </c:pt>
                      <c:pt idx="8">
                        <c:v>0.548387096774194</c:v>
                      </c:pt>
                      <c:pt idx="9">
                        <c:v>0.214285714285714</c:v>
                      </c:pt>
                      <c:pt idx="10">
                        <c:v>0.451612903225806</c:v>
                      </c:pt>
                      <c:pt idx="11">
                        <c:v>0.3125</c:v>
                      </c:pt>
                      <c:pt idx="12">
                        <c:v>0.344827586206897</c:v>
                      </c:pt>
                      <c:pt idx="13">
                        <c:v>0.333333333333333</c:v>
                      </c:pt>
                      <c:pt idx="14">
                        <c:v>0</c:v>
                      </c:pt>
                      <c:pt idx="15">
                        <c:v>0</c:v>
                      </c:pt>
                    </c:numCache>
                  </c:numRef>
                </c:val>
                <c:smooth val="0"/>
              </c15:ser>
            </c15:filteredLineSeries>
            <c15:filteredLineSeries>
              <c15:ser>
                <c:idx val="5"/>
                <c:order val="5"/>
                <c:tx>
                  <c:strRef>
                    <c:extLst>
                      <c:ext uri="{02D57815-91ED-43cb-92C2-25804820EDAC}">
                        <c15:formulaRef>
                          <c15:sqref>'9月直播商品数据（视频号）'!$G$7</c15:sqref>
                        </c15:formulaRef>
                      </c:ext>
                    </c:extLst>
                    <c:strCache>
                      <c:ptCount val="1"/>
                      <c:pt idx="0">
                        <c:v>曝光点击率</c:v>
                      </c:pt>
                    </c:strCache>
                  </c:strRef>
                </c:tx>
                <c:spPr>
                  <a:ln w="28575" cap="rnd">
                    <a:solidFill>
                      <a:schemeClr val="accent6"/>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'9月直播商品数据（视频号）'!$G$8:$G$23</c15:sqref>
                        </c15:formulaRef>
                      </c:ext>
                    </c:extLst>
                    <c:numCache>
                      <c:formatCode>0.00%</c:formatCode>
                      <c:ptCount val="16"/>
                      <c:pt idx="0">
                        <c:v>0.0501283388614761</c:v>
                      </c:pt>
                      <c:pt idx="1">
                        <c:v>0.0372877518677836</c:v>
                      </c:pt>
                      <c:pt idx="2">
                        <c:v>0.0427568128987586</c:v>
                      </c:pt>
                      <c:pt idx="3">
                        <c:v>0.0554647697779487</c:v>
                      </c:pt>
                      <c:pt idx="4">
                        <c:v>0.044404973357016</c:v>
                      </c:pt>
                      <c:pt idx="5">
                        <c:v>0.0393810613490247</c:v>
                      </c:pt>
                      <c:pt idx="6">
                        <c:v>0.0413869693978282</c:v>
                      </c:pt>
                      <c:pt idx="7">
                        <c:v>0.0486218478434718</c:v>
                      </c:pt>
                      <c:pt idx="8">
                        <c:v>0.0454406312710452</c:v>
                      </c:pt>
                      <c:pt idx="9">
                        <c:v>0.0442143993015497</c:v>
                      </c:pt>
                      <c:pt idx="10">
                        <c:v>0.049972164434938</c:v>
                      </c:pt>
                      <c:pt idx="11">
                        <c:v>0.0538021161166562</c:v>
                      </c:pt>
                      <c:pt idx="12">
                        <c:v>0.0530612244897959</c:v>
                      </c:pt>
                      <c:pt idx="13">
                        <c:v>0.0423169785289299</c:v>
                      </c:pt>
                      <c:pt idx="14">
                        <c:v>0</c:v>
                      </c:pt>
                      <c:pt idx="15">
                        <c:v>0</c:v>
                      </c:pt>
                    </c:numCache>
                  </c:numRef>
                </c:val>
                <c:smooth val="0"/>
              </c15:ser>
            </c15:filteredLineSeries>
            <c15:filteredLineSeries>
              <c15:ser>
                <c:idx val="6"/>
                <c:order val="6"/>
                <c:tx>
                  <c:strRef>
                    <c:extLst>
                      <c:ext uri="{02D57815-91ED-43cb-92C2-25804820EDAC}">
                        <c15:formulaRef>
                          <c15:sqref>'9月直播商品数据（视频号）'!$H$7</c15:sqref>
                        </c15:formulaRef>
                      </c:ext>
                    </c:extLst>
                    <c:strCache>
                      <c:ptCount val="1"/>
                      <c:pt idx="0">
                        <c:v>成交人数</c:v>
                      </c:pt>
                    </c:strCache>
                  </c:strRef>
                </c:tx>
                <c:spPr>
                  <a:ln w="28575" cap="rnd">
                    <a:solidFill>
                      <a:schemeClr val="accent1">
                        <a:lumMod val="60000"/>
                      </a:schemeClr>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'9月直播商品数据（视频号）'!$H$8:$H$23</c15:sqref>
                        </c15:formulaRef>
                      </c:ext>
                    </c:extLst>
                    <c:numCache>
                      <c:formatCode>General</c:formatCode>
                      <c:ptCount val="16"/>
                      <c:pt idx="0">
                        <c:v>209</c:v>
                      </c:pt>
                      <c:pt idx="1">
                        <c:v>80</c:v>
                      </c:pt>
                      <c:pt idx="2">
                        <c:v>72</c:v>
                      </c:pt>
                      <c:pt idx="3">
                        <c:v>30</c:v>
                      </c:pt>
                      <c:pt idx="4">
                        <c:v>63</c:v>
                      </c:pt>
                      <c:pt idx="5">
                        <c:v>89</c:v>
                      </c:pt>
                      <c:pt idx="6">
                        <c:v>41</c:v>
                      </c:pt>
                      <c:pt idx="7">
                        <c:v>60</c:v>
                      </c:pt>
                      <c:pt idx="8">
                        <c:v>17</c:v>
                      </c:pt>
                      <c:pt idx="9">
                        <c:v>11</c:v>
                      </c:pt>
                      <c:pt idx="10">
                        <c:v>58</c:v>
                      </c:pt>
                      <c:pt idx="11">
                        <c:v>45</c:v>
                      </c:pt>
                      <c:pt idx="12">
                        <c:v>17</c:v>
                      </c:pt>
                      <c:pt idx="13">
                        <c:v>111</c:v>
                      </c:pt>
                    </c:numCache>
                  </c:numRef>
                </c:val>
                <c:smooth val="0"/>
              </c15:ser>
            </c15:filteredLineSeries>
          </c:ext>
        </c:extLst>
      </c:lineChart>
      <c:dateAx>
        <c:axId val="6466886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6689608"/>
        <c:crosses val="autoZero"/>
        <c:auto val="1"/>
        <c:lblOffset val="100"/>
        <c:baseTimeUnit val="days"/>
      </c:dateAx>
      <c:valAx>
        <c:axId val="646689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66886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曝光点击率</a:t>
            </a:r>
            <a:r>
              <a:rPr lang="en-US" altLang="zh-CN"/>
              <a:t>|</a:t>
            </a:r>
            <a:r>
              <a:rPr lang="zh-CN" altLang="en-US"/>
              <a:t>点击转化率</a:t>
            </a:r>
            <a:r>
              <a:rPr lang="en-US" altLang="zh-CN"/>
              <a:t>|</a:t>
            </a:r>
            <a:r>
              <a:rPr lang="zh-CN" altLang="en-US"/>
              <a:t>曝光转化率</a:t>
            </a:r>
            <a:endParaRPr lang="zh-CN" altLang="en-US"/>
          </a:p>
        </c:rich>
      </c:tx>
      <c:layout/>
      <c:overlay val="0"/>
      <c:spPr>
        <a:noFill/>
        <a:ln>
          <a:noFill/>
        </a:ln>
        <a:effectLst/>
      </c:spPr>
    </c:title>
    <c:autoTitleDeleted val="0"/>
    <c:plotArea>
      <c:layout/>
      <c:lineChart>
        <c:grouping val="standard"/>
        <c:varyColors val="0"/>
        <c:ser>
          <c:idx val="5"/>
          <c:order val="4"/>
          <c:tx>
            <c:strRef>
              <c:f>'9月直播商品数据（视频号）'!$G$7</c:f>
              <c:strCache>
                <c:ptCount val="1"/>
                <c:pt idx="0">
                  <c:v>曝光点击率</c:v>
                </c:pt>
              </c:strCache>
            </c:strRef>
          </c:tx>
          <c:spPr>
            <a:ln w="28575" cap="rnd">
              <a:solidFill>
                <a:schemeClr val="accent6"/>
              </a:solidFill>
              <a:round/>
            </a:ln>
            <a:effectLst/>
          </c:spPr>
          <c:marker>
            <c:symbol val="none"/>
          </c:marker>
          <c:dLbls>
            <c:delete val="1"/>
          </c:dLbls>
          <c:trendline>
            <c:spPr>
              <a:ln w="19050" cap="rnd">
                <a:solidFill>
                  <a:schemeClr val="accent6"/>
                </a:solidFill>
                <a:prstDash val="sysDot"/>
              </a:ln>
              <a:effectLst/>
            </c:spPr>
            <c:trendlineType val="linear"/>
            <c:dispRSqr val="0"/>
            <c:dispEq val="0"/>
          </c:trendline>
          <c:cat>
            <c:numRef>
              <c:f>'9月直播商品数据（视频号）'!$A$8:$A$23</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'9月直播商品数据（视频号）'!$G$8:$G$23</c:f>
              <c:numCache>
                <c:formatCode>0.00%</c:formatCode>
                <c:ptCount val="16"/>
                <c:pt idx="0">
                  <c:v>0.0501283388614761</c:v>
                </c:pt>
                <c:pt idx="1">
                  <c:v>0.0372877518677836</c:v>
                </c:pt>
                <c:pt idx="2">
                  <c:v>0.0427568128987586</c:v>
                </c:pt>
                <c:pt idx="3">
                  <c:v>0.0554647697779487</c:v>
                </c:pt>
                <c:pt idx="4">
                  <c:v>0.044404973357016</c:v>
                </c:pt>
                <c:pt idx="5">
                  <c:v>0.0393810613490247</c:v>
                </c:pt>
                <c:pt idx="6">
                  <c:v>0.0413869693978282</c:v>
                </c:pt>
                <c:pt idx="7">
                  <c:v>0.0486218478434718</c:v>
                </c:pt>
                <c:pt idx="8">
                  <c:v>0.0454406312710452</c:v>
                </c:pt>
                <c:pt idx="9">
                  <c:v>0.0442143993015497</c:v>
                </c:pt>
                <c:pt idx="10">
                  <c:v>0.049972164434938</c:v>
                </c:pt>
                <c:pt idx="11">
                  <c:v>0.0538021161166562</c:v>
                </c:pt>
                <c:pt idx="12">
                  <c:v>0.0530612244897959</c:v>
                </c:pt>
                <c:pt idx="13">
                  <c:v>0.0423169785289299</c:v>
                </c:pt>
                <c:pt idx="14">
                  <c:v>0</c:v>
                </c:pt>
                <c:pt idx="15">
                  <c:v>0</c:v>
                </c:pt>
              </c:numCache>
            </c:numRef>
          </c:val>
          <c:smooth val="0"/>
        </c:ser>
        <c:ser>
          <c:idx val="7"/>
          <c:order val="6"/>
          <c:tx>
            <c:strRef>
              <c:f>'9月直播商品数据（视频号）'!$J$7</c:f>
              <c:strCache>
                <c:ptCount val="1"/>
                <c:pt idx="0">
                  <c:v>点击转化率</c:v>
                </c:pt>
              </c:strCache>
            </c:strRef>
          </c:tx>
          <c:spPr>
            <a:ln w="28575" cap="rnd">
              <a:solidFill>
                <a:schemeClr val="accent2">
                  <a:lumMod val="60000"/>
                </a:schemeClr>
              </a:solidFill>
              <a:round/>
            </a:ln>
            <a:effectLst/>
          </c:spPr>
          <c:marker>
            <c:symbol val="none"/>
          </c:marker>
          <c:dLbls>
            <c:delete val="1"/>
          </c:dLbls>
          <c:trendline>
            <c:spPr>
              <a:ln w="19050" cap="rnd">
                <a:solidFill>
                  <a:schemeClr val="accent2">
                    <a:lumMod val="60000"/>
                  </a:schemeClr>
                </a:solidFill>
                <a:prstDash val="sysDot"/>
              </a:ln>
              <a:effectLst/>
            </c:spPr>
            <c:trendlineType val="linear"/>
            <c:dispRSqr val="0"/>
            <c:dispEq val="0"/>
          </c:trendline>
          <c:cat>
            <c:numRef>
              <c:f>'9月直播商品数据（视频号）'!$A$8:$A$23</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'9月直播商品数据（视频号）'!$J$8:$J$23</c:f>
              <c:numCache>
                <c:formatCode>0.00%</c:formatCode>
                <c:ptCount val="16"/>
                <c:pt idx="0">
                  <c:v>0.0488660275894318</c:v>
                </c:pt>
                <c:pt idx="1">
                  <c:v>0.0485731633272617</c:v>
                </c:pt>
                <c:pt idx="2">
                  <c:v>0.0416425679583574</c:v>
                </c:pt>
                <c:pt idx="3">
                  <c:v>0.0173310225303293</c:v>
                </c:pt>
                <c:pt idx="4">
                  <c:v>0.0315</c:v>
                </c:pt>
                <c:pt idx="5">
                  <c:v>0.0246264526840066</c:v>
                </c:pt>
                <c:pt idx="6">
                  <c:v>0.024448419797257</c:v>
                </c:pt>
                <c:pt idx="7">
                  <c:v>0.0219298245614035</c:v>
                </c:pt>
                <c:pt idx="8">
                  <c:v>0.0127245508982036</c:v>
                </c:pt>
                <c:pt idx="9">
                  <c:v>0.0077574047954866</c:v>
                </c:pt>
                <c:pt idx="10">
                  <c:v>0.0170038111990619</c:v>
                </c:pt>
                <c:pt idx="11">
                  <c:v>0.0250696378830084</c:v>
                </c:pt>
                <c:pt idx="12">
                  <c:v>0.0142140468227425</c:v>
                </c:pt>
                <c:pt idx="13">
                  <c:v>0.0565461029037188</c:v>
                </c:pt>
                <c:pt idx="14">
                  <c:v>0</c:v>
                </c:pt>
                <c:pt idx="15">
                  <c:v>0</c:v>
                </c:pt>
              </c:numCache>
            </c:numRef>
          </c:val>
          <c:smooth val="0"/>
        </c:ser>
        <c:ser>
          <c:idx val="8"/>
          <c:order val="7"/>
          <c:tx>
            <c:strRef>
              <c:f>'9月直播商品数据（视频号）'!$K$7</c:f>
              <c:strCache>
                <c:ptCount val="1"/>
                <c:pt idx="0">
                  <c:v>曝光转化率</c:v>
                </c:pt>
              </c:strCache>
            </c:strRef>
          </c:tx>
          <c:spPr>
            <a:ln w="28575" cap="rnd">
              <a:solidFill>
                <a:schemeClr val="accent3">
                  <a:lumMod val="60000"/>
                </a:schemeClr>
              </a:solidFill>
              <a:round/>
            </a:ln>
            <a:effectLst/>
          </c:spPr>
          <c:marker>
            <c:symbol val="none"/>
          </c:marker>
          <c:dLbls>
            <c:delete val="1"/>
          </c:dLbls>
          <c:cat>
            <c:numRef>
              <c:f>'9月直播商品数据（视频号）'!$A$8:$A$23</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'9月直播商品数据（视频号）'!$K$8:$K$23</c:f>
              <c:numCache>
                <c:formatCode>0.00%</c:formatCode>
                <c:ptCount val="16"/>
                <c:pt idx="0">
                  <c:v>0.00244957278981728</c:v>
                </c:pt>
                <c:pt idx="1">
                  <c:v>0.00181118406158026</c:v>
                </c:pt>
                <c:pt idx="2">
                  <c:v>0.00178050348681933</c:v>
                </c:pt>
                <c:pt idx="3">
                  <c:v>0.000961261174661155</c:v>
                </c:pt>
                <c:pt idx="4">
                  <c:v>0.001398756660746</c:v>
                </c:pt>
                <c:pt idx="5">
                  <c:v>0.00096981584395772</c:v>
                </c:pt>
                <c:pt idx="6">
                  <c:v>0.00101184600197433</c:v>
                </c:pt>
                <c:pt idx="7">
                  <c:v>0.00106626859305859</c:v>
                </c:pt>
                <c:pt idx="8">
                  <c:v>0.000578211625454917</c:v>
                </c:pt>
                <c:pt idx="9">
                  <c:v>0.000342988993171401</c:v>
                </c:pt>
                <c:pt idx="10">
                  <c:v>0.00084971724926016</c:v>
                </c:pt>
                <c:pt idx="11">
                  <c:v>0.00134879956838414</c:v>
                </c:pt>
                <c:pt idx="12">
                  <c:v>0.000754214729370009</c:v>
                </c:pt>
                <c:pt idx="13">
                  <c:v>0.00239286022247133</c:v>
                </c:pt>
                <c:pt idx="14">
                  <c:v>0</c:v>
                </c:pt>
                <c:pt idx="15">
                  <c:v>0</c:v>
                </c:pt>
              </c:numCache>
            </c:numRef>
          </c:val>
          <c:smooth val="0"/>
        </c:ser>
        <c:dLbls>
          <c:showLegendKey val="0"/>
          <c:showVal val="0"/>
          <c:showCatName val="0"/>
          <c:showSerName val="0"/>
          <c:showPercent val="0"/>
          <c:showBubbleSize val="0"/>
        </c:dLbls>
        <c:marker val="0"/>
        <c:smooth val="0"/>
        <c:axId val="614378936"/>
        <c:axId val="646798728"/>
        <c:extLst>
          <c:ext xmlns:c15="http://schemas.microsoft.com/office/drawing/2012/chart" uri="{02D57815-91ED-43cb-92C2-25804820EDAC}">
            <c15:filteredLineSeries>
              <c15:ser>
                <c:idx val="0"/>
                <c:order val="0"/>
                <c:tx>
                  <c:strRef>
                    <c:extLst>
                      <c:ext uri="{02D57815-91ED-43cb-92C2-25804820EDAC}">
                        <c15:formulaRef>
                          <c15:sqref>'9月直播商品数据（视频号）'!$B$7</c15:sqref>
                        </c15:formulaRef>
                      </c:ext>
                    </c:extLst>
                    <c:strCache>
                      <c:ptCount val="1"/>
                      <c:pt idx="0">
                        <c:v>直播商品数</c:v>
                      </c:pt>
                    </c:strCache>
                  </c:strRef>
                </c:tx>
                <c:spPr>
                  <a:ln w="28575" cap="rnd">
                    <a:solidFill>
                      <a:schemeClr val="accent1"/>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'9月直播商品数据（视频号）'!$B$8:$B$23</c15:sqref>
                        </c15:formulaRef>
                      </c:ext>
                    </c:extLst>
                    <c:numCache>
                      <c:formatCode>General</c:formatCode>
                      <c:ptCount val="16"/>
                      <c:pt idx="0">
                        <c:v>32</c:v>
                      </c:pt>
                      <c:pt idx="1">
                        <c:v>32</c:v>
                      </c:pt>
                      <c:pt idx="2">
                        <c:v>35</c:v>
                      </c:pt>
                      <c:pt idx="3">
                        <c:v>23</c:v>
                      </c:pt>
                      <c:pt idx="4">
                        <c:v>36</c:v>
                      </c:pt>
                      <c:pt idx="5">
                        <c:v>33</c:v>
                      </c:pt>
                      <c:pt idx="6">
                        <c:v>33</c:v>
                      </c:pt>
                      <c:pt idx="7">
                        <c:v>33</c:v>
                      </c:pt>
                      <c:pt idx="8">
                        <c:v>31</c:v>
                      </c:pt>
                      <c:pt idx="9">
                        <c:v>28</c:v>
                      </c:pt>
                      <c:pt idx="10">
                        <c:v>31</c:v>
                      </c:pt>
                      <c:pt idx="11">
                        <c:v>32</c:v>
                      </c:pt>
                      <c:pt idx="12">
                        <c:v>29</c:v>
                      </c:pt>
                      <c:pt idx="13">
                        <c:v>36</c:v>
                      </c:pt>
                    </c:numCache>
                  </c:numRef>
                </c:val>
                <c:smooth val="0"/>
              </c15:ser>
            </c15:filteredLineSeries>
            <c15:filteredLineSeries>
              <c15:ser>
                <c:idx val="1"/>
                <c:order val="1"/>
                <c:tx>
                  <c:strRef>
                    <c:extLst>
                      <c:ext uri="{02D57815-91ED-43cb-92C2-25804820EDAC}">
                        <c15:formulaRef>
                          <c15:sqref>'9月直播商品数据（视频号）'!$C$7</c15:sqref>
                        </c15:formulaRef>
                      </c:ext>
                    </c:extLst>
                    <c:strCache>
                      <c:ptCount val="1"/>
                      <c:pt idx="0">
                        <c:v>销售商品数</c:v>
                      </c:pt>
                    </c:strCache>
                  </c:strRef>
                </c:tx>
                <c:spPr>
                  <a:ln w="28575" cap="rnd">
                    <a:solidFill>
                      <a:schemeClr val="accent2"/>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'9月直播商品数据（视频号）'!$C$8:$C$23</c15:sqref>
                        </c15:formulaRef>
                      </c:ext>
                    </c:extLst>
                    <c:numCache>
                      <c:formatCode>General</c:formatCode>
                      <c:ptCount val="16"/>
                      <c:pt idx="0">
                        <c:v>16</c:v>
                      </c:pt>
                      <c:pt idx="1">
                        <c:v>11</c:v>
                      </c:pt>
                      <c:pt idx="2">
                        <c:v>18</c:v>
                      </c:pt>
                      <c:pt idx="3">
                        <c:v>11</c:v>
                      </c:pt>
                      <c:pt idx="4">
                        <c:v>22</c:v>
                      </c:pt>
                      <c:pt idx="5">
                        <c:v>18</c:v>
                      </c:pt>
                      <c:pt idx="6">
                        <c:v>10</c:v>
                      </c:pt>
                      <c:pt idx="7">
                        <c:v>24</c:v>
                      </c:pt>
                      <c:pt idx="8">
                        <c:v>17</c:v>
                      </c:pt>
                      <c:pt idx="9">
                        <c:v>6</c:v>
                      </c:pt>
                      <c:pt idx="10">
                        <c:v>14</c:v>
                      </c:pt>
                      <c:pt idx="11">
                        <c:v>10</c:v>
                      </c:pt>
                      <c:pt idx="12">
                        <c:v>10</c:v>
                      </c:pt>
                      <c:pt idx="13">
                        <c:v>12</c:v>
                      </c:pt>
                    </c:numCache>
                  </c:numRef>
                </c:val>
                <c:smooth val="0"/>
              </c15:ser>
            </c15:filteredLineSeries>
            <c15:filteredLineSeries>
              <c15:ser>
                <c:idx val="3"/>
                <c:order val="2"/>
                <c:tx>
                  <c:strRef>
                    <c:extLst>
                      <c:ext uri="{02D57815-91ED-43cb-92C2-25804820EDAC}">
                        <c15:formulaRef>
                          <c15:sqref>'9月直播商品数据（视频号）'!$E$7</c15:sqref>
                        </c15:formulaRef>
                      </c:ext>
                    </c:extLst>
                    <c:strCache>
                      <c:ptCount val="1"/>
                      <c:pt idx="0">
                        <c:v>曝光次数</c:v>
                      </c:pt>
                    </c:strCache>
                  </c:strRef>
                </c:tx>
                <c:spPr>
                  <a:ln w="28575" cap="rnd">
                    <a:solidFill>
                      <a:schemeClr val="accent4"/>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'9月直播商品数据（视频号）'!$E$8:$E$23</c15:sqref>
                        </c15:formulaRef>
                      </c:ext>
                    </c:extLst>
                    <c:numCache>
                      <c:formatCode>General</c:formatCode>
                      <c:ptCount val="16"/>
                      <c:pt idx="0">
                        <c:v>85321</c:v>
                      </c:pt>
                      <c:pt idx="1">
                        <c:v>44170</c:v>
                      </c:pt>
                      <c:pt idx="2">
                        <c:v>40438</c:v>
                      </c:pt>
                      <c:pt idx="3">
                        <c:v>31209</c:v>
                      </c:pt>
                      <c:pt idx="4">
                        <c:v>45040</c:v>
                      </c:pt>
                      <c:pt idx="5">
                        <c:v>91770</c:v>
                      </c:pt>
                      <c:pt idx="6">
                        <c:v>40520</c:v>
                      </c:pt>
                      <c:pt idx="7">
                        <c:v>56271</c:v>
                      </c:pt>
                      <c:pt idx="8">
                        <c:v>29401</c:v>
                      </c:pt>
                      <c:pt idx="9">
                        <c:v>32071</c:v>
                      </c:pt>
                      <c:pt idx="10">
                        <c:v>68258</c:v>
                      </c:pt>
                      <c:pt idx="11">
                        <c:v>33363</c:v>
                      </c:pt>
                      <c:pt idx="12">
                        <c:v>22540</c:v>
                      </c:pt>
                      <c:pt idx="13">
                        <c:v>46388</c:v>
                      </c:pt>
                    </c:numCache>
                  </c:numRef>
                </c:val>
                <c:smooth val="0"/>
              </c15:ser>
            </c15:filteredLineSeries>
            <c15:filteredLineSeries>
              <c15:ser>
                <c:idx val="4"/>
                <c:order val="3"/>
                <c:tx>
                  <c:strRef>
                    <c:extLst>
                      <c:ext uri="{02D57815-91ED-43cb-92C2-25804820EDAC}">
                        <c15:formulaRef>
                          <c15:sqref>'9月直播商品数据（视频号）'!$F$7</c15:sqref>
                        </c15:formulaRef>
                      </c:ext>
                    </c:extLst>
                    <c:strCache>
                      <c:ptCount val="1"/>
                      <c:pt idx="0">
                        <c:v>点击次数</c:v>
                      </c:pt>
                    </c:strCache>
                  </c:strRef>
                </c:tx>
                <c:spPr>
                  <a:ln w="28575" cap="rnd">
                    <a:solidFill>
                      <a:schemeClr val="accent5"/>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'9月直播商品数据（视频号）'!$F$8:$F$23</c15:sqref>
                        </c15:formulaRef>
                      </c:ext>
                    </c:extLst>
                    <c:numCache>
                      <c:formatCode>General</c:formatCode>
                      <c:ptCount val="16"/>
                      <c:pt idx="0">
                        <c:v>4277</c:v>
                      </c:pt>
                      <c:pt idx="1">
                        <c:v>1647</c:v>
                      </c:pt>
                      <c:pt idx="2">
                        <c:v>1729</c:v>
                      </c:pt>
                      <c:pt idx="3">
                        <c:v>1731</c:v>
                      </c:pt>
                      <c:pt idx="4">
                        <c:v>2000</c:v>
                      </c:pt>
                      <c:pt idx="5">
                        <c:v>3614</c:v>
                      </c:pt>
                      <c:pt idx="6">
                        <c:v>1677</c:v>
                      </c:pt>
                      <c:pt idx="7">
                        <c:v>2736</c:v>
                      </c:pt>
                      <c:pt idx="8">
                        <c:v>1336</c:v>
                      </c:pt>
                      <c:pt idx="9">
                        <c:v>1418</c:v>
                      </c:pt>
                      <c:pt idx="10">
                        <c:v>3411</c:v>
                      </c:pt>
                      <c:pt idx="11">
                        <c:v>1795</c:v>
                      </c:pt>
                      <c:pt idx="12">
                        <c:v>1196</c:v>
                      </c:pt>
                      <c:pt idx="13">
                        <c:v>1963</c:v>
                      </c:pt>
                    </c:numCache>
                  </c:numRef>
                </c:val>
                <c:smooth val="0"/>
              </c15:ser>
            </c15:filteredLineSeries>
            <c15:filteredLineSeries>
              <c15:ser>
                <c:idx val="6"/>
                <c:order val="5"/>
                <c:tx>
                  <c:strRef>
                    <c:extLst>
                      <c:ext uri="{02D57815-91ED-43cb-92C2-25804820EDAC}">
                        <c15:formulaRef>
                          <c15:sqref>'9月直播商品数据（视频号）'!$H$7</c15:sqref>
                        </c15:formulaRef>
                      </c:ext>
                    </c:extLst>
                    <c:strCache>
                      <c:ptCount val="1"/>
                      <c:pt idx="0">
                        <c:v>成交人数</c:v>
                      </c:pt>
                    </c:strCache>
                  </c:strRef>
                </c:tx>
                <c:spPr>
                  <a:ln w="28575" cap="rnd">
                    <a:solidFill>
                      <a:schemeClr val="accent1">
                        <a:lumMod val="60000"/>
                      </a:schemeClr>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'9月直播商品数据（视频号）'!$H$8:$H$23</c15:sqref>
                        </c15:formulaRef>
                      </c:ext>
                    </c:extLst>
                    <c:numCache>
                      <c:formatCode>General</c:formatCode>
                      <c:ptCount val="16"/>
                      <c:pt idx="0">
                        <c:v>209</c:v>
                      </c:pt>
                      <c:pt idx="1">
                        <c:v>80</c:v>
                      </c:pt>
                      <c:pt idx="2">
                        <c:v>72</c:v>
                      </c:pt>
                      <c:pt idx="3">
                        <c:v>30</c:v>
                      </c:pt>
                      <c:pt idx="4">
                        <c:v>63</c:v>
                      </c:pt>
                      <c:pt idx="5">
                        <c:v>89</c:v>
                      </c:pt>
                      <c:pt idx="6">
                        <c:v>41</c:v>
                      </c:pt>
                      <c:pt idx="7">
                        <c:v>60</c:v>
                      </c:pt>
                      <c:pt idx="8">
                        <c:v>17</c:v>
                      </c:pt>
                      <c:pt idx="9">
                        <c:v>11</c:v>
                      </c:pt>
                      <c:pt idx="10">
                        <c:v>58</c:v>
                      </c:pt>
                      <c:pt idx="11">
                        <c:v>45</c:v>
                      </c:pt>
                      <c:pt idx="12">
                        <c:v>17</c:v>
                      </c:pt>
                      <c:pt idx="13">
                        <c:v>111</c:v>
                      </c:pt>
                    </c:numCache>
                  </c:numRef>
                </c:val>
                <c:smooth val="0"/>
              </c15:ser>
            </c15:filteredLineSeries>
            <c15:filteredLineSeries>
              <c15:ser>
                <c:idx val="9"/>
                <c:order val="8"/>
                <c:tx>
                  <c:strRef>
                    <c:extLst>
                      <c:ext uri="{02D57815-91ED-43cb-92C2-25804820EDAC}">
                        <c15:formulaRef>
                          <c15:sqref>'9月直播商品数据（视频号）'!$L$7</c15:sqref>
                        </c15:formulaRef>
                      </c:ext>
                    </c:extLst>
                    <c:strCache>
                      <c:ptCount val="1"/>
                      <c:pt idx="0">
                        <c:v>成交金额</c:v>
                      </c:pt>
                    </c:strCache>
                  </c:strRef>
                </c:tx>
                <c:spPr>
                  <a:ln w="28575" cap="rnd">
                    <a:solidFill>
                      <a:schemeClr val="accent4">
                        <a:lumMod val="60000"/>
                      </a:schemeClr>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'9月直播商品数据（视频号）'!$L$8:$L$23</c15:sqref>
                        </c15:formulaRef>
                      </c:ext>
                    </c:extLst>
                    <c:numCache>
                      <c:formatCode>\¥#,##0.00_);[Red]\(\¥#,##0.00\)</c:formatCode>
                      <c:ptCount val="16"/>
                      <c:pt idx="0">
                        <c:v>15879.71</c:v>
                      </c:pt>
                      <c:pt idx="1">
                        <c:v>5372</c:v>
                      </c:pt>
                      <c:pt idx="2">
                        <c:v>9584.6</c:v>
                      </c:pt>
                      <c:pt idx="3">
                        <c:v>2830</c:v>
                      </c:pt>
                      <c:pt idx="4">
                        <c:v>12520.65</c:v>
                      </c:pt>
                      <c:pt idx="5">
                        <c:v>19446.2</c:v>
                      </c:pt>
                      <c:pt idx="6">
                        <c:v>8158.7</c:v>
                      </c:pt>
                      <c:pt idx="7">
                        <c:v>16614</c:v>
                      </c:pt>
                      <c:pt idx="8" c:formatCode="&quot;￥&quot;#,##0.00_);[Red]\(&quot;￥&quot;#,##0.00\)">
                        <c:v>2212</c:v>
                      </c:pt>
                      <c:pt idx="9" c:formatCode="&quot;￥&quot;#,##0.00_);[Red]\(&quot;￥&quot;#,##0.00\)">
                        <c:v>4030.8</c:v>
                      </c:pt>
                      <c:pt idx="10" c:formatCode="&quot;￥&quot;#,##0.00_);[Red]\(&quot;￥&quot;#,##0.00\)">
                        <c:v>13762.92</c:v>
                      </c:pt>
                      <c:pt idx="11" c:formatCode="&quot;￥&quot;#,##0.00_);[Red]\(&quot;￥&quot;#,##0.00\)">
                        <c:v>8944.04</c:v>
                      </c:pt>
                      <c:pt idx="12" c:formatCode="&quot;￥&quot;#,##0.00_);[Red]\(&quot;￥&quot;#,##0.00\)">
                        <c:v>5538.9</c:v>
                      </c:pt>
                      <c:pt idx="13" c:formatCode="&quot;￥&quot;#,##0.00_);[Red]\(&quot;￥&quot;#,##0.00\)">
                        <c:v>7893.8</c:v>
                      </c:pt>
                    </c:numCache>
                  </c:numRef>
                </c:val>
                <c:smooth val="0"/>
              </c15:ser>
            </c15:filteredLineSeries>
          </c:ext>
        </c:extLst>
      </c:lineChart>
      <c:dateAx>
        <c:axId val="614378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6798728"/>
        <c:crosses val="autoZero"/>
        <c:auto val="1"/>
        <c:lblOffset val="100"/>
        <c:baseTimeUnit val="days"/>
      </c:dateAx>
      <c:valAx>
        <c:axId val="646798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14378936"/>
        <c:crosses val="autoZero"/>
        <c:crossBetween val="between"/>
        <c:majorUnit val="0.01"/>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成交金额</a:t>
            </a:r>
            <a:endParaRPr lang="zh-CN" altLang="en-US"/>
          </a:p>
        </c:rich>
      </c:tx>
      <c:layout/>
      <c:overlay val="0"/>
      <c:spPr>
        <a:noFill/>
        <a:ln>
          <a:noFill/>
        </a:ln>
        <a:effectLst/>
      </c:spPr>
    </c:title>
    <c:autoTitleDeleted val="0"/>
    <c:plotArea>
      <c:layout/>
      <c:lineChart>
        <c:grouping val="standard"/>
        <c:varyColors val="0"/>
        <c:ser>
          <c:idx val="9"/>
          <c:order val="9"/>
          <c:tx>
            <c:strRef>
              <c:f>'9月直播商品数据（视频号）'!$L$7</c:f>
              <c:strCache>
                <c:ptCount val="1"/>
                <c:pt idx="0">
                  <c:v>成交金额</c:v>
                </c:pt>
              </c:strCache>
            </c:strRef>
          </c:tx>
          <c:spPr>
            <a:ln w="28575" cap="rnd">
              <a:solidFill>
                <a:schemeClr val="accent4">
                  <a:lumMod val="60000"/>
                </a:schemeClr>
              </a:solidFill>
              <a:round/>
            </a:ln>
            <a:effectLst/>
          </c:spPr>
          <c:marker>
            <c:symbol val="none"/>
          </c:marker>
          <c:dLbls>
            <c:delete val="1"/>
          </c:dLbls>
          <c:trendline>
            <c:spPr>
              <a:ln w="19050" cap="rnd">
                <a:solidFill>
                  <a:schemeClr val="accent4">
                    <a:lumMod val="60000"/>
                  </a:schemeClr>
                </a:solidFill>
                <a:prstDash val="sysDot"/>
              </a:ln>
              <a:effectLst/>
            </c:spPr>
            <c:trendlineType val="linear"/>
            <c:dispRSqr val="0"/>
            <c:dispEq val="0"/>
          </c:trendline>
          <c:cat>
            <c:numRef>
              <c:f>'9月直播商品数据（视频号）'!$A$8:$A$23</c:f>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f>'9月直播商品数据（视频号）'!$L$8:$L$23</c:f>
              <c:numCache>
                <c:formatCode>\¥#,##0.00_);[Red]\(\¥#,##0.00\)</c:formatCode>
                <c:ptCount val="16"/>
                <c:pt idx="0">
                  <c:v>15879.71</c:v>
                </c:pt>
                <c:pt idx="1">
                  <c:v>5372</c:v>
                </c:pt>
                <c:pt idx="2">
                  <c:v>9584.6</c:v>
                </c:pt>
                <c:pt idx="3">
                  <c:v>2830</c:v>
                </c:pt>
                <c:pt idx="4">
                  <c:v>12520.65</c:v>
                </c:pt>
                <c:pt idx="5">
                  <c:v>19446.2</c:v>
                </c:pt>
                <c:pt idx="6">
                  <c:v>8158.7</c:v>
                </c:pt>
                <c:pt idx="7">
                  <c:v>16614</c:v>
                </c:pt>
                <c:pt idx="8" c:formatCode="&quot;￥&quot;#,##0.00_);[Red]\(&quot;￥&quot;#,##0.00\)">
                  <c:v>2212</c:v>
                </c:pt>
                <c:pt idx="9" c:formatCode="&quot;￥&quot;#,##0.00_);[Red]\(&quot;￥&quot;#,##0.00\)">
                  <c:v>4030.8</c:v>
                </c:pt>
                <c:pt idx="10" c:formatCode="&quot;￥&quot;#,##0.00_);[Red]\(&quot;￥&quot;#,##0.00\)">
                  <c:v>13762.92</c:v>
                </c:pt>
                <c:pt idx="11" c:formatCode="&quot;￥&quot;#,##0.00_);[Red]\(&quot;￥&quot;#,##0.00\)">
                  <c:v>8944.04</c:v>
                </c:pt>
                <c:pt idx="12" c:formatCode="&quot;￥&quot;#,##0.00_);[Red]\(&quot;￥&quot;#,##0.00\)">
                  <c:v>5538.9</c:v>
                </c:pt>
                <c:pt idx="13" c:formatCode="&quot;￥&quot;#,##0.00_);[Red]\(&quot;￥&quot;#,##0.00\)">
                  <c:v>7893.8</c:v>
                </c:pt>
              </c:numCache>
            </c:numRef>
          </c:val>
          <c:smooth val="0"/>
        </c:ser>
        <c:dLbls>
          <c:showLegendKey val="0"/>
          <c:showVal val="0"/>
          <c:showCatName val="0"/>
          <c:showSerName val="0"/>
          <c:showPercent val="0"/>
          <c:showBubbleSize val="0"/>
        </c:dLbls>
        <c:marker val="0"/>
        <c:smooth val="0"/>
        <c:axId val="614378936"/>
        <c:axId val="646798728"/>
        <c:extLst>
          <c:ext xmlns:c15="http://schemas.microsoft.com/office/drawing/2012/chart" uri="{02D57815-91ED-43cb-92C2-25804820EDAC}">
            <c15:filteredLineSeries>
              <c15:ser>
                <c:idx val="0"/>
                <c:order val="0"/>
                <c:tx>
                  <c:strRef>
                    <c:extLst>
                      <c:ext uri="{02D57815-91ED-43cb-92C2-25804820EDAC}">
                        <c15:formulaRef>
                          <c15:sqref>'9月直播商品数据（视频号）'!$B$7</c15:sqref>
                        </c15:formulaRef>
                      </c:ext>
                    </c:extLst>
                    <c:strCache>
                      <c:ptCount val="1"/>
                      <c:pt idx="0">
                        <c:v>直播商品数</c:v>
                      </c:pt>
                    </c:strCache>
                  </c:strRef>
                </c:tx>
                <c:spPr>
                  <a:ln w="28575" cap="rnd">
                    <a:solidFill>
                      <a:schemeClr val="accent1"/>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'9月直播商品数据（视频号）'!$B$8:$B$23</c15:sqref>
                        </c15:formulaRef>
                      </c:ext>
                    </c:extLst>
                    <c:numCache>
                      <c:formatCode>General</c:formatCode>
                      <c:ptCount val="16"/>
                      <c:pt idx="0">
                        <c:v>32</c:v>
                      </c:pt>
                      <c:pt idx="1">
                        <c:v>32</c:v>
                      </c:pt>
                      <c:pt idx="2">
                        <c:v>35</c:v>
                      </c:pt>
                      <c:pt idx="3">
                        <c:v>23</c:v>
                      </c:pt>
                      <c:pt idx="4">
                        <c:v>36</c:v>
                      </c:pt>
                      <c:pt idx="5">
                        <c:v>33</c:v>
                      </c:pt>
                      <c:pt idx="6">
                        <c:v>33</c:v>
                      </c:pt>
                      <c:pt idx="7">
                        <c:v>33</c:v>
                      </c:pt>
                      <c:pt idx="8">
                        <c:v>31</c:v>
                      </c:pt>
                      <c:pt idx="9">
                        <c:v>28</c:v>
                      </c:pt>
                      <c:pt idx="10">
                        <c:v>31</c:v>
                      </c:pt>
                      <c:pt idx="11">
                        <c:v>32</c:v>
                      </c:pt>
                      <c:pt idx="12">
                        <c:v>29</c:v>
                      </c:pt>
                      <c:pt idx="13">
                        <c:v>36</c:v>
                      </c:pt>
                    </c:numCache>
                  </c:numRef>
                </c:val>
                <c:smooth val="0"/>
              </c15:ser>
            </c15:filteredLineSeries>
            <c15:filteredLineSeries>
              <c15:ser>
                <c:idx val="1"/>
                <c:order val="1"/>
                <c:tx>
                  <c:strRef>
                    <c:extLst>
                      <c:ext uri="{02D57815-91ED-43cb-92C2-25804820EDAC}">
                        <c15:formulaRef>
                          <c15:sqref>'9月直播商品数据（视频号）'!$C$7</c15:sqref>
                        </c15:formulaRef>
                      </c:ext>
                    </c:extLst>
                    <c:strCache>
                      <c:ptCount val="1"/>
                      <c:pt idx="0">
                        <c:v>销售商品数</c:v>
                      </c:pt>
                    </c:strCache>
                  </c:strRef>
                </c:tx>
                <c:spPr>
                  <a:ln w="28575" cap="rnd">
                    <a:solidFill>
                      <a:schemeClr val="accent2"/>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'9月直播商品数据（视频号）'!$C$8:$C$23</c15:sqref>
                        </c15:formulaRef>
                      </c:ext>
                    </c:extLst>
                    <c:numCache>
                      <c:formatCode>General</c:formatCode>
                      <c:ptCount val="16"/>
                      <c:pt idx="0">
                        <c:v>16</c:v>
                      </c:pt>
                      <c:pt idx="1">
                        <c:v>11</c:v>
                      </c:pt>
                      <c:pt idx="2">
                        <c:v>18</c:v>
                      </c:pt>
                      <c:pt idx="3">
                        <c:v>11</c:v>
                      </c:pt>
                      <c:pt idx="4">
                        <c:v>22</c:v>
                      </c:pt>
                      <c:pt idx="5">
                        <c:v>18</c:v>
                      </c:pt>
                      <c:pt idx="6">
                        <c:v>10</c:v>
                      </c:pt>
                      <c:pt idx="7">
                        <c:v>24</c:v>
                      </c:pt>
                      <c:pt idx="8">
                        <c:v>17</c:v>
                      </c:pt>
                      <c:pt idx="9">
                        <c:v>6</c:v>
                      </c:pt>
                      <c:pt idx="10">
                        <c:v>14</c:v>
                      </c:pt>
                      <c:pt idx="11">
                        <c:v>10</c:v>
                      </c:pt>
                      <c:pt idx="12">
                        <c:v>10</c:v>
                      </c:pt>
                      <c:pt idx="13">
                        <c:v>12</c:v>
                      </c:pt>
                    </c:numCache>
                  </c:numRef>
                </c:val>
                <c:smooth val="0"/>
              </c15:ser>
            </c15:filteredLineSeries>
            <c15:filteredLineSeries>
              <c15:ser>
                <c:idx val="2"/>
                <c:order val="2"/>
                <c:tx>
                  <c:strRef>
                    <c:extLst>
                      <c:ext uri="{02D57815-91ED-43cb-92C2-25804820EDAC}">
                        <c15:formulaRef>
                          <c15:sqref>'9月直播商品数据（视频号）'!$D$7</c15:sqref>
                        </c15:formulaRef>
                      </c:ext>
                    </c:extLst>
                    <c:strCache>
                      <c:ptCount val="1"/>
                      <c:pt idx="0">
                        <c:v>动销率</c:v>
                      </c:pt>
                    </c:strCache>
                  </c:strRef>
                </c:tx>
                <c:spPr>
                  <a:ln w="28575" cap="rnd">
                    <a:solidFill>
                      <a:schemeClr val="accent3"/>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'9月直播商品数据（视频号）'!$D$8:$D$23</c15:sqref>
                        </c15:formulaRef>
                      </c:ext>
                    </c:extLst>
                    <c:numCache>
                      <c:formatCode>0%</c:formatCode>
                      <c:ptCount val="16"/>
                      <c:pt idx="0">
                        <c:v>0.5</c:v>
                      </c:pt>
                      <c:pt idx="1">
                        <c:v>0.34375</c:v>
                      </c:pt>
                      <c:pt idx="2">
                        <c:v>0.514285714285714</c:v>
                      </c:pt>
                      <c:pt idx="3">
                        <c:v>0.478260869565217</c:v>
                      </c:pt>
                      <c:pt idx="4">
                        <c:v>0.611111111111111</c:v>
                      </c:pt>
                      <c:pt idx="5">
                        <c:v>0.545454545454545</c:v>
                      </c:pt>
                      <c:pt idx="6">
                        <c:v>0.303030303030303</c:v>
                      </c:pt>
                      <c:pt idx="7">
                        <c:v>0.727272727272727</c:v>
                      </c:pt>
                      <c:pt idx="8">
                        <c:v>0.548387096774194</c:v>
                      </c:pt>
                      <c:pt idx="9">
                        <c:v>0.214285714285714</c:v>
                      </c:pt>
                      <c:pt idx="10">
                        <c:v>0.451612903225806</c:v>
                      </c:pt>
                      <c:pt idx="11">
                        <c:v>0.3125</c:v>
                      </c:pt>
                      <c:pt idx="12">
                        <c:v>0.344827586206897</c:v>
                      </c:pt>
                      <c:pt idx="13">
                        <c:v>0.333333333333333</c:v>
                      </c:pt>
                      <c:pt idx="14">
                        <c:v>0</c:v>
                      </c:pt>
                      <c:pt idx="15">
                        <c:v>0</c:v>
                      </c:pt>
                    </c:numCache>
                  </c:numRef>
                </c:val>
                <c:smooth val="0"/>
              </c15:ser>
            </c15:filteredLineSeries>
            <c15:filteredLineSeries>
              <c15:ser>
                <c:idx val="3"/>
                <c:order val="3"/>
                <c:tx>
                  <c:strRef>
                    <c:extLst>
                      <c:ext uri="{02D57815-91ED-43cb-92C2-25804820EDAC}">
                        <c15:formulaRef>
                          <c15:sqref>'9月直播商品数据（视频号）'!$E$7</c15:sqref>
                        </c15:formulaRef>
                      </c:ext>
                    </c:extLst>
                    <c:strCache>
                      <c:ptCount val="1"/>
                      <c:pt idx="0">
                        <c:v>曝光次数</c:v>
                      </c:pt>
                    </c:strCache>
                  </c:strRef>
                </c:tx>
                <c:spPr>
                  <a:ln w="28575" cap="rnd">
                    <a:solidFill>
                      <a:schemeClr val="accent4"/>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'9月直播商品数据（视频号）'!$E$8:$E$23</c15:sqref>
                        </c15:formulaRef>
                      </c:ext>
                    </c:extLst>
                    <c:numCache>
                      <c:formatCode>General</c:formatCode>
                      <c:ptCount val="16"/>
                      <c:pt idx="0">
                        <c:v>85321</c:v>
                      </c:pt>
                      <c:pt idx="1">
                        <c:v>44170</c:v>
                      </c:pt>
                      <c:pt idx="2">
                        <c:v>40438</c:v>
                      </c:pt>
                      <c:pt idx="3">
                        <c:v>31209</c:v>
                      </c:pt>
                      <c:pt idx="4">
                        <c:v>45040</c:v>
                      </c:pt>
                      <c:pt idx="5">
                        <c:v>91770</c:v>
                      </c:pt>
                      <c:pt idx="6">
                        <c:v>40520</c:v>
                      </c:pt>
                      <c:pt idx="7">
                        <c:v>56271</c:v>
                      </c:pt>
                      <c:pt idx="8">
                        <c:v>29401</c:v>
                      </c:pt>
                      <c:pt idx="9">
                        <c:v>32071</c:v>
                      </c:pt>
                      <c:pt idx="10">
                        <c:v>68258</c:v>
                      </c:pt>
                      <c:pt idx="11">
                        <c:v>33363</c:v>
                      </c:pt>
                      <c:pt idx="12">
                        <c:v>22540</c:v>
                      </c:pt>
                      <c:pt idx="13">
                        <c:v>46388</c:v>
                      </c:pt>
                    </c:numCache>
                  </c:numRef>
                </c:val>
                <c:smooth val="0"/>
              </c15:ser>
            </c15:filteredLineSeries>
            <c15:filteredLineSeries>
              <c15:ser>
                <c:idx val="4"/>
                <c:order val="4"/>
                <c:tx>
                  <c:strRef>
                    <c:extLst>
                      <c:ext uri="{02D57815-91ED-43cb-92C2-25804820EDAC}">
                        <c15:formulaRef>
                          <c15:sqref>'9月直播商品数据（视频号）'!$F$7</c15:sqref>
                        </c15:formulaRef>
                      </c:ext>
                    </c:extLst>
                    <c:strCache>
                      <c:ptCount val="1"/>
                      <c:pt idx="0">
                        <c:v>点击次数</c:v>
                      </c:pt>
                    </c:strCache>
                  </c:strRef>
                </c:tx>
                <c:spPr>
                  <a:ln w="28575" cap="rnd">
                    <a:solidFill>
                      <a:schemeClr val="accent5"/>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'9月直播商品数据（视频号）'!$F$8:$F$23</c15:sqref>
                        </c15:formulaRef>
                      </c:ext>
                    </c:extLst>
                    <c:numCache>
                      <c:formatCode>General</c:formatCode>
                      <c:ptCount val="16"/>
                      <c:pt idx="0">
                        <c:v>4277</c:v>
                      </c:pt>
                      <c:pt idx="1">
                        <c:v>1647</c:v>
                      </c:pt>
                      <c:pt idx="2">
                        <c:v>1729</c:v>
                      </c:pt>
                      <c:pt idx="3">
                        <c:v>1731</c:v>
                      </c:pt>
                      <c:pt idx="4">
                        <c:v>2000</c:v>
                      </c:pt>
                      <c:pt idx="5">
                        <c:v>3614</c:v>
                      </c:pt>
                      <c:pt idx="6">
                        <c:v>1677</c:v>
                      </c:pt>
                      <c:pt idx="7">
                        <c:v>2736</c:v>
                      </c:pt>
                      <c:pt idx="8">
                        <c:v>1336</c:v>
                      </c:pt>
                      <c:pt idx="9">
                        <c:v>1418</c:v>
                      </c:pt>
                      <c:pt idx="10">
                        <c:v>3411</c:v>
                      </c:pt>
                      <c:pt idx="11">
                        <c:v>1795</c:v>
                      </c:pt>
                      <c:pt idx="12">
                        <c:v>1196</c:v>
                      </c:pt>
                      <c:pt idx="13">
                        <c:v>1963</c:v>
                      </c:pt>
                    </c:numCache>
                  </c:numRef>
                </c:val>
                <c:smooth val="0"/>
              </c15:ser>
            </c15:filteredLineSeries>
            <c15:filteredLineSeries>
              <c15:ser>
                <c:idx val="5"/>
                <c:order val="5"/>
                <c:tx>
                  <c:strRef>
                    <c:extLst>
                      <c:ext uri="{02D57815-91ED-43cb-92C2-25804820EDAC}">
                        <c15:formulaRef>
                          <c15:sqref>'9月直播商品数据（视频号）'!$G$7</c15:sqref>
                        </c15:formulaRef>
                      </c:ext>
                    </c:extLst>
                    <c:strCache>
                      <c:ptCount val="1"/>
                      <c:pt idx="0">
                        <c:v>曝光点击率</c:v>
                      </c:pt>
                    </c:strCache>
                  </c:strRef>
                </c:tx>
                <c:spPr>
                  <a:ln w="28575" cap="rnd">
                    <a:solidFill>
                      <a:schemeClr val="accent6"/>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'9月直播商品数据（视频号）'!$G$8:$G$23</c15:sqref>
                        </c15:formulaRef>
                      </c:ext>
                    </c:extLst>
                    <c:numCache>
                      <c:formatCode>0.00%</c:formatCode>
                      <c:ptCount val="16"/>
                      <c:pt idx="0">
                        <c:v>0.0501283388614761</c:v>
                      </c:pt>
                      <c:pt idx="1">
                        <c:v>0.0372877518677836</c:v>
                      </c:pt>
                      <c:pt idx="2">
                        <c:v>0.0427568128987586</c:v>
                      </c:pt>
                      <c:pt idx="3">
                        <c:v>0.0554647697779487</c:v>
                      </c:pt>
                      <c:pt idx="4">
                        <c:v>0.044404973357016</c:v>
                      </c:pt>
                      <c:pt idx="5">
                        <c:v>0.0393810613490247</c:v>
                      </c:pt>
                      <c:pt idx="6">
                        <c:v>0.0413869693978282</c:v>
                      </c:pt>
                      <c:pt idx="7">
                        <c:v>0.0486218478434718</c:v>
                      </c:pt>
                      <c:pt idx="8">
                        <c:v>0.0454406312710452</c:v>
                      </c:pt>
                      <c:pt idx="9">
                        <c:v>0.0442143993015497</c:v>
                      </c:pt>
                      <c:pt idx="10">
                        <c:v>0.049972164434938</c:v>
                      </c:pt>
                      <c:pt idx="11">
                        <c:v>0.0538021161166562</c:v>
                      </c:pt>
                      <c:pt idx="12">
                        <c:v>0.0530612244897959</c:v>
                      </c:pt>
                      <c:pt idx="13">
                        <c:v>0.0423169785289299</c:v>
                      </c:pt>
                      <c:pt idx="14">
                        <c:v>0</c:v>
                      </c:pt>
                      <c:pt idx="15">
                        <c:v>0</c:v>
                      </c:pt>
                    </c:numCache>
                  </c:numRef>
                </c:val>
                <c:smooth val="0"/>
              </c15:ser>
            </c15:filteredLineSeries>
            <c15:filteredLineSeries>
              <c15:ser>
                <c:idx val="6"/>
                <c:order val="6"/>
                <c:tx>
                  <c:strRef>
                    <c:extLst>
                      <c:ext uri="{02D57815-91ED-43cb-92C2-25804820EDAC}">
                        <c15:formulaRef>
                          <c15:sqref>'9月直播商品数据（视频号）'!$H$7</c15:sqref>
                        </c15:formulaRef>
                      </c:ext>
                    </c:extLst>
                    <c:strCache>
                      <c:ptCount val="1"/>
                      <c:pt idx="0">
                        <c:v>成交人数</c:v>
                      </c:pt>
                    </c:strCache>
                  </c:strRef>
                </c:tx>
                <c:spPr>
                  <a:ln w="28575" cap="rnd">
                    <a:solidFill>
                      <a:schemeClr val="accent1">
                        <a:lumMod val="60000"/>
                      </a:schemeClr>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'9月直播商品数据（视频号）'!$H$8:$H$23</c15:sqref>
                        </c15:formulaRef>
                      </c:ext>
                    </c:extLst>
                    <c:numCache>
                      <c:formatCode>General</c:formatCode>
                      <c:ptCount val="16"/>
                      <c:pt idx="0">
                        <c:v>209</c:v>
                      </c:pt>
                      <c:pt idx="1">
                        <c:v>80</c:v>
                      </c:pt>
                      <c:pt idx="2">
                        <c:v>72</c:v>
                      </c:pt>
                      <c:pt idx="3">
                        <c:v>30</c:v>
                      </c:pt>
                      <c:pt idx="4">
                        <c:v>63</c:v>
                      </c:pt>
                      <c:pt idx="5">
                        <c:v>89</c:v>
                      </c:pt>
                      <c:pt idx="6">
                        <c:v>41</c:v>
                      </c:pt>
                      <c:pt idx="7">
                        <c:v>60</c:v>
                      </c:pt>
                      <c:pt idx="8">
                        <c:v>17</c:v>
                      </c:pt>
                      <c:pt idx="9">
                        <c:v>11</c:v>
                      </c:pt>
                      <c:pt idx="10">
                        <c:v>58</c:v>
                      </c:pt>
                      <c:pt idx="11">
                        <c:v>45</c:v>
                      </c:pt>
                      <c:pt idx="12">
                        <c:v>17</c:v>
                      </c:pt>
                      <c:pt idx="13">
                        <c:v>111</c:v>
                      </c:pt>
                    </c:numCache>
                  </c:numRef>
                </c:val>
                <c:smooth val="0"/>
              </c15:ser>
            </c15:filteredLineSeries>
            <c15:filteredLineSeries>
              <c15:ser>
                <c:idx val="7"/>
                <c:order val="7"/>
                <c:tx>
                  <c:strRef>
                    <c:extLst>
                      <c:ext uri="{02D57815-91ED-43cb-92C2-25804820EDAC}">
                        <c15:formulaRef>
                          <c15:sqref>'9月直播商品数据（视频号）'!$J$7</c15:sqref>
                        </c15:formulaRef>
                      </c:ext>
                    </c:extLst>
                    <c:strCache>
                      <c:ptCount val="1"/>
                      <c:pt idx="0">
                        <c:v>点击转化率</c:v>
                      </c:pt>
                    </c:strCache>
                  </c:strRef>
                </c:tx>
                <c:spPr>
                  <a:ln w="28575" cap="rnd">
                    <a:solidFill>
                      <a:schemeClr val="accent2">
                        <a:lumMod val="60000"/>
                      </a:schemeClr>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'9月直播商品数据（视频号）'!$J$8:$J$23</c15:sqref>
                        </c15:formulaRef>
                      </c:ext>
                    </c:extLst>
                    <c:numCache>
                      <c:formatCode>0.00%</c:formatCode>
                      <c:ptCount val="16"/>
                      <c:pt idx="0">
                        <c:v>0.0488660275894318</c:v>
                      </c:pt>
                      <c:pt idx="1">
                        <c:v>0.0485731633272617</c:v>
                      </c:pt>
                      <c:pt idx="2">
                        <c:v>0.0416425679583574</c:v>
                      </c:pt>
                      <c:pt idx="3">
                        <c:v>0.0173310225303293</c:v>
                      </c:pt>
                      <c:pt idx="4">
                        <c:v>0.0315</c:v>
                      </c:pt>
                      <c:pt idx="5">
                        <c:v>0.0246264526840066</c:v>
                      </c:pt>
                      <c:pt idx="6">
                        <c:v>0.024448419797257</c:v>
                      </c:pt>
                      <c:pt idx="7">
                        <c:v>0.0219298245614035</c:v>
                      </c:pt>
                      <c:pt idx="8">
                        <c:v>0.0127245508982036</c:v>
                      </c:pt>
                      <c:pt idx="9">
                        <c:v>0.0077574047954866</c:v>
                      </c:pt>
                      <c:pt idx="10">
                        <c:v>0.0170038111990619</c:v>
                      </c:pt>
                      <c:pt idx="11">
                        <c:v>0.0250696378830084</c:v>
                      </c:pt>
                      <c:pt idx="12">
                        <c:v>0.0142140468227425</c:v>
                      </c:pt>
                      <c:pt idx="13">
                        <c:v>0.0565461029037188</c:v>
                      </c:pt>
                      <c:pt idx="14">
                        <c:v>0</c:v>
                      </c:pt>
                      <c:pt idx="15">
                        <c:v>0</c:v>
                      </c:pt>
                    </c:numCache>
                  </c:numRef>
                </c:val>
                <c:smooth val="0"/>
              </c15:ser>
            </c15:filteredLineSeries>
            <c15:filteredLineSeries>
              <c15:ser>
                <c:idx val="8"/>
                <c:order val="8"/>
                <c:tx>
                  <c:strRef>
                    <c:extLst>
                      <c:ext uri="{02D57815-91ED-43cb-92C2-25804820EDAC}">
                        <c15:formulaRef>
                          <c15:sqref>'9月直播商品数据（视频号）'!$K$7</c15:sqref>
                        </c15:formulaRef>
                      </c:ext>
                    </c:extLst>
                    <c:strCache>
                      <c:ptCount val="1"/>
                      <c:pt idx="0">
                        <c:v>曝光转化率</c:v>
                      </c:pt>
                    </c:strCache>
                  </c:strRef>
                </c:tx>
                <c:spPr>
                  <a:ln w="28575" cap="rnd">
                    <a:solidFill>
                      <a:schemeClr val="accent3">
                        <a:lumMod val="60000"/>
                      </a:schemeClr>
                    </a:solidFill>
                    <a:round/>
                  </a:ln>
                  <a:effectLst/>
                </c:spPr>
                <c:marker>
                  <c:symbol val="none"/>
                </c:marker>
                <c:dLbls>
                  <c:delete val="1"/>
                </c:dLbls>
                <c:cat>
                  <c:numRef>
                    <c:extLst>
                      <c:ext uri="{02D57815-91ED-43cb-92C2-25804820EDAC}">
                        <c15:fullRef>
                          <c15:sqref/>
                        </c15:fullRef>
                        <c15:formulaRef>
                          <c15:sqref>'9月直播商品数据（视频号）'!$A$8:$A$23</c15:sqref>
                        </c15:formulaRef>
                      </c:ext>
                    </c:extLst>
                    <c:numCache>
                      <c:formatCode>yyyy/m/d</c:formatCode>
                      <c:ptCount val="16"/>
                      <c:pt idx="0" c:formatCode="yyyy/m/d">
                        <c:v>44808</c:v>
                      </c:pt>
                      <c:pt idx="1" c:formatCode="yyyy/m/d">
                        <c:v>44809</c:v>
                      </c:pt>
                      <c:pt idx="2" c:formatCode="yyyy/m/d">
                        <c:v>44811</c:v>
                      </c:pt>
                      <c:pt idx="3" c:formatCode="yyyy/m/d">
                        <c:v>44812</c:v>
                      </c:pt>
                      <c:pt idx="4" c:formatCode="yyyy/m/d">
                        <c:v>44813</c:v>
                      </c:pt>
                      <c:pt idx="5" c:formatCode="yyyy/m/d">
                        <c:v>44815</c:v>
                      </c:pt>
                      <c:pt idx="6" c:formatCode="yyyy/m/d">
                        <c:v>44816</c:v>
                      </c:pt>
                      <c:pt idx="7" c:formatCode="yyyy/m/d">
                        <c:v>44817</c:v>
                      </c:pt>
                      <c:pt idx="8" c:formatCode="yyyy/m/d">
                        <c:v>44818</c:v>
                      </c:pt>
                      <c:pt idx="9" c:formatCode="yyyy/m/d">
                        <c:v>44820</c:v>
                      </c:pt>
                      <c:pt idx="10" c:formatCode="yyyy/m/d">
                        <c:v>44829</c:v>
                      </c:pt>
                      <c:pt idx="11" c:formatCode="yyyy/m/d">
                        <c:v>44830</c:v>
                      </c:pt>
                      <c:pt idx="12" c:formatCode="yyyy/m/d">
                        <c:v>44831</c:v>
                      </c:pt>
                      <c:pt idx="13" c:formatCode="yyyy/m/d">
                        <c:v>44832</c:v>
                      </c:pt>
                      <c:pt idx="14" c:formatCode="yyyy/m/d">
                        <c:v>44833</c:v>
                      </c:pt>
                      <c:pt idx="15" c:formatCode="yyyy/m/d">
                        <c:v>44834</c:v>
                      </c:pt>
                    </c:numCache>
                  </c:numRef>
                </c:cat>
                <c:val>
                  <c:numRef>
                    <c:extLst>
                      <c:ext uri="{02D57815-91ED-43cb-92C2-25804820EDAC}">
                        <c15:formulaRef>
                          <c15:sqref>'9月直播商品数据（视频号）'!$K$8:$K$23</c15:sqref>
                        </c15:formulaRef>
                      </c:ext>
                    </c:extLst>
                    <c:numCache>
                      <c:formatCode>0.00%</c:formatCode>
                      <c:ptCount val="16"/>
                      <c:pt idx="0">
                        <c:v>0.00244957278981728</c:v>
                      </c:pt>
                      <c:pt idx="1">
                        <c:v>0.00181118406158026</c:v>
                      </c:pt>
                      <c:pt idx="2">
                        <c:v>0.00178050348681933</c:v>
                      </c:pt>
                      <c:pt idx="3">
                        <c:v>0.000961261174661155</c:v>
                      </c:pt>
                      <c:pt idx="4">
                        <c:v>0.001398756660746</c:v>
                      </c:pt>
                      <c:pt idx="5">
                        <c:v>0.00096981584395772</c:v>
                      </c:pt>
                      <c:pt idx="6">
                        <c:v>0.00101184600197433</c:v>
                      </c:pt>
                      <c:pt idx="7">
                        <c:v>0.00106626859305859</c:v>
                      </c:pt>
                      <c:pt idx="8">
                        <c:v>0.000578211625454917</c:v>
                      </c:pt>
                      <c:pt idx="9">
                        <c:v>0.000342988993171401</c:v>
                      </c:pt>
                      <c:pt idx="10">
                        <c:v>0.00084971724926016</c:v>
                      </c:pt>
                      <c:pt idx="11">
                        <c:v>0.00134879956838414</c:v>
                      </c:pt>
                      <c:pt idx="12">
                        <c:v>0.000754214729370009</c:v>
                      </c:pt>
                      <c:pt idx="13">
                        <c:v>0.00239286022247133</c:v>
                      </c:pt>
                      <c:pt idx="14">
                        <c:v>0</c:v>
                      </c:pt>
                      <c:pt idx="15">
                        <c:v>0</c:v>
                      </c:pt>
                    </c:numCache>
                  </c:numRef>
                </c:val>
                <c:smooth val="0"/>
              </c15:ser>
            </c15:filteredLineSeries>
          </c:ext>
        </c:extLst>
      </c:lineChart>
      <c:dateAx>
        <c:axId val="614378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6798728"/>
        <c:crosses val="autoZero"/>
        <c:auto val="1"/>
        <c:lblOffset val="100"/>
        <c:baseTimeUnit val="days"/>
      </c:dateAx>
      <c:valAx>
        <c:axId val="646798728"/>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143789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en-US" altLang="zh-CN" sz="1400" b="0" i="0" u="none" strike="noStrike" baseline="0">
                <a:solidFill>
                  <a:srgbClr val="333333"/>
                </a:solidFill>
                <a:latin typeface="Calibri" panose="020F0502020204030204" charset="0"/>
                <a:ea typeface="Calibri" panose="020F0502020204030204" charset="0"/>
                <a:cs typeface="Calibri" panose="020F0502020204030204" charset="0"/>
              </a:rPr>
              <a:t>8</a:t>
            </a: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月下单用户数与新用户（截止至</a:t>
            </a:r>
            <a:r>
              <a:rPr lang="en-US" altLang="zh-CN" sz="1400" b="0" i="0" u="none" strike="noStrike" baseline="0">
                <a:solidFill>
                  <a:srgbClr val="333333"/>
                </a:solidFill>
                <a:latin typeface="Calibri" panose="020F0502020204030204" charset="0"/>
                <a:ea typeface="Calibri" panose="020F0502020204030204" charset="0"/>
                <a:cs typeface="Calibri" panose="020F0502020204030204" charset="0"/>
              </a:rPr>
              <a:t>0829</a:t>
            </a: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a:t>
            </a:r>
            <a:endParaRPr lang="en-US" altLang="zh-CN" sz="11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overlay val="0"/>
      <c:spPr>
        <a:noFill/>
        <a:ln>
          <a:noFill/>
        </a:ln>
        <a:effectLst/>
      </c:spPr>
    </c:title>
    <c:autoTitleDeleted val="0"/>
    <c:plotArea>
      <c:layout/>
      <c:lineChart>
        <c:grouping val="standard"/>
        <c:varyColors val="0"/>
        <c:ser>
          <c:idx val="0"/>
          <c:order val="0"/>
          <c:tx>
            <c:strRef>
              <c:f>#REF!</c:f>
              <c:strCache>
                <c:ptCount val="1"/>
                <c:pt idx="0">
                  <c:v/>
                </c:pt>
              </c:strCache>
            </c:strRef>
          </c:tx>
          <c:spPr>
            <a:ln w="28575" cap="rnd" cmpd="sng" algn="ctr">
              <a:solidFill>
                <a:schemeClr val="accent1"/>
              </a:solidFill>
              <a:prstDash val="solid"/>
              <a:round/>
            </a:ln>
            <a:effectLst/>
          </c:spPr>
          <c:marker>
            <c:symbol val="none"/>
          </c:marker>
          <c:dLbls>
            <c:delete val="1"/>
          </c:dLbls>
          <c:val>
            <c:numRef>
              <c:f>#REF!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#REF!</c15:sqref>
                        </c15:formulaRef>
                      </c:ext>
                    </c:extLst>
                    <c:numCache>
                      <c:ptCount val="0"/>
                    </c:numCache>
                  </c:numRef>
                </c15:cat>
              </c15:filteredCategoryTitle>
            </c:ext>
          </c:extLst>
        </c:ser>
        <c:ser>
          <c:idx val="1"/>
          <c:order val="1"/>
          <c:tx>
            <c:strRef>
              <c:f>#REF!</c:f>
              <c:strCache>
                <c:ptCount val="1"/>
                <c:pt idx="0">
                  <c:v/>
                </c:pt>
              </c:strCache>
            </c:strRef>
          </c:tx>
          <c:spPr>
            <a:ln w="28575" cap="rnd" cmpd="sng" algn="ctr">
              <a:solidFill>
                <a:schemeClr val="accent2"/>
              </a:solidFill>
              <a:prstDash val="solid"/>
              <a:round/>
            </a:ln>
            <a:effectLst/>
          </c:spPr>
          <c:marker>
            <c:symbol val="none"/>
          </c:marker>
          <c:dLbls>
            <c:delete val="1"/>
          </c:dLbls>
          <c:val>
            <c:numRef>
              <c:f>#REF!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#REF!</c15:sqref>
                        </c15:formulaRef>
                      </c:ext>
                    </c:extLst>
                    <c:numCache>
                      <c:ptCount val="0"/>
                    </c:numCache>
                  </c:numRef>
                </c15:cat>
              </c15:filteredCategoryTitle>
            </c:ext>
          </c:extLst>
        </c:ser>
        <c:dLbls>
          <c:showLegendKey val="0"/>
          <c:showVal val="0"/>
          <c:showCatName val="0"/>
          <c:showSerName val="0"/>
          <c:showPercent val="0"/>
          <c:showBubbleSize val="0"/>
        </c:dLbls>
        <c:marker val="0"/>
        <c:smooth val="0"/>
        <c:axId val="58281257"/>
        <c:axId val="943801346"/>
      </c:lineChart>
      <c:catAx>
        <c:axId val="5828125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943801346"/>
        <c:crosses val="autoZero"/>
        <c:auto val="1"/>
        <c:lblAlgn val="ctr"/>
        <c:lblOffset val="100"/>
        <c:noMultiLvlLbl val="1"/>
      </c:catAx>
      <c:valAx>
        <c:axId val="943801346"/>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828125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wrap="square"/>
    <a:lstStyle/>
    <a:p>
      <a:pPr>
        <a:defRPr lang="zh-CN"/>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下单用户数</a:t>
            </a:r>
            <a:r>
              <a:rPr lang="en-US" altLang="zh-CN"/>
              <a:t>|</a:t>
            </a:r>
            <a:r>
              <a:rPr lang="zh-CN" altLang="en-US"/>
              <a:t>新用户数</a:t>
            </a:r>
            <a:endParaRPr lang="zh-CN" altLang="en-US"/>
          </a:p>
        </c:rich>
      </c:tx>
      <c:layout/>
      <c:overlay val="0"/>
      <c:spPr>
        <a:noFill/>
        <a:ln>
          <a:noFill/>
        </a:ln>
        <a:effectLst/>
      </c:spPr>
    </c:title>
    <c:autoTitleDeleted val="0"/>
    <c:plotArea>
      <c:layout/>
      <c:lineChart>
        <c:grouping val="standard"/>
        <c:varyColors val="0"/>
        <c:ser>
          <c:idx val="0"/>
          <c:order val="0"/>
          <c:tx>
            <c:strRef>
              <c:f>'9月直播用户数据（有赞）'!$B$7</c:f>
              <c:strCache>
                <c:ptCount val="1"/>
                <c:pt idx="0">
                  <c:v>下单用户数</c:v>
                </c:pt>
              </c:strCache>
            </c:strRef>
          </c:tx>
          <c:spPr>
            <a:ln w="28575" cap="rnd">
              <a:solidFill>
                <a:schemeClr val="accent1"/>
              </a:solidFill>
              <a:round/>
            </a:ln>
            <a:effectLst/>
          </c:spPr>
          <c:marker>
            <c:symbol val="none"/>
          </c:marker>
          <c:dLbls>
            <c:delete val="1"/>
          </c:dLbls>
          <c:trendline>
            <c:spPr>
              <a:ln w="19050" cap="rnd">
                <a:solidFill>
                  <a:schemeClr val="accent1"/>
                </a:solidFill>
                <a:prstDash val="sysDot"/>
              </a:ln>
              <a:effectLst/>
            </c:spPr>
            <c:trendlineType val="linear"/>
            <c:dispRSqr val="0"/>
            <c:dispEq val="0"/>
          </c:trendline>
          <c:cat>
            <c:numRef>
              <c:f>'9月直播用户数据（有赞）'!$A$8:$A$21</c:f>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f>'9月直播用户数据（有赞）'!$B$8:$B$21</c:f>
              <c:numCache>
                <c:formatCode>General</c:formatCode>
                <c:ptCount val="14"/>
                <c:pt idx="0">
                  <c:v>140</c:v>
                </c:pt>
                <c:pt idx="1">
                  <c:v>56</c:v>
                </c:pt>
                <c:pt idx="2">
                  <c:v>37</c:v>
                </c:pt>
                <c:pt idx="3">
                  <c:v>48</c:v>
                </c:pt>
                <c:pt idx="4">
                  <c:v>60</c:v>
                </c:pt>
                <c:pt idx="5">
                  <c:v>37</c:v>
                </c:pt>
                <c:pt idx="6">
                  <c:v>30</c:v>
                </c:pt>
                <c:pt idx="7">
                  <c:v>17</c:v>
                </c:pt>
                <c:pt idx="8">
                  <c:v>10</c:v>
                </c:pt>
                <c:pt idx="9">
                  <c:v>46</c:v>
                </c:pt>
                <c:pt idx="10">
                  <c:v>46</c:v>
                </c:pt>
                <c:pt idx="11">
                  <c:v>18</c:v>
                </c:pt>
              </c:numCache>
            </c:numRef>
          </c:val>
          <c:smooth val="0"/>
        </c:ser>
        <c:ser>
          <c:idx val="6"/>
          <c:order val="6"/>
          <c:tx>
            <c:strRef>
              <c:f>'9月直播用户数据（有赞）'!$H$7</c:f>
              <c:strCache>
                <c:ptCount val="1"/>
                <c:pt idx="0">
                  <c:v>新用户数</c:v>
                </c:pt>
              </c:strCache>
            </c:strRef>
          </c:tx>
          <c:spPr>
            <a:ln w="28575" cap="rnd">
              <a:solidFill>
                <a:schemeClr val="accent1">
                  <a:lumMod val="60000"/>
                </a:schemeClr>
              </a:solidFill>
              <a:round/>
            </a:ln>
            <a:effectLst/>
          </c:spPr>
          <c:marker>
            <c:symbol val="none"/>
          </c:marker>
          <c:dLbls>
            <c:delete val="1"/>
          </c:dLbls>
          <c:trendline>
            <c:spPr>
              <a:ln w="19050" cap="rnd">
                <a:solidFill>
                  <a:schemeClr val="accent1">
                    <a:lumMod val="60000"/>
                  </a:schemeClr>
                </a:solidFill>
                <a:prstDash val="sysDot"/>
              </a:ln>
              <a:effectLst/>
            </c:spPr>
            <c:trendlineType val="linear"/>
            <c:dispRSqr val="0"/>
            <c:dispEq val="0"/>
          </c:trendline>
          <c:cat>
            <c:numRef>
              <c:f>'9月直播用户数据（有赞）'!$A$8:$A$21</c:f>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f>'9月直播用户数据（有赞）'!$H$8:$H$21</c:f>
              <c:numCache>
                <c:formatCode>General</c:formatCode>
                <c:ptCount val="14"/>
                <c:pt idx="0">
                  <c:v>33</c:v>
                </c:pt>
                <c:pt idx="1">
                  <c:v>13</c:v>
                </c:pt>
                <c:pt idx="2">
                  <c:v>10</c:v>
                </c:pt>
                <c:pt idx="3">
                  <c:v>12</c:v>
                </c:pt>
                <c:pt idx="4">
                  <c:v>22</c:v>
                </c:pt>
                <c:pt idx="5">
                  <c:v>5</c:v>
                </c:pt>
                <c:pt idx="6">
                  <c:v>8</c:v>
                </c:pt>
                <c:pt idx="7">
                  <c:v>4</c:v>
                </c:pt>
                <c:pt idx="8">
                  <c:v>1</c:v>
                </c:pt>
                <c:pt idx="9">
                  <c:v>22</c:v>
                </c:pt>
                <c:pt idx="10">
                  <c:v>4</c:v>
                </c:pt>
                <c:pt idx="11">
                  <c:v>5</c:v>
                </c:pt>
              </c:numCache>
            </c:numRef>
          </c:val>
          <c:smooth val="0"/>
        </c:ser>
        <c:dLbls>
          <c:showLegendKey val="0"/>
          <c:showVal val="0"/>
          <c:showCatName val="0"/>
          <c:showSerName val="0"/>
          <c:showPercent val="0"/>
          <c:showBubbleSize val="0"/>
        </c:dLbls>
        <c:marker val="0"/>
        <c:smooth val="0"/>
        <c:axId val="703386120"/>
        <c:axId val="703389320"/>
        <c:extLst>
          <c:ext xmlns:c15="http://schemas.microsoft.com/office/drawing/2012/chart" uri="{02D57815-91ED-43cb-92C2-25804820EDAC}">
            <c15:filteredLineSeries>
              <c15:ser>
                <c:idx val="1"/>
                <c:order val="1"/>
                <c:tx>
                  <c:strRef>
                    <c:extLst>
                      <c:ext uri="{02D57815-91ED-43cb-92C2-25804820EDAC}">
                        <c15:formulaRef>
                          <c15:sqref>'9月直播用户数据（有赞）'!$C$7</c15:sqref>
                        </c15:formulaRef>
                      </c:ext>
                    </c:extLst>
                    <c:strCache>
                      <c:ptCount val="1"/>
                      <c:pt idx="0">
                        <c:v> 订单数</c:v>
                      </c:pt>
                    </c:strCache>
                  </c:strRef>
                </c:tx>
                <c:spPr>
                  <a:ln w="28575" cap="rnd">
                    <a:solidFill>
                      <a:schemeClr val="accent2"/>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'9月直播用户数据（有赞）'!$C$8:$C$21</c15:sqref>
                        </c15:formulaRef>
                      </c:ext>
                    </c:extLst>
                    <c:numCache>
                      <c:formatCode>General</c:formatCode>
                      <c:ptCount val="14"/>
                      <c:pt idx="0">
                        <c:v>236</c:v>
                      </c:pt>
                      <c:pt idx="1">
                        <c:v>84</c:v>
                      </c:pt>
                      <c:pt idx="2">
                        <c:v>64</c:v>
                      </c:pt>
                      <c:pt idx="3">
                        <c:v>62</c:v>
                      </c:pt>
                      <c:pt idx="4">
                        <c:v>83</c:v>
                      </c:pt>
                      <c:pt idx="5">
                        <c:v>43</c:v>
                      </c:pt>
                      <c:pt idx="6">
                        <c:v>59</c:v>
                      </c:pt>
                      <c:pt idx="7">
                        <c:v>19</c:v>
                      </c:pt>
                      <c:pt idx="8">
                        <c:v>13</c:v>
                      </c:pt>
                      <c:pt idx="9">
                        <c:v>56</c:v>
                      </c:pt>
                      <c:pt idx="10">
                        <c:v>46</c:v>
                      </c:pt>
                      <c:pt idx="11">
                        <c:v>18</c:v>
                      </c:pt>
                    </c:numCache>
                  </c:numRef>
                </c:val>
                <c:smooth val="0"/>
              </c15:ser>
            </c15:filteredLineSeries>
            <c15:filteredLineSeries>
              <c15:ser>
                <c:idx val="2"/>
                <c:order val="2"/>
                <c:tx>
                  <c:strRef>
                    <c:extLst>
                      <c:ext uri="{02D57815-91ED-43cb-92C2-25804820EDAC}">
                        <c15:formulaRef>
                          <c15:sqref>'9月直播用户数据（有赞）'!$D$7</c15:sqref>
                        </c15:formulaRef>
                      </c:ext>
                    </c:extLst>
                    <c:strCache>
                      <c:ptCount val="1"/>
                      <c:pt idx="0">
                        <c:v>下单金额</c:v>
                      </c:pt>
                    </c:strCache>
                  </c:strRef>
                </c:tx>
                <c:spPr>
                  <a:ln w="28575" cap="rnd">
                    <a:solidFill>
                      <a:schemeClr val="accent3"/>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'9月直播用户数据（有赞）'!$D$8:$D$21</c15:sqref>
                        </c15:formulaRef>
                      </c:ext>
                    </c:extLst>
                    <c:numCache>
                      <c:formatCode>\¥#,##0.00_);[Red]\(\¥#,##0.00\)</c:formatCode>
                      <c:ptCount val="14"/>
                      <c:pt idx="0">
                        <c:v>17566.71</c:v>
                      </c:pt>
                      <c:pt idx="1" c:formatCode="&quot;￥&quot;#,##0.00_);[Red]\(&quot;￥&quot;#,##0.00\)">
                        <c:v>5392.79999999999</c:v>
                      </c:pt>
                      <c:pt idx="2" c:formatCode="&quot;￥&quot;#,##0.00_);[Red]\(&quot;￥&quot;#,##0.00\)">
                        <c:v>7643.6</c:v>
                      </c:pt>
                      <c:pt idx="3" c:formatCode="&quot;￥&quot;#,##0.00_);[Red]\(&quot;￥&quot;#,##0.00\)">
                        <c:v>11243.75</c:v>
                      </c:pt>
                      <c:pt idx="4" c:formatCode="&quot;￥&quot;#,##0.00_);[Red]\(&quot;￥&quot;#,##0.00\)">
                        <c:v>18339.3</c:v>
                      </c:pt>
                      <c:pt idx="5" c:formatCode="&quot;￥&quot;#,##0.00_);[Red]\(&quot;￥&quot;#,##0.00\)">
                        <c:v>8158.7</c:v>
                      </c:pt>
                      <c:pt idx="6" c:formatCode="&quot;￥&quot;#,##0.00_);[Red]\(&quot;￥&quot;#,##0.00\)">
                        <c:v>14445</c:v>
                      </c:pt>
                      <c:pt idx="7" c:formatCode="&quot;￥&quot;#,##0.00_);[Red]\(&quot;￥&quot;#,##0.00\)">
                        <c:v>2337.9</c:v>
                      </c:pt>
                      <c:pt idx="8" c:formatCode="&quot;￥&quot;#,##0.00_);[Red]\(&quot;￥&quot;#,##0.00\)">
                        <c:v>3549.78</c:v>
                      </c:pt>
                      <c:pt idx="9" c:formatCode="&quot;￥&quot;#,##0.00_);[Red]\(&quot;￥&quot;#,##0.00\)">
                        <c:v>12976.92</c:v>
                      </c:pt>
                      <c:pt idx="10" c:formatCode="&quot;￥&quot;#,##0.00_);[Red]\(&quot;￥&quot;#,##0.00\)">
                        <c:v>8516.24</c:v>
                      </c:pt>
                      <c:pt idx="11" c:formatCode="&quot;￥&quot;#,##0.00_);[Red]\(&quot;￥&quot;#,##0.00\)">
                        <c:v>5548.9</c:v>
                      </c:pt>
                    </c:numCache>
                  </c:numRef>
                </c:val>
                <c:smooth val="0"/>
              </c15:ser>
            </c15:filteredLineSeries>
            <c15:filteredLineSeries>
              <c15:ser>
                <c:idx val="3"/>
                <c:order val="3"/>
                <c:tx>
                  <c:strRef>
                    <c:extLst>
                      <c:ext uri="{02D57815-91ED-43cb-92C2-25804820EDAC}">
                        <c15:formulaRef>
                          <c15:sqref>'9月直播用户数据（有赞）'!$E$7</c15:sqref>
                        </c15:formulaRef>
                      </c:ext>
                    </c:extLst>
                    <c:strCache>
                      <c:ptCount val="1"/>
                      <c:pt idx="0">
                        <c:v>客单价</c:v>
                      </c:pt>
                    </c:strCache>
                  </c:strRef>
                </c:tx>
                <c:spPr>
                  <a:ln w="28575" cap="rnd">
                    <a:solidFill>
                      <a:schemeClr val="accent4"/>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'9月直播用户数据（有赞）'!$E$8:$E$21</c15:sqref>
                        </c15:formulaRef>
                      </c:ext>
                    </c:extLst>
                    <c:numCache>
                      <c:formatCode>"￥"#,##0.00_);[Red]\("￥"#,##0.00\)</c:formatCode>
                      <c:ptCount val="14"/>
                      <c:pt idx="0">
                        <c:v>125.4765</c:v>
                      </c:pt>
                      <c:pt idx="1">
                        <c:v>96.2999999999998</c:v>
                      </c:pt>
                      <c:pt idx="2">
                        <c:v>206.583783783784</c:v>
                      </c:pt>
                      <c:pt idx="3">
                        <c:v>234.244791666667</c:v>
                      </c:pt>
                      <c:pt idx="4">
                        <c:v>305.655</c:v>
                      </c:pt>
                      <c:pt idx="5">
                        <c:v>220.505405405405</c:v>
                      </c:pt>
                      <c:pt idx="6">
                        <c:v>481.5</c:v>
                      </c:pt>
                      <c:pt idx="7">
                        <c:v>137.523529411765</c:v>
                      </c:pt>
                      <c:pt idx="8">
                        <c:v>354.978</c:v>
                      </c:pt>
                      <c:pt idx="9">
                        <c:v>282.106956521739</c:v>
                      </c:pt>
                      <c:pt idx="10">
                        <c:v>185.135652173913</c:v>
                      </c:pt>
                      <c:pt idx="11">
                        <c:v>308.272222222222</c:v>
                      </c:pt>
                      <c:pt idx="12">
                        <c:v>0</c:v>
                      </c:pt>
                      <c:pt idx="13">
                        <c:v>0</c:v>
                      </c:pt>
                    </c:numCache>
                  </c:numRef>
                </c:val>
                <c:smooth val="0"/>
              </c15:ser>
            </c15:filteredLineSeries>
            <c15:filteredLineSeries>
              <c15:ser>
                <c:idx val="4"/>
                <c:order val="4"/>
                <c:tx>
                  <c:strRef>
                    <c:extLst>
                      <c:ext uri="{02D57815-91ED-43cb-92C2-25804820EDAC}">
                        <c15:formulaRef>
                          <c15:sqref>'9月直播用户数据（有赞）'!$F$7</c15:sqref>
                        </c15:formulaRef>
                      </c:ext>
                    </c:extLst>
                    <c:strCache>
                      <c:ptCount val="1"/>
                      <c:pt idx="0">
                        <c:v>前20名下单金额</c:v>
                      </c:pt>
                    </c:strCache>
                  </c:strRef>
                </c:tx>
                <c:spPr>
                  <a:ln w="28575" cap="rnd">
                    <a:solidFill>
                      <a:schemeClr val="accent5"/>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'9月直播用户数据（有赞）'!$F$8:$F$21</c15:sqref>
                        </c15:formulaRef>
                      </c:ext>
                    </c:extLst>
                    <c:numCache>
                      <c:formatCode>"￥"#,##0.00_);[Red]\("￥"#,##0.00\)</c:formatCode>
                      <c:ptCount val="14"/>
                      <c:pt idx="0">
                        <c:v>8717.81</c:v>
                      </c:pt>
                      <c:pt idx="1">
                        <c:v>4285.9</c:v>
                      </c:pt>
                      <c:pt idx="2">
                        <c:v>7181.5</c:v>
                      </c:pt>
                      <c:pt idx="3">
                        <c:v>8222.23</c:v>
                      </c:pt>
                      <c:pt idx="4">
                        <c:v>11742.8</c:v>
                      </c:pt>
                      <c:pt idx="5">
                        <c:v>6175.8</c:v>
                      </c:pt>
                      <c:pt idx="6">
                        <c:v>13212.7</c:v>
                      </c:pt>
                      <c:pt idx="7">
                        <c:v>2070.6</c:v>
                      </c:pt>
                      <c:pt idx="8">
                        <c:v>3549.78</c:v>
                      </c:pt>
                      <c:pt idx="9">
                        <c:v>8071.42</c:v>
                      </c:pt>
                      <c:pt idx="10">
                        <c:v>8288.22</c:v>
                      </c:pt>
                      <c:pt idx="11">
                        <c:v>4694</c:v>
                      </c:pt>
                    </c:numCache>
                  </c:numRef>
                </c:val>
                <c:smooth val="0"/>
              </c15:ser>
            </c15:filteredLineSeries>
            <c15:filteredLineSeries>
              <c15:ser>
                <c:idx val="5"/>
                <c:order val="5"/>
                <c:tx>
                  <c:strRef>
                    <c:extLst>
                      <c:ext uri="{02D57815-91ED-43cb-92C2-25804820EDAC}">
                        <c15:formulaRef>
                          <c15:sqref>'9月直播用户数据（有赞）'!$G$7</c15:sqref>
                        </c15:formulaRef>
                      </c:ext>
                    </c:extLst>
                    <c:strCache>
                      <c:ptCount val="1"/>
                      <c:pt idx="0">
                        <c:v>前20名下单占比</c:v>
                      </c:pt>
                    </c:strCache>
                  </c:strRef>
                </c:tx>
                <c:spPr>
                  <a:ln w="28575" cap="rnd">
                    <a:solidFill>
                      <a:schemeClr val="accent6"/>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'9月直播用户数据（有赞）'!$G$8:$G$21</c15:sqref>
                        </c15:formulaRef>
                      </c:ext>
                    </c:extLst>
                    <c:numCache>
                      <c:formatCode>0.00%</c:formatCode>
                      <c:ptCount val="14"/>
                      <c:pt idx="0">
                        <c:v>0.496268794782859</c:v>
                      </c:pt>
                      <c:pt idx="1">
                        <c:v>0.794744844978491</c:v>
                      </c:pt>
                      <c:pt idx="2">
                        <c:v>0.939544193835365</c:v>
                      </c:pt>
                      <c:pt idx="3">
                        <c:v>0.731271150639244</c:v>
                      </c:pt>
                      <c:pt idx="4">
                        <c:v>0.640307972496224</c:v>
                      </c:pt>
                      <c:pt idx="5">
                        <c:v>0.756958829225244</c:v>
                      </c:pt>
                      <c:pt idx="6">
                        <c:v>0.914690204222915</c:v>
                      </c:pt>
                      <c:pt idx="7">
                        <c:v>0.885666623893237</c:v>
                      </c:pt>
                      <c:pt idx="8">
                        <c:v>1</c:v>
                      </c:pt>
                      <c:pt idx="9">
                        <c:v>0.621982720090746</c:v>
                      </c:pt>
                      <c:pt idx="10">
                        <c:v>0.973225273125229</c:v>
                      </c:pt>
                      <c:pt idx="11">
                        <c:v>0.84593342824704</c:v>
                      </c:pt>
                      <c:pt idx="12">
                        <c:v>0</c:v>
                      </c:pt>
                      <c:pt idx="13">
                        <c:v>0</c:v>
                      </c:pt>
                    </c:numCache>
                  </c:numRef>
                </c:val>
                <c:smooth val="0"/>
              </c15:ser>
            </c15:filteredLineSeries>
            <c15:filteredLineSeries>
              <c15:ser>
                <c:idx val="7"/>
                <c:order val="7"/>
                <c:tx>
                  <c:strRef>
                    <c:extLst>
                      <c:ext uri="{02D57815-91ED-43cb-92C2-25804820EDAC}">
                        <c15:formulaRef>
                          <c15:sqref>'9月直播用户数据（有赞）'!$I$7</c15:sqref>
                        </c15:formulaRef>
                      </c:ext>
                    </c:extLst>
                    <c:strCache>
                      <c:ptCount val="1"/>
                      <c:pt idx="0">
                        <c:v>新用户占比</c:v>
                      </c:pt>
                    </c:strCache>
                  </c:strRef>
                </c:tx>
                <c:spPr>
                  <a:ln w="28575" cap="rnd">
                    <a:solidFill>
                      <a:schemeClr val="accent2">
                        <a:lumMod val="60000"/>
                      </a:schemeClr>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'9月直播用户数据（有赞）'!$I$8:$I$21</c15:sqref>
                        </c15:formulaRef>
                      </c:ext>
                    </c:extLst>
                    <c:numCache>
                      <c:formatCode>0.00%</c:formatCode>
                      <c:ptCount val="14"/>
                      <c:pt idx="0">
                        <c:v>0.235714285714286</c:v>
                      </c:pt>
                      <c:pt idx="1">
                        <c:v>0.232142857142857</c:v>
                      </c:pt>
                      <c:pt idx="2">
                        <c:v>0.27027027027027</c:v>
                      </c:pt>
                      <c:pt idx="3">
                        <c:v>0.25</c:v>
                      </c:pt>
                      <c:pt idx="4">
                        <c:v>0.366666666666667</c:v>
                      </c:pt>
                      <c:pt idx="5">
                        <c:v>0.135135135135135</c:v>
                      </c:pt>
                      <c:pt idx="6">
                        <c:v>0.266666666666667</c:v>
                      </c:pt>
                      <c:pt idx="7">
                        <c:v>0.235294117647059</c:v>
                      </c:pt>
                      <c:pt idx="8">
                        <c:v>0.1</c:v>
                      </c:pt>
                      <c:pt idx="9">
                        <c:v>0.478260869565217</c:v>
                      </c:pt>
                      <c:pt idx="10">
                        <c:v>0.0869565217391304</c:v>
                      </c:pt>
                      <c:pt idx="11">
                        <c:v>0.277777777777778</c:v>
                      </c:pt>
                      <c:pt idx="12">
                        <c:v>0</c:v>
                      </c:pt>
                      <c:pt idx="13">
                        <c:v>0</c:v>
                      </c:pt>
                    </c:numCache>
                  </c:numRef>
                </c:val>
                <c:smooth val="0"/>
              </c15:ser>
            </c15:filteredLineSeries>
          </c:ext>
        </c:extLst>
      </c:lineChart>
      <c:dateAx>
        <c:axId val="7033861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3389320"/>
        <c:crosses val="autoZero"/>
        <c:auto val="1"/>
        <c:lblOffset val="100"/>
        <c:baseTimeUnit val="days"/>
      </c:dateAx>
      <c:valAx>
        <c:axId val="703389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33861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订单数</a:t>
            </a:r>
            <a:endParaRPr lang="zh-CN" altLang="en-US"/>
          </a:p>
        </c:rich>
      </c:tx>
      <c:layout/>
      <c:overlay val="0"/>
      <c:spPr>
        <a:noFill/>
        <a:ln>
          <a:noFill/>
        </a:ln>
        <a:effectLst/>
      </c:spPr>
    </c:title>
    <c:autoTitleDeleted val="0"/>
    <c:plotArea>
      <c:layout/>
      <c:lineChart>
        <c:grouping val="standard"/>
        <c:varyColors val="0"/>
        <c:ser>
          <c:idx val="1"/>
          <c:order val="1"/>
          <c:tx>
            <c:strRef>
              <c:f>'9月直播用户数据（有赞）'!$C$7</c:f>
              <c:strCache>
                <c:ptCount val="1"/>
                <c:pt idx="0">
                  <c:v> 订单数</c:v>
                </c:pt>
              </c:strCache>
            </c:strRef>
          </c:tx>
          <c:spPr>
            <a:ln w="28575" cap="rnd">
              <a:solidFill>
                <a:schemeClr val="accent2"/>
              </a:solidFill>
              <a:round/>
            </a:ln>
            <a:effectLst/>
          </c:spPr>
          <c:marker>
            <c:symbol val="none"/>
          </c:marker>
          <c:dLbls>
            <c:delete val="1"/>
          </c:dLbls>
          <c:trendline>
            <c:spPr>
              <a:ln w="19050" cap="rnd">
                <a:solidFill>
                  <a:schemeClr val="accent2"/>
                </a:solidFill>
                <a:prstDash val="sysDot"/>
              </a:ln>
              <a:effectLst/>
            </c:spPr>
            <c:trendlineType val="linear"/>
            <c:dispRSqr val="0"/>
            <c:dispEq val="0"/>
          </c:trendline>
          <c:cat>
            <c:numRef>
              <c:f>'9月直播用户数据（有赞）'!$A$8:$A$21</c:f>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f>'9月直播用户数据（有赞）'!$C$8:$C$21</c:f>
              <c:numCache>
                <c:formatCode>General</c:formatCode>
                <c:ptCount val="14"/>
                <c:pt idx="0">
                  <c:v>236</c:v>
                </c:pt>
                <c:pt idx="1">
                  <c:v>84</c:v>
                </c:pt>
                <c:pt idx="2">
                  <c:v>64</c:v>
                </c:pt>
                <c:pt idx="3">
                  <c:v>62</c:v>
                </c:pt>
                <c:pt idx="4">
                  <c:v>83</c:v>
                </c:pt>
                <c:pt idx="5">
                  <c:v>43</c:v>
                </c:pt>
                <c:pt idx="6">
                  <c:v>59</c:v>
                </c:pt>
                <c:pt idx="7">
                  <c:v>19</c:v>
                </c:pt>
                <c:pt idx="8">
                  <c:v>13</c:v>
                </c:pt>
                <c:pt idx="9">
                  <c:v>56</c:v>
                </c:pt>
                <c:pt idx="10">
                  <c:v>46</c:v>
                </c:pt>
                <c:pt idx="11">
                  <c:v>18</c:v>
                </c:pt>
              </c:numCache>
            </c:numRef>
          </c:val>
          <c:smooth val="0"/>
        </c:ser>
        <c:dLbls>
          <c:showLegendKey val="0"/>
          <c:showVal val="0"/>
          <c:showCatName val="0"/>
          <c:showSerName val="0"/>
          <c:showPercent val="0"/>
          <c:showBubbleSize val="0"/>
        </c:dLbls>
        <c:marker val="0"/>
        <c:smooth val="0"/>
        <c:axId val="703386120"/>
        <c:axId val="703389320"/>
        <c:extLst>
          <c:ext xmlns:c15="http://schemas.microsoft.com/office/drawing/2012/chart" uri="{02D57815-91ED-43cb-92C2-25804820EDAC}">
            <c15:filteredLineSeries>
              <c15:ser>
                <c:idx val="0"/>
                <c:order val="0"/>
                <c:tx>
                  <c:strRef>
                    <c:extLst>
                      <c:ext uri="{02D57815-91ED-43cb-92C2-25804820EDAC}">
                        <c15:formulaRef>
                          <c15:sqref>'9月直播用户数据（有赞）'!$B$7</c15:sqref>
                        </c15:formulaRef>
                      </c:ext>
                    </c:extLst>
                    <c:strCache>
                      <c:ptCount val="1"/>
                      <c:pt idx="0">
                        <c:v>下单用户数</c:v>
                      </c:pt>
                    </c:strCache>
                  </c:strRef>
                </c:tx>
                <c:spPr>
                  <a:ln w="28575" cap="rnd">
                    <a:solidFill>
                      <a:schemeClr val="accent1"/>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'9月直播用户数据（有赞）'!$B$8:$B$21</c15:sqref>
                        </c15:formulaRef>
                      </c:ext>
                    </c:extLst>
                    <c:numCache>
                      <c:formatCode>General</c:formatCode>
                      <c:ptCount val="14"/>
                      <c:pt idx="0">
                        <c:v>140</c:v>
                      </c:pt>
                      <c:pt idx="1">
                        <c:v>56</c:v>
                      </c:pt>
                      <c:pt idx="2">
                        <c:v>37</c:v>
                      </c:pt>
                      <c:pt idx="3">
                        <c:v>48</c:v>
                      </c:pt>
                      <c:pt idx="4">
                        <c:v>60</c:v>
                      </c:pt>
                      <c:pt idx="5">
                        <c:v>37</c:v>
                      </c:pt>
                      <c:pt idx="6">
                        <c:v>30</c:v>
                      </c:pt>
                      <c:pt idx="7">
                        <c:v>17</c:v>
                      </c:pt>
                      <c:pt idx="8">
                        <c:v>10</c:v>
                      </c:pt>
                      <c:pt idx="9">
                        <c:v>46</c:v>
                      </c:pt>
                      <c:pt idx="10">
                        <c:v>46</c:v>
                      </c:pt>
                      <c:pt idx="11">
                        <c:v>18</c:v>
                      </c:pt>
                    </c:numCache>
                  </c:numRef>
                </c:val>
                <c:smooth val="0"/>
              </c15:ser>
            </c15:filteredLineSeries>
            <c15:filteredLineSeries>
              <c15:ser>
                <c:idx val="2"/>
                <c:order val="2"/>
                <c:tx>
                  <c:strRef>
                    <c:extLst>
                      <c:ext uri="{02D57815-91ED-43cb-92C2-25804820EDAC}">
                        <c15:formulaRef>
                          <c15:sqref>'9月直播用户数据（有赞）'!$D$7</c15:sqref>
                        </c15:formulaRef>
                      </c:ext>
                    </c:extLst>
                    <c:strCache>
                      <c:ptCount val="1"/>
                      <c:pt idx="0">
                        <c:v>下单金额</c:v>
                      </c:pt>
                    </c:strCache>
                  </c:strRef>
                </c:tx>
                <c:spPr>
                  <a:ln w="28575" cap="rnd">
                    <a:solidFill>
                      <a:schemeClr val="accent3"/>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'9月直播用户数据（有赞）'!$D$8:$D$21</c15:sqref>
                        </c15:formulaRef>
                      </c:ext>
                    </c:extLst>
                    <c:numCache>
                      <c:formatCode>\¥#,##0.00_);[Red]\(\¥#,##0.00\)</c:formatCode>
                      <c:ptCount val="14"/>
                      <c:pt idx="0">
                        <c:v>17566.71</c:v>
                      </c:pt>
                      <c:pt idx="1" c:formatCode="&quot;￥&quot;#,##0.00_);[Red]\(&quot;￥&quot;#,##0.00\)">
                        <c:v>5392.79999999999</c:v>
                      </c:pt>
                      <c:pt idx="2" c:formatCode="&quot;￥&quot;#,##0.00_);[Red]\(&quot;￥&quot;#,##0.00\)">
                        <c:v>7643.6</c:v>
                      </c:pt>
                      <c:pt idx="3" c:formatCode="&quot;￥&quot;#,##0.00_);[Red]\(&quot;￥&quot;#,##0.00\)">
                        <c:v>11243.75</c:v>
                      </c:pt>
                      <c:pt idx="4" c:formatCode="&quot;￥&quot;#,##0.00_);[Red]\(&quot;￥&quot;#,##0.00\)">
                        <c:v>18339.3</c:v>
                      </c:pt>
                      <c:pt idx="5" c:formatCode="&quot;￥&quot;#,##0.00_);[Red]\(&quot;￥&quot;#,##0.00\)">
                        <c:v>8158.7</c:v>
                      </c:pt>
                      <c:pt idx="6" c:formatCode="&quot;￥&quot;#,##0.00_);[Red]\(&quot;￥&quot;#,##0.00\)">
                        <c:v>14445</c:v>
                      </c:pt>
                      <c:pt idx="7" c:formatCode="&quot;￥&quot;#,##0.00_);[Red]\(&quot;￥&quot;#,##0.00\)">
                        <c:v>2337.9</c:v>
                      </c:pt>
                      <c:pt idx="8" c:formatCode="&quot;￥&quot;#,##0.00_);[Red]\(&quot;￥&quot;#,##0.00\)">
                        <c:v>3549.78</c:v>
                      </c:pt>
                      <c:pt idx="9" c:formatCode="&quot;￥&quot;#,##0.00_);[Red]\(&quot;￥&quot;#,##0.00\)">
                        <c:v>12976.92</c:v>
                      </c:pt>
                      <c:pt idx="10" c:formatCode="&quot;￥&quot;#,##0.00_);[Red]\(&quot;￥&quot;#,##0.00\)">
                        <c:v>8516.24</c:v>
                      </c:pt>
                      <c:pt idx="11" c:formatCode="&quot;￥&quot;#,##0.00_);[Red]\(&quot;￥&quot;#,##0.00\)">
                        <c:v>5548.9</c:v>
                      </c:pt>
                    </c:numCache>
                  </c:numRef>
                </c:val>
                <c:smooth val="0"/>
              </c15:ser>
            </c15:filteredLineSeries>
            <c15:filteredLineSeries>
              <c15:ser>
                <c:idx val="3"/>
                <c:order val="3"/>
                <c:tx>
                  <c:strRef>
                    <c:extLst>
                      <c:ext uri="{02D57815-91ED-43cb-92C2-25804820EDAC}">
                        <c15:formulaRef>
                          <c15:sqref>'9月直播用户数据（有赞）'!$E$7</c15:sqref>
                        </c15:formulaRef>
                      </c:ext>
                    </c:extLst>
                    <c:strCache>
                      <c:ptCount val="1"/>
                      <c:pt idx="0">
                        <c:v>客单价</c:v>
                      </c:pt>
                    </c:strCache>
                  </c:strRef>
                </c:tx>
                <c:spPr>
                  <a:ln w="28575" cap="rnd">
                    <a:solidFill>
                      <a:schemeClr val="accent4"/>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'9月直播用户数据（有赞）'!$E$8:$E$21</c15:sqref>
                        </c15:formulaRef>
                      </c:ext>
                    </c:extLst>
                    <c:numCache>
                      <c:formatCode>"￥"#,##0.00_);[Red]\("￥"#,##0.00\)</c:formatCode>
                      <c:ptCount val="14"/>
                      <c:pt idx="0">
                        <c:v>125.4765</c:v>
                      </c:pt>
                      <c:pt idx="1">
                        <c:v>96.2999999999998</c:v>
                      </c:pt>
                      <c:pt idx="2">
                        <c:v>206.583783783784</c:v>
                      </c:pt>
                      <c:pt idx="3">
                        <c:v>234.244791666667</c:v>
                      </c:pt>
                      <c:pt idx="4">
                        <c:v>305.655</c:v>
                      </c:pt>
                      <c:pt idx="5">
                        <c:v>220.505405405405</c:v>
                      </c:pt>
                      <c:pt idx="6">
                        <c:v>481.5</c:v>
                      </c:pt>
                      <c:pt idx="7">
                        <c:v>137.523529411765</c:v>
                      </c:pt>
                      <c:pt idx="8">
                        <c:v>354.978</c:v>
                      </c:pt>
                      <c:pt idx="9">
                        <c:v>282.106956521739</c:v>
                      </c:pt>
                      <c:pt idx="10">
                        <c:v>185.135652173913</c:v>
                      </c:pt>
                      <c:pt idx="11">
                        <c:v>308.272222222222</c:v>
                      </c:pt>
                      <c:pt idx="12">
                        <c:v>0</c:v>
                      </c:pt>
                      <c:pt idx="13">
                        <c:v>0</c:v>
                      </c:pt>
                    </c:numCache>
                  </c:numRef>
                </c:val>
                <c:smooth val="0"/>
              </c15:ser>
            </c15:filteredLineSeries>
            <c15:filteredLineSeries>
              <c15:ser>
                <c:idx val="4"/>
                <c:order val="4"/>
                <c:tx>
                  <c:strRef>
                    <c:extLst>
                      <c:ext uri="{02D57815-91ED-43cb-92C2-25804820EDAC}">
                        <c15:formulaRef>
                          <c15:sqref>'9月直播用户数据（有赞）'!$F$7</c15:sqref>
                        </c15:formulaRef>
                      </c:ext>
                    </c:extLst>
                    <c:strCache>
                      <c:ptCount val="1"/>
                      <c:pt idx="0">
                        <c:v>前20名下单金额</c:v>
                      </c:pt>
                    </c:strCache>
                  </c:strRef>
                </c:tx>
                <c:spPr>
                  <a:ln w="28575" cap="rnd">
                    <a:solidFill>
                      <a:schemeClr val="accent5"/>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'9月直播用户数据（有赞）'!$F$8:$F$21</c15:sqref>
                        </c15:formulaRef>
                      </c:ext>
                    </c:extLst>
                    <c:numCache>
                      <c:formatCode>"￥"#,##0.00_);[Red]\("￥"#,##0.00\)</c:formatCode>
                      <c:ptCount val="14"/>
                      <c:pt idx="0">
                        <c:v>8717.81</c:v>
                      </c:pt>
                      <c:pt idx="1">
                        <c:v>4285.9</c:v>
                      </c:pt>
                      <c:pt idx="2">
                        <c:v>7181.5</c:v>
                      </c:pt>
                      <c:pt idx="3">
                        <c:v>8222.23</c:v>
                      </c:pt>
                      <c:pt idx="4">
                        <c:v>11742.8</c:v>
                      </c:pt>
                      <c:pt idx="5">
                        <c:v>6175.8</c:v>
                      </c:pt>
                      <c:pt idx="6">
                        <c:v>13212.7</c:v>
                      </c:pt>
                      <c:pt idx="7">
                        <c:v>2070.6</c:v>
                      </c:pt>
                      <c:pt idx="8">
                        <c:v>3549.78</c:v>
                      </c:pt>
                      <c:pt idx="9">
                        <c:v>8071.42</c:v>
                      </c:pt>
                      <c:pt idx="10">
                        <c:v>8288.22</c:v>
                      </c:pt>
                      <c:pt idx="11">
                        <c:v>4694</c:v>
                      </c:pt>
                    </c:numCache>
                  </c:numRef>
                </c:val>
                <c:smooth val="0"/>
              </c15:ser>
            </c15:filteredLineSeries>
            <c15:filteredLineSeries>
              <c15:ser>
                <c:idx val="5"/>
                <c:order val="5"/>
                <c:tx>
                  <c:strRef>
                    <c:extLst>
                      <c:ext uri="{02D57815-91ED-43cb-92C2-25804820EDAC}">
                        <c15:formulaRef>
                          <c15:sqref>'9月直播用户数据（有赞）'!$G$7</c15:sqref>
                        </c15:formulaRef>
                      </c:ext>
                    </c:extLst>
                    <c:strCache>
                      <c:ptCount val="1"/>
                      <c:pt idx="0">
                        <c:v>前20名下单占比</c:v>
                      </c:pt>
                    </c:strCache>
                  </c:strRef>
                </c:tx>
                <c:spPr>
                  <a:ln w="28575" cap="rnd">
                    <a:solidFill>
                      <a:schemeClr val="accent6"/>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'9月直播用户数据（有赞）'!$G$8:$G$21</c15:sqref>
                        </c15:formulaRef>
                      </c:ext>
                    </c:extLst>
                    <c:numCache>
                      <c:formatCode>0.00%</c:formatCode>
                      <c:ptCount val="14"/>
                      <c:pt idx="0">
                        <c:v>0.496268794782859</c:v>
                      </c:pt>
                      <c:pt idx="1">
                        <c:v>0.794744844978491</c:v>
                      </c:pt>
                      <c:pt idx="2">
                        <c:v>0.939544193835365</c:v>
                      </c:pt>
                      <c:pt idx="3">
                        <c:v>0.731271150639244</c:v>
                      </c:pt>
                      <c:pt idx="4">
                        <c:v>0.640307972496224</c:v>
                      </c:pt>
                      <c:pt idx="5">
                        <c:v>0.756958829225244</c:v>
                      </c:pt>
                      <c:pt idx="6">
                        <c:v>0.914690204222915</c:v>
                      </c:pt>
                      <c:pt idx="7">
                        <c:v>0.885666623893237</c:v>
                      </c:pt>
                      <c:pt idx="8">
                        <c:v>1</c:v>
                      </c:pt>
                      <c:pt idx="9">
                        <c:v>0.621982720090746</c:v>
                      </c:pt>
                      <c:pt idx="10">
                        <c:v>0.973225273125229</c:v>
                      </c:pt>
                      <c:pt idx="11">
                        <c:v>0.84593342824704</c:v>
                      </c:pt>
                      <c:pt idx="12">
                        <c:v>0</c:v>
                      </c:pt>
                      <c:pt idx="13">
                        <c:v>0</c:v>
                      </c:pt>
                    </c:numCache>
                  </c:numRef>
                </c:val>
                <c:smooth val="0"/>
              </c15:ser>
            </c15:filteredLineSeries>
            <c15:filteredLineSeries>
              <c15:ser>
                <c:idx val="6"/>
                <c:order val="6"/>
                <c:tx>
                  <c:strRef>
                    <c:extLst>
                      <c:ext uri="{02D57815-91ED-43cb-92C2-25804820EDAC}">
                        <c15:formulaRef>
                          <c15:sqref>'9月直播用户数据（有赞）'!$H$7</c15:sqref>
                        </c15:formulaRef>
                      </c:ext>
                    </c:extLst>
                    <c:strCache>
                      <c:ptCount val="1"/>
                      <c:pt idx="0">
                        <c:v>新用户数</c:v>
                      </c:pt>
                    </c:strCache>
                  </c:strRef>
                </c:tx>
                <c:spPr>
                  <a:ln w="28575" cap="rnd">
                    <a:solidFill>
                      <a:schemeClr val="accent1">
                        <a:lumMod val="60000"/>
                      </a:schemeClr>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'9月直播用户数据（有赞）'!$H$8:$H$21</c15:sqref>
                        </c15:formulaRef>
                      </c:ext>
                    </c:extLst>
                    <c:numCache>
                      <c:formatCode>General</c:formatCode>
                      <c:ptCount val="14"/>
                      <c:pt idx="0">
                        <c:v>33</c:v>
                      </c:pt>
                      <c:pt idx="1">
                        <c:v>13</c:v>
                      </c:pt>
                      <c:pt idx="2">
                        <c:v>10</c:v>
                      </c:pt>
                      <c:pt idx="3">
                        <c:v>12</c:v>
                      </c:pt>
                      <c:pt idx="4">
                        <c:v>22</c:v>
                      </c:pt>
                      <c:pt idx="5">
                        <c:v>5</c:v>
                      </c:pt>
                      <c:pt idx="6">
                        <c:v>8</c:v>
                      </c:pt>
                      <c:pt idx="7">
                        <c:v>4</c:v>
                      </c:pt>
                      <c:pt idx="8">
                        <c:v>1</c:v>
                      </c:pt>
                      <c:pt idx="9">
                        <c:v>22</c:v>
                      </c:pt>
                      <c:pt idx="10">
                        <c:v>4</c:v>
                      </c:pt>
                      <c:pt idx="11">
                        <c:v>5</c:v>
                      </c:pt>
                    </c:numCache>
                  </c:numRef>
                </c:val>
                <c:smooth val="0"/>
              </c15:ser>
            </c15:filteredLineSeries>
            <c15:filteredLineSeries>
              <c15:ser>
                <c:idx val="7"/>
                <c:order val="7"/>
                <c:tx>
                  <c:strRef>
                    <c:extLst>
                      <c:ext uri="{02D57815-91ED-43cb-92C2-25804820EDAC}">
                        <c15:formulaRef>
                          <c15:sqref>'9月直播用户数据（有赞）'!$I$7</c15:sqref>
                        </c15:formulaRef>
                      </c:ext>
                    </c:extLst>
                    <c:strCache>
                      <c:ptCount val="1"/>
                      <c:pt idx="0">
                        <c:v>新用户占比</c:v>
                      </c:pt>
                    </c:strCache>
                  </c:strRef>
                </c:tx>
                <c:spPr>
                  <a:ln w="28575" cap="rnd">
                    <a:solidFill>
                      <a:schemeClr val="accent2">
                        <a:lumMod val="60000"/>
                      </a:schemeClr>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'9月直播用户数据（有赞）'!$I$8:$I$21</c15:sqref>
                        </c15:formulaRef>
                      </c:ext>
                    </c:extLst>
                    <c:numCache>
                      <c:formatCode>0.00%</c:formatCode>
                      <c:ptCount val="14"/>
                      <c:pt idx="0">
                        <c:v>0.235714285714286</c:v>
                      </c:pt>
                      <c:pt idx="1">
                        <c:v>0.232142857142857</c:v>
                      </c:pt>
                      <c:pt idx="2">
                        <c:v>0.27027027027027</c:v>
                      </c:pt>
                      <c:pt idx="3">
                        <c:v>0.25</c:v>
                      </c:pt>
                      <c:pt idx="4">
                        <c:v>0.366666666666667</c:v>
                      </c:pt>
                      <c:pt idx="5">
                        <c:v>0.135135135135135</c:v>
                      </c:pt>
                      <c:pt idx="6">
                        <c:v>0.266666666666667</c:v>
                      </c:pt>
                      <c:pt idx="7">
                        <c:v>0.235294117647059</c:v>
                      </c:pt>
                      <c:pt idx="8">
                        <c:v>0.1</c:v>
                      </c:pt>
                      <c:pt idx="9">
                        <c:v>0.478260869565217</c:v>
                      </c:pt>
                      <c:pt idx="10">
                        <c:v>0.0869565217391304</c:v>
                      </c:pt>
                      <c:pt idx="11">
                        <c:v>0.277777777777778</c:v>
                      </c:pt>
                      <c:pt idx="12">
                        <c:v>0</c:v>
                      </c:pt>
                      <c:pt idx="13">
                        <c:v>0</c:v>
                      </c:pt>
                    </c:numCache>
                  </c:numRef>
                </c:val>
                <c:smooth val="0"/>
              </c15:ser>
            </c15:filteredLineSeries>
          </c:ext>
        </c:extLst>
      </c:lineChart>
      <c:dateAx>
        <c:axId val="7033861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3389320"/>
        <c:crosses val="autoZero"/>
        <c:auto val="1"/>
        <c:lblOffset val="100"/>
        <c:baseTimeUnit val="days"/>
      </c:dateAx>
      <c:valAx>
        <c:axId val="703389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33861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客单价</a:t>
            </a:r>
            <a:endParaRPr lang="zh-CN" altLang="en-US"/>
          </a:p>
        </c:rich>
      </c:tx>
      <c:layout/>
      <c:overlay val="0"/>
      <c:spPr>
        <a:noFill/>
        <a:ln>
          <a:noFill/>
        </a:ln>
        <a:effectLst/>
      </c:spPr>
    </c:title>
    <c:autoTitleDeleted val="0"/>
    <c:plotArea>
      <c:layout/>
      <c:lineChart>
        <c:grouping val="standard"/>
        <c:varyColors val="0"/>
        <c:ser>
          <c:idx val="3"/>
          <c:order val="3"/>
          <c:tx>
            <c:strRef>
              <c:f>'9月直播用户数据（有赞）'!$E$7</c:f>
              <c:strCache>
                <c:ptCount val="1"/>
                <c:pt idx="0">
                  <c:v>客单价</c:v>
                </c:pt>
              </c:strCache>
            </c:strRef>
          </c:tx>
          <c:spPr>
            <a:ln w="28575" cap="rnd">
              <a:solidFill>
                <a:schemeClr val="accent4"/>
              </a:solidFill>
              <a:round/>
            </a:ln>
            <a:effectLst/>
          </c:spPr>
          <c:marker>
            <c:symbol val="none"/>
          </c:marker>
          <c:dLbls>
            <c:delete val="1"/>
          </c:dLbls>
          <c:trendline>
            <c:spPr>
              <a:ln w="19050" cap="rnd">
                <a:solidFill>
                  <a:schemeClr val="accent4"/>
                </a:solidFill>
                <a:prstDash val="sysDot"/>
              </a:ln>
              <a:effectLst/>
            </c:spPr>
            <c:trendlineType val="linear"/>
            <c:dispRSqr val="0"/>
            <c:dispEq val="0"/>
          </c:trendline>
          <c:cat>
            <c:numRef>
              <c:f>'9月直播用户数据（有赞）'!$A$8:$A$21</c:f>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f>'9月直播用户数据（有赞）'!$E$8:$E$21</c:f>
              <c:numCache>
                <c:formatCode>"￥"#,##0.00_);[Red]\("￥"#,##0.00\)</c:formatCode>
                <c:ptCount val="14"/>
                <c:pt idx="0">
                  <c:v>125.4765</c:v>
                </c:pt>
                <c:pt idx="1">
                  <c:v>96.2999999999998</c:v>
                </c:pt>
                <c:pt idx="2">
                  <c:v>206.583783783784</c:v>
                </c:pt>
                <c:pt idx="3">
                  <c:v>234.244791666667</c:v>
                </c:pt>
                <c:pt idx="4">
                  <c:v>305.655</c:v>
                </c:pt>
                <c:pt idx="5">
                  <c:v>220.505405405405</c:v>
                </c:pt>
                <c:pt idx="6">
                  <c:v>481.5</c:v>
                </c:pt>
                <c:pt idx="7">
                  <c:v>137.523529411765</c:v>
                </c:pt>
                <c:pt idx="8">
                  <c:v>354.978</c:v>
                </c:pt>
                <c:pt idx="9">
                  <c:v>282.106956521739</c:v>
                </c:pt>
                <c:pt idx="10">
                  <c:v>185.135652173913</c:v>
                </c:pt>
                <c:pt idx="11">
                  <c:v>308.272222222222</c:v>
                </c:pt>
                <c:pt idx="12">
                  <c:v>0</c:v>
                </c:pt>
                <c:pt idx="13">
                  <c:v>0</c:v>
                </c:pt>
              </c:numCache>
            </c:numRef>
          </c:val>
          <c:smooth val="0"/>
        </c:ser>
        <c:dLbls>
          <c:showLegendKey val="0"/>
          <c:showVal val="0"/>
          <c:showCatName val="0"/>
          <c:showSerName val="0"/>
          <c:showPercent val="0"/>
          <c:showBubbleSize val="0"/>
        </c:dLbls>
        <c:marker val="0"/>
        <c:smooth val="0"/>
        <c:axId val="703386120"/>
        <c:axId val="703389320"/>
        <c:extLst>
          <c:ext xmlns:c15="http://schemas.microsoft.com/office/drawing/2012/chart" uri="{02D57815-91ED-43cb-92C2-25804820EDAC}">
            <c15:filteredLineSeries>
              <c15:ser>
                <c:idx val="0"/>
                <c:order val="0"/>
                <c:tx>
                  <c:strRef>
                    <c:extLst>
                      <c:ext uri="{02D57815-91ED-43cb-92C2-25804820EDAC}">
                        <c15:formulaRef>
                          <c15:sqref>'9月直播用户数据（有赞）'!$B$7</c15:sqref>
                        </c15:formulaRef>
                      </c:ext>
                    </c:extLst>
                    <c:strCache>
                      <c:ptCount val="1"/>
                      <c:pt idx="0">
                        <c:v>下单用户数</c:v>
                      </c:pt>
                    </c:strCache>
                  </c:strRef>
                </c:tx>
                <c:spPr>
                  <a:ln w="28575" cap="rnd">
                    <a:solidFill>
                      <a:schemeClr val="accent1"/>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'9月直播用户数据（有赞）'!$B$8:$B$21</c15:sqref>
                        </c15:formulaRef>
                      </c:ext>
                    </c:extLst>
                    <c:numCache>
                      <c:formatCode>General</c:formatCode>
                      <c:ptCount val="14"/>
                      <c:pt idx="0">
                        <c:v>140</c:v>
                      </c:pt>
                      <c:pt idx="1">
                        <c:v>56</c:v>
                      </c:pt>
                      <c:pt idx="2">
                        <c:v>37</c:v>
                      </c:pt>
                      <c:pt idx="3">
                        <c:v>48</c:v>
                      </c:pt>
                      <c:pt idx="4">
                        <c:v>60</c:v>
                      </c:pt>
                      <c:pt idx="5">
                        <c:v>37</c:v>
                      </c:pt>
                      <c:pt idx="6">
                        <c:v>30</c:v>
                      </c:pt>
                      <c:pt idx="7">
                        <c:v>17</c:v>
                      </c:pt>
                      <c:pt idx="8">
                        <c:v>10</c:v>
                      </c:pt>
                      <c:pt idx="9">
                        <c:v>46</c:v>
                      </c:pt>
                      <c:pt idx="10">
                        <c:v>46</c:v>
                      </c:pt>
                      <c:pt idx="11">
                        <c:v>18</c:v>
                      </c:pt>
                    </c:numCache>
                  </c:numRef>
                </c:val>
                <c:smooth val="0"/>
              </c15:ser>
            </c15:filteredLineSeries>
            <c15:filteredLineSeries>
              <c15:ser>
                <c:idx val="1"/>
                <c:order val="1"/>
                <c:tx>
                  <c:strRef>
                    <c:extLst>
                      <c:ext uri="{02D57815-91ED-43cb-92C2-25804820EDAC}">
                        <c15:formulaRef>
                          <c15:sqref>'9月直播用户数据（有赞）'!$C$7</c15:sqref>
                        </c15:formulaRef>
                      </c:ext>
                    </c:extLst>
                    <c:strCache>
                      <c:ptCount val="1"/>
                      <c:pt idx="0">
                        <c:v> 订单数</c:v>
                      </c:pt>
                    </c:strCache>
                  </c:strRef>
                </c:tx>
                <c:spPr>
                  <a:ln w="28575" cap="rnd">
                    <a:solidFill>
                      <a:schemeClr val="accent2"/>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'9月直播用户数据（有赞）'!$C$8:$C$21</c15:sqref>
                        </c15:formulaRef>
                      </c:ext>
                    </c:extLst>
                    <c:numCache>
                      <c:formatCode>General</c:formatCode>
                      <c:ptCount val="14"/>
                      <c:pt idx="0">
                        <c:v>236</c:v>
                      </c:pt>
                      <c:pt idx="1">
                        <c:v>84</c:v>
                      </c:pt>
                      <c:pt idx="2">
                        <c:v>64</c:v>
                      </c:pt>
                      <c:pt idx="3">
                        <c:v>62</c:v>
                      </c:pt>
                      <c:pt idx="4">
                        <c:v>83</c:v>
                      </c:pt>
                      <c:pt idx="5">
                        <c:v>43</c:v>
                      </c:pt>
                      <c:pt idx="6">
                        <c:v>59</c:v>
                      </c:pt>
                      <c:pt idx="7">
                        <c:v>19</c:v>
                      </c:pt>
                      <c:pt idx="8">
                        <c:v>13</c:v>
                      </c:pt>
                      <c:pt idx="9">
                        <c:v>56</c:v>
                      </c:pt>
                      <c:pt idx="10">
                        <c:v>46</c:v>
                      </c:pt>
                      <c:pt idx="11">
                        <c:v>18</c:v>
                      </c:pt>
                    </c:numCache>
                  </c:numRef>
                </c:val>
                <c:smooth val="0"/>
              </c15:ser>
            </c15:filteredLineSeries>
            <c15:filteredLineSeries>
              <c15:ser>
                <c:idx val="2"/>
                <c:order val="2"/>
                <c:tx>
                  <c:strRef>
                    <c:extLst>
                      <c:ext uri="{02D57815-91ED-43cb-92C2-25804820EDAC}">
                        <c15:formulaRef>
                          <c15:sqref>'9月直播用户数据（有赞）'!$D$7</c15:sqref>
                        </c15:formulaRef>
                      </c:ext>
                    </c:extLst>
                    <c:strCache>
                      <c:ptCount val="1"/>
                      <c:pt idx="0">
                        <c:v>下单金额</c:v>
                      </c:pt>
                    </c:strCache>
                  </c:strRef>
                </c:tx>
                <c:spPr>
                  <a:ln w="28575" cap="rnd">
                    <a:solidFill>
                      <a:schemeClr val="accent3"/>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'9月直播用户数据（有赞）'!$D$8:$D$21</c15:sqref>
                        </c15:formulaRef>
                      </c:ext>
                    </c:extLst>
                    <c:numCache>
                      <c:formatCode>\¥#,##0.00_);[Red]\(\¥#,##0.00\)</c:formatCode>
                      <c:ptCount val="14"/>
                      <c:pt idx="0">
                        <c:v>17566.71</c:v>
                      </c:pt>
                      <c:pt idx="1" c:formatCode="&quot;￥&quot;#,##0.00_);[Red]\(&quot;￥&quot;#,##0.00\)">
                        <c:v>5392.79999999999</c:v>
                      </c:pt>
                      <c:pt idx="2" c:formatCode="&quot;￥&quot;#,##0.00_);[Red]\(&quot;￥&quot;#,##0.00\)">
                        <c:v>7643.6</c:v>
                      </c:pt>
                      <c:pt idx="3" c:formatCode="&quot;￥&quot;#,##0.00_);[Red]\(&quot;￥&quot;#,##0.00\)">
                        <c:v>11243.75</c:v>
                      </c:pt>
                      <c:pt idx="4" c:formatCode="&quot;￥&quot;#,##0.00_);[Red]\(&quot;￥&quot;#,##0.00\)">
                        <c:v>18339.3</c:v>
                      </c:pt>
                      <c:pt idx="5" c:formatCode="&quot;￥&quot;#,##0.00_);[Red]\(&quot;￥&quot;#,##0.00\)">
                        <c:v>8158.7</c:v>
                      </c:pt>
                      <c:pt idx="6" c:formatCode="&quot;￥&quot;#,##0.00_);[Red]\(&quot;￥&quot;#,##0.00\)">
                        <c:v>14445</c:v>
                      </c:pt>
                      <c:pt idx="7" c:formatCode="&quot;￥&quot;#,##0.00_);[Red]\(&quot;￥&quot;#,##0.00\)">
                        <c:v>2337.9</c:v>
                      </c:pt>
                      <c:pt idx="8" c:formatCode="&quot;￥&quot;#,##0.00_);[Red]\(&quot;￥&quot;#,##0.00\)">
                        <c:v>3549.78</c:v>
                      </c:pt>
                      <c:pt idx="9" c:formatCode="&quot;￥&quot;#,##0.00_);[Red]\(&quot;￥&quot;#,##0.00\)">
                        <c:v>12976.92</c:v>
                      </c:pt>
                      <c:pt idx="10" c:formatCode="&quot;￥&quot;#,##0.00_);[Red]\(&quot;￥&quot;#,##0.00\)">
                        <c:v>8516.24</c:v>
                      </c:pt>
                      <c:pt idx="11" c:formatCode="&quot;￥&quot;#,##0.00_);[Red]\(&quot;￥&quot;#,##0.00\)">
                        <c:v>5548.9</c:v>
                      </c:pt>
                    </c:numCache>
                  </c:numRef>
                </c:val>
                <c:smooth val="0"/>
              </c15:ser>
            </c15:filteredLineSeries>
            <c15:filteredLineSeries>
              <c15:ser>
                <c:idx val="4"/>
                <c:order val="4"/>
                <c:tx>
                  <c:strRef>
                    <c:extLst>
                      <c:ext uri="{02D57815-91ED-43cb-92C2-25804820EDAC}">
                        <c15:formulaRef>
                          <c15:sqref>'9月直播用户数据（有赞）'!$F$7</c15:sqref>
                        </c15:formulaRef>
                      </c:ext>
                    </c:extLst>
                    <c:strCache>
                      <c:ptCount val="1"/>
                      <c:pt idx="0">
                        <c:v>前20名下单金额</c:v>
                      </c:pt>
                    </c:strCache>
                  </c:strRef>
                </c:tx>
                <c:spPr>
                  <a:ln w="28575" cap="rnd">
                    <a:solidFill>
                      <a:schemeClr val="accent5"/>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'9月直播用户数据（有赞）'!$F$8:$F$21</c15:sqref>
                        </c15:formulaRef>
                      </c:ext>
                    </c:extLst>
                    <c:numCache>
                      <c:formatCode>"￥"#,##0.00_);[Red]\("￥"#,##0.00\)</c:formatCode>
                      <c:ptCount val="14"/>
                      <c:pt idx="0">
                        <c:v>8717.81</c:v>
                      </c:pt>
                      <c:pt idx="1">
                        <c:v>4285.9</c:v>
                      </c:pt>
                      <c:pt idx="2">
                        <c:v>7181.5</c:v>
                      </c:pt>
                      <c:pt idx="3">
                        <c:v>8222.23</c:v>
                      </c:pt>
                      <c:pt idx="4">
                        <c:v>11742.8</c:v>
                      </c:pt>
                      <c:pt idx="5">
                        <c:v>6175.8</c:v>
                      </c:pt>
                      <c:pt idx="6">
                        <c:v>13212.7</c:v>
                      </c:pt>
                      <c:pt idx="7">
                        <c:v>2070.6</c:v>
                      </c:pt>
                      <c:pt idx="8">
                        <c:v>3549.78</c:v>
                      </c:pt>
                      <c:pt idx="9">
                        <c:v>8071.42</c:v>
                      </c:pt>
                      <c:pt idx="10">
                        <c:v>8288.22</c:v>
                      </c:pt>
                      <c:pt idx="11">
                        <c:v>4694</c:v>
                      </c:pt>
                    </c:numCache>
                  </c:numRef>
                </c:val>
                <c:smooth val="0"/>
              </c15:ser>
            </c15:filteredLineSeries>
            <c15:filteredLineSeries>
              <c15:ser>
                <c:idx val="5"/>
                <c:order val="5"/>
                <c:tx>
                  <c:strRef>
                    <c:extLst>
                      <c:ext uri="{02D57815-91ED-43cb-92C2-25804820EDAC}">
                        <c15:formulaRef>
                          <c15:sqref>'9月直播用户数据（有赞）'!$G$7</c15:sqref>
                        </c15:formulaRef>
                      </c:ext>
                    </c:extLst>
                    <c:strCache>
                      <c:ptCount val="1"/>
                      <c:pt idx="0">
                        <c:v>前20名下单占比</c:v>
                      </c:pt>
                    </c:strCache>
                  </c:strRef>
                </c:tx>
                <c:spPr>
                  <a:ln w="28575" cap="rnd">
                    <a:solidFill>
                      <a:schemeClr val="accent6"/>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'9月直播用户数据（有赞）'!$G$8:$G$21</c15:sqref>
                        </c15:formulaRef>
                      </c:ext>
                    </c:extLst>
                    <c:numCache>
                      <c:formatCode>0.00%</c:formatCode>
                      <c:ptCount val="14"/>
                      <c:pt idx="0">
                        <c:v>0.496268794782859</c:v>
                      </c:pt>
                      <c:pt idx="1">
                        <c:v>0.794744844978491</c:v>
                      </c:pt>
                      <c:pt idx="2">
                        <c:v>0.939544193835365</c:v>
                      </c:pt>
                      <c:pt idx="3">
                        <c:v>0.731271150639244</c:v>
                      </c:pt>
                      <c:pt idx="4">
                        <c:v>0.640307972496224</c:v>
                      </c:pt>
                      <c:pt idx="5">
                        <c:v>0.756958829225244</c:v>
                      </c:pt>
                      <c:pt idx="6">
                        <c:v>0.914690204222915</c:v>
                      </c:pt>
                      <c:pt idx="7">
                        <c:v>0.885666623893237</c:v>
                      </c:pt>
                      <c:pt idx="8">
                        <c:v>1</c:v>
                      </c:pt>
                      <c:pt idx="9">
                        <c:v>0.621982720090746</c:v>
                      </c:pt>
                      <c:pt idx="10">
                        <c:v>0.973225273125229</c:v>
                      </c:pt>
                      <c:pt idx="11">
                        <c:v>0.84593342824704</c:v>
                      </c:pt>
                      <c:pt idx="12">
                        <c:v>0</c:v>
                      </c:pt>
                      <c:pt idx="13">
                        <c:v>0</c:v>
                      </c:pt>
                    </c:numCache>
                  </c:numRef>
                </c:val>
                <c:smooth val="0"/>
              </c15:ser>
            </c15:filteredLineSeries>
            <c15:filteredLineSeries>
              <c15:ser>
                <c:idx val="6"/>
                <c:order val="6"/>
                <c:tx>
                  <c:strRef>
                    <c:extLst>
                      <c:ext uri="{02D57815-91ED-43cb-92C2-25804820EDAC}">
                        <c15:formulaRef>
                          <c15:sqref>'9月直播用户数据（有赞）'!$H$7</c15:sqref>
                        </c15:formulaRef>
                      </c:ext>
                    </c:extLst>
                    <c:strCache>
                      <c:ptCount val="1"/>
                      <c:pt idx="0">
                        <c:v>新用户数</c:v>
                      </c:pt>
                    </c:strCache>
                  </c:strRef>
                </c:tx>
                <c:spPr>
                  <a:ln w="28575" cap="rnd">
                    <a:solidFill>
                      <a:schemeClr val="accent1">
                        <a:lumMod val="60000"/>
                      </a:schemeClr>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'9月直播用户数据（有赞）'!$H$8:$H$21</c15:sqref>
                        </c15:formulaRef>
                      </c:ext>
                    </c:extLst>
                    <c:numCache>
                      <c:formatCode>General</c:formatCode>
                      <c:ptCount val="14"/>
                      <c:pt idx="0">
                        <c:v>33</c:v>
                      </c:pt>
                      <c:pt idx="1">
                        <c:v>13</c:v>
                      </c:pt>
                      <c:pt idx="2">
                        <c:v>10</c:v>
                      </c:pt>
                      <c:pt idx="3">
                        <c:v>12</c:v>
                      </c:pt>
                      <c:pt idx="4">
                        <c:v>22</c:v>
                      </c:pt>
                      <c:pt idx="5">
                        <c:v>5</c:v>
                      </c:pt>
                      <c:pt idx="6">
                        <c:v>8</c:v>
                      </c:pt>
                      <c:pt idx="7">
                        <c:v>4</c:v>
                      </c:pt>
                      <c:pt idx="8">
                        <c:v>1</c:v>
                      </c:pt>
                      <c:pt idx="9">
                        <c:v>22</c:v>
                      </c:pt>
                      <c:pt idx="10">
                        <c:v>4</c:v>
                      </c:pt>
                      <c:pt idx="11">
                        <c:v>5</c:v>
                      </c:pt>
                    </c:numCache>
                  </c:numRef>
                </c:val>
                <c:smooth val="0"/>
              </c15:ser>
            </c15:filteredLineSeries>
            <c15:filteredLineSeries>
              <c15:ser>
                <c:idx val="7"/>
                <c:order val="7"/>
                <c:tx>
                  <c:strRef>
                    <c:extLst>
                      <c:ext uri="{02D57815-91ED-43cb-92C2-25804820EDAC}">
                        <c15:formulaRef>
                          <c15:sqref>'9月直播用户数据（有赞）'!$I$7</c15:sqref>
                        </c15:formulaRef>
                      </c:ext>
                    </c:extLst>
                    <c:strCache>
                      <c:ptCount val="1"/>
                      <c:pt idx="0">
                        <c:v>新用户占比</c:v>
                      </c:pt>
                    </c:strCache>
                  </c:strRef>
                </c:tx>
                <c:spPr>
                  <a:ln w="28575" cap="rnd">
                    <a:solidFill>
                      <a:schemeClr val="accent2">
                        <a:lumMod val="60000"/>
                      </a:schemeClr>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'9月直播用户数据（有赞）'!$I$8:$I$21</c15:sqref>
                        </c15:formulaRef>
                      </c:ext>
                    </c:extLst>
                    <c:numCache>
                      <c:formatCode>0.00%</c:formatCode>
                      <c:ptCount val="14"/>
                      <c:pt idx="0">
                        <c:v>0.235714285714286</c:v>
                      </c:pt>
                      <c:pt idx="1">
                        <c:v>0.232142857142857</c:v>
                      </c:pt>
                      <c:pt idx="2">
                        <c:v>0.27027027027027</c:v>
                      </c:pt>
                      <c:pt idx="3">
                        <c:v>0.25</c:v>
                      </c:pt>
                      <c:pt idx="4">
                        <c:v>0.366666666666667</c:v>
                      </c:pt>
                      <c:pt idx="5">
                        <c:v>0.135135135135135</c:v>
                      </c:pt>
                      <c:pt idx="6">
                        <c:v>0.266666666666667</c:v>
                      </c:pt>
                      <c:pt idx="7">
                        <c:v>0.235294117647059</c:v>
                      </c:pt>
                      <c:pt idx="8">
                        <c:v>0.1</c:v>
                      </c:pt>
                      <c:pt idx="9">
                        <c:v>0.478260869565217</c:v>
                      </c:pt>
                      <c:pt idx="10">
                        <c:v>0.0869565217391304</c:v>
                      </c:pt>
                      <c:pt idx="11">
                        <c:v>0.277777777777778</c:v>
                      </c:pt>
                      <c:pt idx="12">
                        <c:v>0</c:v>
                      </c:pt>
                      <c:pt idx="13">
                        <c:v>0</c:v>
                      </c:pt>
                    </c:numCache>
                  </c:numRef>
                </c:val>
                <c:smooth val="0"/>
              </c15:ser>
            </c15:filteredLineSeries>
          </c:ext>
        </c:extLst>
      </c:lineChart>
      <c:dateAx>
        <c:axId val="7033861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3389320"/>
        <c:crosses val="autoZero"/>
        <c:auto val="1"/>
        <c:lblOffset val="100"/>
        <c:baseTimeUnit val="days"/>
      </c:dateAx>
      <c:valAx>
        <c:axId val="703389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33861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下单金额</a:t>
            </a:r>
            <a:r>
              <a:rPr lang="en-US" altLang="zh-CN"/>
              <a:t>|</a:t>
            </a:r>
            <a:r>
              <a:rPr lang="zh-CN" altLang="en-US"/>
              <a:t>前</a:t>
            </a:r>
            <a:r>
              <a:rPr lang="en-US" altLang="zh-CN"/>
              <a:t>20</a:t>
            </a:r>
            <a:r>
              <a:rPr lang="zh-CN" altLang="en-US"/>
              <a:t>名下单金额</a:t>
            </a:r>
            <a:endParaRPr lang="zh-CN" altLang="en-US"/>
          </a:p>
        </c:rich>
      </c:tx>
      <c:layout/>
      <c:overlay val="0"/>
      <c:spPr>
        <a:noFill/>
        <a:ln>
          <a:noFill/>
        </a:ln>
        <a:effectLst/>
      </c:spPr>
    </c:title>
    <c:autoTitleDeleted val="0"/>
    <c:plotArea>
      <c:layout/>
      <c:lineChart>
        <c:grouping val="standard"/>
        <c:varyColors val="0"/>
        <c:ser>
          <c:idx val="2"/>
          <c:order val="2"/>
          <c:tx>
            <c:strRef>
              <c:f>'9月直播用户数据（有赞）'!$D$7</c:f>
              <c:strCache>
                <c:ptCount val="1"/>
                <c:pt idx="0">
                  <c:v>下单金额</c:v>
                </c:pt>
              </c:strCache>
            </c:strRef>
          </c:tx>
          <c:spPr>
            <a:ln w="28575" cap="rnd">
              <a:solidFill>
                <a:schemeClr val="accent3"/>
              </a:solidFill>
              <a:round/>
            </a:ln>
            <a:effectLst/>
          </c:spPr>
          <c:marker>
            <c:symbol val="none"/>
          </c:marker>
          <c:dLbls>
            <c:delete val="1"/>
          </c:dLbls>
          <c:trendline>
            <c:spPr>
              <a:ln w="19050" cap="rnd">
                <a:solidFill>
                  <a:schemeClr val="accent3"/>
                </a:solidFill>
                <a:prstDash val="sysDot"/>
              </a:ln>
              <a:effectLst/>
            </c:spPr>
            <c:trendlineType val="linear"/>
            <c:dispRSqr val="0"/>
            <c:dispEq val="0"/>
          </c:trendline>
          <c:cat>
            <c:numRef>
              <c:f>'9月直播用户数据（有赞）'!$A$8:$A$21</c:f>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f>'9月直播用户数据（有赞）'!$D$8:$D$21</c:f>
              <c:numCache>
                <c:formatCode>\¥#,##0.00_);[Red]\(\¥#,##0.00\)</c:formatCode>
                <c:ptCount val="14"/>
                <c:pt idx="0">
                  <c:v>17566.71</c:v>
                </c:pt>
                <c:pt idx="1" c:formatCode="&quot;￥&quot;#,##0.00_);[Red]\(&quot;￥&quot;#,##0.00\)">
                  <c:v>5392.79999999999</c:v>
                </c:pt>
                <c:pt idx="2" c:formatCode="&quot;￥&quot;#,##0.00_);[Red]\(&quot;￥&quot;#,##0.00\)">
                  <c:v>7643.6</c:v>
                </c:pt>
                <c:pt idx="3" c:formatCode="&quot;￥&quot;#,##0.00_);[Red]\(&quot;￥&quot;#,##0.00\)">
                  <c:v>11243.75</c:v>
                </c:pt>
                <c:pt idx="4" c:formatCode="&quot;￥&quot;#,##0.00_);[Red]\(&quot;￥&quot;#,##0.00\)">
                  <c:v>18339.3</c:v>
                </c:pt>
                <c:pt idx="5" c:formatCode="&quot;￥&quot;#,##0.00_);[Red]\(&quot;￥&quot;#,##0.00\)">
                  <c:v>8158.7</c:v>
                </c:pt>
                <c:pt idx="6" c:formatCode="&quot;￥&quot;#,##0.00_);[Red]\(&quot;￥&quot;#,##0.00\)">
                  <c:v>14445</c:v>
                </c:pt>
                <c:pt idx="7" c:formatCode="&quot;￥&quot;#,##0.00_);[Red]\(&quot;￥&quot;#,##0.00\)">
                  <c:v>2337.9</c:v>
                </c:pt>
                <c:pt idx="8" c:formatCode="&quot;￥&quot;#,##0.00_);[Red]\(&quot;￥&quot;#,##0.00\)">
                  <c:v>3549.78</c:v>
                </c:pt>
                <c:pt idx="9" c:formatCode="&quot;￥&quot;#,##0.00_);[Red]\(&quot;￥&quot;#,##0.00\)">
                  <c:v>12976.92</c:v>
                </c:pt>
                <c:pt idx="10" c:formatCode="&quot;￥&quot;#,##0.00_);[Red]\(&quot;￥&quot;#,##0.00\)">
                  <c:v>8516.24</c:v>
                </c:pt>
                <c:pt idx="11" c:formatCode="&quot;￥&quot;#,##0.00_);[Red]\(&quot;￥&quot;#,##0.00\)">
                  <c:v>5548.9</c:v>
                </c:pt>
              </c:numCache>
            </c:numRef>
          </c:val>
          <c:smooth val="0"/>
        </c:ser>
        <c:ser>
          <c:idx val="4"/>
          <c:order val="4"/>
          <c:tx>
            <c:strRef>
              <c:f>'9月直播用户数据（有赞）'!$F$7</c:f>
              <c:strCache>
                <c:ptCount val="1"/>
                <c:pt idx="0">
                  <c:v>前20名下单金额</c:v>
                </c:pt>
              </c:strCache>
            </c:strRef>
          </c:tx>
          <c:spPr>
            <a:ln w="28575" cap="rnd">
              <a:solidFill>
                <a:schemeClr val="accent5"/>
              </a:solidFill>
              <a:round/>
            </a:ln>
            <a:effectLst/>
          </c:spPr>
          <c:marker>
            <c:symbol val="none"/>
          </c:marker>
          <c:dLbls>
            <c:delete val="1"/>
          </c:dLbls>
          <c:trendline>
            <c:spPr>
              <a:ln w="19050" cap="rnd">
                <a:solidFill>
                  <a:schemeClr val="accent5"/>
                </a:solidFill>
                <a:prstDash val="sysDot"/>
              </a:ln>
              <a:effectLst/>
            </c:spPr>
            <c:trendlineType val="linear"/>
            <c:dispRSqr val="0"/>
            <c:dispEq val="0"/>
          </c:trendline>
          <c:cat>
            <c:numRef>
              <c:f>'9月直播用户数据（有赞）'!$A$8:$A$21</c:f>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f>'9月直播用户数据（有赞）'!$F$8:$F$21</c:f>
              <c:numCache>
                <c:formatCode>"￥"#,##0.00_);[Red]\("￥"#,##0.00\)</c:formatCode>
                <c:ptCount val="14"/>
                <c:pt idx="0">
                  <c:v>8717.81</c:v>
                </c:pt>
                <c:pt idx="1">
                  <c:v>4285.9</c:v>
                </c:pt>
                <c:pt idx="2">
                  <c:v>7181.5</c:v>
                </c:pt>
                <c:pt idx="3">
                  <c:v>8222.23</c:v>
                </c:pt>
                <c:pt idx="4">
                  <c:v>11742.8</c:v>
                </c:pt>
                <c:pt idx="5">
                  <c:v>6175.8</c:v>
                </c:pt>
                <c:pt idx="6">
                  <c:v>13212.7</c:v>
                </c:pt>
                <c:pt idx="7">
                  <c:v>2070.6</c:v>
                </c:pt>
                <c:pt idx="8">
                  <c:v>3549.78</c:v>
                </c:pt>
                <c:pt idx="9">
                  <c:v>8071.42</c:v>
                </c:pt>
                <c:pt idx="10">
                  <c:v>8288.22</c:v>
                </c:pt>
                <c:pt idx="11">
                  <c:v>4694</c:v>
                </c:pt>
              </c:numCache>
            </c:numRef>
          </c:val>
          <c:smooth val="0"/>
        </c:ser>
        <c:dLbls>
          <c:showLegendKey val="0"/>
          <c:showVal val="0"/>
          <c:showCatName val="0"/>
          <c:showSerName val="0"/>
          <c:showPercent val="0"/>
          <c:showBubbleSize val="0"/>
        </c:dLbls>
        <c:marker val="0"/>
        <c:smooth val="0"/>
        <c:axId val="703386120"/>
        <c:axId val="703389320"/>
        <c:extLst>
          <c:ext xmlns:c15="http://schemas.microsoft.com/office/drawing/2012/chart" uri="{02D57815-91ED-43cb-92C2-25804820EDAC}">
            <c15:filteredLineSeries>
              <c15:ser>
                <c:idx val="0"/>
                <c:order val="0"/>
                <c:tx>
                  <c:strRef>
                    <c:extLst>
                      <c:ext uri="{02D57815-91ED-43cb-92C2-25804820EDAC}">
                        <c15:formulaRef>
                          <c15:sqref>'9月直播用户数据（有赞）'!$B$7</c15:sqref>
                        </c15:formulaRef>
                      </c:ext>
                    </c:extLst>
                    <c:strCache>
                      <c:ptCount val="1"/>
                      <c:pt idx="0">
                        <c:v>下单用户数</c:v>
                      </c:pt>
                    </c:strCache>
                  </c:strRef>
                </c:tx>
                <c:spPr>
                  <a:ln w="28575" cap="rnd">
                    <a:solidFill>
                      <a:schemeClr val="accent1"/>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'9月直播用户数据（有赞）'!$B$8:$B$21</c15:sqref>
                        </c15:formulaRef>
                      </c:ext>
                    </c:extLst>
                    <c:numCache>
                      <c:formatCode>General</c:formatCode>
                      <c:ptCount val="14"/>
                      <c:pt idx="0">
                        <c:v>140</c:v>
                      </c:pt>
                      <c:pt idx="1">
                        <c:v>56</c:v>
                      </c:pt>
                      <c:pt idx="2">
                        <c:v>37</c:v>
                      </c:pt>
                      <c:pt idx="3">
                        <c:v>48</c:v>
                      </c:pt>
                      <c:pt idx="4">
                        <c:v>60</c:v>
                      </c:pt>
                      <c:pt idx="5">
                        <c:v>37</c:v>
                      </c:pt>
                      <c:pt idx="6">
                        <c:v>30</c:v>
                      </c:pt>
                      <c:pt idx="7">
                        <c:v>17</c:v>
                      </c:pt>
                      <c:pt idx="8">
                        <c:v>10</c:v>
                      </c:pt>
                      <c:pt idx="9">
                        <c:v>46</c:v>
                      </c:pt>
                      <c:pt idx="10">
                        <c:v>46</c:v>
                      </c:pt>
                      <c:pt idx="11">
                        <c:v>18</c:v>
                      </c:pt>
                    </c:numCache>
                  </c:numRef>
                </c:val>
                <c:smooth val="0"/>
              </c15:ser>
            </c15:filteredLineSeries>
            <c15:filteredLineSeries>
              <c15:ser>
                <c:idx val="1"/>
                <c:order val="1"/>
                <c:tx>
                  <c:strRef>
                    <c:extLst>
                      <c:ext uri="{02D57815-91ED-43cb-92C2-25804820EDAC}">
                        <c15:formulaRef>
                          <c15:sqref>'9月直播用户数据（有赞）'!$C$7</c15:sqref>
                        </c15:formulaRef>
                      </c:ext>
                    </c:extLst>
                    <c:strCache>
                      <c:ptCount val="1"/>
                      <c:pt idx="0">
                        <c:v> 订单数</c:v>
                      </c:pt>
                    </c:strCache>
                  </c:strRef>
                </c:tx>
                <c:spPr>
                  <a:ln w="28575" cap="rnd">
                    <a:solidFill>
                      <a:schemeClr val="accent2"/>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'9月直播用户数据（有赞）'!$C$8:$C$21</c15:sqref>
                        </c15:formulaRef>
                      </c:ext>
                    </c:extLst>
                    <c:numCache>
                      <c:formatCode>General</c:formatCode>
                      <c:ptCount val="14"/>
                      <c:pt idx="0">
                        <c:v>236</c:v>
                      </c:pt>
                      <c:pt idx="1">
                        <c:v>84</c:v>
                      </c:pt>
                      <c:pt idx="2">
                        <c:v>64</c:v>
                      </c:pt>
                      <c:pt idx="3">
                        <c:v>62</c:v>
                      </c:pt>
                      <c:pt idx="4">
                        <c:v>83</c:v>
                      </c:pt>
                      <c:pt idx="5">
                        <c:v>43</c:v>
                      </c:pt>
                      <c:pt idx="6">
                        <c:v>59</c:v>
                      </c:pt>
                      <c:pt idx="7">
                        <c:v>19</c:v>
                      </c:pt>
                      <c:pt idx="8">
                        <c:v>13</c:v>
                      </c:pt>
                      <c:pt idx="9">
                        <c:v>56</c:v>
                      </c:pt>
                      <c:pt idx="10">
                        <c:v>46</c:v>
                      </c:pt>
                      <c:pt idx="11">
                        <c:v>18</c:v>
                      </c:pt>
                    </c:numCache>
                  </c:numRef>
                </c:val>
                <c:smooth val="0"/>
              </c15:ser>
            </c15:filteredLineSeries>
            <c15:filteredLineSeries>
              <c15:ser>
                <c:idx val="3"/>
                <c:order val="3"/>
                <c:tx>
                  <c:strRef>
                    <c:extLst>
                      <c:ext uri="{02D57815-91ED-43cb-92C2-25804820EDAC}">
                        <c15:formulaRef>
                          <c15:sqref>'9月直播用户数据（有赞）'!$E$7</c15:sqref>
                        </c15:formulaRef>
                      </c:ext>
                    </c:extLst>
                    <c:strCache>
                      <c:ptCount val="1"/>
                      <c:pt idx="0">
                        <c:v>客单价</c:v>
                      </c:pt>
                    </c:strCache>
                  </c:strRef>
                </c:tx>
                <c:spPr>
                  <a:ln w="28575" cap="rnd">
                    <a:solidFill>
                      <a:schemeClr val="accent4"/>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'9月直播用户数据（有赞）'!$E$8:$E$21</c15:sqref>
                        </c15:formulaRef>
                      </c:ext>
                    </c:extLst>
                    <c:numCache>
                      <c:formatCode>"￥"#,##0.00_);[Red]\("￥"#,##0.00\)</c:formatCode>
                      <c:ptCount val="14"/>
                      <c:pt idx="0">
                        <c:v>125.4765</c:v>
                      </c:pt>
                      <c:pt idx="1">
                        <c:v>96.2999999999998</c:v>
                      </c:pt>
                      <c:pt idx="2">
                        <c:v>206.583783783784</c:v>
                      </c:pt>
                      <c:pt idx="3">
                        <c:v>234.244791666667</c:v>
                      </c:pt>
                      <c:pt idx="4">
                        <c:v>305.655</c:v>
                      </c:pt>
                      <c:pt idx="5">
                        <c:v>220.505405405405</c:v>
                      </c:pt>
                      <c:pt idx="6">
                        <c:v>481.5</c:v>
                      </c:pt>
                      <c:pt idx="7">
                        <c:v>137.523529411765</c:v>
                      </c:pt>
                      <c:pt idx="8">
                        <c:v>354.978</c:v>
                      </c:pt>
                      <c:pt idx="9">
                        <c:v>282.106956521739</c:v>
                      </c:pt>
                      <c:pt idx="10">
                        <c:v>185.135652173913</c:v>
                      </c:pt>
                      <c:pt idx="11">
                        <c:v>308.272222222222</c:v>
                      </c:pt>
                      <c:pt idx="12">
                        <c:v>0</c:v>
                      </c:pt>
                      <c:pt idx="13">
                        <c:v>0</c:v>
                      </c:pt>
                    </c:numCache>
                  </c:numRef>
                </c:val>
                <c:smooth val="0"/>
              </c15:ser>
            </c15:filteredLineSeries>
            <c15:filteredLineSeries>
              <c15:ser>
                <c:idx val="5"/>
                <c:order val="5"/>
                <c:tx>
                  <c:strRef>
                    <c:extLst>
                      <c:ext uri="{02D57815-91ED-43cb-92C2-25804820EDAC}">
                        <c15:formulaRef>
                          <c15:sqref>'9月直播用户数据（有赞）'!$G$7</c15:sqref>
                        </c15:formulaRef>
                      </c:ext>
                    </c:extLst>
                    <c:strCache>
                      <c:ptCount val="1"/>
                      <c:pt idx="0">
                        <c:v>前20名下单占比</c:v>
                      </c:pt>
                    </c:strCache>
                  </c:strRef>
                </c:tx>
                <c:spPr>
                  <a:ln w="28575" cap="rnd">
                    <a:solidFill>
                      <a:schemeClr val="accent6"/>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'9月直播用户数据（有赞）'!$G$8:$G$21</c15:sqref>
                        </c15:formulaRef>
                      </c:ext>
                    </c:extLst>
                    <c:numCache>
                      <c:formatCode>0.00%</c:formatCode>
                      <c:ptCount val="14"/>
                      <c:pt idx="0">
                        <c:v>0.496268794782859</c:v>
                      </c:pt>
                      <c:pt idx="1">
                        <c:v>0.794744844978491</c:v>
                      </c:pt>
                      <c:pt idx="2">
                        <c:v>0.939544193835365</c:v>
                      </c:pt>
                      <c:pt idx="3">
                        <c:v>0.731271150639244</c:v>
                      </c:pt>
                      <c:pt idx="4">
                        <c:v>0.640307972496224</c:v>
                      </c:pt>
                      <c:pt idx="5">
                        <c:v>0.756958829225244</c:v>
                      </c:pt>
                      <c:pt idx="6">
                        <c:v>0.914690204222915</c:v>
                      </c:pt>
                      <c:pt idx="7">
                        <c:v>0.885666623893237</c:v>
                      </c:pt>
                      <c:pt idx="8">
                        <c:v>1</c:v>
                      </c:pt>
                      <c:pt idx="9">
                        <c:v>0.621982720090746</c:v>
                      </c:pt>
                      <c:pt idx="10">
                        <c:v>0.973225273125229</c:v>
                      </c:pt>
                      <c:pt idx="11">
                        <c:v>0.84593342824704</c:v>
                      </c:pt>
                      <c:pt idx="12">
                        <c:v>0</c:v>
                      </c:pt>
                      <c:pt idx="13">
                        <c:v>0</c:v>
                      </c:pt>
                    </c:numCache>
                  </c:numRef>
                </c:val>
                <c:smooth val="0"/>
              </c15:ser>
            </c15:filteredLineSeries>
            <c15:filteredLineSeries>
              <c15:ser>
                <c:idx val="6"/>
                <c:order val="6"/>
                <c:tx>
                  <c:strRef>
                    <c:extLst>
                      <c:ext uri="{02D57815-91ED-43cb-92C2-25804820EDAC}">
                        <c15:formulaRef>
                          <c15:sqref>'9月直播用户数据（有赞）'!$H$7</c15:sqref>
                        </c15:formulaRef>
                      </c:ext>
                    </c:extLst>
                    <c:strCache>
                      <c:ptCount val="1"/>
                      <c:pt idx="0">
                        <c:v>新用户数</c:v>
                      </c:pt>
                    </c:strCache>
                  </c:strRef>
                </c:tx>
                <c:spPr>
                  <a:ln w="28575" cap="rnd">
                    <a:solidFill>
                      <a:schemeClr val="accent1">
                        <a:lumMod val="60000"/>
                      </a:schemeClr>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'9月直播用户数据（有赞）'!$H$8:$H$21</c15:sqref>
                        </c15:formulaRef>
                      </c:ext>
                    </c:extLst>
                    <c:numCache>
                      <c:formatCode>General</c:formatCode>
                      <c:ptCount val="14"/>
                      <c:pt idx="0">
                        <c:v>33</c:v>
                      </c:pt>
                      <c:pt idx="1">
                        <c:v>13</c:v>
                      </c:pt>
                      <c:pt idx="2">
                        <c:v>10</c:v>
                      </c:pt>
                      <c:pt idx="3">
                        <c:v>12</c:v>
                      </c:pt>
                      <c:pt idx="4">
                        <c:v>22</c:v>
                      </c:pt>
                      <c:pt idx="5">
                        <c:v>5</c:v>
                      </c:pt>
                      <c:pt idx="6">
                        <c:v>8</c:v>
                      </c:pt>
                      <c:pt idx="7">
                        <c:v>4</c:v>
                      </c:pt>
                      <c:pt idx="8">
                        <c:v>1</c:v>
                      </c:pt>
                      <c:pt idx="9">
                        <c:v>22</c:v>
                      </c:pt>
                      <c:pt idx="10">
                        <c:v>4</c:v>
                      </c:pt>
                      <c:pt idx="11">
                        <c:v>5</c:v>
                      </c:pt>
                    </c:numCache>
                  </c:numRef>
                </c:val>
                <c:smooth val="0"/>
              </c15:ser>
            </c15:filteredLineSeries>
            <c15:filteredLineSeries>
              <c15:ser>
                <c:idx val="7"/>
                <c:order val="7"/>
                <c:tx>
                  <c:strRef>
                    <c:extLst>
                      <c:ext uri="{02D57815-91ED-43cb-92C2-25804820EDAC}">
                        <c15:formulaRef>
                          <c15:sqref>'9月直播用户数据（有赞）'!$I$7</c15:sqref>
                        </c15:formulaRef>
                      </c:ext>
                    </c:extLst>
                    <c:strCache>
                      <c:ptCount val="1"/>
                      <c:pt idx="0">
                        <c:v>新用户占比</c:v>
                      </c:pt>
                    </c:strCache>
                  </c:strRef>
                </c:tx>
                <c:spPr>
                  <a:ln w="28575" cap="rnd">
                    <a:solidFill>
                      <a:schemeClr val="accent2">
                        <a:lumMod val="60000"/>
                      </a:schemeClr>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'9月直播用户数据（有赞）'!$I$8:$I$21</c15:sqref>
                        </c15:formulaRef>
                      </c:ext>
                    </c:extLst>
                    <c:numCache>
                      <c:formatCode>0.00%</c:formatCode>
                      <c:ptCount val="14"/>
                      <c:pt idx="0">
                        <c:v>0.235714285714286</c:v>
                      </c:pt>
                      <c:pt idx="1">
                        <c:v>0.232142857142857</c:v>
                      </c:pt>
                      <c:pt idx="2">
                        <c:v>0.27027027027027</c:v>
                      </c:pt>
                      <c:pt idx="3">
                        <c:v>0.25</c:v>
                      </c:pt>
                      <c:pt idx="4">
                        <c:v>0.366666666666667</c:v>
                      </c:pt>
                      <c:pt idx="5">
                        <c:v>0.135135135135135</c:v>
                      </c:pt>
                      <c:pt idx="6">
                        <c:v>0.266666666666667</c:v>
                      </c:pt>
                      <c:pt idx="7">
                        <c:v>0.235294117647059</c:v>
                      </c:pt>
                      <c:pt idx="8">
                        <c:v>0.1</c:v>
                      </c:pt>
                      <c:pt idx="9">
                        <c:v>0.478260869565217</c:v>
                      </c:pt>
                      <c:pt idx="10">
                        <c:v>0.0869565217391304</c:v>
                      </c:pt>
                      <c:pt idx="11">
                        <c:v>0.277777777777778</c:v>
                      </c:pt>
                      <c:pt idx="12">
                        <c:v>0</c:v>
                      </c:pt>
                      <c:pt idx="13">
                        <c:v>0</c:v>
                      </c:pt>
                    </c:numCache>
                  </c:numRef>
                </c:val>
                <c:smooth val="0"/>
              </c15:ser>
            </c15:filteredLineSeries>
          </c:ext>
        </c:extLst>
      </c:lineChart>
      <c:dateAx>
        <c:axId val="7033861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3389320"/>
        <c:crosses val="autoZero"/>
        <c:auto val="1"/>
        <c:lblOffset val="100"/>
        <c:baseTimeUnit val="days"/>
      </c:dateAx>
      <c:valAx>
        <c:axId val="703389320"/>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33861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前</a:t>
            </a:r>
            <a:r>
              <a:rPr lang="en-US" altLang="zh-CN"/>
              <a:t>20</a:t>
            </a:r>
            <a:r>
              <a:rPr lang="zh-CN" altLang="en-US"/>
              <a:t>名下单占比</a:t>
            </a:r>
            <a:r>
              <a:rPr lang="en-US" altLang="zh-CN"/>
              <a:t>|</a:t>
            </a:r>
            <a:r>
              <a:rPr lang="zh-CN" altLang="en-US"/>
              <a:t>新用户占比</a:t>
            </a:r>
            <a:endParaRPr lang="zh-CN" altLang="en-US"/>
          </a:p>
        </c:rich>
      </c:tx>
      <c:layout/>
      <c:overlay val="0"/>
      <c:spPr>
        <a:noFill/>
        <a:ln>
          <a:noFill/>
        </a:ln>
        <a:effectLst/>
      </c:spPr>
    </c:title>
    <c:autoTitleDeleted val="0"/>
    <c:plotArea>
      <c:layout/>
      <c:lineChart>
        <c:grouping val="standard"/>
        <c:varyColors val="0"/>
        <c:ser>
          <c:idx val="5"/>
          <c:order val="5"/>
          <c:tx>
            <c:strRef>
              <c:f>'9月直播用户数据（有赞）'!$G$7</c:f>
              <c:strCache>
                <c:ptCount val="1"/>
                <c:pt idx="0">
                  <c:v>前20名下单占比</c:v>
                </c:pt>
              </c:strCache>
            </c:strRef>
          </c:tx>
          <c:spPr>
            <a:ln w="28575" cap="rnd">
              <a:solidFill>
                <a:schemeClr val="accent6"/>
              </a:solidFill>
              <a:round/>
            </a:ln>
            <a:effectLst/>
          </c:spPr>
          <c:marker>
            <c:symbol val="none"/>
          </c:marker>
          <c:dLbls>
            <c:delete val="1"/>
          </c:dLbls>
          <c:cat>
            <c:numRef>
              <c:f>'9月直播用户数据（有赞）'!$A$8:$A$21</c:f>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f>'9月直播用户数据（有赞）'!$G$8:$G$21</c:f>
              <c:numCache>
                <c:formatCode>0.00%</c:formatCode>
                <c:ptCount val="14"/>
                <c:pt idx="0">
                  <c:v>0.496268794782859</c:v>
                </c:pt>
                <c:pt idx="1">
                  <c:v>0.794744844978491</c:v>
                </c:pt>
                <c:pt idx="2">
                  <c:v>0.939544193835365</c:v>
                </c:pt>
                <c:pt idx="3">
                  <c:v>0.731271150639244</c:v>
                </c:pt>
                <c:pt idx="4">
                  <c:v>0.640307972496224</c:v>
                </c:pt>
                <c:pt idx="5">
                  <c:v>0.756958829225244</c:v>
                </c:pt>
                <c:pt idx="6">
                  <c:v>0.914690204222915</c:v>
                </c:pt>
                <c:pt idx="7">
                  <c:v>0.885666623893237</c:v>
                </c:pt>
                <c:pt idx="8">
                  <c:v>1</c:v>
                </c:pt>
                <c:pt idx="9">
                  <c:v>0.621982720090746</c:v>
                </c:pt>
                <c:pt idx="10">
                  <c:v>0.973225273125229</c:v>
                </c:pt>
                <c:pt idx="11">
                  <c:v>0.84593342824704</c:v>
                </c:pt>
                <c:pt idx="12">
                  <c:v>0</c:v>
                </c:pt>
                <c:pt idx="13">
                  <c:v>0</c:v>
                </c:pt>
              </c:numCache>
            </c:numRef>
          </c:val>
          <c:smooth val="0"/>
        </c:ser>
        <c:ser>
          <c:idx val="7"/>
          <c:order val="7"/>
          <c:tx>
            <c:strRef>
              <c:f>'9月直播用户数据（有赞）'!$I$7</c:f>
              <c:strCache>
                <c:ptCount val="1"/>
                <c:pt idx="0">
                  <c:v>新用户占比</c:v>
                </c:pt>
              </c:strCache>
            </c:strRef>
          </c:tx>
          <c:spPr>
            <a:ln w="28575" cap="rnd">
              <a:solidFill>
                <a:schemeClr val="accent2">
                  <a:lumMod val="60000"/>
                </a:schemeClr>
              </a:solidFill>
              <a:round/>
            </a:ln>
            <a:effectLst/>
          </c:spPr>
          <c:marker>
            <c:symbol val="none"/>
          </c:marker>
          <c:dLbls>
            <c:delete val="1"/>
          </c:dLbls>
          <c:cat>
            <c:numRef>
              <c:f>'9月直播用户数据（有赞）'!$A$8:$A$21</c:f>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f>'9月直播用户数据（有赞）'!$I$8:$I$21</c:f>
              <c:numCache>
                <c:formatCode>0.00%</c:formatCode>
                <c:ptCount val="14"/>
                <c:pt idx="0">
                  <c:v>0.235714285714286</c:v>
                </c:pt>
                <c:pt idx="1">
                  <c:v>0.232142857142857</c:v>
                </c:pt>
                <c:pt idx="2">
                  <c:v>0.27027027027027</c:v>
                </c:pt>
                <c:pt idx="3">
                  <c:v>0.25</c:v>
                </c:pt>
                <c:pt idx="4">
                  <c:v>0.366666666666667</c:v>
                </c:pt>
                <c:pt idx="5">
                  <c:v>0.135135135135135</c:v>
                </c:pt>
                <c:pt idx="6">
                  <c:v>0.266666666666667</c:v>
                </c:pt>
                <c:pt idx="7">
                  <c:v>0.235294117647059</c:v>
                </c:pt>
                <c:pt idx="8">
                  <c:v>0.1</c:v>
                </c:pt>
                <c:pt idx="9">
                  <c:v>0.478260869565217</c:v>
                </c:pt>
                <c:pt idx="10">
                  <c:v>0.0869565217391304</c:v>
                </c:pt>
                <c:pt idx="11">
                  <c:v>0.277777777777778</c:v>
                </c:pt>
                <c:pt idx="12">
                  <c:v>0</c:v>
                </c:pt>
                <c:pt idx="13">
                  <c:v>0</c:v>
                </c:pt>
              </c:numCache>
            </c:numRef>
          </c:val>
          <c:smooth val="0"/>
        </c:ser>
        <c:dLbls>
          <c:showLegendKey val="0"/>
          <c:showVal val="0"/>
          <c:showCatName val="0"/>
          <c:showSerName val="0"/>
          <c:showPercent val="0"/>
          <c:showBubbleSize val="0"/>
        </c:dLbls>
        <c:marker val="0"/>
        <c:smooth val="0"/>
        <c:axId val="703386120"/>
        <c:axId val="703389320"/>
        <c:extLst>
          <c:ext xmlns:c15="http://schemas.microsoft.com/office/drawing/2012/chart" uri="{02D57815-91ED-43cb-92C2-25804820EDAC}">
            <c15:filteredLineSeries>
              <c15:ser>
                <c:idx val="0"/>
                <c:order val="0"/>
                <c:tx>
                  <c:strRef>
                    <c:extLst>
                      <c:ext uri="{02D57815-91ED-43cb-92C2-25804820EDAC}">
                        <c15:formulaRef>
                          <c15:sqref>'9月直播用户数据（有赞）'!$B$7</c15:sqref>
                        </c15:formulaRef>
                      </c:ext>
                    </c:extLst>
                    <c:strCache>
                      <c:ptCount val="1"/>
                      <c:pt idx="0">
                        <c:v>下单用户数</c:v>
                      </c:pt>
                    </c:strCache>
                  </c:strRef>
                </c:tx>
                <c:spPr>
                  <a:ln w="28575" cap="rnd">
                    <a:solidFill>
                      <a:schemeClr val="accent1"/>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'9月直播用户数据（有赞）'!$B$8:$B$21</c15:sqref>
                        </c15:formulaRef>
                      </c:ext>
                    </c:extLst>
                    <c:numCache>
                      <c:formatCode>General</c:formatCode>
                      <c:ptCount val="14"/>
                      <c:pt idx="0">
                        <c:v>140</c:v>
                      </c:pt>
                      <c:pt idx="1">
                        <c:v>56</c:v>
                      </c:pt>
                      <c:pt idx="2">
                        <c:v>37</c:v>
                      </c:pt>
                      <c:pt idx="3">
                        <c:v>48</c:v>
                      </c:pt>
                      <c:pt idx="4">
                        <c:v>60</c:v>
                      </c:pt>
                      <c:pt idx="5">
                        <c:v>37</c:v>
                      </c:pt>
                      <c:pt idx="6">
                        <c:v>30</c:v>
                      </c:pt>
                      <c:pt idx="7">
                        <c:v>17</c:v>
                      </c:pt>
                      <c:pt idx="8">
                        <c:v>10</c:v>
                      </c:pt>
                      <c:pt idx="9">
                        <c:v>46</c:v>
                      </c:pt>
                      <c:pt idx="10">
                        <c:v>46</c:v>
                      </c:pt>
                      <c:pt idx="11">
                        <c:v>18</c:v>
                      </c:pt>
                    </c:numCache>
                  </c:numRef>
                </c:val>
                <c:smooth val="0"/>
              </c15:ser>
            </c15:filteredLineSeries>
            <c15:filteredLineSeries>
              <c15:ser>
                <c:idx val="1"/>
                <c:order val="1"/>
                <c:tx>
                  <c:strRef>
                    <c:extLst>
                      <c:ext uri="{02D57815-91ED-43cb-92C2-25804820EDAC}">
                        <c15:formulaRef>
                          <c15:sqref>'9月直播用户数据（有赞）'!$C$7</c15:sqref>
                        </c15:formulaRef>
                      </c:ext>
                    </c:extLst>
                    <c:strCache>
                      <c:ptCount val="1"/>
                      <c:pt idx="0">
                        <c:v> 订单数</c:v>
                      </c:pt>
                    </c:strCache>
                  </c:strRef>
                </c:tx>
                <c:spPr>
                  <a:ln w="28575" cap="rnd">
                    <a:solidFill>
                      <a:schemeClr val="accent2"/>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'9月直播用户数据（有赞）'!$C$8:$C$21</c15:sqref>
                        </c15:formulaRef>
                      </c:ext>
                    </c:extLst>
                    <c:numCache>
                      <c:formatCode>General</c:formatCode>
                      <c:ptCount val="14"/>
                      <c:pt idx="0">
                        <c:v>236</c:v>
                      </c:pt>
                      <c:pt idx="1">
                        <c:v>84</c:v>
                      </c:pt>
                      <c:pt idx="2">
                        <c:v>64</c:v>
                      </c:pt>
                      <c:pt idx="3">
                        <c:v>62</c:v>
                      </c:pt>
                      <c:pt idx="4">
                        <c:v>83</c:v>
                      </c:pt>
                      <c:pt idx="5">
                        <c:v>43</c:v>
                      </c:pt>
                      <c:pt idx="6">
                        <c:v>59</c:v>
                      </c:pt>
                      <c:pt idx="7">
                        <c:v>19</c:v>
                      </c:pt>
                      <c:pt idx="8">
                        <c:v>13</c:v>
                      </c:pt>
                      <c:pt idx="9">
                        <c:v>56</c:v>
                      </c:pt>
                      <c:pt idx="10">
                        <c:v>46</c:v>
                      </c:pt>
                      <c:pt idx="11">
                        <c:v>18</c:v>
                      </c:pt>
                    </c:numCache>
                  </c:numRef>
                </c:val>
                <c:smooth val="0"/>
              </c15:ser>
            </c15:filteredLineSeries>
            <c15:filteredLineSeries>
              <c15:ser>
                <c:idx val="2"/>
                <c:order val="2"/>
                <c:tx>
                  <c:strRef>
                    <c:extLst>
                      <c:ext uri="{02D57815-91ED-43cb-92C2-25804820EDAC}">
                        <c15:formulaRef>
                          <c15:sqref>'9月直播用户数据（有赞）'!$D$7</c15:sqref>
                        </c15:formulaRef>
                      </c:ext>
                    </c:extLst>
                    <c:strCache>
                      <c:ptCount val="1"/>
                      <c:pt idx="0">
                        <c:v>下单金额</c:v>
                      </c:pt>
                    </c:strCache>
                  </c:strRef>
                </c:tx>
                <c:spPr>
                  <a:ln w="28575" cap="rnd">
                    <a:solidFill>
                      <a:schemeClr val="accent3"/>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'9月直播用户数据（有赞）'!$D$8:$D$21</c15:sqref>
                        </c15:formulaRef>
                      </c:ext>
                    </c:extLst>
                    <c:numCache>
                      <c:formatCode>\¥#,##0.00_);[Red]\(\¥#,##0.00\)</c:formatCode>
                      <c:ptCount val="14"/>
                      <c:pt idx="0">
                        <c:v>17566.71</c:v>
                      </c:pt>
                      <c:pt idx="1" c:formatCode="&quot;￥&quot;#,##0.00_);[Red]\(&quot;￥&quot;#,##0.00\)">
                        <c:v>5392.79999999999</c:v>
                      </c:pt>
                      <c:pt idx="2" c:formatCode="&quot;￥&quot;#,##0.00_);[Red]\(&quot;￥&quot;#,##0.00\)">
                        <c:v>7643.6</c:v>
                      </c:pt>
                      <c:pt idx="3" c:formatCode="&quot;￥&quot;#,##0.00_);[Red]\(&quot;￥&quot;#,##0.00\)">
                        <c:v>11243.75</c:v>
                      </c:pt>
                      <c:pt idx="4" c:formatCode="&quot;￥&quot;#,##0.00_);[Red]\(&quot;￥&quot;#,##0.00\)">
                        <c:v>18339.3</c:v>
                      </c:pt>
                      <c:pt idx="5" c:formatCode="&quot;￥&quot;#,##0.00_);[Red]\(&quot;￥&quot;#,##0.00\)">
                        <c:v>8158.7</c:v>
                      </c:pt>
                      <c:pt idx="6" c:formatCode="&quot;￥&quot;#,##0.00_);[Red]\(&quot;￥&quot;#,##0.00\)">
                        <c:v>14445</c:v>
                      </c:pt>
                      <c:pt idx="7" c:formatCode="&quot;￥&quot;#,##0.00_);[Red]\(&quot;￥&quot;#,##0.00\)">
                        <c:v>2337.9</c:v>
                      </c:pt>
                      <c:pt idx="8" c:formatCode="&quot;￥&quot;#,##0.00_);[Red]\(&quot;￥&quot;#,##0.00\)">
                        <c:v>3549.78</c:v>
                      </c:pt>
                      <c:pt idx="9" c:formatCode="&quot;￥&quot;#,##0.00_);[Red]\(&quot;￥&quot;#,##0.00\)">
                        <c:v>12976.92</c:v>
                      </c:pt>
                      <c:pt idx="10" c:formatCode="&quot;￥&quot;#,##0.00_);[Red]\(&quot;￥&quot;#,##0.00\)">
                        <c:v>8516.24</c:v>
                      </c:pt>
                      <c:pt idx="11" c:formatCode="&quot;￥&quot;#,##0.00_);[Red]\(&quot;￥&quot;#,##0.00\)">
                        <c:v>5548.9</c:v>
                      </c:pt>
                    </c:numCache>
                  </c:numRef>
                </c:val>
                <c:smooth val="0"/>
              </c15:ser>
            </c15:filteredLineSeries>
            <c15:filteredLineSeries>
              <c15:ser>
                <c:idx val="3"/>
                <c:order val="3"/>
                <c:tx>
                  <c:strRef>
                    <c:extLst>
                      <c:ext uri="{02D57815-91ED-43cb-92C2-25804820EDAC}">
                        <c15:formulaRef>
                          <c15:sqref>'9月直播用户数据（有赞）'!$E$7</c15:sqref>
                        </c15:formulaRef>
                      </c:ext>
                    </c:extLst>
                    <c:strCache>
                      <c:ptCount val="1"/>
                      <c:pt idx="0">
                        <c:v>客单价</c:v>
                      </c:pt>
                    </c:strCache>
                  </c:strRef>
                </c:tx>
                <c:spPr>
                  <a:ln w="28575" cap="rnd">
                    <a:solidFill>
                      <a:schemeClr val="accent4"/>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'9月直播用户数据（有赞）'!$E$8:$E$21</c15:sqref>
                        </c15:formulaRef>
                      </c:ext>
                    </c:extLst>
                    <c:numCache>
                      <c:formatCode>"￥"#,##0.00_);[Red]\("￥"#,##0.00\)</c:formatCode>
                      <c:ptCount val="14"/>
                      <c:pt idx="0">
                        <c:v>125.4765</c:v>
                      </c:pt>
                      <c:pt idx="1">
                        <c:v>96.2999999999998</c:v>
                      </c:pt>
                      <c:pt idx="2">
                        <c:v>206.583783783784</c:v>
                      </c:pt>
                      <c:pt idx="3">
                        <c:v>234.244791666667</c:v>
                      </c:pt>
                      <c:pt idx="4">
                        <c:v>305.655</c:v>
                      </c:pt>
                      <c:pt idx="5">
                        <c:v>220.505405405405</c:v>
                      </c:pt>
                      <c:pt idx="6">
                        <c:v>481.5</c:v>
                      </c:pt>
                      <c:pt idx="7">
                        <c:v>137.523529411765</c:v>
                      </c:pt>
                      <c:pt idx="8">
                        <c:v>354.978</c:v>
                      </c:pt>
                      <c:pt idx="9">
                        <c:v>282.106956521739</c:v>
                      </c:pt>
                      <c:pt idx="10">
                        <c:v>185.135652173913</c:v>
                      </c:pt>
                      <c:pt idx="11">
                        <c:v>308.272222222222</c:v>
                      </c:pt>
                      <c:pt idx="12">
                        <c:v>0</c:v>
                      </c:pt>
                      <c:pt idx="13">
                        <c:v>0</c:v>
                      </c:pt>
                    </c:numCache>
                  </c:numRef>
                </c:val>
                <c:smooth val="0"/>
              </c15:ser>
            </c15:filteredLineSeries>
            <c15:filteredLineSeries>
              <c15:ser>
                <c:idx val="4"/>
                <c:order val="4"/>
                <c:tx>
                  <c:strRef>
                    <c:extLst>
                      <c:ext uri="{02D57815-91ED-43cb-92C2-25804820EDAC}">
                        <c15:formulaRef>
                          <c15:sqref>'9月直播用户数据（有赞）'!$F$7</c15:sqref>
                        </c15:formulaRef>
                      </c:ext>
                    </c:extLst>
                    <c:strCache>
                      <c:ptCount val="1"/>
                      <c:pt idx="0">
                        <c:v>前20名下单金额</c:v>
                      </c:pt>
                    </c:strCache>
                  </c:strRef>
                </c:tx>
                <c:spPr>
                  <a:ln w="28575" cap="rnd">
                    <a:solidFill>
                      <a:schemeClr val="accent5"/>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'9月直播用户数据（有赞）'!$F$8:$F$21</c15:sqref>
                        </c15:formulaRef>
                      </c:ext>
                    </c:extLst>
                    <c:numCache>
                      <c:formatCode>"￥"#,##0.00_);[Red]\("￥"#,##0.00\)</c:formatCode>
                      <c:ptCount val="14"/>
                      <c:pt idx="0">
                        <c:v>8717.81</c:v>
                      </c:pt>
                      <c:pt idx="1">
                        <c:v>4285.9</c:v>
                      </c:pt>
                      <c:pt idx="2">
                        <c:v>7181.5</c:v>
                      </c:pt>
                      <c:pt idx="3">
                        <c:v>8222.23</c:v>
                      </c:pt>
                      <c:pt idx="4">
                        <c:v>11742.8</c:v>
                      </c:pt>
                      <c:pt idx="5">
                        <c:v>6175.8</c:v>
                      </c:pt>
                      <c:pt idx="6">
                        <c:v>13212.7</c:v>
                      </c:pt>
                      <c:pt idx="7">
                        <c:v>2070.6</c:v>
                      </c:pt>
                      <c:pt idx="8">
                        <c:v>3549.78</c:v>
                      </c:pt>
                      <c:pt idx="9">
                        <c:v>8071.42</c:v>
                      </c:pt>
                      <c:pt idx="10">
                        <c:v>8288.22</c:v>
                      </c:pt>
                      <c:pt idx="11">
                        <c:v>4694</c:v>
                      </c:pt>
                    </c:numCache>
                  </c:numRef>
                </c:val>
                <c:smooth val="0"/>
              </c15:ser>
            </c15:filteredLineSeries>
            <c15:filteredLineSeries>
              <c15:ser>
                <c:idx val="6"/>
                <c:order val="6"/>
                <c:tx>
                  <c:strRef>
                    <c:extLst>
                      <c:ext uri="{02D57815-91ED-43cb-92C2-25804820EDAC}">
                        <c15:formulaRef>
                          <c15:sqref>'9月直播用户数据（有赞）'!$H$7</c15:sqref>
                        </c15:formulaRef>
                      </c:ext>
                    </c:extLst>
                    <c:strCache>
                      <c:ptCount val="1"/>
                      <c:pt idx="0">
                        <c:v>新用户数</c:v>
                      </c:pt>
                    </c:strCache>
                  </c:strRef>
                </c:tx>
                <c:spPr>
                  <a:ln w="28575" cap="rnd">
                    <a:solidFill>
                      <a:schemeClr val="accent1">
                        <a:lumMod val="60000"/>
                      </a:schemeClr>
                    </a:solidFill>
                    <a:round/>
                  </a:ln>
                  <a:effectLst/>
                </c:spPr>
                <c:marker>
                  <c:symbol val="none"/>
                </c:marker>
                <c:dLbls>
                  <c:delete val="1"/>
                </c:dLbls>
                <c:cat>
                  <c:numRef>
                    <c:extLst>
                      <c:ext uri="{02D57815-91ED-43cb-92C2-25804820EDAC}">
                        <c15:fullRef>
                          <c15:sqref/>
                        </c15:fullRef>
                        <c15:formulaRef>
                          <c15:sqref>'9月直播用户数据（有赞）'!$A$8:$A$21</c15:sqref>
                        </c15:formulaRef>
                      </c:ext>
                    </c:extLst>
                    <c:numCache>
                      <c:formatCode>yyyy/m/d</c:formatCode>
                      <c:ptCount val="14"/>
                      <c:pt idx="0" c:formatCode="yyyy/m/d">
                        <c:v>44808</c:v>
                      </c:pt>
                      <c:pt idx="1" c:formatCode="yyyy/m/d">
                        <c:v>44809</c:v>
                      </c:pt>
                      <c:pt idx="2" c:formatCode="yyyy/m/d">
                        <c:v>44811</c:v>
                      </c:pt>
                      <c:pt idx="3" c:formatCode="yyyy/m/d">
                        <c:v>44813</c:v>
                      </c:pt>
                      <c:pt idx="4" c:formatCode="yyyy/m/d">
                        <c:v>44815</c:v>
                      </c:pt>
                      <c:pt idx="5" c:formatCode="yyyy/m/d">
                        <c:v>44816</c:v>
                      </c:pt>
                      <c:pt idx="6" c:formatCode="yyyy/m/d">
                        <c:v>44817</c:v>
                      </c:pt>
                      <c:pt idx="7" c:formatCode="yyyy/m/d">
                        <c:v>44818</c:v>
                      </c:pt>
                      <c:pt idx="8" c:formatCode="yyyy/m/d">
                        <c:v>44820</c:v>
                      </c:pt>
                      <c:pt idx="9" c:formatCode="yyyy/m/d">
                        <c:v>44829</c:v>
                      </c:pt>
                      <c:pt idx="10" c:formatCode="yyyy/m/d">
                        <c:v>44830</c:v>
                      </c:pt>
                      <c:pt idx="11" c:formatCode="yyyy/m/d">
                        <c:v>44831</c:v>
                      </c:pt>
                      <c:pt idx="12" c:formatCode="yyyy/m/d">
                        <c:v>44833</c:v>
                      </c:pt>
                      <c:pt idx="13" c:formatCode="yyyy/m/d">
                        <c:v>44834</c:v>
                      </c:pt>
                    </c:numCache>
                  </c:numRef>
                </c:cat>
                <c:val>
                  <c:numRef>
                    <c:extLst>
                      <c:ext uri="{02D57815-91ED-43cb-92C2-25804820EDAC}">
                        <c15:formulaRef>
                          <c15:sqref>'9月直播用户数据（有赞）'!$H$8:$H$21</c15:sqref>
                        </c15:formulaRef>
                      </c:ext>
                    </c:extLst>
                    <c:numCache>
                      <c:formatCode>General</c:formatCode>
                      <c:ptCount val="14"/>
                      <c:pt idx="0">
                        <c:v>33</c:v>
                      </c:pt>
                      <c:pt idx="1">
                        <c:v>13</c:v>
                      </c:pt>
                      <c:pt idx="2">
                        <c:v>10</c:v>
                      </c:pt>
                      <c:pt idx="3">
                        <c:v>12</c:v>
                      </c:pt>
                      <c:pt idx="4">
                        <c:v>22</c:v>
                      </c:pt>
                      <c:pt idx="5">
                        <c:v>5</c:v>
                      </c:pt>
                      <c:pt idx="6">
                        <c:v>8</c:v>
                      </c:pt>
                      <c:pt idx="7">
                        <c:v>4</c:v>
                      </c:pt>
                      <c:pt idx="8">
                        <c:v>1</c:v>
                      </c:pt>
                      <c:pt idx="9">
                        <c:v>22</c:v>
                      </c:pt>
                      <c:pt idx="10">
                        <c:v>4</c:v>
                      </c:pt>
                      <c:pt idx="11">
                        <c:v>5</c:v>
                      </c:pt>
                    </c:numCache>
                  </c:numRef>
                </c:val>
                <c:smooth val="0"/>
              </c15:ser>
            </c15:filteredLineSeries>
          </c:ext>
        </c:extLst>
      </c:lineChart>
      <c:dateAx>
        <c:axId val="7033861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3389320"/>
        <c:crosses val="autoZero"/>
        <c:auto val="1"/>
        <c:lblOffset val="100"/>
        <c:baseTimeUnit val="days"/>
      </c:dateAx>
      <c:valAx>
        <c:axId val="703389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33861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新老用户占比</a:t>
            </a:r>
            <a:endParaRPr lang="zh-CN" altLang="en-US"/>
          </a:p>
        </c:rich>
      </c:tx>
      <c:layout/>
      <c:overlay val="0"/>
      <c:spPr>
        <a:noFill/>
        <a:ln>
          <a:noFill/>
        </a:ln>
        <a:effectLst/>
      </c:spPr>
    </c:title>
    <c:autoTitleDeleted val="0"/>
    <c:plotArea>
      <c:layout/>
      <c:pieChart>
        <c:varyColors val="1"/>
        <c:ser>
          <c:idx val="0"/>
          <c:order val="0"/>
          <c:tx>
            <c:strRef>
              <c:f>'9月直播用户数据（有赞）'!$L$2</c:f>
              <c:strCache>
                <c:ptCount val="1"/>
                <c:pt idx="0">
                  <c:v>占比</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dLblPos val="bestFit"/>
              <c:showLegendKey val="0"/>
              <c:showVal val="1"/>
              <c:showCatName val="0"/>
              <c:showSerName val="0"/>
              <c:showPercent val="0"/>
              <c:showBubbleSize val="0"/>
              <c:extLst>
                <c:ext xmlns:c15="http://schemas.microsoft.com/office/drawing/2012/chart" uri="{CE6537A1-D6FC-4f65-9D91-7224C49458BB}"/>
              </c:extLst>
            </c:dLbl>
            <c:dLbl>
              <c:idx val="1"/>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'9月直播用户数据（有赞）'!$K$3:$K$4</c:f>
              <c:strCache>
                <c:ptCount val="2"/>
                <c:pt idx="0">
                  <c:v>新用户</c:v>
                </c:pt>
                <c:pt idx="1">
                  <c:v>老用户</c:v>
                </c:pt>
              </c:strCache>
            </c:strRef>
          </c:cat>
          <c:val>
            <c:numRef>
              <c:f>'9月直播用户数据（有赞）'!$L$3:$L$4</c:f>
              <c:numCache>
                <c:formatCode>0.00%</c:formatCode>
                <c:ptCount val="2"/>
                <c:pt idx="0">
                  <c:v>0.255045871559633</c:v>
                </c:pt>
                <c:pt idx="1">
                  <c:v>0.744954128440367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直播下单金额（前</a:t>
            </a:r>
            <a:r>
              <a:rPr lang="en-US" altLang="zh-CN"/>
              <a:t>20</a:t>
            </a:r>
            <a:r>
              <a:rPr lang="zh-CN" altLang="en-US"/>
              <a:t>名）</a:t>
            </a:r>
            <a:endParaRPr lang="zh-CN" altLang="en-US"/>
          </a:p>
        </c:rich>
      </c:tx>
      <c:layout/>
      <c:overlay val="0"/>
      <c:spPr>
        <a:noFill/>
        <a:ln>
          <a:noFill/>
        </a:ln>
        <a:effectLst/>
      </c:spPr>
    </c:title>
    <c:autoTitleDeleted val="0"/>
    <c:plotArea>
      <c:layout/>
      <c:barChart>
        <c:barDir val="col"/>
        <c:grouping val="clustered"/>
        <c:varyColors val="0"/>
        <c:ser>
          <c:idx val="0"/>
          <c:order val="0"/>
          <c:tx>
            <c:strRef>
              <c:f>'9月直播用户数据（有赞）'!$Q$5</c:f>
              <c:strCache>
                <c:ptCount val="1"/>
                <c:pt idx="0">
                  <c:v>直播下单金额</c:v>
                </c:pt>
              </c:strCache>
            </c:strRef>
          </c:tx>
          <c:spPr>
            <a:solidFill>
              <a:schemeClr val="accent1"/>
            </a:solidFill>
            <a:ln>
              <a:noFill/>
            </a:ln>
            <a:effectLst/>
          </c:spPr>
          <c:invertIfNegative val="0"/>
          <c:dLbls>
            <c:delete val="1"/>
          </c:dLbls>
          <c:cat>
            <c:strRef>
              <c:f>'9月直播用户数据（有赞）'!$P$6:$P$25</c:f>
              <c:strCache>
                <c:ptCount val="20"/>
                <c:pt idx="0">
                  <c:v>谷风霞</c:v>
                </c:pt>
                <c:pt idx="1">
                  <c:v>岑人宁</c:v>
                </c:pt>
                <c:pt idx="2">
                  <c:v>黄女士</c:v>
                </c:pt>
                <c:pt idx="3">
                  <c:v>赵欣</c:v>
                </c:pt>
                <c:pt idx="4">
                  <c:v>黄先生</c:v>
                </c:pt>
                <c:pt idx="5">
                  <c:v>汪曲</c:v>
                </c:pt>
                <c:pt idx="6">
                  <c:v>吕健平</c:v>
                </c:pt>
                <c:pt idx="7">
                  <c:v>云姐</c:v>
                </c:pt>
                <c:pt idx="8">
                  <c:v>周丽君</c:v>
                </c:pt>
                <c:pt idx="9">
                  <c:v>康代蓉</c:v>
                </c:pt>
                <c:pt idx="10">
                  <c:v>刘培贤</c:v>
                </c:pt>
                <c:pt idx="11">
                  <c:v>王雪霞</c:v>
                </c:pt>
                <c:pt idx="12">
                  <c:v>曾琼辉</c:v>
                </c:pt>
                <c:pt idx="13">
                  <c:v>盛洁</c:v>
                </c:pt>
                <c:pt idx="14">
                  <c:v>谢易珍</c:v>
                </c:pt>
                <c:pt idx="15">
                  <c:v>何霞</c:v>
                </c:pt>
                <c:pt idx="16">
                  <c:v>赵晓华</c:v>
                </c:pt>
                <c:pt idx="17">
                  <c:v>柳现荣</c:v>
                </c:pt>
                <c:pt idx="18">
                  <c:v>郑雨明</c:v>
                </c:pt>
                <c:pt idx="19">
                  <c:v>许嫦梅</c:v>
                </c:pt>
              </c:strCache>
            </c:strRef>
          </c:cat>
          <c:val>
            <c:numRef>
              <c:f>'9月直播用户数据（有赞）'!$Q$6:$Q$25</c:f>
              <c:numCache>
                <c:formatCode>General</c:formatCode>
                <c:ptCount val="20"/>
                <c:pt idx="0">
                  <c:v>3918</c:v>
                </c:pt>
                <c:pt idx="1">
                  <c:v>2028.7</c:v>
                </c:pt>
                <c:pt idx="2">
                  <c:v>1655.8</c:v>
                </c:pt>
                <c:pt idx="3">
                  <c:v>1596.6</c:v>
                </c:pt>
                <c:pt idx="4">
                  <c:v>1502</c:v>
                </c:pt>
                <c:pt idx="5">
                  <c:v>1452</c:v>
                </c:pt>
                <c:pt idx="6">
                  <c:v>1445</c:v>
                </c:pt>
                <c:pt idx="7">
                  <c:v>1430.4</c:v>
                </c:pt>
                <c:pt idx="8">
                  <c:v>1342</c:v>
                </c:pt>
                <c:pt idx="9">
                  <c:v>1235.8</c:v>
                </c:pt>
                <c:pt idx="10">
                  <c:v>1197.02</c:v>
                </c:pt>
                <c:pt idx="11">
                  <c:v>1124.9</c:v>
                </c:pt>
                <c:pt idx="12">
                  <c:v>1107.9</c:v>
                </c:pt>
                <c:pt idx="13">
                  <c:v>1099.88</c:v>
                </c:pt>
                <c:pt idx="14">
                  <c:v>1095</c:v>
                </c:pt>
                <c:pt idx="15">
                  <c:v>1088.92</c:v>
                </c:pt>
                <c:pt idx="16">
                  <c:v>1075.8</c:v>
                </c:pt>
                <c:pt idx="17">
                  <c:v>958.6</c:v>
                </c:pt>
                <c:pt idx="18">
                  <c:v>933.9</c:v>
                </c:pt>
                <c:pt idx="19">
                  <c:v>929</c:v>
                </c:pt>
              </c:numCache>
            </c:numRef>
          </c:val>
        </c:ser>
        <c:dLbls>
          <c:showLegendKey val="0"/>
          <c:showVal val="0"/>
          <c:showCatName val="0"/>
          <c:showSerName val="0"/>
          <c:showPercent val="0"/>
          <c:showBubbleSize val="0"/>
        </c:dLbls>
        <c:gapWidth val="219"/>
        <c:overlap val="-27"/>
        <c:axId val="852235960"/>
        <c:axId val="852236600"/>
      </c:barChart>
      <c:catAx>
        <c:axId val="852235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2236600"/>
        <c:crosses val="autoZero"/>
        <c:auto val="1"/>
        <c:lblAlgn val="ctr"/>
        <c:lblOffset val="100"/>
        <c:noMultiLvlLbl val="0"/>
      </c:catAx>
      <c:valAx>
        <c:axId val="852236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2235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en-US" altLang="zh-CN" sz="1400" b="0" i="0" u="none" strike="noStrike" baseline="0">
                <a:solidFill>
                  <a:srgbClr val="333333"/>
                </a:solidFill>
                <a:latin typeface="Calibri" panose="020F0502020204030204" charset="0"/>
                <a:ea typeface="Calibri" panose="020F0502020204030204" charset="0"/>
                <a:cs typeface="Calibri" panose="020F0502020204030204" charset="0"/>
              </a:rPr>
              <a:t>8</a:t>
            </a: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月下单用户数与新用户（截止至</a:t>
            </a:r>
            <a:r>
              <a:rPr lang="en-US" altLang="zh-CN" sz="1400" b="0" i="0" u="none" strike="noStrike" baseline="0">
                <a:solidFill>
                  <a:srgbClr val="333333"/>
                </a:solidFill>
                <a:latin typeface="Calibri" panose="020F0502020204030204" charset="0"/>
                <a:ea typeface="Calibri" panose="020F0502020204030204" charset="0"/>
                <a:cs typeface="Calibri" panose="020F0502020204030204" charset="0"/>
              </a:rPr>
              <a:t>0829</a:t>
            </a: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a:t>
            </a:r>
            <a:endParaRPr lang="en-US" altLang="zh-CN" sz="11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overlay val="0"/>
      <c:spPr>
        <a:noFill/>
        <a:ln>
          <a:noFill/>
        </a:ln>
        <a:effectLst/>
      </c:spPr>
    </c:title>
    <c:autoTitleDeleted val="0"/>
    <c:plotArea>
      <c:layout/>
      <c:lineChart>
        <c:grouping val="standard"/>
        <c:varyColors val="0"/>
        <c:ser>
          <c:idx val="0"/>
          <c:order val="0"/>
          <c:tx>
            <c:strRef>
              <c:f>#REF!</c:f>
              <c:strCache>
                <c:ptCount val="1"/>
                <c:pt idx="0">
                  <c:v/>
                </c:pt>
              </c:strCache>
            </c:strRef>
          </c:tx>
          <c:spPr>
            <a:ln w="28575" cap="rnd" cmpd="sng" algn="ctr">
              <a:solidFill>
                <a:schemeClr val="accent1"/>
              </a:solidFill>
              <a:prstDash val="solid"/>
              <a:round/>
            </a:ln>
            <a:effectLst/>
          </c:spPr>
          <c:marker>
            <c:symbol val="none"/>
          </c:marker>
          <c:dLbls>
            <c:delete val="1"/>
          </c:dLbls>
          <c:cat>
            <c:numRef>
              <c:f>#REF!</c:f>
              <c:numCache>
                <c:ptCount val="0"/>
              </c:numCache>
            </c:numRef>
          </c:cat>
          <c:val>
            <c:numRef>
              <c:f>#REF!</c:f>
              <c:numCache>
                <c:formatCode>General</c:formatCode>
                <c:ptCount val="1"/>
                <c:pt idx="0">
                  <c:v>1</c:v>
                </c:pt>
              </c:numCache>
            </c:numRef>
          </c:val>
          <c:smooth val="0"/>
        </c:ser>
        <c:ser>
          <c:idx val="1"/>
          <c:order val="1"/>
          <c:tx>
            <c:strRef>
              <c:f>#REF!</c:f>
              <c:strCache>
                <c:ptCount val="1"/>
                <c:pt idx="0">
                  <c:v/>
                </c:pt>
              </c:strCache>
            </c:strRef>
          </c:tx>
          <c:spPr>
            <a:ln w="28575" cap="rnd" cmpd="sng" algn="ctr">
              <a:solidFill>
                <a:schemeClr val="accent2"/>
              </a:solidFill>
              <a:prstDash val="solid"/>
              <a:round/>
            </a:ln>
            <a:effectLst/>
          </c:spPr>
          <c:marker>
            <c:symbol val="none"/>
          </c:marker>
          <c:dLbls>
            <c:delete val="1"/>
          </c:dLbls>
          <c:cat>
            <c:numRef>
              <c:f>#REF!</c:f>
              <c:numCache>
                <c:ptCount val="0"/>
              </c:numCache>
            </c:numRef>
          </c:cat>
          <c:val>
            <c:numRef>
              <c:f>#REF!</c:f>
              <c:numCache>
                <c:formatCode>General</c:formatCode>
                <c:ptCount val="1"/>
                <c:pt idx="0">
                  <c:v>1</c:v>
                </c:pt>
              </c:numCache>
            </c:numRef>
          </c:val>
          <c:smooth val="0"/>
        </c:ser>
        <c:dLbls>
          <c:showLegendKey val="0"/>
          <c:showVal val="0"/>
          <c:showCatName val="0"/>
          <c:showSerName val="0"/>
          <c:showPercent val="0"/>
          <c:showBubbleSize val="0"/>
        </c:dLbls>
        <c:marker val="0"/>
        <c:smooth val="0"/>
        <c:axId val="58281257"/>
        <c:axId val="943801346"/>
      </c:lineChart>
      <c:dateAx>
        <c:axId val="5828125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943801346"/>
        <c:crosses val="autoZero"/>
        <c:auto val="1"/>
        <c:lblAlgn val="ctr"/>
        <c:lblOffset val="100"/>
        <c:baseTimeUnit val="days"/>
      </c:dateAx>
      <c:valAx>
        <c:axId val="943801346"/>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828125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wrap="square"/>
    <a:lstStyle/>
    <a:p>
      <a:pPr>
        <a:defRPr lang="zh-CN"/>
      </a:pPr>
    </a:p>
  </c:txPr>
  <c:externalData r:id="rId1">
    <c:autoUpdate val="0"/>
  </c:externalData>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下单用户数与新用户数</a:t>
            </a:r>
            <a:endParaRPr lang="en-US" altLang="zh-CN" sz="11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overlay val="0"/>
      <c:spPr>
        <a:noFill/>
        <a:ln>
          <a:noFill/>
        </a:ln>
        <a:effectLst/>
      </c:spPr>
    </c:title>
    <c:autoTitleDeleted val="0"/>
    <c:plotArea>
      <c:layout>
        <c:manualLayout>
          <c:layoutTarget val="inner"/>
          <c:xMode val="edge"/>
          <c:yMode val="edge"/>
          <c:x val="0.043525434389496"/>
          <c:y val="0.127021170195033"/>
          <c:w val="0.94035694630081"/>
          <c:h val="0.630838473078846"/>
        </c:manualLayout>
      </c:layout>
      <c:lineChart>
        <c:grouping val="standard"/>
        <c:varyColors val="0"/>
        <c:ser>
          <c:idx val="0"/>
          <c:order val="0"/>
          <c:tx>
            <c:strRef>
              <c:f>'C:\Users\Administrator\Documents\WeChat Files\wxid_1kqwa4c03e9u22\FileStorage\File\2022-09\[直播下单用户数据(2208）(1)(1).xls]8月用户数据表（直播）'!$B$7</c:f>
              <c:strCache>
                <c:ptCount val="1"/>
                <c:pt idx="0">
                  <c:v>下单用户数</c:v>
                </c:pt>
              </c:strCache>
            </c:strRef>
          </c:tx>
          <c:spPr>
            <a:ln w="28575" cap="rnd" cmpd="sng" algn="ctr">
              <a:solidFill>
                <a:schemeClr val="accent1"/>
              </a:solidFill>
              <a:prstDash val="solid"/>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trendline>
            <c:spPr>
              <a:ln w="6350" cap="rnd" cmpd="sng" algn="ctr">
                <a:solidFill>
                  <a:schemeClr val="accent1"/>
                </a:solidFill>
                <a:prstDash val="dash"/>
                <a:round/>
              </a:ln>
            </c:spPr>
            <c:trendlineType val="linear"/>
            <c:dispRSqr val="0"/>
            <c:dispEq val="0"/>
          </c:trendline>
          <c:cat>
            <c:numRef>
              <c:f>'C:\Users\Administrator\Documents\WeChat Files\wxid_1kqwa4c03e9u22\FileStorage\File\2022-09\[直播下单用户数据(2208）(1)(1).xls]8月用户数据表（直播）'!$A$8:$A$23</c:f>
              <c:numCache>
                <c:formatCode>General</c:formatCode>
                <c:ptCount val="16"/>
                <c:pt idx="0">
                  <c:v>44782</c:v>
                </c:pt>
                <c:pt idx="1">
                  <c:v>44783</c:v>
                </c:pt>
                <c:pt idx="2">
                  <c:v>44788</c:v>
                </c:pt>
                <c:pt idx="3">
                  <c:v>44789</c:v>
                </c:pt>
                <c:pt idx="4">
                  <c:v>44790</c:v>
                </c:pt>
                <c:pt idx="5">
                  <c:v>44791</c:v>
                </c:pt>
                <c:pt idx="6">
                  <c:v>44793</c:v>
                </c:pt>
                <c:pt idx="7">
                  <c:v>44794</c:v>
                </c:pt>
                <c:pt idx="8">
                  <c:v>44795</c:v>
                </c:pt>
                <c:pt idx="9">
                  <c:v>44797</c:v>
                </c:pt>
                <c:pt idx="10">
                  <c:v>44798</c:v>
                </c:pt>
                <c:pt idx="11">
                  <c:v>44799</c:v>
                </c:pt>
                <c:pt idx="12">
                  <c:v>44800</c:v>
                </c:pt>
                <c:pt idx="13">
                  <c:v>44801</c:v>
                </c:pt>
                <c:pt idx="14">
                  <c:v>44802</c:v>
                </c:pt>
                <c:pt idx="15">
                  <c:v>44804</c:v>
                </c:pt>
              </c:numCache>
            </c:numRef>
          </c:cat>
          <c:val>
            <c:numRef>
              <c:f>'C:\Users\Administrator\Documents\WeChat Files\wxid_1kqwa4c03e9u22\FileStorage\File\2022-09\[直播下单用户数据(2208）(1)(1).xls]8月用户数据表（直播）'!$B$8:$B$23</c:f>
              <c:numCache>
                <c:formatCode>General</c:formatCode>
                <c:ptCount val="16"/>
                <c:pt idx="0">
                  <c:v>23</c:v>
                </c:pt>
                <c:pt idx="1">
                  <c:v>14</c:v>
                </c:pt>
                <c:pt idx="2">
                  <c:v>34</c:v>
                </c:pt>
                <c:pt idx="3">
                  <c:v>32</c:v>
                </c:pt>
                <c:pt idx="4">
                  <c:v>69</c:v>
                </c:pt>
                <c:pt idx="5">
                  <c:v>92</c:v>
                </c:pt>
                <c:pt idx="6">
                  <c:v>101</c:v>
                </c:pt>
                <c:pt idx="7">
                  <c:v>92</c:v>
                </c:pt>
                <c:pt idx="8">
                  <c:v>74</c:v>
                </c:pt>
                <c:pt idx="9">
                  <c:v>93</c:v>
                </c:pt>
                <c:pt idx="10">
                  <c:v>72</c:v>
                </c:pt>
                <c:pt idx="11">
                  <c:v>80</c:v>
                </c:pt>
                <c:pt idx="12">
                  <c:v>55</c:v>
                </c:pt>
                <c:pt idx="13">
                  <c:v>161</c:v>
                </c:pt>
                <c:pt idx="14">
                  <c:v>98</c:v>
                </c:pt>
                <c:pt idx="15">
                  <c:v>73</c:v>
                </c:pt>
              </c:numCache>
            </c:numRef>
          </c:val>
          <c:smooth val="0"/>
        </c:ser>
        <c:ser>
          <c:idx val="5"/>
          <c:order val="1"/>
          <c:tx>
            <c:strRef>
              <c:f>'C:\Users\Administrator\Documents\WeChat Files\wxid_1kqwa4c03e9u22\FileStorage\File\2022-09\[直播下单用户数据(2208）(1)(1).xls]8月用户数据表（直播）'!$H$7</c:f>
              <c:strCache>
                <c:ptCount val="1"/>
                <c:pt idx="0">
                  <c:v>新用户数</c:v>
                </c:pt>
              </c:strCache>
            </c:strRef>
          </c:tx>
          <c:spPr>
            <a:ln w="28575" cap="rnd" cmpd="sng" algn="ctr">
              <a:solidFill>
                <a:srgbClr val="92D050"/>
              </a:solidFill>
              <a:prstDash val="solid"/>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trendline>
            <c:spPr>
              <a:ln w="6350" cap="rnd" cmpd="sng" algn="ctr">
                <a:solidFill>
                  <a:srgbClr val="92D050"/>
                </a:solidFill>
                <a:prstDash val="dashDot"/>
                <a:round/>
              </a:ln>
            </c:spPr>
            <c:trendlineType val="linear"/>
            <c:dispRSqr val="0"/>
            <c:dispEq val="0"/>
          </c:trendline>
          <c:cat>
            <c:numRef>
              <c:f>'C:\Users\Administrator\Documents\WeChat Files\wxid_1kqwa4c03e9u22\FileStorage\File\2022-09\[直播下单用户数据(2208）(1)(1).xls]8月用户数据表（直播）'!$A$8:$A$23</c:f>
              <c:numCache>
                <c:formatCode>General</c:formatCode>
                <c:ptCount val="16"/>
                <c:pt idx="0">
                  <c:v>44782</c:v>
                </c:pt>
                <c:pt idx="1">
                  <c:v>44783</c:v>
                </c:pt>
                <c:pt idx="2">
                  <c:v>44788</c:v>
                </c:pt>
                <c:pt idx="3">
                  <c:v>44789</c:v>
                </c:pt>
                <c:pt idx="4">
                  <c:v>44790</c:v>
                </c:pt>
                <c:pt idx="5">
                  <c:v>44791</c:v>
                </c:pt>
                <c:pt idx="6">
                  <c:v>44793</c:v>
                </c:pt>
                <c:pt idx="7">
                  <c:v>44794</c:v>
                </c:pt>
                <c:pt idx="8">
                  <c:v>44795</c:v>
                </c:pt>
                <c:pt idx="9">
                  <c:v>44797</c:v>
                </c:pt>
                <c:pt idx="10">
                  <c:v>44798</c:v>
                </c:pt>
                <c:pt idx="11">
                  <c:v>44799</c:v>
                </c:pt>
                <c:pt idx="12">
                  <c:v>44800</c:v>
                </c:pt>
                <c:pt idx="13">
                  <c:v>44801</c:v>
                </c:pt>
                <c:pt idx="14">
                  <c:v>44802</c:v>
                </c:pt>
                <c:pt idx="15">
                  <c:v>44804</c:v>
                </c:pt>
              </c:numCache>
            </c:numRef>
          </c:cat>
          <c:val>
            <c:numRef>
              <c:f>'C:\Users\Administrator\Documents\WeChat Files\wxid_1kqwa4c03e9u22\FileStorage\File\2022-09\[直播下单用户数据(2208）(1)(1).xls]8月用户数据表（直播）'!$H$8:$H$23</c:f>
              <c:numCache>
                <c:formatCode>General</c:formatCode>
                <c:ptCount val="16"/>
                <c:pt idx="0">
                  <c:v>2</c:v>
                </c:pt>
                <c:pt idx="1">
                  <c:v>1</c:v>
                </c:pt>
                <c:pt idx="2">
                  <c:v>7</c:v>
                </c:pt>
                <c:pt idx="3">
                  <c:v>3</c:v>
                </c:pt>
                <c:pt idx="4">
                  <c:v>9</c:v>
                </c:pt>
                <c:pt idx="5">
                  <c:v>21</c:v>
                </c:pt>
                <c:pt idx="6">
                  <c:v>14</c:v>
                </c:pt>
                <c:pt idx="7">
                  <c:v>30</c:v>
                </c:pt>
                <c:pt idx="8">
                  <c:v>12</c:v>
                </c:pt>
                <c:pt idx="9">
                  <c:v>6</c:v>
                </c:pt>
                <c:pt idx="10">
                  <c:v>10</c:v>
                </c:pt>
                <c:pt idx="11">
                  <c:v>6</c:v>
                </c:pt>
                <c:pt idx="12">
                  <c:v>11</c:v>
                </c:pt>
                <c:pt idx="13">
                  <c:v>40</c:v>
                </c:pt>
                <c:pt idx="14">
                  <c:v>10</c:v>
                </c:pt>
                <c:pt idx="15">
                  <c:v>3</c:v>
                </c:pt>
              </c:numCache>
            </c:numRef>
          </c:val>
          <c:smooth val="0"/>
        </c:ser>
        <c:dLbls>
          <c:showLegendKey val="0"/>
          <c:showVal val="0"/>
          <c:showCatName val="0"/>
          <c:showSerName val="0"/>
          <c:showPercent val="0"/>
          <c:showBubbleSize val="0"/>
        </c:dLbls>
        <c:marker val="0"/>
        <c:smooth val="0"/>
        <c:axId val="997600251"/>
        <c:axId val="947240209"/>
      </c:lineChart>
      <c:dateAx>
        <c:axId val="997600251"/>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947240209"/>
        <c:crosses val="autoZero"/>
        <c:auto val="1"/>
        <c:lblAlgn val="ctr"/>
        <c:lblOffset val="100"/>
        <c:baseTimeUnit val="days"/>
      </c:dateAx>
      <c:valAx>
        <c:axId val="947240209"/>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97600251"/>
        <c:crosses val="autoZero"/>
        <c:crossBetween val="between"/>
        <c:majorUnit val="10"/>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wrap="square"/>
    <a:lstStyle/>
    <a:p>
      <a:pPr>
        <a:defRPr lang="zh-CN"/>
      </a:pPr>
    </a:p>
  </c:txPr>
  <c:externalData r:id="rId1">
    <c:autoUpdate val="0"/>
  </c:externalData>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下单总金额</a:t>
            </a:r>
            <a:r>
              <a:rPr lang="en-US" altLang="zh-CN"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a:t>
            </a: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前</a:t>
            </a:r>
            <a:r>
              <a:rPr lang="en-US" altLang="zh-CN" sz="1400" b="0" i="0" u="none" strike="noStrike" baseline="0">
                <a:solidFill>
                  <a:srgbClr val="333333"/>
                </a:solidFill>
                <a:latin typeface="Calibri" panose="020F0502020204030204" charset="0"/>
                <a:ea typeface="Calibri" panose="020F0502020204030204" charset="0"/>
                <a:cs typeface="Calibri" panose="020F0502020204030204" charset="0"/>
              </a:rPr>
              <a:t>20</a:t>
            </a: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名下单金额</a:t>
            </a:r>
            <a:endParaRPr lang="en-US" altLang="zh-CN" sz="11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overlay val="0"/>
      <c:spPr>
        <a:noFill/>
        <a:ln>
          <a:noFill/>
        </a:ln>
        <a:effectLst/>
      </c:spPr>
    </c:title>
    <c:autoTitleDeleted val="0"/>
    <c:plotArea>
      <c:layout>
        <c:manualLayout>
          <c:layoutTarget val="inner"/>
          <c:xMode val="edge"/>
          <c:yMode val="edge"/>
          <c:x val="0.12013458101146"/>
          <c:y val="0.123287671232877"/>
          <c:w val="0.853580065187677"/>
          <c:h val="0.634494140947351"/>
        </c:manualLayout>
      </c:layout>
      <c:lineChart>
        <c:grouping val="standard"/>
        <c:varyColors val="0"/>
        <c:ser>
          <c:idx val="2"/>
          <c:order val="0"/>
          <c:tx>
            <c:strRef>
              <c:f>'C:\Users\Administrator\Documents\WeChat Files\wxid_1kqwa4c03e9u22\FileStorage\File\2022-09\[直播下单用户数据(2208）(1)(1).xls]8月用户数据表（直播）'!$D$7</c:f>
              <c:strCache>
                <c:ptCount val="1"/>
                <c:pt idx="0">
                  <c:v>下单金额</c:v>
                </c:pt>
              </c:strCache>
            </c:strRef>
          </c:tx>
          <c:spPr>
            <a:ln w="28575" cap="rnd" cmpd="sng" algn="ctr">
              <a:solidFill>
                <a:schemeClr val="accent3"/>
              </a:solidFill>
              <a:prstDash val="solid"/>
              <a:round/>
            </a:ln>
            <a:effectLst/>
          </c:spPr>
          <c:marker>
            <c:symbol val="none"/>
          </c:marker>
          <c:dLbls>
            <c:delete val="1"/>
          </c:dLbls>
          <c:trendline>
            <c:spPr>
              <a:ln w="6350" cap="rnd" cmpd="sng" algn="ctr">
                <a:solidFill>
                  <a:schemeClr val="tx1"/>
                </a:solidFill>
                <a:prstDash val="lgDash"/>
                <a:round/>
              </a:ln>
            </c:spPr>
            <c:trendlineType val="linear"/>
            <c:dispRSqr val="0"/>
            <c:dispEq val="0"/>
          </c:trendline>
          <c:cat>
            <c:numRef>
              <c:f>'C:\Users\Administrator\Documents\WeChat Files\wxid_1kqwa4c03e9u22\FileStorage\File\2022-09\[直播下单用户数据(2208）(1)(1).xls]8月用户数据表（直播）'!$A$8:$A$23</c:f>
              <c:numCache>
                <c:formatCode>General</c:formatCode>
                <c:ptCount val="16"/>
                <c:pt idx="0">
                  <c:v>44782</c:v>
                </c:pt>
                <c:pt idx="1">
                  <c:v>44783</c:v>
                </c:pt>
                <c:pt idx="2">
                  <c:v>44788</c:v>
                </c:pt>
                <c:pt idx="3">
                  <c:v>44789</c:v>
                </c:pt>
                <c:pt idx="4">
                  <c:v>44790</c:v>
                </c:pt>
                <c:pt idx="5">
                  <c:v>44791</c:v>
                </c:pt>
                <c:pt idx="6">
                  <c:v>44793</c:v>
                </c:pt>
                <c:pt idx="7">
                  <c:v>44794</c:v>
                </c:pt>
                <c:pt idx="8">
                  <c:v>44795</c:v>
                </c:pt>
                <c:pt idx="9">
                  <c:v>44797</c:v>
                </c:pt>
                <c:pt idx="10">
                  <c:v>44798</c:v>
                </c:pt>
                <c:pt idx="11">
                  <c:v>44799</c:v>
                </c:pt>
                <c:pt idx="12">
                  <c:v>44800</c:v>
                </c:pt>
                <c:pt idx="13">
                  <c:v>44801</c:v>
                </c:pt>
                <c:pt idx="14">
                  <c:v>44802</c:v>
                </c:pt>
                <c:pt idx="15">
                  <c:v>44804</c:v>
                </c:pt>
              </c:numCache>
            </c:numRef>
          </c:cat>
          <c:val>
            <c:numRef>
              <c:f>'C:\Users\Administrator\Documents\WeChat Files\wxid_1kqwa4c03e9u22\FileStorage\File\2022-09\[直播下单用户数据(2208）(1)(1).xls]8月用户数据表（直播）'!$D$8:$D$23</c:f>
              <c:numCache>
                <c:formatCode>General</c:formatCode>
                <c:ptCount val="16"/>
                <c:pt idx="0">
                  <c:v>3821</c:v>
                </c:pt>
                <c:pt idx="1">
                  <c:v>662.3</c:v>
                </c:pt>
                <c:pt idx="2">
                  <c:v>3643</c:v>
                </c:pt>
                <c:pt idx="3">
                  <c:v>3851.77</c:v>
                </c:pt>
                <c:pt idx="4">
                  <c:v>4660.9</c:v>
                </c:pt>
                <c:pt idx="5">
                  <c:v>4395.52</c:v>
                </c:pt>
                <c:pt idx="6">
                  <c:v>5384.15</c:v>
                </c:pt>
                <c:pt idx="7">
                  <c:v>5452.66</c:v>
                </c:pt>
                <c:pt idx="8">
                  <c:v>8548.26</c:v>
                </c:pt>
                <c:pt idx="9">
                  <c:v>8426.58</c:v>
                </c:pt>
                <c:pt idx="10">
                  <c:v>5561.62</c:v>
                </c:pt>
                <c:pt idx="11">
                  <c:v>7190.77</c:v>
                </c:pt>
                <c:pt idx="12">
                  <c:v>5573.78</c:v>
                </c:pt>
                <c:pt idx="13">
                  <c:v>11781.5</c:v>
                </c:pt>
                <c:pt idx="14">
                  <c:v>7924.75</c:v>
                </c:pt>
                <c:pt idx="15">
                  <c:v>6216.94</c:v>
                </c:pt>
              </c:numCache>
            </c:numRef>
          </c:val>
          <c:smooth val="0"/>
        </c:ser>
        <c:ser>
          <c:idx val="3"/>
          <c:order val="1"/>
          <c:tx>
            <c:strRef>
              <c:f>'C:\Users\Administrator\Documents\WeChat Files\wxid_1kqwa4c03e9u22\FileStorage\File\2022-09\[直播下单用户数据(2208）(1)(1).xls]8月用户数据表（直播）'!$F$7</c:f>
              <c:strCache>
                <c:ptCount val="1"/>
                <c:pt idx="0">
                  <c:v>前20名下单金额</c:v>
                </c:pt>
              </c:strCache>
            </c:strRef>
          </c:tx>
          <c:spPr>
            <a:ln w="28575" cap="rnd" cmpd="sng" algn="ctr">
              <a:solidFill>
                <a:schemeClr val="accent4"/>
              </a:solidFill>
              <a:prstDash val="solid"/>
              <a:round/>
            </a:ln>
            <a:effectLst/>
          </c:spPr>
          <c:marker>
            <c:symbol val="none"/>
          </c:marker>
          <c:dLbls>
            <c:delete val="1"/>
          </c:dLbls>
          <c:trendline>
            <c:spPr>
              <a:ln w="6350" cap="rnd" cmpd="sng" algn="ctr">
                <a:solidFill>
                  <a:srgbClr val="FFC000"/>
                </a:solidFill>
                <a:prstDash val="lgDash"/>
                <a:round/>
              </a:ln>
            </c:spPr>
            <c:trendlineType val="linear"/>
            <c:dispRSqr val="0"/>
            <c:dispEq val="0"/>
          </c:trendline>
          <c:cat>
            <c:numRef>
              <c:f>'C:\Users\Administrator\Documents\WeChat Files\wxid_1kqwa4c03e9u22\FileStorage\File\2022-09\[直播下单用户数据(2208）(1)(1).xls]8月用户数据表（直播）'!$A$8:$A$23</c:f>
              <c:numCache>
                <c:formatCode>General</c:formatCode>
                <c:ptCount val="16"/>
                <c:pt idx="0">
                  <c:v>44782</c:v>
                </c:pt>
                <c:pt idx="1">
                  <c:v>44783</c:v>
                </c:pt>
                <c:pt idx="2">
                  <c:v>44788</c:v>
                </c:pt>
                <c:pt idx="3">
                  <c:v>44789</c:v>
                </c:pt>
                <c:pt idx="4">
                  <c:v>44790</c:v>
                </c:pt>
                <c:pt idx="5">
                  <c:v>44791</c:v>
                </c:pt>
                <c:pt idx="6">
                  <c:v>44793</c:v>
                </c:pt>
                <c:pt idx="7">
                  <c:v>44794</c:v>
                </c:pt>
                <c:pt idx="8">
                  <c:v>44795</c:v>
                </c:pt>
                <c:pt idx="9">
                  <c:v>44797</c:v>
                </c:pt>
                <c:pt idx="10">
                  <c:v>44798</c:v>
                </c:pt>
                <c:pt idx="11">
                  <c:v>44799</c:v>
                </c:pt>
                <c:pt idx="12">
                  <c:v>44800</c:v>
                </c:pt>
                <c:pt idx="13">
                  <c:v>44801</c:v>
                </c:pt>
                <c:pt idx="14">
                  <c:v>44802</c:v>
                </c:pt>
                <c:pt idx="15">
                  <c:v>44804</c:v>
                </c:pt>
              </c:numCache>
            </c:numRef>
          </c:cat>
          <c:val>
            <c:numRef>
              <c:f>'C:\Users\Administrator\Documents\WeChat Files\wxid_1kqwa4c03e9u22\FileStorage\File\2022-09\[直播下单用户数据(2208）(1)(1).xls]8月用户数据表（直播）'!$F$8:$F$23</c:f>
              <c:numCache>
                <c:formatCode>General</c:formatCode>
                <c:ptCount val="16"/>
                <c:pt idx="0">
                  <c:v>2791.1</c:v>
                </c:pt>
                <c:pt idx="1">
                  <c:v>622.7</c:v>
                </c:pt>
                <c:pt idx="2">
                  <c:v>3064.5</c:v>
                </c:pt>
                <c:pt idx="3">
                  <c:v>3668.66</c:v>
                </c:pt>
                <c:pt idx="4">
                  <c:v>3573.6</c:v>
                </c:pt>
                <c:pt idx="5">
                  <c:v>3313.92</c:v>
                </c:pt>
                <c:pt idx="6">
                  <c:v>4156.44</c:v>
                </c:pt>
                <c:pt idx="7">
                  <c:v>4310.95</c:v>
                </c:pt>
                <c:pt idx="8">
                  <c:v>6429.23</c:v>
                </c:pt>
                <c:pt idx="9">
                  <c:v>6344.08</c:v>
                </c:pt>
                <c:pt idx="10">
                  <c:v>4584.51</c:v>
                </c:pt>
                <c:pt idx="11">
                  <c:v>4912.66</c:v>
                </c:pt>
                <c:pt idx="12">
                  <c:v>4953.6</c:v>
                </c:pt>
                <c:pt idx="13">
                  <c:v>6928.5</c:v>
                </c:pt>
                <c:pt idx="14">
                  <c:v>5546.73</c:v>
                </c:pt>
                <c:pt idx="15">
                  <c:v>4786.06</c:v>
                </c:pt>
              </c:numCache>
            </c:numRef>
          </c:val>
          <c:smooth val="0"/>
        </c:ser>
        <c:dLbls>
          <c:showLegendKey val="0"/>
          <c:showVal val="0"/>
          <c:showCatName val="0"/>
          <c:showSerName val="0"/>
          <c:showPercent val="0"/>
          <c:showBubbleSize val="0"/>
        </c:dLbls>
        <c:marker val="0"/>
        <c:smooth val="0"/>
        <c:axId val="71317048"/>
        <c:axId val="396298974"/>
      </c:lineChart>
      <c:dateAx>
        <c:axId val="71317048"/>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396298974"/>
        <c:crosses val="autoZero"/>
        <c:auto val="1"/>
        <c:lblAlgn val="ctr"/>
        <c:lblOffset val="100"/>
        <c:baseTimeUnit val="days"/>
      </c:dateAx>
      <c:valAx>
        <c:axId val="396298974"/>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131704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wrap="square"/>
    <a:lstStyle/>
    <a:p>
      <a:pPr>
        <a:defRPr lang="zh-CN"/>
      </a:pPr>
    </a:p>
  </c:txPr>
  <c:externalData r:id="rId1">
    <c:autoUpdate val="0"/>
  </c:externalData>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直播</a:t>
            </a:r>
            <a:r>
              <a:rPr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订单数</a:t>
            </a:r>
            <a:endParaRPr sz="11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overlay val="0"/>
      <c:spPr>
        <a:noFill/>
        <a:ln>
          <a:noFill/>
        </a:ln>
        <a:effectLst/>
      </c:spPr>
    </c:title>
    <c:autoTitleDeleted val="0"/>
    <c:plotArea>
      <c:layout/>
      <c:lineChart>
        <c:grouping val="standard"/>
        <c:varyColors val="0"/>
        <c:ser>
          <c:idx val="1"/>
          <c:order val="0"/>
          <c:tx>
            <c:strRef>
              <c:f>'C:\Users\Administrator\Documents\WeChat Files\wxid_1kqwa4c03e9u22\FileStorage\File\2022-09\[直播下单用户数据(2208）(1)(1).xls]8月用户数据表（直播）'!$C$7</c:f>
              <c:strCache>
                <c:ptCount val="1"/>
                <c:pt idx="0">
                  <c:v> 订单数</c:v>
                </c:pt>
              </c:strCache>
            </c:strRef>
          </c:tx>
          <c:spPr>
            <a:ln w="28575" cap="rnd" cmpd="sng" algn="ctr">
              <a:solidFill>
                <a:schemeClr val="accent2"/>
              </a:solidFill>
              <a:prstDash val="solid"/>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trendline>
            <c:spPr>
              <a:ln w="6350" cap="rnd" cmpd="sng" algn="ctr">
                <a:solidFill>
                  <a:schemeClr val="accent2"/>
                </a:solidFill>
                <a:prstDash val="dashDot"/>
                <a:round/>
              </a:ln>
            </c:spPr>
            <c:trendlineType val="linear"/>
            <c:dispRSqr val="0"/>
            <c:dispEq val="0"/>
          </c:trendline>
          <c:cat>
            <c:numRef>
              <c:f>'C:\Users\Administrator\Documents\WeChat Files\wxid_1kqwa4c03e9u22\FileStorage\File\2022-09\[直播下单用户数据(2208）(1)(1).xls]8月用户数据表（直播）'!$A$8:$A$23</c:f>
              <c:numCache>
                <c:formatCode>General</c:formatCode>
                <c:ptCount val="16"/>
                <c:pt idx="0">
                  <c:v>44782</c:v>
                </c:pt>
                <c:pt idx="1">
                  <c:v>44783</c:v>
                </c:pt>
                <c:pt idx="2">
                  <c:v>44788</c:v>
                </c:pt>
                <c:pt idx="3">
                  <c:v>44789</c:v>
                </c:pt>
                <c:pt idx="4">
                  <c:v>44790</c:v>
                </c:pt>
                <c:pt idx="5">
                  <c:v>44791</c:v>
                </c:pt>
                <c:pt idx="6">
                  <c:v>44793</c:v>
                </c:pt>
                <c:pt idx="7">
                  <c:v>44794</c:v>
                </c:pt>
                <c:pt idx="8">
                  <c:v>44795</c:v>
                </c:pt>
                <c:pt idx="9">
                  <c:v>44797</c:v>
                </c:pt>
                <c:pt idx="10">
                  <c:v>44798</c:v>
                </c:pt>
                <c:pt idx="11">
                  <c:v>44799</c:v>
                </c:pt>
                <c:pt idx="12">
                  <c:v>44800</c:v>
                </c:pt>
                <c:pt idx="13">
                  <c:v>44801</c:v>
                </c:pt>
                <c:pt idx="14">
                  <c:v>44802</c:v>
                </c:pt>
                <c:pt idx="15">
                  <c:v>44804</c:v>
                </c:pt>
              </c:numCache>
            </c:numRef>
          </c:cat>
          <c:val>
            <c:numRef>
              <c:f>'C:\Users\Administrator\Documents\WeChat Files\wxid_1kqwa4c03e9u22\FileStorage\File\2022-09\[直播下单用户数据(2208）(1)(1).xls]8月用户数据表（直播）'!$C$8:$C$23</c:f>
              <c:numCache>
                <c:formatCode>General</c:formatCode>
                <c:ptCount val="16"/>
                <c:pt idx="0">
                  <c:v>51</c:v>
                </c:pt>
                <c:pt idx="1">
                  <c:v>19</c:v>
                </c:pt>
                <c:pt idx="2">
                  <c:v>49</c:v>
                </c:pt>
                <c:pt idx="3">
                  <c:v>42</c:v>
                </c:pt>
                <c:pt idx="4">
                  <c:v>121</c:v>
                </c:pt>
                <c:pt idx="5">
                  <c:v>152</c:v>
                </c:pt>
                <c:pt idx="6">
                  <c:v>160</c:v>
                </c:pt>
                <c:pt idx="7">
                  <c:v>144</c:v>
                </c:pt>
                <c:pt idx="8">
                  <c:v>138</c:v>
                </c:pt>
                <c:pt idx="9">
                  <c:v>279</c:v>
                </c:pt>
                <c:pt idx="10">
                  <c:v>107</c:v>
                </c:pt>
                <c:pt idx="11">
                  <c:v>140</c:v>
                </c:pt>
                <c:pt idx="12">
                  <c:v>88</c:v>
                </c:pt>
                <c:pt idx="13">
                  <c:v>277</c:v>
                </c:pt>
                <c:pt idx="14">
                  <c:v>150</c:v>
                </c:pt>
                <c:pt idx="15">
                  <c:v>180</c:v>
                </c:pt>
              </c:numCache>
            </c:numRef>
          </c:val>
          <c:smooth val="0"/>
        </c:ser>
        <c:dLbls>
          <c:showLegendKey val="0"/>
          <c:showVal val="0"/>
          <c:showCatName val="0"/>
          <c:showSerName val="0"/>
          <c:showPercent val="0"/>
          <c:showBubbleSize val="0"/>
        </c:dLbls>
        <c:marker val="0"/>
        <c:smooth val="0"/>
        <c:axId val="865305928"/>
        <c:axId val="821007031"/>
      </c:lineChart>
      <c:dateAx>
        <c:axId val="865305928"/>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821007031"/>
        <c:crosses val="autoZero"/>
        <c:auto val="1"/>
        <c:lblAlgn val="ctr"/>
        <c:lblOffset val="100"/>
        <c:baseTimeUnit val="days"/>
      </c:dateAx>
      <c:valAx>
        <c:axId val="82100703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6530592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wrap="square"/>
    <a:lstStyle/>
    <a:p>
      <a:pPr>
        <a:defRPr lang="zh-CN"/>
      </a:pPr>
    </a:p>
  </c:txPr>
  <c:externalData r:id="rId1">
    <c:autoUpdate val="0"/>
  </c:externalData>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直播下单新老用户占比</a:t>
            </a:r>
            <a:endParaRPr lang="en-US" altLang="zh-CN" sz="11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overlay val="0"/>
      <c:spPr>
        <a:noFill/>
        <a:ln>
          <a:noFill/>
        </a:ln>
        <a:effectLst/>
      </c:spPr>
    </c:title>
    <c:autoTitleDeleted val="0"/>
    <c:plotArea>
      <c:layout/>
      <c:pieChart>
        <c:varyColors val="1"/>
        <c:ser>
          <c:idx val="0"/>
          <c:order val="0"/>
          <c:tx>
            <c:strRef>
              <c:f>'[1]8月用户数据表（直播）'!$E$2</c:f>
              <c:strCache>
                <c:ptCount val="1"/>
                <c:pt idx="0">
                  <c:v>占比</c:v>
                </c:pt>
              </c:strCache>
            </c:strRef>
          </c:tx>
          <c:explosion val="0"/>
          <c:dPt>
            <c:idx val="0"/>
            <c:bubble3D val="0"/>
            <c:explosion val="0"/>
            <c:spPr>
              <a:solidFill>
                <a:schemeClr val="accent1"/>
              </a:solidFill>
              <a:ln w="19050">
                <a:solidFill>
                  <a:schemeClr val="lt1"/>
                </a:solidFill>
              </a:ln>
              <a:effectLst/>
            </c:spPr>
          </c:dPt>
          <c:dPt>
            <c:idx val="1"/>
            <c:bubble3D val="0"/>
            <c:explosion val="0"/>
            <c:spPr>
              <a:solidFill>
                <a:schemeClr val="accent2"/>
              </a:solidFill>
              <a:ln w="19050">
                <a:solidFill>
                  <a:schemeClr val="lt1"/>
                </a:solidFill>
              </a:ln>
              <a:effectLst/>
            </c:spPr>
          </c:dPt>
          <c:dLbls>
            <c:dLbl>
              <c:idx val="0"/>
              <c:layout/>
              <c:numFmt formatCode="0.00%" sourceLinked="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extLst>
                <c:ext xmlns:c15="http://schemas.microsoft.com/office/drawing/2012/chart" uri="{CE6537A1-D6FC-4f65-9D91-7224C49458BB}"/>
              </c:extLst>
            </c:dLbl>
            <c:dLbl>
              <c:idx val="1"/>
              <c:layout/>
              <c:numFmt formatCode="0.00%" sourceLinked="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extLst>
                <c:ext xmlns:c15="http://schemas.microsoft.com/office/drawing/2012/chart" uri="{CE6537A1-D6FC-4f65-9D91-7224C49458BB}"/>
              </c:extLst>
            </c:dLbl>
            <c:numFmt formatCode="0.00%" sourceLinked="0"/>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bestFit"/>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rgbClr val="969696">
                          <a:alpha val="100000"/>
                        </a:srgbClr>
                      </a:solidFill>
                      <a:prstDash val="solid"/>
                      <a:round/>
                    </a:ln>
                  </c:spPr>
                </c15:leaderLines>
              </c:ext>
            </c:extLst>
          </c:dLbls>
          <c:cat>
            <c:strRef>
              <c:f>'[1]8月用户数据表（直播）'!$D$3:$D$4</c:f>
              <c:strCache>
                <c:ptCount val="2"/>
                <c:pt idx="0">
                  <c:v>新用户</c:v>
                </c:pt>
                <c:pt idx="1">
                  <c:v>老用户</c:v>
                </c:pt>
              </c:strCache>
            </c:strRef>
          </c:cat>
          <c:val>
            <c:numRef>
              <c:f>'[1]8月用户数据表（直播）'!$E$3:$E$4</c:f>
              <c:numCache>
                <c:formatCode>General</c:formatCode>
                <c:ptCount val="2"/>
                <c:pt idx="0">
                  <c:v>0.278614457831325</c:v>
                </c:pt>
                <c:pt idx="1">
                  <c:v>0.721385542168675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wrap="square"/>
    <a:lstStyle/>
    <a:p>
      <a:pPr>
        <a:defRPr lang="zh-CN"/>
      </a:pPr>
    </a:p>
  </c:txPr>
  <c:externalData r:id="rId1">
    <c:autoUpdate val="0"/>
  </c:externalData>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altLang="en-US"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直播</a:t>
            </a:r>
            <a:r>
              <a:rPr sz="1400" b="0"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客单价</a:t>
            </a:r>
            <a:endParaRPr sz="11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overlay val="0"/>
      <c:spPr>
        <a:noFill/>
        <a:ln>
          <a:noFill/>
        </a:ln>
        <a:effectLst/>
      </c:spPr>
    </c:title>
    <c:autoTitleDeleted val="0"/>
    <c:plotArea>
      <c:layout>
        <c:manualLayout>
          <c:layoutTarget val="inner"/>
          <c:xMode val="edge"/>
          <c:yMode val="edge"/>
          <c:x val="0.0763440018780812"/>
          <c:y val="0.12256904722994"/>
          <c:w val="0.908787855074732"/>
          <c:h val="0.637587841150515"/>
        </c:manualLayout>
      </c:layout>
      <c:lineChart>
        <c:grouping val="standard"/>
        <c:varyColors val="0"/>
        <c:ser>
          <c:idx val="3"/>
          <c:order val="0"/>
          <c:tx>
            <c:strRef>
              <c:f>'C:\Users\Administrator\Documents\WeChat Files\wxid_1kqwa4c03e9u22\FileStorage\File\2022-09\[直播下单用户数据(2208）(1)(1).xls]8月用户数据表（直播）'!$E$7</c:f>
              <c:strCache>
                <c:ptCount val="1"/>
                <c:pt idx="0">
                  <c:v>客单价</c:v>
                </c:pt>
              </c:strCache>
            </c:strRef>
          </c:tx>
          <c:spPr>
            <a:ln w="28575" cap="rnd" cmpd="sng" algn="ctr">
              <a:solidFill>
                <a:schemeClr val="accent4"/>
              </a:solidFill>
              <a:prstDash val="solid"/>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trendline>
            <c:spPr>
              <a:ln w="19050" cap="rnd" cmpd="sng" algn="ctr">
                <a:solidFill>
                  <a:schemeClr val="accent4"/>
                </a:solidFill>
                <a:prstDash val="sysDot"/>
                <a:round/>
              </a:ln>
              <a:effectLst/>
            </c:spPr>
            <c:trendlineType val="linear"/>
            <c:forward val="0"/>
            <c:backward val="0"/>
            <c:dispRSqr val="0"/>
            <c:dispEq val="0"/>
          </c:trendline>
          <c:cat>
            <c:numRef>
              <c:f>'C:\Users\Administrator\Documents\WeChat Files\wxid_1kqwa4c03e9u22\FileStorage\File\2022-09\[直播下单用户数据(2208）(1)(1).xls]8月用户数据表（直播）'!$A$8:$A$23</c:f>
              <c:numCache>
                <c:formatCode>General</c:formatCode>
                <c:ptCount val="16"/>
                <c:pt idx="0">
                  <c:v>44782</c:v>
                </c:pt>
                <c:pt idx="1">
                  <c:v>44783</c:v>
                </c:pt>
                <c:pt idx="2">
                  <c:v>44788</c:v>
                </c:pt>
                <c:pt idx="3">
                  <c:v>44789</c:v>
                </c:pt>
                <c:pt idx="4">
                  <c:v>44790</c:v>
                </c:pt>
                <c:pt idx="5">
                  <c:v>44791</c:v>
                </c:pt>
                <c:pt idx="6">
                  <c:v>44793</c:v>
                </c:pt>
                <c:pt idx="7">
                  <c:v>44794</c:v>
                </c:pt>
                <c:pt idx="8">
                  <c:v>44795</c:v>
                </c:pt>
                <c:pt idx="9">
                  <c:v>44797</c:v>
                </c:pt>
                <c:pt idx="10">
                  <c:v>44798</c:v>
                </c:pt>
                <c:pt idx="11">
                  <c:v>44799</c:v>
                </c:pt>
                <c:pt idx="12">
                  <c:v>44800</c:v>
                </c:pt>
                <c:pt idx="13">
                  <c:v>44801</c:v>
                </c:pt>
                <c:pt idx="14">
                  <c:v>44802</c:v>
                </c:pt>
                <c:pt idx="15">
                  <c:v>44804</c:v>
                </c:pt>
              </c:numCache>
            </c:numRef>
          </c:cat>
          <c:val>
            <c:numRef>
              <c:f>'C:\Users\Administrator\Documents\WeChat Files\wxid_1kqwa4c03e9u22\FileStorage\File\2022-09\[直播下单用户数据(2208）(1)(1).xls]8月用户数据表（直播）'!$E$8:$E$23</c:f>
              <c:numCache>
                <c:formatCode>General</c:formatCode>
                <c:ptCount val="16"/>
                <c:pt idx="0">
                  <c:v>166.130434782609</c:v>
                </c:pt>
                <c:pt idx="1">
                  <c:v>47.3071428571429</c:v>
                </c:pt>
                <c:pt idx="2">
                  <c:v>107.147058823529</c:v>
                </c:pt>
                <c:pt idx="3">
                  <c:v>120.3678125</c:v>
                </c:pt>
                <c:pt idx="4">
                  <c:v>67.5492753623188</c:v>
                </c:pt>
                <c:pt idx="5">
                  <c:v>47.7773913043478</c:v>
                </c:pt>
                <c:pt idx="6">
                  <c:v>53.3084158415842</c:v>
                </c:pt>
                <c:pt idx="7">
                  <c:v>59.2680434782609</c:v>
                </c:pt>
                <c:pt idx="8">
                  <c:v>115.517027027027</c:v>
                </c:pt>
                <c:pt idx="9">
                  <c:v>90.6083870967742</c:v>
                </c:pt>
                <c:pt idx="10">
                  <c:v>77.2447222222222</c:v>
                </c:pt>
                <c:pt idx="11">
                  <c:v>89.884625</c:v>
                </c:pt>
                <c:pt idx="12">
                  <c:v>101.341454545455</c:v>
                </c:pt>
                <c:pt idx="13">
                  <c:v>73.1770186335404</c:v>
                </c:pt>
                <c:pt idx="14">
                  <c:v>80.8647959183673</c:v>
                </c:pt>
                <c:pt idx="15">
                  <c:v>85.1635616438356</c:v>
                </c:pt>
              </c:numCache>
            </c:numRef>
          </c:val>
          <c:smooth val="0"/>
        </c:ser>
        <c:dLbls>
          <c:showLegendKey val="0"/>
          <c:showVal val="0"/>
          <c:showCatName val="0"/>
          <c:showSerName val="0"/>
          <c:showPercent val="0"/>
          <c:showBubbleSize val="0"/>
        </c:dLbls>
        <c:marker val="0"/>
        <c:smooth val="0"/>
        <c:axId val="568141481"/>
        <c:axId val="725548394"/>
      </c:lineChart>
      <c:dateAx>
        <c:axId val="568141481"/>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725548394"/>
        <c:crosses val="autoZero"/>
        <c:auto val="1"/>
        <c:lblAlgn val="ctr"/>
        <c:lblOffset val="100"/>
        <c:baseTimeUnit val="days"/>
      </c:dateAx>
      <c:valAx>
        <c:axId val="725548394"/>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68141481"/>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wrap="square"/>
    <a:lstStyle/>
    <a:p>
      <a:pPr>
        <a:defRPr lang="zh-CN"/>
      </a:pPr>
    </a:p>
  </c:txPr>
  <c:externalData r:id="rId1">
    <c:autoUpdate val="0"/>
  </c:externalData>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t>直播下单金额（前</a:t>
            </a:r>
            <a:r>
              <a:rPr lang="en-US" altLang="zh-CN"/>
              <a:t>20</a:t>
            </a:r>
            <a:r>
              <a:rPr altLang="en-US"/>
              <a:t>名</a:t>
            </a:r>
            <a:r>
              <a:rPr lang="en-US" altLang="zh-CN"/>
              <a:t>)</a:t>
            </a:r>
            <a:endParaRPr lang="en-US" altLang="zh-CN"/>
          </a:p>
        </c:rich>
      </c:tx>
      <c:layout/>
      <c:overlay val="0"/>
      <c:spPr>
        <a:noFill/>
        <a:ln>
          <a:noFill/>
        </a:ln>
        <a:effectLst/>
      </c:spPr>
    </c:title>
    <c:autoTitleDeleted val="0"/>
    <c:plotArea>
      <c:layout/>
      <c:barChart>
        <c:barDir val="col"/>
        <c:grouping val="clustered"/>
        <c:varyColors val="0"/>
        <c:ser>
          <c:idx val="0"/>
          <c:order val="0"/>
          <c:tx>
            <c:strRef>
              <c:f>'[2]8月直播用户数据（有赞）'!$Q$5</c:f>
              <c:strCache>
                <c:ptCount val="1"/>
                <c:pt idx="0">
                  <c:v>直播下单金额</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'[2]8月直播用户数据（有赞）'!$P$6:$P$25</c:f>
              <c:strCache>
                <c:ptCount val="20"/>
                <c:pt idx="0">
                  <c:v>杨秀琴</c:v>
                </c:pt>
                <c:pt idx="1">
                  <c:v>黄凤姣</c:v>
                </c:pt>
                <c:pt idx="2">
                  <c:v>盛洁</c:v>
                </c:pt>
                <c:pt idx="3">
                  <c:v>杨伟桃</c:v>
                </c:pt>
                <c:pt idx="4">
                  <c:v>吴立红</c:v>
                </c:pt>
                <c:pt idx="5">
                  <c:v>马静</c:v>
                </c:pt>
                <c:pt idx="6">
                  <c:v>王琼</c:v>
                </c:pt>
                <c:pt idx="7">
                  <c:v>许嫦梅</c:v>
                </c:pt>
                <c:pt idx="8">
                  <c:v>美姐</c:v>
                </c:pt>
                <c:pt idx="9">
                  <c:v>李艳丽</c:v>
                </c:pt>
                <c:pt idx="10">
                  <c:v>新惠</c:v>
                </c:pt>
                <c:pt idx="11">
                  <c:v>封文娟</c:v>
                </c:pt>
                <c:pt idx="12">
                  <c:v>谢莉程</c:v>
                </c:pt>
                <c:pt idx="13">
                  <c:v>李老师</c:v>
                </c:pt>
                <c:pt idx="14">
                  <c:v>秦艳</c:v>
                </c:pt>
                <c:pt idx="15">
                  <c:v>肖艳红</c:v>
                </c:pt>
                <c:pt idx="16">
                  <c:v>冯瑞英</c:v>
                </c:pt>
                <c:pt idx="17">
                  <c:v>钟凤琼</c:v>
                </c:pt>
                <c:pt idx="18">
                  <c:v>刘湘平</c:v>
                </c:pt>
                <c:pt idx="19">
                  <c:v>梁红</c:v>
                </c:pt>
              </c:strCache>
            </c:strRef>
          </c:cat>
          <c:val>
            <c:numRef>
              <c:f>'[2]8月直播用户数据（有赞）'!$Q$6:$Q$25</c:f>
              <c:numCache>
                <c:formatCode>General</c:formatCode>
                <c:ptCount val="20"/>
                <c:pt idx="0">
                  <c:v>2762.31</c:v>
                </c:pt>
                <c:pt idx="1">
                  <c:v>1707.04</c:v>
                </c:pt>
                <c:pt idx="2">
                  <c:v>1697.06</c:v>
                </c:pt>
                <c:pt idx="3">
                  <c:v>1636.13</c:v>
                </c:pt>
                <c:pt idx="4">
                  <c:v>1405.15</c:v>
                </c:pt>
                <c:pt idx="5">
                  <c:v>1175.3</c:v>
                </c:pt>
                <c:pt idx="6">
                  <c:v>1107.3</c:v>
                </c:pt>
                <c:pt idx="7">
                  <c:v>1097.81</c:v>
                </c:pt>
                <c:pt idx="8">
                  <c:v>1093.68</c:v>
                </c:pt>
                <c:pt idx="9">
                  <c:v>1012</c:v>
                </c:pt>
                <c:pt idx="10">
                  <c:v>944.38</c:v>
                </c:pt>
                <c:pt idx="11">
                  <c:v>894.98</c:v>
                </c:pt>
                <c:pt idx="12">
                  <c:v>889.31</c:v>
                </c:pt>
                <c:pt idx="13">
                  <c:v>881.3</c:v>
                </c:pt>
                <c:pt idx="14">
                  <c:v>872.4</c:v>
                </c:pt>
                <c:pt idx="15">
                  <c:v>848.32</c:v>
                </c:pt>
                <c:pt idx="16">
                  <c:v>847.82</c:v>
                </c:pt>
                <c:pt idx="17">
                  <c:v>827.6</c:v>
                </c:pt>
                <c:pt idx="18">
                  <c:v>799.55</c:v>
                </c:pt>
                <c:pt idx="19">
                  <c:v>786.3</c:v>
                </c:pt>
              </c:numCache>
            </c:numRef>
          </c:val>
        </c:ser>
        <c:dLbls>
          <c:showLegendKey val="0"/>
          <c:showVal val="1"/>
          <c:showCatName val="0"/>
          <c:showSerName val="0"/>
          <c:showPercent val="0"/>
          <c:showBubbleSize val="0"/>
        </c:dLbls>
        <c:gapWidth val="219"/>
        <c:overlap val="-27"/>
        <c:axId val="638333548"/>
        <c:axId val="969016948"/>
      </c:barChart>
      <c:catAx>
        <c:axId val="6383335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69016948"/>
        <c:crosses val="autoZero"/>
        <c:auto val="1"/>
        <c:lblAlgn val="ctr"/>
        <c:lblOffset val="100"/>
        <c:noMultiLvlLbl val="0"/>
      </c:catAx>
      <c:valAx>
        <c:axId val="9690169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383335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t>直播下单数</a:t>
            </a:r>
            <a:r>
              <a:rPr lang="en-US" altLang="zh-CN"/>
              <a:t>(</a:t>
            </a:r>
            <a:r>
              <a:rPr altLang="en-US"/>
              <a:t>前</a:t>
            </a:r>
            <a:r>
              <a:rPr lang="en-US" altLang="zh-CN"/>
              <a:t>20</a:t>
            </a:r>
            <a:r>
              <a:rPr altLang="en-US"/>
              <a:t>名</a:t>
            </a:r>
            <a:r>
              <a:rPr lang="en-US" altLang="zh-CN"/>
              <a:t>)</a:t>
            </a:r>
            <a:endParaRPr lang="en-US" altLang="zh-CN"/>
          </a:p>
        </c:rich>
      </c:tx>
      <c:layout/>
      <c:overlay val="0"/>
      <c:spPr>
        <a:noFill/>
        <a:ln>
          <a:noFill/>
        </a:ln>
        <a:effectLst/>
      </c:spPr>
    </c:title>
    <c:autoTitleDeleted val="0"/>
    <c:plotArea>
      <c:layout>
        <c:manualLayout>
          <c:layoutTarget val="inner"/>
          <c:xMode val="edge"/>
          <c:yMode val="edge"/>
          <c:x val="0.0210957333551716"/>
          <c:y val="0.113098758131283"/>
          <c:w val="0.945327982966178"/>
          <c:h val="0.815700768775872"/>
        </c:manualLayout>
      </c:layout>
      <c:barChart>
        <c:barDir val="col"/>
        <c:grouping val="clustered"/>
        <c:varyColors val="0"/>
        <c:ser>
          <c:idx val="0"/>
          <c:order val="0"/>
          <c:tx>
            <c:strRef>
              <c:f>'[2]8月直播用户数据（有赞）'!$V$5</c:f>
              <c:strCache>
                <c:ptCount val="1"/>
                <c:pt idx="0">
                  <c:v>直播下单数</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'[2]8月直播用户数据（有赞）'!$U$6:$U$25</c:f>
              <c:strCache>
                <c:ptCount val="20"/>
                <c:pt idx="0">
                  <c:v>黄凤姣</c:v>
                </c:pt>
                <c:pt idx="1">
                  <c:v>杨秀琴</c:v>
                </c:pt>
                <c:pt idx="2">
                  <c:v>杨伟桃</c:v>
                </c:pt>
                <c:pt idx="3">
                  <c:v>肖艳红</c:v>
                </c:pt>
                <c:pt idx="4">
                  <c:v>吴立红</c:v>
                </c:pt>
                <c:pt idx="5">
                  <c:v>李艳丽</c:v>
                </c:pt>
                <c:pt idx="6">
                  <c:v>盛洁</c:v>
                </c:pt>
                <c:pt idx="7">
                  <c:v>美姐</c:v>
                </c:pt>
                <c:pt idx="8">
                  <c:v>封文娟</c:v>
                </c:pt>
                <c:pt idx="9">
                  <c:v>李老师</c:v>
                </c:pt>
                <c:pt idx="10">
                  <c:v>谢莉程</c:v>
                </c:pt>
                <c:pt idx="11">
                  <c:v>马静</c:v>
                </c:pt>
                <c:pt idx="12">
                  <c:v>朱华</c:v>
                </c:pt>
                <c:pt idx="13">
                  <c:v>王琼</c:v>
                </c:pt>
                <c:pt idx="14">
                  <c:v>梁红</c:v>
                </c:pt>
                <c:pt idx="15">
                  <c:v>甄亚忱</c:v>
                </c:pt>
                <c:pt idx="16">
                  <c:v>新惠</c:v>
                </c:pt>
                <c:pt idx="17">
                  <c:v>李女士</c:v>
                </c:pt>
                <c:pt idx="18">
                  <c:v>郑琦</c:v>
                </c:pt>
                <c:pt idx="19">
                  <c:v>陶厚文</c:v>
                </c:pt>
              </c:strCache>
            </c:strRef>
          </c:cat>
          <c:val>
            <c:numRef>
              <c:f>'[2]8月直播用户数据（有赞）'!$V$6:$V$25</c:f>
              <c:numCache>
                <c:formatCode>General</c:formatCode>
                <c:ptCount val="20"/>
                <c:pt idx="0">
                  <c:v>34</c:v>
                </c:pt>
                <c:pt idx="1">
                  <c:v>32</c:v>
                </c:pt>
                <c:pt idx="2">
                  <c:v>26</c:v>
                </c:pt>
                <c:pt idx="3">
                  <c:v>25</c:v>
                </c:pt>
                <c:pt idx="4">
                  <c:v>23</c:v>
                </c:pt>
                <c:pt idx="5">
                  <c:v>21</c:v>
                </c:pt>
                <c:pt idx="6">
                  <c:v>20</c:v>
                </c:pt>
                <c:pt idx="7">
                  <c:v>20</c:v>
                </c:pt>
                <c:pt idx="8">
                  <c:v>19</c:v>
                </c:pt>
                <c:pt idx="9">
                  <c:v>18</c:v>
                </c:pt>
                <c:pt idx="10">
                  <c:v>17</c:v>
                </c:pt>
                <c:pt idx="11">
                  <c:v>17</c:v>
                </c:pt>
                <c:pt idx="12">
                  <c:v>16</c:v>
                </c:pt>
                <c:pt idx="13">
                  <c:v>16</c:v>
                </c:pt>
                <c:pt idx="14">
                  <c:v>16</c:v>
                </c:pt>
                <c:pt idx="15">
                  <c:v>15</c:v>
                </c:pt>
                <c:pt idx="16">
                  <c:v>15</c:v>
                </c:pt>
                <c:pt idx="17">
                  <c:v>15</c:v>
                </c:pt>
                <c:pt idx="18">
                  <c:v>14</c:v>
                </c:pt>
                <c:pt idx="19">
                  <c:v>14</c:v>
                </c:pt>
              </c:numCache>
            </c:numRef>
          </c:val>
        </c:ser>
        <c:dLbls>
          <c:showLegendKey val="0"/>
          <c:showVal val="1"/>
          <c:showCatName val="0"/>
          <c:showSerName val="0"/>
          <c:showPercent val="0"/>
          <c:showBubbleSize val="0"/>
        </c:dLbls>
        <c:gapWidth val="219"/>
        <c:overlap val="-27"/>
        <c:axId val="319574819"/>
        <c:axId val="936963161"/>
      </c:barChart>
      <c:catAx>
        <c:axId val="3195748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36963161"/>
        <c:crosses val="autoZero"/>
        <c:auto val="1"/>
        <c:lblAlgn val="ctr"/>
        <c:lblOffset val="100"/>
        <c:noMultiLvlLbl val="0"/>
      </c:catAx>
      <c:valAx>
        <c:axId val="93696316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95748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4" Type="http://schemas.openxmlformats.org/officeDocument/2006/relationships/chart" Target="../charts/chart13.xml"/><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1.xml"/><Relationship Id="rId7" Type="http://schemas.openxmlformats.org/officeDocument/2006/relationships/chart" Target="../charts/chart20.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9.xml"/><Relationship Id="rId7" Type="http://schemas.openxmlformats.org/officeDocument/2006/relationships/chart" Target="../charts/chart28.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104775</xdr:colOff>
      <xdr:row>49</xdr:row>
      <xdr:rowOff>109220</xdr:rowOff>
    </xdr:from>
    <xdr:to>
      <xdr:col>5</xdr:col>
      <xdr:colOff>981075</xdr:colOff>
      <xdr:row>71</xdr:row>
      <xdr:rowOff>9208</xdr:rowOff>
    </xdr:to>
    <xdr:graphicFrame>
      <xdr:nvGraphicFramePr>
        <xdr:cNvPr id="12" name="图表 11"/>
        <xdr:cNvGraphicFramePr/>
      </xdr:nvGraphicFramePr>
      <xdr:xfrm>
        <a:off x="104775" y="5938520"/>
        <a:ext cx="7372350" cy="3881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461961</xdr:colOff>
      <xdr:row>49</xdr:row>
      <xdr:rowOff>85726</xdr:rowOff>
    </xdr:from>
    <xdr:to>
      <xdr:col>13</xdr:col>
      <xdr:colOff>95250</xdr:colOff>
      <xdr:row>71</xdr:row>
      <xdr:rowOff>19050</xdr:rowOff>
    </xdr:to>
    <xdr:graphicFrame>
      <xdr:nvGraphicFramePr>
        <xdr:cNvPr id="13" name="图表 12"/>
        <xdr:cNvGraphicFramePr/>
      </xdr:nvGraphicFramePr>
      <xdr:xfrm>
        <a:off x="8005445" y="5915025"/>
        <a:ext cx="7406005" cy="39147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242886</xdr:colOff>
      <xdr:row>49</xdr:row>
      <xdr:rowOff>114300</xdr:rowOff>
    </xdr:from>
    <xdr:to>
      <xdr:col>19</xdr:col>
      <xdr:colOff>457199</xdr:colOff>
      <xdr:row>71</xdr:row>
      <xdr:rowOff>85725</xdr:rowOff>
    </xdr:to>
    <xdr:graphicFrame>
      <xdr:nvGraphicFramePr>
        <xdr:cNvPr id="14" name="图表 13"/>
        <xdr:cNvGraphicFramePr/>
      </xdr:nvGraphicFramePr>
      <xdr:xfrm>
        <a:off x="15558770" y="5943600"/>
        <a:ext cx="7091045" cy="39528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85724</xdr:colOff>
      <xdr:row>72</xdr:row>
      <xdr:rowOff>57150</xdr:rowOff>
    </xdr:from>
    <xdr:to>
      <xdr:col>5</xdr:col>
      <xdr:colOff>1038225</xdr:colOff>
      <xdr:row>94</xdr:row>
      <xdr:rowOff>76200</xdr:rowOff>
    </xdr:to>
    <xdr:graphicFrame>
      <xdr:nvGraphicFramePr>
        <xdr:cNvPr id="15" name="图表 14"/>
        <xdr:cNvGraphicFramePr/>
      </xdr:nvGraphicFramePr>
      <xdr:xfrm>
        <a:off x="85090" y="10048875"/>
        <a:ext cx="7449185" cy="40005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404811</xdr:colOff>
      <xdr:row>72</xdr:row>
      <xdr:rowOff>52387</xdr:rowOff>
    </xdr:from>
    <xdr:to>
      <xdr:col>13</xdr:col>
      <xdr:colOff>123824</xdr:colOff>
      <xdr:row>94</xdr:row>
      <xdr:rowOff>85725</xdr:rowOff>
    </xdr:to>
    <xdr:graphicFrame>
      <xdr:nvGraphicFramePr>
        <xdr:cNvPr id="16" name="图表 15"/>
        <xdr:cNvGraphicFramePr/>
      </xdr:nvGraphicFramePr>
      <xdr:xfrm>
        <a:off x="7948295" y="10043795"/>
        <a:ext cx="7491095" cy="401510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338136</xdr:colOff>
      <xdr:row>72</xdr:row>
      <xdr:rowOff>80962</xdr:rowOff>
    </xdr:from>
    <xdr:to>
      <xdr:col>19</xdr:col>
      <xdr:colOff>457200</xdr:colOff>
      <xdr:row>94</xdr:row>
      <xdr:rowOff>66676</xdr:rowOff>
    </xdr:to>
    <xdr:graphicFrame>
      <xdr:nvGraphicFramePr>
        <xdr:cNvPr id="17" name="图表 16"/>
        <xdr:cNvGraphicFramePr/>
      </xdr:nvGraphicFramePr>
      <xdr:xfrm>
        <a:off x="15654020" y="10072370"/>
        <a:ext cx="6996430" cy="39674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95249</xdr:colOff>
      <xdr:row>49</xdr:row>
      <xdr:rowOff>133350</xdr:rowOff>
    </xdr:from>
    <xdr:to>
      <xdr:col>29</xdr:col>
      <xdr:colOff>590549</xdr:colOff>
      <xdr:row>71</xdr:row>
      <xdr:rowOff>114300</xdr:rowOff>
    </xdr:to>
    <xdr:graphicFrame>
      <xdr:nvGraphicFramePr>
        <xdr:cNvPr id="18" name="图表 17"/>
        <xdr:cNvGraphicFramePr/>
      </xdr:nvGraphicFramePr>
      <xdr:xfrm>
        <a:off x="22973665" y="5962650"/>
        <a:ext cx="7305675" cy="3962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147637</xdr:colOff>
      <xdr:row>72</xdr:row>
      <xdr:rowOff>166686</xdr:rowOff>
    </xdr:from>
    <xdr:to>
      <xdr:col>29</xdr:col>
      <xdr:colOff>609600</xdr:colOff>
      <xdr:row>94</xdr:row>
      <xdr:rowOff>95249</xdr:rowOff>
    </xdr:to>
    <xdr:graphicFrame>
      <xdr:nvGraphicFramePr>
        <xdr:cNvPr id="19" name="图表 18"/>
        <xdr:cNvGraphicFramePr/>
      </xdr:nvGraphicFramePr>
      <xdr:xfrm>
        <a:off x="23026370" y="10158095"/>
        <a:ext cx="7272655" cy="390969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395605</xdr:colOff>
      <xdr:row>24</xdr:row>
      <xdr:rowOff>9525</xdr:rowOff>
    </xdr:from>
    <xdr:to>
      <xdr:col>24</xdr:col>
      <xdr:colOff>685165</xdr:colOff>
      <xdr:row>46</xdr:row>
      <xdr:rowOff>23495</xdr:rowOff>
    </xdr:to>
    <xdr:graphicFrame>
      <xdr:nvGraphicFramePr>
        <xdr:cNvPr id="20" name="图表 19"/>
        <xdr:cNvGraphicFramePr/>
      </xdr:nvGraphicFramePr>
      <xdr:xfrm>
        <a:off x="19102705" y="990600"/>
        <a:ext cx="7385685" cy="431927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214311</xdr:colOff>
      <xdr:row>35</xdr:row>
      <xdr:rowOff>28575</xdr:rowOff>
    </xdr:from>
    <xdr:to>
      <xdr:col>7</xdr:col>
      <xdr:colOff>847724</xdr:colOff>
      <xdr:row>63</xdr:row>
      <xdr:rowOff>38100</xdr:rowOff>
    </xdr:to>
    <xdr:graphicFrame>
      <xdr:nvGraphicFramePr>
        <xdr:cNvPr id="8" name="图表 7"/>
        <xdr:cNvGraphicFramePr/>
      </xdr:nvGraphicFramePr>
      <xdr:xfrm>
        <a:off x="213995" y="6419850"/>
        <a:ext cx="7700645" cy="5076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85725</xdr:colOff>
      <xdr:row>35</xdr:row>
      <xdr:rowOff>47625</xdr:rowOff>
    </xdr:from>
    <xdr:to>
      <xdr:col>14</xdr:col>
      <xdr:colOff>2305051</xdr:colOff>
      <xdr:row>63</xdr:row>
      <xdr:rowOff>85726</xdr:rowOff>
    </xdr:to>
    <xdr:graphicFrame>
      <xdr:nvGraphicFramePr>
        <xdr:cNvPr id="9" name="图表 8"/>
        <xdr:cNvGraphicFramePr/>
      </xdr:nvGraphicFramePr>
      <xdr:xfrm>
        <a:off x="8029575" y="6438900"/>
        <a:ext cx="8553450" cy="5105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233362</xdr:colOff>
      <xdr:row>64</xdr:row>
      <xdr:rowOff>33336</xdr:rowOff>
    </xdr:from>
    <xdr:to>
      <xdr:col>7</xdr:col>
      <xdr:colOff>857250</xdr:colOff>
      <xdr:row>87</xdr:row>
      <xdr:rowOff>85724</xdr:rowOff>
    </xdr:to>
    <xdr:graphicFrame>
      <xdr:nvGraphicFramePr>
        <xdr:cNvPr id="11" name="图表 10"/>
        <xdr:cNvGraphicFramePr/>
      </xdr:nvGraphicFramePr>
      <xdr:xfrm>
        <a:off x="233045" y="11672570"/>
        <a:ext cx="7691755" cy="421449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85725</xdr:colOff>
      <xdr:row>64</xdr:row>
      <xdr:rowOff>47625</xdr:rowOff>
    </xdr:from>
    <xdr:to>
      <xdr:col>14</xdr:col>
      <xdr:colOff>2324100</xdr:colOff>
      <xdr:row>87</xdr:row>
      <xdr:rowOff>52388</xdr:rowOff>
    </xdr:to>
    <xdr:graphicFrame>
      <xdr:nvGraphicFramePr>
        <xdr:cNvPr id="12" name="图表 11"/>
        <xdr:cNvGraphicFramePr/>
      </xdr:nvGraphicFramePr>
      <xdr:xfrm>
        <a:off x="8029575" y="11687175"/>
        <a:ext cx="8572500" cy="416687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29845</xdr:colOff>
      <xdr:row>6</xdr:row>
      <xdr:rowOff>139700</xdr:rowOff>
    </xdr:from>
    <xdr:to>
      <xdr:col>6</xdr:col>
      <xdr:colOff>858520</xdr:colOff>
      <xdr:row>6</xdr:row>
      <xdr:rowOff>139700</xdr:rowOff>
    </xdr:to>
    <xdr:graphicFrame>
      <xdr:nvGraphicFramePr>
        <xdr:cNvPr id="2" name="图表 9"/>
        <xdr:cNvGraphicFramePr/>
      </xdr:nvGraphicFramePr>
      <xdr:xfrm>
        <a:off x="29845" y="1311275"/>
        <a:ext cx="7477125"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36</xdr:row>
      <xdr:rowOff>23495</xdr:rowOff>
    </xdr:from>
    <xdr:to>
      <xdr:col>8</xdr:col>
      <xdr:colOff>942974</xdr:colOff>
      <xdr:row>63</xdr:row>
      <xdr:rowOff>113984</xdr:rowOff>
    </xdr:to>
    <xdr:graphicFrame>
      <xdr:nvGraphicFramePr>
        <xdr:cNvPr id="10" name="图表 9"/>
        <xdr:cNvGraphicFramePr/>
      </xdr:nvGraphicFramePr>
      <xdr:xfrm>
        <a:off x="76200" y="6643370"/>
        <a:ext cx="9714865" cy="47383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65</xdr:row>
      <xdr:rowOff>161925</xdr:rowOff>
    </xdr:from>
    <xdr:to>
      <xdr:col>8</xdr:col>
      <xdr:colOff>933449</xdr:colOff>
      <xdr:row>89</xdr:row>
      <xdr:rowOff>119064</xdr:rowOff>
    </xdr:to>
    <xdr:graphicFrame>
      <xdr:nvGraphicFramePr>
        <xdr:cNvPr id="11" name="图表 10"/>
        <xdr:cNvGraphicFramePr/>
      </xdr:nvGraphicFramePr>
      <xdr:xfrm>
        <a:off x="66675" y="11772900"/>
        <a:ext cx="9714865" cy="40716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247650</xdr:colOff>
      <xdr:row>40</xdr:row>
      <xdr:rowOff>9525</xdr:rowOff>
    </xdr:from>
    <xdr:to>
      <xdr:col>16</xdr:col>
      <xdr:colOff>647699</xdr:colOff>
      <xdr:row>67</xdr:row>
      <xdr:rowOff>28574</xdr:rowOff>
    </xdr:to>
    <xdr:graphicFrame>
      <xdr:nvGraphicFramePr>
        <xdr:cNvPr id="12" name="图表 11"/>
        <xdr:cNvGraphicFramePr/>
      </xdr:nvGraphicFramePr>
      <xdr:xfrm>
        <a:off x="10134600" y="7334250"/>
        <a:ext cx="7571740" cy="464756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209550</xdr:colOff>
      <xdr:row>68</xdr:row>
      <xdr:rowOff>114300</xdr:rowOff>
    </xdr:from>
    <xdr:to>
      <xdr:col>16</xdr:col>
      <xdr:colOff>733425</xdr:colOff>
      <xdr:row>93</xdr:row>
      <xdr:rowOff>38101</xdr:rowOff>
    </xdr:to>
    <xdr:graphicFrame>
      <xdr:nvGraphicFramePr>
        <xdr:cNvPr id="13" name="图表 12"/>
        <xdr:cNvGraphicFramePr/>
      </xdr:nvGraphicFramePr>
      <xdr:xfrm>
        <a:off x="10096500" y="12239625"/>
        <a:ext cx="7696200" cy="42100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219075</xdr:colOff>
      <xdr:row>40</xdr:row>
      <xdr:rowOff>114300</xdr:rowOff>
    </xdr:from>
    <xdr:to>
      <xdr:col>25</xdr:col>
      <xdr:colOff>1009650</xdr:colOff>
      <xdr:row>67</xdr:row>
      <xdr:rowOff>47625</xdr:rowOff>
    </xdr:to>
    <xdr:graphicFrame>
      <xdr:nvGraphicFramePr>
        <xdr:cNvPr id="14" name="图表 13"/>
        <xdr:cNvGraphicFramePr/>
      </xdr:nvGraphicFramePr>
      <xdr:xfrm>
        <a:off x="18326100" y="7439025"/>
        <a:ext cx="7867650" cy="45624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357186</xdr:colOff>
      <xdr:row>6</xdr:row>
      <xdr:rowOff>90486</xdr:rowOff>
    </xdr:from>
    <xdr:to>
      <xdr:col>14</xdr:col>
      <xdr:colOff>428624</xdr:colOff>
      <xdr:row>32</xdr:row>
      <xdr:rowOff>95249</xdr:rowOff>
    </xdr:to>
    <xdr:graphicFrame>
      <xdr:nvGraphicFramePr>
        <xdr:cNvPr id="3" name="图表 2"/>
        <xdr:cNvGraphicFramePr/>
      </xdr:nvGraphicFramePr>
      <xdr:xfrm>
        <a:off x="10243820" y="1261745"/>
        <a:ext cx="4957445" cy="472884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166370</xdr:colOff>
      <xdr:row>68</xdr:row>
      <xdr:rowOff>128270</xdr:rowOff>
    </xdr:from>
    <xdr:to>
      <xdr:col>25</xdr:col>
      <xdr:colOff>1009333</xdr:colOff>
      <xdr:row>93</xdr:row>
      <xdr:rowOff>94933</xdr:rowOff>
    </xdr:to>
    <xdr:graphicFrame>
      <xdr:nvGraphicFramePr>
        <xdr:cNvPr id="4" name="图表 3"/>
        <xdr:cNvGraphicFramePr/>
      </xdr:nvGraphicFramePr>
      <xdr:xfrm>
        <a:off x="18273395" y="12253595"/>
        <a:ext cx="7919720" cy="425259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29845</xdr:colOff>
      <xdr:row>6</xdr:row>
      <xdr:rowOff>139700</xdr:rowOff>
    </xdr:from>
    <xdr:to>
      <xdr:col>6</xdr:col>
      <xdr:colOff>858520</xdr:colOff>
      <xdr:row>6</xdr:row>
      <xdr:rowOff>139700</xdr:rowOff>
    </xdr:to>
    <xdr:graphicFrame>
      <xdr:nvGraphicFramePr>
        <xdr:cNvPr id="2" name="图表 9"/>
        <xdr:cNvGraphicFramePr/>
      </xdr:nvGraphicFramePr>
      <xdr:xfrm>
        <a:off x="29845" y="1311275"/>
        <a:ext cx="7513955"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xdr:colOff>
      <xdr:row>30</xdr:row>
      <xdr:rowOff>168910</xdr:rowOff>
    </xdr:from>
    <xdr:to>
      <xdr:col>8</xdr:col>
      <xdr:colOff>925195</xdr:colOff>
      <xdr:row>53</xdr:row>
      <xdr:rowOff>139065</xdr:rowOff>
    </xdr:to>
    <xdr:graphicFrame>
      <xdr:nvGraphicFramePr>
        <xdr:cNvPr id="3" name="图表 2"/>
        <xdr:cNvGraphicFramePr/>
      </xdr:nvGraphicFramePr>
      <xdr:xfrm>
        <a:off x="635" y="5683885"/>
        <a:ext cx="9506585" cy="41325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281940</xdr:colOff>
      <xdr:row>58</xdr:row>
      <xdr:rowOff>51435</xdr:rowOff>
    </xdr:from>
    <xdr:to>
      <xdr:col>14</xdr:col>
      <xdr:colOff>1141730</xdr:colOff>
      <xdr:row>82</xdr:row>
      <xdr:rowOff>164465</xdr:rowOff>
    </xdr:to>
    <xdr:graphicFrame>
      <xdr:nvGraphicFramePr>
        <xdr:cNvPr id="4" name="图表 4"/>
        <xdr:cNvGraphicFramePr/>
      </xdr:nvGraphicFramePr>
      <xdr:xfrm>
        <a:off x="9902190" y="10633710"/>
        <a:ext cx="6279515" cy="445643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xdr:colOff>
      <xdr:row>58</xdr:row>
      <xdr:rowOff>15875</xdr:rowOff>
    </xdr:from>
    <xdr:to>
      <xdr:col>8</xdr:col>
      <xdr:colOff>885825</xdr:colOff>
      <xdr:row>82</xdr:row>
      <xdr:rowOff>167640</xdr:rowOff>
    </xdr:to>
    <xdr:graphicFrame>
      <xdr:nvGraphicFramePr>
        <xdr:cNvPr id="5" name="图表 10"/>
        <xdr:cNvGraphicFramePr/>
      </xdr:nvGraphicFramePr>
      <xdr:xfrm>
        <a:off x="635" y="10598150"/>
        <a:ext cx="9467215" cy="449516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422275</xdr:colOff>
      <xdr:row>5</xdr:row>
      <xdr:rowOff>92710</xdr:rowOff>
    </xdr:from>
    <xdr:to>
      <xdr:col>14</xdr:col>
      <xdr:colOff>964565</xdr:colOff>
      <xdr:row>25</xdr:row>
      <xdr:rowOff>109220</xdr:rowOff>
    </xdr:to>
    <xdr:graphicFrame>
      <xdr:nvGraphicFramePr>
        <xdr:cNvPr id="6" name="图表 16"/>
        <xdr:cNvGraphicFramePr/>
      </xdr:nvGraphicFramePr>
      <xdr:xfrm>
        <a:off x="10042525" y="1083310"/>
        <a:ext cx="5962015" cy="363601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306705</xdr:colOff>
      <xdr:row>31</xdr:row>
      <xdr:rowOff>13970</xdr:rowOff>
    </xdr:from>
    <xdr:to>
      <xdr:col>14</xdr:col>
      <xdr:colOff>1124585</xdr:colOff>
      <xdr:row>53</xdr:row>
      <xdr:rowOff>146050</xdr:rowOff>
    </xdr:to>
    <xdr:graphicFrame>
      <xdr:nvGraphicFramePr>
        <xdr:cNvPr id="7" name="图表 21"/>
        <xdr:cNvGraphicFramePr/>
      </xdr:nvGraphicFramePr>
      <xdr:xfrm>
        <a:off x="9926955" y="5709920"/>
        <a:ext cx="623760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625475</xdr:colOff>
      <xdr:row>30</xdr:row>
      <xdr:rowOff>150495</xdr:rowOff>
    </xdr:from>
    <xdr:to>
      <xdr:col>23</xdr:col>
      <xdr:colOff>481330</xdr:colOff>
      <xdr:row>53</xdr:row>
      <xdr:rowOff>156845</xdr:rowOff>
    </xdr:to>
    <xdr:graphicFrame>
      <xdr:nvGraphicFramePr>
        <xdr:cNvPr id="8" name="图表 7"/>
        <xdr:cNvGraphicFramePr/>
      </xdr:nvGraphicFramePr>
      <xdr:xfrm>
        <a:off x="16903700" y="5665470"/>
        <a:ext cx="7275830" cy="416877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669925</xdr:colOff>
      <xdr:row>58</xdr:row>
      <xdr:rowOff>6350</xdr:rowOff>
    </xdr:from>
    <xdr:to>
      <xdr:col>23</xdr:col>
      <xdr:colOff>508000</xdr:colOff>
      <xdr:row>83</xdr:row>
      <xdr:rowOff>6350</xdr:rowOff>
    </xdr:to>
    <xdr:graphicFrame>
      <xdr:nvGraphicFramePr>
        <xdr:cNvPr id="9" name="图表 8"/>
        <xdr:cNvGraphicFramePr/>
      </xdr:nvGraphicFramePr>
      <xdr:xfrm>
        <a:off x="16948150" y="10588625"/>
        <a:ext cx="7258050" cy="45243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ocuments\WeChat%20Files\wxid_1kqwa4c03e9u22\FileStorage\File\2022-09\&#30452;&#25773;&#19979;&#21333;&#29992;&#25143;&#25968;&#25454;(2208&#65289;(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5270;&#39057;&#21495;&#30452;&#25773;&#25968;&#25454;&#32479;&#35745;&#65288;2208&#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8月用户数据表（直播）"/>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8月直播平台数据（视频号）"/>
      <sheetName val="8月直播用户数据（有赞）"/>
      <sheetName val="8月直播商品数据（视频号）"/>
    </sheetNames>
    <sheetDataSet>
      <sheetData sheetId="0"/>
      <sheetData sheetId="1">
        <row r="5">
          <cell r="Q5" t="str">
            <v>直播下单金额</v>
          </cell>
        </row>
        <row r="5">
          <cell r="V5" t="str">
            <v>直播下单数</v>
          </cell>
        </row>
        <row r="6">
          <cell r="P6" t="str">
            <v>杨秀琴</v>
          </cell>
          <cell r="Q6">
            <v>2762.31</v>
          </cell>
        </row>
        <row r="6">
          <cell r="U6" t="str">
            <v>黄凤姣</v>
          </cell>
          <cell r="V6">
            <v>34</v>
          </cell>
        </row>
        <row r="7">
          <cell r="P7" t="str">
            <v>黄凤姣</v>
          </cell>
          <cell r="Q7">
            <v>1707.04</v>
          </cell>
        </row>
        <row r="7">
          <cell r="U7" t="str">
            <v>杨秀琴</v>
          </cell>
          <cell r="V7">
            <v>32</v>
          </cell>
        </row>
        <row r="8">
          <cell r="P8" t="str">
            <v>盛洁</v>
          </cell>
          <cell r="Q8">
            <v>1697.06</v>
          </cell>
        </row>
        <row r="8">
          <cell r="U8" t="str">
            <v>杨伟桃</v>
          </cell>
          <cell r="V8">
            <v>26</v>
          </cell>
        </row>
        <row r="9">
          <cell r="P9" t="str">
            <v>杨伟桃</v>
          </cell>
          <cell r="Q9">
            <v>1636.13</v>
          </cell>
        </row>
        <row r="9">
          <cell r="U9" t="str">
            <v>肖艳红</v>
          </cell>
          <cell r="V9">
            <v>25</v>
          </cell>
        </row>
        <row r="10">
          <cell r="P10" t="str">
            <v>吴立红</v>
          </cell>
          <cell r="Q10">
            <v>1405.15</v>
          </cell>
        </row>
        <row r="10">
          <cell r="U10" t="str">
            <v>吴立红</v>
          </cell>
          <cell r="V10">
            <v>23</v>
          </cell>
        </row>
        <row r="11">
          <cell r="P11" t="str">
            <v>马静</v>
          </cell>
          <cell r="Q11">
            <v>1175.3</v>
          </cell>
        </row>
        <row r="11">
          <cell r="U11" t="str">
            <v>李艳丽</v>
          </cell>
          <cell r="V11">
            <v>21</v>
          </cell>
        </row>
        <row r="12">
          <cell r="P12" t="str">
            <v>王琼</v>
          </cell>
          <cell r="Q12">
            <v>1107.3</v>
          </cell>
        </row>
        <row r="12">
          <cell r="U12" t="str">
            <v>盛洁</v>
          </cell>
          <cell r="V12">
            <v>20</v>
          </cell>
        </row>
        <row r="13">
          <cell r="P13" t="str">
            <v>许嫦梅</v>
          </cell>
          <cell r="Q13">
            <v>1097.81</v>
          </cell>
        </row>
        <row r="13">
          <cell r="U13" t="str">
            <v>美姐</v>
          </cell>
          <cell r="V13">
            <v>20</v>
          </cell>
        </row>
        <row r="14">
          <cell r="P14" t="str">
            <v>美姐</v>
          </cell>
          <cell r="Q14">
            <v>1093.68</v>
          </cell>
        </row>
        <row r="14">
          <cell r="U14" t="str">
            <v>封文娟</v>
          </cell>
          <cell r="V14">
            <v>19</v>
          </cell>
        </row>
        <row r="15">
          <cell r="P15" t="str">
            <v>李艳丽</v>
          </cell>
          <cell r="Q15">
            <v>1012</v>
          </cell>
        </row>
        <row r="15">
          <cell r="U15" t="str">
            <v>李老师</v>
          </cell>
          <cell r="V15">
            <v>18</v>
          </cell>
        </row>
        <row r="16">
          <cell r="P16" t="str">
            <v>新惠</v>
          </cell>
          <cell r="Q16">
            <v>944.38</v>
          </cell>
        </row>
        <row r="16">
          <cell r="U16" t="str">
            <v>谢莉程</v>
          </cell>
          <cell r="V16">
            <v>17</v>
          </cell>
        </row>
        <row r="17">
          <cell r="P17" t="str">
            <v>封文娟</v>
          </cell>
          <cell r="Q17">
            <v>894.98</v>
          </cell>
        </row>
        <row r="17">
          <cell r="U17" t="str">
            <v>马静</v>
          </cell>
          <cell r="V17">
            <v>17</v>
          </cell>
        </row>
        <row r="18">
          <cell r="P18" t="str">
            <v>谢莉程</v>
          </cell>
          <cell r="Q18">
            <v>889.31</v>
          </cell>
        </row>
        <row r="18">
          <cell r="U18" t="str">
            <v>朱华</v>
          </cell>
          <cell r="V18">
            <v>16</v>
          </cell>
        </row>
        <row r="19">
          <cell r="P19" t="str">
            <v>李老师</v>
          </cell>
          <cell r="Q19">
            <v>881.3</v>
          </cell>
        </row>
        <row r="19">
          <cell r="U19" t="str">
            <v>王琼</v>
          </cell>
          <cell r="V19">
            <v>16</v>
          </cell>
        </row>
        <row r="20">
          <cell r="P20" t="str">
            <v>秦艳</v>
          </cell>
          <cell r="Q20">
            <v>872.4</v>
          </cell>
        </row>
        <row r="20">
          <cell r="U20" t="str">
            <v>梁红</v>
          </cell>
          <cell r="V20">
            <v>16</v>
          </cell>
        </row>
        <row r="21">
          <cell r="P21" t="str">
            <v>肖艳红</v>
          </cell>
          <cell r="Q21">
            <v>848.32</v>
          </cell>
        </row>
        <row r="21">
          <cell r="U21" t="str">
            <v>甄亚忱</v>
          </cell>
          <cell r="V21">
            <v>15</v>
          </cell>
        </row>
        <row r="22">
          <cell r="P22" t="str">
            <v>冯瑞英</v>
          </cell>
          <cell r="Q22">
            <v>847.82</v>
          </cell>
        </row>
        <row r="22">
          <cell r="U22" t="str">
            <v>新惠</v>
          </cell>
          <cell r="V22">
            <v>15</v>
          </cell>
        </row>
        <row r="23">
          <cell r="P23" t="str">
            <v>钟凤琼</v>
          </cell>
          <cell r="Q23">
            <v>827.6</v>
          </cell>
        </row>
        <row r="23">
          <cell r="U23" t="str">
            <v>李女士</v>
          </cell>
          <cell r="V23">
            <v>15</v>
          </cell>
        </row>
        <row r="24">
          <cell r="P24" t="str">
            <v>刘湘平</v>
          </cell>
          <cell r="Q24">
            <v>799.55</v>
          </cell>
        </row>
        <row r="24">
          <cell r="U24" t="str">
            <v>郑琦</v>
          </cell>
          <cell r="V24">
            <v>14</v>
          </cell>
        </row>
        <row r="25">
          <cell r="P25" t="str">
            <v>梁红</v>
          </cell>
          <cell r="Q25">
            <v>786.3</v>
          </cell>
        </row>
        <row r="25">
          <cell r="U25" t="str">
            <v>陶厚文</v>
          </cell>
          <cell r="V25">
            <v>14</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createdVersion="8" refreshedVersion="5" minRefreshableVersion="3" refreshedDate="44833.3891435185" refreshedBy="Administrator" recordCount="1152">
  <cacheSource type="worksheet">
    <worksheetSource ref="A1:AP1048576" sheet="有赞数据源"/>
  </cacheSource>
  <cacheFields count="45">
    <cacheField name="订单号" numFmtId="0">
      <sharedItems containsBlank="1" count="1152">
        <s v="E20220905001554045206155"/>
        <s v="E20220904235053101200029"/>
        <s v="E20220904234835044700039"/>
        <s v="E20220904234449101206161"/>
        <s v="E20220904234358053700027"/>
        <s v="E20220904233948004300003"/>
        <s v="E20220904233709020006157"/>
        <s v="E20220904233704053700071"/>
        <s v="E20220904233311070300057"/>
        <s v="E20220904232748005600079"/>
        <s v="E20220904232653053706157"/>
        <s v="E20220904232620094700073"/>
        <s v="E20220904232602046706189"/>
        <s v="E20220904232442044706187"/>
        <s v="E20220904232331061206165"/>
        <s v="E20220904232253094706187"/>
        <s v="E20220904231815101900013"/>
        <s v="E20220904231801042900073"/>
        <s v="E20220904231456053700017"/>
        <s v="E20220904231454003306149"/>
        <s v="E20220904231409020006153"/>
        <s v="E20220904231314044700061"/>
        <s v="E20220904231200092606179"/>
        <s v="E20220904231137090906147"/>
        <s v="E20220904231137003300027"/>
        <s v="E20220904231056071906185"/>
        <s v="E20220904231055003300037"/>
        <s v="E20220904231031044706161"/>
        <s v="E20220904231023051400081"/>
        <s v="E20220904231004020000039"/>
        <s v="E20220904231003071900067"/>
        <s v="E20220904230939037100029"/>
        <s v="E20220904230728029006171"/>
        <s v="E20220904230637071900059"/>
        <s v="E20220904230451080106179"/>
        <s v="E20220904230249044706167"/>
        <s v="E20220904230228101700015"/>
        <s v="E20220904230226037106173"/>
        <s v="E20220904230035037106189"/>
        <s v="E20220904230014029006171"/>
        <s v="E20220904225939065006151"/>
        <s v="E20220904225939051406171"/>
        <s v="E20220904225837083600069"/>
        <s v="E20220904225713061200081"/>
        <s v="E20220904225710071906151"/>
        <s v="E20220904225638098600005"/>
        <s v="E20220904225235095000073"/>
        <s v="E20220904225125061206183"/>
        <s v="E20220904225123003306149"/>
        <s v="E20220904225015053400071"/>
        <s v="E20220904224955078106185"/>
        <s v="E20220904224920061200085"/>
        <s v="E20220904224904035106149"/>
        <s v="E20220904224842085900027"/>
        <s v="E20220904224749085900063"/>
        <s v="E20220904224612005506159"/>
        <s v="E20220904224538028700059"/>
        <s v="E20220904224447097600011"/>
        <s v="E20220904224430079900053"/>
        <s v="E20220904224224025006151"/>
        <s v="E20220904224221071906187"/>
        <s v="E20220904224056089900023"/>
        <s v="E20220904224049068000027"/>
        <s v="E20220904224048068000019"/>
        <s v="E20220904224038068006165"/>
        <s v="E20220904224033083600039"/>
        <s v="E20220904224024025000083"/>
        <s v="E20220904224001099100083"/>
        <s v="E20220904223947005500081"/>
        <s v="E20220904223914005506163"/>
        <s v="E20220904223722077706155"/>
        <s v="E20220904223634013306147"/>
        <s v="E20220904223533023506145"/>
        <s v="E20220904223457097606169"/>
        <s v="E20220904223143080500013"/>
        <s v="E20220904222902061200047"/>
        <s v="E20220904222827015700075"/>
        <s v="E20220904222818097606193"/>
        <s v="E20220904222731051306177"/>
        <s v="E20220904222654023500045"/>
        <s v="E20220904222614099100057"/>
        <s v="E20220904222612080500073"/>
        <s v="E20220904222339003800075"/>
        <s v="E20220904222313084300037"/>
        <s v="E20220904222251003806167"/>
        <s v="E20220904221850054300063"/>
        <s v="E20220904221736025000067"/>
        <s v="E20220904221707023500005"/>
        <s v="E20220904221646051406189"/>
        <s v="E20220904221556085300001"/>
        <s v="E20220904221513029100075"/>
        <s v="E20220904221127023500071"/>
        <s v="E20220904221044089106163"/>
        <s v="E20220904221011095400005"/>
        <s v="E20220904221004080506157"/>
        <s v="E20220904220956061206193"/>
        <s v="E20220904220920097500021"/>
        <s v="E20220904220919025006183"/>
        <s v="E20220904220912099300059"/>
        <s v="E20220904215640055600043"/>
        <s v="E20220904215546080500031"/>
        <s v="E20220904215531095400081"/>
        <s v="E20220904215520061206201"/>
        <s v="E20220904215516051406145"/>
        <s v="E20220904215128071206199"/>
        <s v="E20220904215038081300069"/>
        <s v="E20220904215009069100087"/>
        <s v="E20220904214949040200059"/>
        <s v="E20220904214604055600009"/>
        <s v="E20220904214520069106177"/>
        <s v="E20220904214353029100059"/>
        <s v="E20220904214311023500019"/>
        <s v="E20220904214147085906153"/>
        <s v="E20220904214123061200063"/>
        <s v="E20220904214027063800031"/>
        <s v="E20220904214007020700047"/>
        <s v="E20220904213824078506197"/>
        <s v="E20220904213809071200001"/>
        <s v="E20220904213726085900009"/>
        <s v="E20220904213725089300043"/>
        <s v="E20220904213717088500031"/>
        <s v="E20220904213707007400089"/>
        <s v="E20220904213653029100009"/>
        <s v="E20220904213653023506165"/>
        <s v="E20220904213608088806153"/>
        <s v="E20220904213608085900061"/>
        <s v="E20220904213553067300009"/>
        <s v="E20220904213545051300039"/>
        <s v="E20220904213518066800075"/>
        <s v="E20220904213143051300067"/>
        <s v="E20220904213031023900065"/>
        <s v="E20220904212945065300045"/>
        <s v="E20220904212940045606159"/>
        <s v="E20220904212500022400027"/>
        <s v="E20220904212332048300079"/>
        <s v="E20220904212003023800083"/>
        <s v="E20220904211929013606163"/>
        <s v="E20220904211739030906149"/>
        <s v="E20220904211735028700015"/>
        <s v="E20220904211730094706145"/>
        <s v="E20220904211727028600001"/>
        <s v="E20220904211654094700087"/>
        <s v="E20220904211604094700051"/>
        <s v="E20220904211533030906163"/>
        <s v="E20220904211530088400073"/>
        <s v="E20220904211415066806169"/>
        <s v="E20220904211126005506195"/>
        <s v="E20220904211110036206195"/>
        <s v="E20220904211040089900059"/>
        <s v="E20220904211033007000049"/>
        <s v="E20220904211010032006169"/>
        <s v="E20220904210924088806173"/>
        <s v="E20220904210801013606155"/>
        <s v="E20220904210755023800075"/>
        <s v="E20220904210749005506189"/>
        <s v="E20220904210746099100049"/>
        <s v="E20220904210702007006197"/>
        <s v="E20220904210629099106183"/>
        <s v="E20220904210505013800037"/>
        <s v="E20220904210234085100093"/>
        <s v="E20220904205723044700059"/>
        <s v="E20220904205350044700065"/>
        <s v="E20220904205307099006155"/>
        <s v="E20220904205241090706159"/>
        <s v="E20220904205236099100063"/>
        <s v="E20220904204905008100029"/>
        <s v="E20220904204820015700037"/>
        <s v="E20220904204812026800089"/>
        <s v="E20220904204808097200091"/>
        <s v="E20220904204802032506183"/>
        <s v="E20220904204747092400033"/>
        <s v="E20220904204659099006205"/>
        <s v="E20220904204617075706163"/>
        <s v="E20220904204342088506173"/>
        <s v="E20220904203848012006181"/>
        <s v="E20220904203819013600023"/>
        <s v="E20220904203812036700065"/>
        <s v="E20220904203807092400035"/>
        <s v="E20220904203801031100049"/>
        <s v="E20220904203738002400067"/>
        <s v="E20220904203725088506197"/>
        <s v="E20220904203712088800035"/>
        <s v="E20220904203659046700031"/>
        <s v="E20220904203654049206169"/>
        <s v="E20220904203632088500013"/>
        <s v="E20220904203632039406189"/>
        <s v="E20220904203434099100043"/>
        <s v="E20220904203257029906187"/>
        <s v="E20220904203211025006179"/>
        <s v="E20220904203207063106197"/>
        <s v="E20220904203204035006177"/>
        <s v="E20220904203152002406149"/>
        <s v="E20220904203146066900003"/>
        <s v="E20220904203140060800051"/>
        <s v="E20220904203134102200033"/>
        <s v="E20220904203126030200009"/>
        <s v="E20220904203111087500071"/>
        <s v="E20220904203054072406147"/>
        <s v="E20220904203039085400015"/>
        <s v="E20220904202947031100027"/>
        <s v="E20220904202912081800043"/>
        <s v="E20220904202816085400027"/>
        <s v="E20220904202800013606199"/>
        <s v="E20220904202749002406193"/>
        <s v="E20220904202731001100035"/>
        <s v="E20220904202730046700091"/>
        <s v="E20220904202715090200069"/>
        <s v="E20220904202633097800035"/>
        <s v="E20220904202412015700095"/>
        <s v="E20220904202309036300007"/>
        <s v="E20220904202232015700043"/>
        <s v="E20220904202148085206155"/>
        <s v="E20220904201931020306181"/>
        <s v="E20220904201734101200027"/>
        <s v="E20220904201615080306185"/>
        <s v="E20220904201540071400073"/>
        <s v="E20220904201528000000069"/>
        <s v="E20220904201503004306169"/>
        <s v="E20220904201445001106149"/>
        <s v="E20220904201328068900075"/>
        <s v="E20220904201305001106185"/>
        <s v="E20220904201217019306173"/>
        <s v="E20220904201143093806193"/>
        <s v="E20220904200955099300035"/>
        <s v="E20220904200911013600067"/>
        <s v="E20220904200837039400021"/>
        <s v="E20220904200751000006167"/>
        <s v="E20220904200741037406191"/>
        <s v="E20220904200736093800031"/>
        <s v="E20220904200731088800067"/>
        <s v="E20220904200728080300009"/>
        <s v="E20220904200710071406171"/>
        <s v="E20220904200551044700065"/>
        <s v="E20220904200401098006191"/>
        <s v="E20220904200359007406189"/>
        <s v="E20220904200350071406191"/>
        <s v="E20220904200345081800023"/>
        <s v="E20220904200324001106145"/>
        <s v="E20220904200318049200025"/>
        <s v="E20220904200316017206177"/>
        <s v="E20220904200258039400053"/>
        <s v="E20220904200253072400037"/>
        <s v="E20220904200243092100053"/>
        <s v="E20220904200242001106197"/>
        <s v="E20220904200237037600079"/>
        <s v="E20220904200236096206183"/>
        <s v="E20220904200222071400087"/>
        <s v="E20220904200215091806165"/>
        <s v="E20220904200158037600031"/>
        <s v="E20220904200117007400047"/>
        <s v="E20220904200106060300017"/>
        <s v="E20220904200012013600079"/>
        <s v="E20220904195902019500025"/>
        <s v="E20220904195900001100019"/>
        <s v="E20220904195859080306161"/>
        <s v="E20220904195855047100031"/>
        <s v="E20220904195844013600093"/>
        <s v="E20220904195840032200063"/>
        <s v="E20220904195813071700029"/>
        <s v="E20220904195802037606165"/>
        <s v="E20220904195222068906149"/>
        <s v="E20220904195208096400081"/>
        <s v="E20220904195154092106163"/>
        <s v="E20220904195148078806153"/>
        <s v="E20220904195117022600079"/>
        <s v="E20220904195112021806165"/>
        <s v="E20220904195100017300009"/>
        <s v="E20220904195055007000069"/>
        <s v="E20220904195001048006173"/>
        <s v="E20220904194942007000029"/>
        <s v="E20220904194833094800039"/>
        <s v="E20220904194830022600069"/>
        <s v="E20220904194731071400065"/>
        <s v="E20220904194713037606201"/>
        <s v="E20220904194409088306145"/>
        <s v="E20220904194401055206159"/>
        <s v="E20220904194239087100025"/>
        <s v="E20220904194236071406169"/>
        <s v="E20220904194204064900079"/>
        <s v="E20220904194157031700013"/>
        <s v="E20220904194156090406171"/>
        <s v="E20220904194144050100063"/>
        <s v="E20220904194114012006159"/>
        <s v="E20220904194111090000079"/>
        <s v="E20220904194109071406189"/>
        <s v="E20220904194054015906151"/>
        <s v="E20220904193809015906151"/>
        <s v="E20220904193705015906201"/>
        <s v="E20220904193655026000091"/>
        <s v="E20220904193638065300063"/>
        <s v="E20220904193623005700021"/>
        <s v="E20220904193606071406189"/>
        <s v="E20220904193553050100027"/>
        <s v="E20220904193546100700085"/>
        <s v="E20220904193541058406175"/>
        <s v="E20220904193534072406163"/>
        <s v="E20220904193514090006167"/>
        <s v="E20220904193441077800087"/>
        <s v="E20220904193439101006195"/>
        <s v="E20220904193438063300071"/>
        <s v="E20220904193417000506185"/>
        <s v="E20220904193326009500083"/>
        <s v="E20220904193312058406177"/>
        <s v="E20220904193024017606153"/>
        <s v="E20220904193007059700089"/>
        <s v="E20220904192931100200043"/>
        <s v="E20220904192835001300051"/>
        <s v="E20220904192829033000073"/>
        <s v="E20220904192828019706165"/>
        <s v="E20220904192806102200003"/>
        <s v="E20220904192755033000003"/>
        <s v="E20220904192108022200047"/>
        <s v="E20220904192037005700075"/>
        <s v="E20220904191700089600015"/>
        <s v="E20220904191604028706191"/>
        <s v="E20220904191515086700031"/>
        <s v="E20220904191506097200077"/>
        <s v="E20220904191436051700041"/>
        <s v="E20220904191352052100035"/>
        <s v="E20220904191338074400021"/>
        <s v="E20220905234856062800005"/>
        <s v="E20220905234107092300001"/>
        <s v="E20220905233057092306153"/>
        <s v="E20220905232419053106177"/>
        <s v="E20220905232348101206145"/>
        <s v="E20220905232059053106145"/>
        <s v="E20220905230843051106191"/>
        <s v="E20220905230827036600035"/>
        <s v="E20220905230650051100007"/>
        <s v="E20220905230410066806151"/>
        <s v="E20220905225702046200061"/>
        <s v="E20220905225337059206151"/>
        <s v="E20220905225316036200009"/>
        <s v="E20220905225245059200035"/>
        <s v="E20220905225151066800055"/>
        <s v="E20220905225132071400031"/>
        <s v="E20220905225120051100003"/>
        <s v="E20220905225114092300053"/>
        <s v="E20220905225026066800089"/>
        <s v="E20220905224634071406161"/>
        <s v="E20220905224458078500019"/>
        <s v="E20220905224436032500039"/>
        <s v="E20220905224043032500009"/>
        <s v="E20220905223800010900029"/>
        <s v="E20220905223159101106159"/>
        <s v="E20220905222646014800039"/>
        <s v="E20220905222637010906167"/>
        <s v="E20220905222341066700069"/>
        <s v="E20220905222333101100053"/>
        <s v="E20220905222218044706171"/>
        <s v="E20220905222010044500011"/>
        <s v="E20220905221654053706189"/>
        <s v="E20220905221629050900045"/>
        <s v="E20220905221545053700069"/>
        <s v="E20220905221541018700043"/>
        <s v="E20220905221538071200055"/>
        <s v="E20220905221503017500057"/>
        <s v="E20220905220416018706171"/>
        <s v="E20220905220357010906149"/>
        <s v="E20220905220342026606167"/>
        <s v="E20220905220158063106195"/>
        <s v="E20220905215944050706147"/>
        <s v="E20220905215611003006193"/>
        <s v="E20220905215135077800023"/>
        <s v="E20220905215107018706177"/>
        <s v="E20220905214330008706185"/>
        <s v="E20220905214220086706183"/>
        <s v="E20220905213910007306155"/>
        <s v="E20220905213850097306179"/>
        <s v="E20220905212818014500041"/>
        <s v="E20220905212549078906151"/>
        <s v="E20220905212038014800069"/>
        <s v="E20220905212019046400015"/>
        <s v="E20220905211600095106155"/>
        <s v="E20220905211502073900007"/>
        <s v="E20220905211341032106181"/>
        <s v="E20220905211235030400001"/>
        <s v="E20220905210700060900005"/>
        <s v="E20220905205840072800055"/>
        <s v="E20220905205816018700091"/>
        <s v="E20220905205729074406175"/>
        <s v="E20220905205718053706181"/>
        <s v="E20220905205201017100027"/>
        <s v="E20220905204735018700033"/>
        <s v="E20220905204702084100077"/>
        <s v="E20220905204610099700075"/>
        <s v="E20220905204053071906163"/>
        <s v="E20220905203558071500021"/>
        <s v="E20220905202925099700079"/>
        <s v="E20220905202622017500059"/>
        <s v="E20220905202542074406169"/>
        <s v="E20220905202526084306147"/>
        <s v="E20220905202300020306183"/>
        <s v="E20220905202234017500005"/>
        <s v="E20220905202155084300013"/>
        <s v="E20220905202152076306159"/>
        <s v="E20220905201947019406159"/>
        <s v="E20220905201938020306149"/>
        <s v="E20220905201919074406189"/>
        <s v="E20220905201511023506155"/>
        <s v="E20220905201339094700051"/>
        <s v="E20220905201330074400091"/>
        <s v="E20220905201317047800093"/>
        <s v="E20220905201308019400055"/>
        <s v="E20220905200957016400017"/>
        <s v="E20220905200537047806189"/>
        <s v="E20220905195804047806185"/>
        <s v="E20220905195725047806181"/>
        <s v="E20220905195647019406175"/>
        <s v="E20220905195512101200027"/>
        <s v="E20220905195146053206155"/>
        <s v="E20220905194804084306197"/>
        <s v="E20220905194732047806145"/>
        <s v="E20220905194722048806191"/>
        <s v="E20220905194450068100019"/>
        <s v="E20220905194347057706183"/>
        <s v="E20220905194254048800003"/>
        <s v="E20220905194237047800045"/>
        <s v="E20220905193843014806185"/>
        <s v="E20220905193749020806197"/>
        <s v="E20220905193726057700049"/>
        <s v="E20220905193726038900021"/>
        <s v="E20220905193707030706147"/>
        <s v="E20220905193622048800099"/>
        <s v="E20220905193559046900029"/>
        <s v="E20220905190651090706155"/>
        <s v="E20220908001632070800023"/>
        <s v="E20220908000649070800013"/>
        <s v="E20220908000636045700037"/>
        <s v="E20220908000338045700003"/>
        <s v="E20220908000239059906151"/>
        <s v="E20220908000201059906145"/>
        <s v="E20220908000101070800015"/>
        <s v="E20220908000008070800049"/>
        <s v="E20220907235611059900035"/>
        <s v="E20220907235220070800027"/>
        <s v="E20220907234716000006149"/>
        <s v="E20220907234638070806153"/>
        <s v="E20220907234522070806145"/>
        <s v="E20220907233903070800013"/>
        <s v="E20220907233635031106169"/>
        <s v="E20220907233211029406145"/>
        <s v="E20220907232943029400089"/>
        <s v="E20220907232729068106167"/>
        <s v="E20220907232212070806159"/>
        <s v="E20220907231443059900021"/>
        <s v="E20220907231246097700049"/>
        <s v="E20220907231202097700041"/>
        <s v="E20220907231032068606175"/>
        <s v="E20220907230953043200037"/>
        <s v="E20220907225911043200081"/>
        <s v="E20220907225833049706169"/>
        <s v="E20220907225058003300035"/>
        <s v="E20220907224946043400029"/>
        <s v="E20220907224901043200011"/>
        <s v="E20220907224443095100083"/>
        <s v="E20220907223622016500041"/>
        <s v="E20220907223556047006181"/>
        <s v="E20220907223334077306145"/>
        <s v="E20220907222543016500035"/>
        <s v="E20220907222537043400005"/>
        <s v="E20220907221920016500003"/>
        <s v="E20220907221727016500027"/>
        <s v="E20220907221721039300043"/>
        <s v="E20220907221111083200035"/>
        <s v="E20220907220808095800005"/>
        <s v="E20220907220701053700023"/>
        <s v="E20220907220609007600039"/>
        <s v="E20220907220533053700017"/>
        <s v="E20220907220459097900075"/>
        <s v="E20220907220458053700075"/>
        <s v="E20220907220303097900007"/>
        <s v="E20220907215949039700029"/>
        <s v="E20220907215928080500095"/>
        <s v="E20220907215641072506173"/>
        <s v="E20220907215402072500061"/>
        <s v="E20220907214823032900003"/>
        <s v="E20220907213405053706147"/>
        <s v="E20220907213314080500079"/>
        <s v="E20220907212726047000029"/>
        <s v="E20220907212511023200029"/>
        <s v="E20220907212219023200015"/>
        <s v="E20220907212021058600089"/>
        <s v="E20220907212019023200019"/>
        <s v="E20220907211419061400053"/>
        <s v="E20220907211406080700009"/>
        <s v="E20220907211348047000035"/>
        <s v="E20220907211000047006175"/>
        <s v="E20220907210929080706193"/>
        <s v="E20220907210912007600073"/>
        <s v="E20220907210910032900045"/>
        <s v="E20220907210717025900037"/>
        <s v="E20220907210132095100093"/>
        <s v="E20220907205830022800041"/>
        <s v="E20220907204858038900009"/>
        <s v="E20220907204650041100095"/>
        <s v="E20220907204647025900023"/>
        <s v="E20220907204028032900021"/>
        <s v="E20220907203953025900013"/>
        <s v="E20220907203718032906153"/>
        <s v="E20220907203652025900049"/>
        <s v="E20220907202955025900043"/>
        <s v="E20220907202353053700091"/>
        <s v="E20220907202327032906145"/>
        <s v="E20220907202239038306165"/>
        <s v="E20220907202208025900029"/>
        <s v="E20220907201357094706187"/>
        <s v="E20220907201326046400053"/>
        <s v="E20220907201306052506169"/>
        <s v="E20220907201008080200051"/>
        <s v="E20220907195914087700081"/>
        <s v="E20220907195749032900045"/>
        <s v="E20220907195350025300073"/>
        <s v="E20220907195043052600083"/>
        <s v="E20220907194858078900073"/>
        <s v="E20220907194854005500085"/>
        <s v="E20220907194842014506189"/>
        <s v="E20220910010546024406151"/>
        <s v="E20220910010511101200061"/>
        <s v="E20220910010428024406163"/>
        <s v="E20220910005841090000079"/>
        <s v="E20220910005613059200027"/>
        <s v="E20220910005611033700095"/>
        <s v="E20220910005514030706165"/>
        <s v="E20220910004709010300111"/>
        <s v="E20220910004432097600077"/>
        <s v="E20220910004412051106175"/>
        <s v="E20220910004302000000075"/>
        <s v="E20220910004137051106219"/>
        <s v="E20220910003955088700057"/>
        <s v="E20220910003948091100067"/>
        <s v="E20220910003755091106171"/>
        <s v="E20220910003723091100111"/>
        <s v="E20220910003630101200067"/>
        <s v="E20220910003530091100043"/>
        <s v="E20220910003306000000013"/>
        <s v="E20220910003026017406185"/>
        <s v="E20220910002319006906189"/>
        <s v="E20220910001656045700003"/>
        <s v="E20220910001527101200117"/>
        <s v="E20220910001224074106197"/>
        <s v="E20220910000652089300057"/>
        <s v="E20220910000441025806223"/>
        <s v="E20220910000355074106223"/>
        <s v="E20220909235319014900115"/>
        <s v="E20220909235216088400015"/>
        <s v="E20220909234903039606147"/>
        <s v="E20220909234622039600017"/>
        <s v="E20220909234312101200021"/>
        <s v="E20220909234312084500043"/>
        <s v="E20220909234203044000021"/>
        <s v="E20220909234102005706173"/>
        <s v="E20220909234014097200055"/>
        <s v="E20220909233851014800131"/>
        <s v="E20220909233340051100091"/>
        <s v="E20220909232450042506161"/>
        <s v="E20220909232306029006173"/>
        <s v="E20220909230819089700097"/>
        <s v="E20220909230611037600041"/>
        <s v="E20220909230204039606207"/>
        <s v="E20220909225612006706185"/>
        <s v="E20220909225158006700099"/>
        <s v="E20220909224607028300101"/>
        <s v="E20220909224226006700085"/>
        <s v="E20220909223623086700025"/>
        <s v="E20220909223447019700107"/>
        <s v="E20220909222531086700099"/>
        <s v="E20220909222215086706187"/>
        <s v="E20220909222024010800081"/>
        <s v="E20220909221225046200129"/>
        <s v="E20220909220751016306197"/>
        <s v="E20220909215522060100069"/>
        <s v="E20220909215055063906159"/>
        <s v="E20220909214858049706161"/>
        <s v="E20220909214706007400029"/>
        <s v="E20220909214656060106159"/>
        <s v="E20220909213538017406165"/>
        <s v="E20220909213515046700133"/>
        <s v="E20220909213248033900001"/>
        <s v="E20220909213159017500065"/>
        <s v="E20220909212600048400039"/>
        <s v="E20220909212012003300003"/>
        <s v="E20220909211730061806225"/>
        <s v="E20220909211557061800027"/>
        <s v="E20220909205548018506181"/>
        <s v="E20220909204123031106163"/>
        <s v="E20220909203603033606177"/>
        <s v="E20220909202917075606213"/>
        <s v="E20220909201920034400127"/>
        <s v="E20220909201210102206209"/>
        <s v="E20220909200909086700111"/>
        <s v="E20220909200723048806159"/>
        <s v="E20220909200702058600033"/>
        <s v="E20220909194525046600001"/>
        <s v="E20220909194453049706155"/>
        <s v="E20220909194234086700139"/>
        <s v="E20220909194214072000063"/>
        <s v="E20220909193838072000083"/>
        <s v="E20220912005337096406151"/>
        <s v="E20220912005301045706149"/>
        <s v="E20220912004826045700003"/>
        <s v="E20220912004501096400005"/>
        <s v="E20220912004224045700025"/>
        <s v="E20220912004046045700001"/>
        <s v="E20220912003102043606145"/>
        <s v="E20220912002848043606159"/>
        <s v="E20220912002502094306149"/>
        <s v="E20220912001228075706157"/>
        <s v="E20220912001206031600001"/>
        <s v="E20220912000944075706153"/>
        <s v="E20220912000647043706155"/>
        <s v="E20220912000036004106157"/>
        <s v="E20220911235824092800005"/>
        <s v="E20220911234554043600009"/>
        <s v="E20220911234502083706157"/>
        <s v="E20220911234244011400003"/>
        <s v="E20220911234108034500003"/>
        <s v="E20220911233124043700039"/>
        <s v="E20220911232314006406169"/>
        <s v="E20220911231523069906183"/>
        <s v="E20220911230910025400015"/>
        <s v="E20220911230132005206181"/>
        <s v="E20220911230058034006175"/>
        <s v="E20220911225648077600061"/>
        <s v="E20220911225359101200087"/>
        <s v="E20220911225352031600055"/>
        <s v="E20220911224511059406165"/>
        <s v="E20220911224500060306183"/>
        <s v="E20220911224435074100063"/>
        <s v="E20220911224249060300061"/>
        <s v="E20220911223838026500025"/>
        <s v="E20220911223637087800053"/>
        <s v="E20220911223338040606163"/>
        <s v="E20220911223044049606157"/>
        <s v="E20220911222955043600091"/>
        <s v="E20220911222923097306161"/>
        <s v="E20220911222902069900071"/>
        <s v="E20220911222825013800049"/>
        <s v="E20220911222757040106147"/>
        <s v="E20220911222731101206189"/>
        <s v="E20220911222725074100081"/>
        <s v="E20220911222425040100007"/>
        <s v="E20220911222321028900009"/>
        <s v="E20220911222047015200017"/>
        <s v="E20220911222033069900025"/>
        <s v="E20220911221704061706149"/>
        <s v="E20220911221606047800055"/>
        <s v="E20220911221447047900077"/>
        <s v="E20220911221400005206157"/>
        <s v="E20220911221354069906151"/>
        <s v="E20220911215920034006163"/>
        <s v="E20220911215720077600063"/>
        <s v="E20220911215630053500069"/>
        <s v="E20220911215540053506145"/>
        <s v="E20220911215322034000083"/>
        <s v="E20220911215202005200065"/>
        <s v="E20220911215129005200013"/>
        <s v="E20220911214707097106181"/>
        <s v="E20220911214601019400003"/>
        <s v="E20220911213734051800067"/>
        <s v="E20220911213702099406153"/>
        <s v="E20220911213658076700021"/>
        <s v="E20220911213536048500071"/>
        <s v="E20220911213025058600005"/>
        <s v="E20220911212931058606169"/>
        <s v="E20220911212133041306173"/>
        <s v="E20220911212045046200047"/>
        <s v="E20220911211930046206175"/>
        <s v="E20220911211623071906173"/>
        <s v="E20220911211204089506177"/>
        <s v="E20220911211108008100083"/>
        <s v="E20220911210411047206159"/>
        <s v="E20220911210343076200091"/>
        <s v="E20220911210134012206177"/>
        <s v="E20220911210110077100091"/>
        <s v="E20220911210058020706175"/>
        <s v="E20220911205916089500049"/>
        <s v="E20220911205858092306181"/>
        <s v="E20220911205753011200077"/>
        <s v="E20220911205708066200049"/>
        <s v="E20220911205645089506181"/>
        <s v="E20220911205633016306193"/>
        <s v="E20220911205420067700001"/>
        <s v="E20220911204739093300037"/>
        <s v="E20220911204638098006173"/>
        <s v="E20220911204509077606181"/>
        <s v="E20220911204455075706197"/>
        <s v="E20220911204407092300013"/>
        <s v="E20220911204338066206149"/>
        <s v="E20220911204324098006181"/>
        <s v="E20220911204303059606198"/>
        <s v="E20220911204303059606197"/>
        <s v="E20220911204150092300083"/>
        <s v="E20220911204114020100027"/>
        <s v="E20220911204005062300015"/>
        <s v="E20220911203931020100015"/>
        <s v="E20220911203930036400061"/>
        <s v="E20220911203455058700019"/>
        <s v="E20220911203402005106179"/>
        <s v="E20220911203312011800059"/>
        <s v="E20220911203028025600033"/>
        <s v="E20220911202908020100039"/>
        <s v="E20220911202803077600039"/>
        <s v="E20220911202631051400073"/>
        <s v="E20220911202400023500043"/>
        <s v="E20220911202357008106151"/>
        <s v="E20220911202207025606179"/>
        <s v="E20220911202037058100047"/>
        <s v="E20220911201856039500051"/>
        <s v="E20220911201615086000089"/>
        <s v="E20220911201546070406149"/>
        <s v="E20220911201310025600009"/>
        <s v="E20220911201055087500039"/>
        <s v="E20220911201049008100071"/>
        <s v="E20220911200943077606171"/>
        <s v="E20220911200927025600083"/>
        <s v="E20220911200850053806169"/>
        <s v="E20220911200754044306153"/>
        <s v="E20220911200727013000079"/>
        <s v="E20220911200459052606145"/>
        <s v="E20220911200329073006183"/>
        <s v="E20220911200254030106163"/>
        <s v="E20220911200245025600027"/>
        <s v="E20220911195530078106191"/>
        <s v="E20220911195140037500041"/>
        <s v="E20220911195108043306187"/>
        <s v="E20220911195009069106153"/>
        <s v="E20220911194837008900079"/>
        <s v="E20220911194655092500069"/>
        <s v="E20220911194314075706187"/>
        <s v="E20220911194114092506197"/>
        <s v="E20220911193942019306149"/>
        <s v="E20220911193933051700057"/>
        <s v="E20220911193803090306171"/>
        <s v="E20220911193713068900059"/>
        <s v="E20220911193629068900033"/>
        <s v="E20220911193103061806153"/>
        <s v="E20220911192911057300027"/>
        <s v="E20220913001215053600021"/>
        <s v="E20220912235913053606145"/>
        <s v="E20220912234452056200017"/>
        <s v="E20220912233509068600083"/>
        <s v="E20220912230327094900049"/>
        <s v="E20220912224932072406179"/>
        <s v="E20220912224358100206157"/>
        <s v="E20220912224323083700033"/>
        <s v="E20220912224149058600005"/>
        <s v="E20220912224138066300043"/>
        <s v="E20220912223958100206153"/>
        <s v="E20220912223435065900089"/>
        <s v="E20220912222903061100019"/>
        <s v="E20220912222735082706149"/>
        <s v="E20220912222028060100059"/>
        <s v="E20220912221705092300069"/>
        <s v="E20220912221557060106187"/>
        <s v="E20220912221556092306169"/>
        <s v="E20220912221428015506195"/>
        <s v="E20220912220930027706147"/>
        <s v="E20220912214340039800065"/>
        <s v="E20220912213516088800051"/>
        <s v="E20220912213350007100037"/>
        <s v="E20220912213002090906163"/>
        <s v="E20220912212503042606171"/>
        <s v="E20220912211830052700061"/>
        <s v="E20220912211422021800003"/>
        <s v="E20220912210753052700069"/>
        <s v="E20220912210731065906161"/>
        <s v="E20220912210438092306195"/>
        <s v="E20220912210237043600013"/>
        <s v="E20220912205437054006179"/>
        <s v="E20220912205341043606157"/>
        <s v="E20220912203832025800023"/>
        <s v="E20220912203803084900061"/>
        <s v="E20220912202624043206175"/>
        <s v="E20220912202409039400063"/>
        <s v="E20220912202355008806167"/>
        <s v="E20220912202339052700001"/>
        <s v="E20220912202329008806151"/>
        <s v="E20220912202123047900061"/>
        <s v="E20220912202028044506207"/>
        <s v="E20220912201846015000091"/>
        <s v="E20220912201717024900025"/>
        <s v="E20220912201633002400101"/>
        <s v="E20220912201530008806169"/>
        <s v="E20220912201050032900007"/>
        <s v="E20220912200243056206167"/>
        <s v="E20220912195721032900103"/>
        <s v="E20220912195321098800049"/>
        <s v="E20220912195241080700081"/>
        <s v="E20220912195157033206145"/>
        <s v="E20220912194835021306189"/>
        <s v="E20220912194627098806151"/>
        <s v="E20220912194623005200067"/>
        <s v="E20220912194618043500031"/>
        <s v="E20220912194604032906159"/>
        <s v="E20220912194552042806197"/>
        <s v="E20220912194523005206155"/>
        <s v="E20220912194517096406201"/>
        <s v="E20220912194450032900009"/>
        <s v="E20220912194427003400011"/>
        <s v="E20220914005218032500007"/>
        <s v="E20220914004640043600011"/>
        <s v="E20220914004556064506145"/>
        <s v="E20220914003651099600003"/>
        <s v="E20220914002842064500023"/>
        <s v="E20220914000405100406149"/>
        <s v="E20220913235933048500041"/>
        <s v="E20220913235515094900033"/>
        <s v="E20220913235507072400043"/>
        <s v="E20220913235136094900001"/>
        <s v="E20220913234542005506159"/>
        <s v="E20220913234329098406153"/>
        <s v="E20220913234245011300003"/>
        <s v="E20220913233434071906155"/>
        <s v="E20220913233420007500079"/>
        <s v="E20220913233248011300025"/>
        <s v="E20220913233102044006189"/>
        <s v="E20220913232805005506175"/>
        <s v="E20220913232107011306191"/>
        <s v="E20220913231750011300021"/>
        <s v="E20220913230919051100075"/>
        <s v="E20220913230902011300043"/>
        <s v="E20220913230700005500075"/>
        <s v="E20220913230642092100029"/>
        <s v="E20220913230525031900015"/>
        <s v="E20220913230009005500081"/>
        <s v="E20220913225737059700055"/>
        <s v="E20220913225649075000033"/>
        <s v="E20220913225146075000095"/>
        <s v="E20220913225119011300003"/>
        <s v="E20220913224644005506191"/>
        <s v="E20220913224128031906157"/>
        <s v="E20220913223755011306171"/>
        <s v="E20220913223511001206157"/>
        <s v="E20220913223444006200059"/>
        <s v="E20220913223003001406191"/>
        <s v="E20220913223001075006199"/>
        <s v="E20220913222940076100029"/>
        <s v="E20220913222810011306149"/>
        <s v="E20220913222718011300045"/>
        <s v="E20220913222706043800031"/>
        <s v="E20220913222402000906155"/>
        <s v="E20220913221932017800083"/>
        <s v="E20220913221246058606177"/>
        <s v="E20220913221236043800005"/>
        <s v="E20220913220915058600045"/>
        <s v="E20220913220255011306171"/>
        <s v="E20220913220134061400077"/>
        <s v="E20220913215941098006191"/>
        <s v="E20220913215743098000045"/>
        <s v="E20220913215702098006187"/>
        <s v="E20220913215139059906191"/>
        <s v="E20220913214302096400077"/>
        <s v="E20220913211649096406173"/>
        <s v="E20220913211338036700023"/>
        <s v="E20220913210638011306193"/>
        <s v="E20220913205813096406169"/>
        <s v="E20220913205727011300031"/>
        <s v="E20220913205201011300069"/>
        <s v="E20220913204458025900017"/>
        <s v="E20220913204101096400075"/>
        <s v="E20220913203954047200083"/>
        <s v="E20220913203852096406193"/>
        <s v="E20220913202714047200027"/>
        <s v="E20220913202351043900033"/>
        <s v="E20220913202158098000073"/>
        <s v="E20220913202128098000085"/>
        <s v="E20220913202013096406163"/>
        <s v="E20220913201658020100043"/>
        <s v="E20220913201631096406171"/>
        <s v="E20220913200727071206145"/>
        <s v="E20220913200112006800095"/>
        <s v="E20220913195956048906153"/>
        <s v="E20220913195525045700063"/>
        <s v="E20220913195109006800047"/>
        <s v="E20220913194952026800019"/>
        <s v="E20220913194418027800091"/>
        <s v="E20220914235601078400009"/>
        <s v="E20220914233020059906151"/>
        <s v="E20220914231420069600083"/>
        <s v="E20220914231207069606191"/>
        <s v="E20220914230859069600045"/>
        <s v="E20220914225234099900067"/>
        <s v="E20220914223739033100035"/>
        <s v="E20220914223428034500035"/>
        <s v="E20220914222759069600001"/>
        <s v="E20220914222452099600029"/>
        <s v="E20220914222436044006185"/>
        <s v="E20220914222030099600047"/>
        <s v="E20220914220250026306185"/>
        <s v="E20220914213637062306185"/>
        <s v="E20220914213455022000057"/>
        <s v="E20220914212820045706161"/>
        <s v="E20220914212111052100033"/>
        <s v="E20220914211402030700043"/>
        <s v="E20220914211328092106169"/>
        <s v="E20220914205956100606177"/>
        <s v="E20220914203801003306167"/>
        <s v="E20220914203751039206179"/>
        <s v="E20220914203719092100047"/>
        <s v="E20220914202941068406145"/>
        <s v="E20220914202757013700077"/>
        <s v="E20220914193147089406169"/>
        <s v="E20220917002242079306155"/>
        <s v="E20220917002012051006145"/>
        <s v="E20220916234720007000043"/>
        <s v="E20220916234224079406155"/>
        <s v="E20220916234145100306151"/>
        <s v="E20220916234105100306151"/>
        <s v="E20220916233602062506189"/>
        <s v="E20220916233226007000047"/>
        <s v="E20220916232637007000015"/>
        <s v="E20220916232134059306191"/>
        <s v="E20220916231707028600009"/>
        <s v="E20220916230733031000007"/>
        <s v="E20220916230548092100013"/>
        <s v="E20220916225950007006147"/>
        <s v="E20220916225205013006151"/>
        <s v="E20220916224936092106175"/>
        <s v="E20220916224356010300079"/>
        <s v="E20220916222259087906177"/>
        <s v="E20220916221738087906165"/>
        <s v="E20220916221209087900007"/>
        <s v="E20220916221052087906157"/>
        <s v="E20220916220327086706155"/>
        <s v="E20220916220238044000019"/>
        <s v="E20220916214455040500059"/>
        <s v="E20220916214359040506161"/>
        <s v="E20220916212749061500031"/>
        <s v="E20220916212400053600079"/>
        <s v="E20220916211657053600053"/>
        <s v="E20220916204311008306175"/>
        <s v="E20220916203144037600025"/>
        <s v="E20220916202312047900015"/>
        <s v="E20220916201247008100067"/>
        <s v="E20220926002744072406171"/>
        <s v="E20220926002524024006147"/>
        <s v="E20220926002256018306145"/>
        <s v="E20220926002255014200003"/>
        <s v="E20220926002110028106155"/>
        <s v="E20220926002108036500023"/>
        <s v="E20220926001946028100037"/>
        <s v="E20220926001633024006159"/>
        <s v="E20220926001450093800055"/>
        <s v="E20220926001300024000001"/>
        <s v="E20220925235332068006147"/>
        <s v="E20220925235215028100045"/>
        <s v="E20220925233746028106161"/>
        <s v="E20220925233634039006171"/>
        <s v="E20220925233356004806219"/>
        <s v="E20220925232951013400033"/>
        <s v="E20220925232556005500021"/>
        <s v="E20220925232521082506191"/>
        <s v="E20220925232500082800095"/>
        <s v="E20220925231550021500017"/>
        <s v="E20220925231208082300161"/>
        <s v="E20220925230649083100075"/>
        <s v="E20220925230523003100125"/>
        <s v="E20220925230320082800005"/>
        <s v="E20220925230026023400157"/>
        <s v="E20220925225159018006225"/>
        <s v="E20220925225145061406173"/>
        <s v="E20220925225118011800143"/>
        <s v="E20220925224811084900159"/>
        <s v="E20220925223918068000085"/>
        <s v="E20220925223814025500007"/>
        <s v="E20220925223110068000003"/>
        <s v="E20220925222741084900071"/>
        <s v="E20220925222529032400089"/>
        <s v="E20220925222521102206155"/>
        <s v="E20220925222503074300003"/>
        <s v="E20220925222206069400035"/>
        <s v="E20220925222107034906155"/>
        <s v="E20220925222031082306223"/>
        <s v="E20220925221926084900115"/>
        <s v="E20220925221900071300171"/>
        <s v="E20220925221658055700039"/>
        <s v="E20220925220955001900011"/>
        <s v="E20220925220813084900125"/>
        <s v="E20220925220614068006217"/>
        <s v="E20220925215421055300117"/>
        <s v="E20220925214629011700061"/>
        <s v="E20220925213940061300043"/>
        <s v="E20220925213804076400053"/>
        <s v="E20220925213726082300089"/>
        <s v="E20220925213708028000089"/>
        <s v="E20220925213300009300031"/>
        <s v="E20220925213219052006163"/>
        <s v="E20220925213152024206215"/>
        <s v="E20220925212949027906155"/>
        <s v="E20220925212318034500035"/>
        <s v="E20220925212225062906165"/>
        <s v="E20220925212046051706165"/>
        <s v="E20220925212014047500125"/>
        <s v="E20220925211852097800101"/>
        <s v="E20220925211107075600135"/>
        <s v="E20220925210702024200047"/>
        <s v="E20220925210655062906165"/>
        <s v="E20220925210558014706147"/>
        <s v="E20220925210442039500115"/>
        <s v="E20220925210337031406213"/>
        <s v="E20220925205805034500137"/>
        <s v="E20220925205747020000057"/>
        <s v="E20220925205710034400073"/>
        <s v="E20220925204615067206205"/>
        <s v="E20220925204413046200105"/>
        <s v="E20220925204318074906145"/>
        <s v="E20220925204207062900169"/>
        <s v="E20220925203731036306231"/>
        <s v="E20220925203605014706175"/>
        <s v="E20220925203340069306191"/>
        <s v="E20220925203235067700049"/>
        <s v="E20220925203216069300109"/>
        <s v="E20220925202045033406215"/>
        <s v="E20220925201746078100119"/>
        <s v="E20220925201101080600049"/>
        <s v="E20220925200742066406157"/>
        <s v="E20220925200646032206235"/>
        <s v="E20220925200632028500033"/>
        <s v="E20220925200611043200029"/>
        <s v="E20220925200544044000003"/>
        <s v="E20220925200543024200183"/>
        <s v="E20220925200539076200151"/>
        <s v="E20220925200459089000163"/>
        <s v="E20220925200223028500039"/>
        <s v="E20220925195759083500113"/>
        <s v="E20220925195726039606185"/>
        <s v="E20220925195630010000153"/>
        <s v="E20220925195613057000103"/>
        <s v="E20220925194742056200043"/>
        <s v="E20220925194517037006207"/>
        <s v="E20220925194118070606147"/>
        <s v="E20220925194007053600015"/>
        <s v="E20220925194000053100033"/>
        <s v="E20220925193844079700027"/>
        <s v="E20220925193827062600075"/>
        <s v="E20220925193813089700101"/>
        <s v="E20220925193734015506155"/>
        <s v="E20220925193731099106227"/>
        <s v="E20220925193105015400111"/>
        <s v="E20220925193002053600137"/>
        <s v="E20220925192914085300029"/>
        <s v="E20220925192903037000085"/>
        <s v="E20220925192853100100091"/>
        <s v="E20220925192835077700089"/>
        <s v="E20220925192756078200027"/>
        <s v="E20220925192749079706155"/>
        <s v="E20220925192631010906163"/>
        <s v="E20220925192553052100015"/>
        <s v="E20220925191946075600053"/>
        <s v="E20220925191830027500171"/>
        <s v="E20220925191803015400145"/>
        <s v="E20220925191748010900019"/>
        <s v="E20220925191726077700003"/>
        <s v="E20220925191656075600007"/>
        <s v="E20220925191639052600023"/>
        <s v="E20220925191624015500079"/>
        <s v="E20220925191608085300159"/>
        <s v="E20220925191545015506179"/>
        <s v="E20220925191415062106209"/>
        <s v="E20220927001858017306149"/>
        <s v="E20220927001404012400021"/>
        <s v="E20220927000102087500065"/>
        <s v="E20220926234820030200031"/>
        <s v="E20220926234750087500053"/>
        <s v="E20220926234658004800069"/>
        <s v="E20220926234538087500073"/>
        <s v="E20220926234233030200007"/>
        <s v="E20220926234025087500017"/>
        <s v="E20220926233500001400039"/>
        <s v="E20220926232235033906181"/>
        <s v="E20220926231647048600089"/>
        <s v="E20220926230414036700003"/>
        <s v="E20220926225046095700039"/>
        <s v="E20220926225010078006173"/>
        <s v="E20220926224923078000045"/>
        <s v="E20220926224730034500141"/>
        <s v="E20220926224417036800017"/>
        <s v="E20220926224218034800095"/>
        <s v="E20220926224151034800167"/>
        <s v="E20220926223951048600027"/>
        <s v="E20220926223342048600099"/>
        <s v="E20220926222436048600055"/>
        <s v="E20220926222239037206223"/>
        <s v="E20220926222205032000073"/>
        <s v="E20220926222045050900037"/>
        <s v="E20220926221036059300159"/>
        <s v="E20220926220653052700073"/>
        <s v="E20220926220641076200015"/>
        <s v="E20220926215001052700075"/>
        <s v="E20220926214959059306207"/>
        <s v="E20220926214902034906209"/>
        <s v="E20220926213225053606181"/>
        <s v="E20220926213130094700023"/>
        <s v="E20220926212939053600125"/>
        <s v="E20220926212640076200137"/>
        <s v="E20220926212503001400087"/>
        <s v="E20220926212329092100107"/>
        <s v="E20220926211749001400043"/>
        <s v="E20220926211650092100133"/>
        <s v="E20220926211537022800157"/>
        <s v="E20220926205912058600125"/>
        <s v="E20220926205324099100171"/>
        <s v="E20220926205300043200165"/>
        <s v="E20220926204857101206199"/>
        <s v="E20220926204836044000145"/>
        <s v="E20220926204520051406183"/>
        <s v="E20220926204434095700033"/>
        <s v="E20220926204417024206213"/>
        <s v="E20220926204405051406219"/>
        <s v="E20220926204357010900019"/>
        <s v="E20220926204356095706215"/>
        <s v="E20220926204346099106157"/>
        <s v="E20220926204217099100131"/>
        <s v="E20220926204004024200013"/>
        <s v="E20220926204001099106161"/>
        <s v="E20220926203457010906209"/>
        <s v="E20220926201700053500005"/>
        <s v="E20220926201633024200003"/>
        <s v="E20220926201326095700045"/>
        <s v="E20220926200632095700115"/>
        <s v="E20220926200210070000139"/>
        <s v="E20220926195859095700041"/>
        <s v="E20220926195037014006175"/>
        <s v="E20220926194247041100081"/>
        <s v="E20220926193836070000147"/>
        <s v="E20220926193806019400093"/>
        <s v="E20220928003444043600001"/>
        <s v="E20220928001140013706149"/>
        <s v="E20220928000454010600027"/>
        <s v="E20220927235648010606145"/>
        <s v="E20220927234138010600037"/>
        <s v="E20220927233513049600029"/>
        <s v="E20220927233203014906147"/>
        <s v="E20220927231447039800051"/>
        <s v="E20220927230702010600087"/>
        <s v="E20220927230555010600041"/>
        <s v="E20220927230548066300057"/>
        <s v="E20220927224719011400061"/>
        <s v="E20220927222852095100025"/>
        <s v="E20220927222301026506155"/>
        <s v="E20220927222243095100055"/>
        <s v="E20220927221646053600045"/>
        <s v="E20220927221526100506173"/>
        <s v="E20220927221518039906151"/>
        <s v="E20220927214700051100047"/>
        <s v="E20220927214619065400043"/>
        <s v="E20220927213452047000057"/>
        <s v="E20220927213052050700013"/>
        <s v="E20220927205918093506145"/>
        <s v="E20220927205119087506185"/>
        <m/>
      </sharedItems>
    </cacheField>
    <cacheField name="归属店铺" numFmtId="0">
      <sharedItems containsBlank="1" count="2">
        <s v="职业优品"/>
        <m/>
      </sharedItems>
    </cacheField>
    <cacheField name="订单类型" numFmtId="0">
      <sharedItems containsBlank="1" count="3">
        <s v="分销买家订单"/>
        <s v="普通订单"/>
        <m/>
      </sharedItems>
    </cacheField>
    <cacheField name="订单状态" numFmtId="0">
      <sharedItems containsBlank="1" count="5">
        <s v="待发货"/>
        <s v="待付款"/>
        <s v="交易关闭"/>
        <s v="已发货"/>
        <m/>
      </sharedItems>
    </cacheField>
    <cacheField name="推广方式" numFmtId="0">
      <sharedItems containsString="0" containsBlank="1" containsNonDate="0" count="1">
        <m/>
      </sharedItems>
    </cacheField>
    <cacheField name="订单来源" numFmtId="0">
      <sharedItems containsBlank="1" count="7">
        <s v="其他(商家小程序)"/>
        <s v="微信视频号/直播间"/>
        <s v="微信视频号/商品橱窗"/>
        <s v="微信(直接购买)"/>
        <s v="微信视频号"/>
        <s v="其他(有赞大号小程序)"/>
        <m/>
      </sharedItems>
    </cacheField>
    <cacheField name="订单创建时间" numFmtId="0">
      <sharedItems containsString="0" containsBlank="1" containsNonDate="0" containsDate="1" minDate="2022-09-04T19:13:38" maxDate="2022-09-28T00:34:44" count="1144">
        <d v="2022-09-05T00:15:55"/>
        <d v="2022-09-04T23:50:54"/>
        <d v="2022-09-04T23:48:36"/>
        <d v="2022-09-04T23:44:50"/>
        <d v="2022-09-04T23:43:59"/>
        <d v="2022-09-04T23:39:49"/>
        <d v="2022-09-04T23:37:10"/>
        <d v="2022-09-04T23:37:05"/>
        <d v="2022-09-04T23:33:12"/>
        <d v="2022-09-04T23:27:49"/>
        <d v="2022-09-04T23:26:54"/>
        <d v="2022-09-04T23:26:20"/>
        <d v="2022-09-04T23:26:02"/>
        <d v="2022-09-04T23:24:43"/>
        <d v="2022-09-04T23:23:32"/>
        <d v="2022-09-04T23:22:55"/>
        <d v="2022-09-04T23:18:16"/>
        <d v="2022-09-04T23:18:02"/>
        <d v="2022-09-04T23:14:56"/>
        <d v="2022-09-04T23:14:54"/>
        <d v="2022-09-04T23:14:10"/>
        <d v="2022-09-04T23:13:14"/>
        <d v="2022-09-04T23:12:00"/>
        <d v="2022-09-04T23:11:37"/>
        <d v="2022-09-04T23:11:38"/>
        <d v="2022-09-04T23:10:57"/>
        <d v="2022-09-04T23:10:56"/>
        <d v="2022-09-04T23:10:31"/>
        <d v="2022-09-04T23:10:24"/>
        <d v="2022-09-04T23:10:05"/>
        <d v="2022-09-04T23:10:04"/>
        <d v="2022-09-04T23:09:39"/>
        <d v="2022-09-04T23:07:28"/>
        <d v="2022-09-04T23:06:38"/>
        <d v="2022-09-04T23:04:51"/>
        <d v="2022-09-04T23:02:50"/>
        <d v="2022-09-04T23:02:28"/>
        <d v="2022-09-04T23:02:27"/>
        <d v="2022-09-04T23:00:36"/>
        <d v="2022-09-04T23:00:14"/>
        <d v="2022-09-04T22:59:39"/>
        <d v="2022-09-04T22:58:38"/>
        <d v="2022-09-04T22:57:14"/>
        <d v="2022-09-04T22:57:10"/>
        <d v="2022-09-04T22:56:38"/>
        <d v="2022-09-04T22:52:35"/>
        <d v="2022-09-04T22:51:26"/>
        <d v="2022-09-04T22:51:23"/>
        <d v="2022-09-04T22:50:16"/>
        <d v="2022-09-04T22:49:56"/>
        <d v="2022-09-04T22:49:20"/>
        <d v="2022-09-04T22:49:04"/>
        <d v="2022-09-04T22:48:42"/>
        <d v="2022-09-04T22:47:50"/>
        <d v="2022-09-04T22:46:12"/>
        <d v="2022-09-04T22:45:38"/>
        <d v="2022-09-04T22:44:47"/>
        <d v="2022-09-04T22:44:30"/>
        <d v="2022-09-04T22:42:24"/>
        <d v="2022-09-04T22:42:22"/>
        <d v="2022-09-04T22:40:56"/>
        <d v="2022-09-04T22:40:50"/>
        <d v="2022-09-04T22:40:48"/>
        <d v="2022-09-04T22:40:39"/>
        <d v="2022-09-04T22:40:34"/>
        <d v="2022-09-04T22:40:25"/>
        <d v="2022-09-04T22:40:02"/>
        <d v="2022-09-04T22:39:48"/>
        <d v="2022-09-04T22:39:15"/>
        <d v="2022-09-04T22:37:23"/>
        <d v="2022-09-04T22:36:34"/>
        <d v="2022-09-04T22:35:33"/>
        <d v="2022-09-04T22:34:58"/>
        <d v="2022-09-04T22:31:43"/>
        <d v="2022-09-04T22:29:02"/>
        <d v="2022-09-04T22:28:28"/>
        <d v="2022-09-04T22:28:19"/>
        <d v="2022-09-04T22:27:32"/>
        <d v="2022-09-04T22:26:54"/>
        <d v="2022-09-04T22:26:14"/>
        <d v="2022-09-04T22:26:12"/>
        <d v="2022-09-04T22:23:40"/>
        <d v="2022-09-04T22:23:14"/>
        <d v="2022-09-04T22:22:52"/>
        <d v="2022-09-04T22:18:50"/>
        <d v="2022-09-04T22:17:37"/>
        <d v="2022-09-04T22:17:08"/>
        <d v="2022-09-04T22:16:46"/>
        <d v="2022-09-04T22:15:57"/>
        <d v="2022-09-04T22:15:13"/>
        <d v="2022-09-04T22:11:28"/>
        <d v="2022-09-04T22:10:45"/>
        <d v="2022-09-04T22:10:11"/>
        <d v="2022-09-04T22:10:05"/>
        <d v="2022-09-04T22:09:57"/>
        <d v="2022-09-04T22:09:21"/>
        <d v="2022-09-04T22:09:20"/>
        <d v="2022-09-04T22:09:12"/>
        <d v="2022-09-04T21:56:40"/>
        <d v="2022-09-04T21:55:47"/>
        <d v="2022-09-04T21:55:32"/>
        <d v="2022-09-04T21:55:21"/>
        <d v="2022-09-04T21:55:16"/>
        <d v="2022-09-04T21:51:29"/>
        <d v="2022-09-04T21:50:39"/>
        <d v="2022-09-04T21:50:10"/>
        <d v="2022-09-04T21:49:50"/>
        <d v="2022-09-04T21:46:04"/>
        <d v="2022-09-04T21:45:20"/>
        <d v="2022-09-04T21:43:54"/>
        <d v="2022-09-04T21:43:11"/>
        <d v="2022-09-04T21:41:47"/>
        <d v="2022-09-04T21:41:24"/>
        <d v="2022-09-04T21:40:27"/>
        <d v="2022-09-04T21:40:07"/>
        <d v="2022-09-04T21:38:25"/>
        <d v="2022-09-04T21:38:09"/>
        <d v="2022-09-04T21:37:26"/>
        <d v="2022-09-04T21:37:25"/>
        <d v="2022-09-04T21:37:18"/>
        <d v="2022-09-04T21:37:08"/>
        <d v="2022-09-04T21:36:54"/>
        <d v="2022-09-04T21:36:08"/>
        <d v="2022-09-04T21:36:09"/>
        <d v="2022-09-04T21:35:53"/>
        <d v="2022-09-04T21:35:46"/>
        <d v="2022-09-04T21:35:19"/>
        <d v="2022-09-04T21:31:44"/>
        <d v="2022-09-04T21:30:31"/>
        <d v="2022-09-04T21:29:46"/>
        <d v="2022-09-04T21:29:41"/>
        <d v="2022-09-04T21:25:00"/>
        <d v="2022-09-04T21:23:33"/>
        <d v="2022-09-04T21:20:04"/>
        <d v="2022-09-04T21:19:30"/>
        <d v="2022-09-04T21:17:39"/>
        <d v="2022-09-04T21:17:36"/>
        <d v="2022-09-04T21:17:30"/>
        <d v="2022-09-04T21:17:27"/>
        <d v="2022-09-04T21:16:56"/>
        <d v="2022-09-04T21:16:05"/>
        <d v="2022-09-04T21:15:33"/>
        <d v="2022-09-04T21:15:32"/>
        <d v="2022-09-04T21:14:16"/>
        <d v="2022-09-04T21:11:27"/>
        <d v="2022-09-04T21:11:12"/>
        <d v="2022-09-04T21:10:41"/>
        <d v="2022-09-04T21:10:33"/>
        <d v="2022-09-04T21:10:11"/>
        <d v="2022-09-04T21:09:25"/>
        <d v="2022-09-04T21:08:01"/>
        <d v="2022-09-04T21:07:55"/>
        <d v="2022-09-04T21:07:50"/>
        <d v="2022-09-04T21:07:47"/>
        <d v="2022-09-04T21:07:03"/>
        <d v="2022-09-04T21:06:29"/>
        <d v="2022-09-04T21:05:06"/>
        <d v="2022-09-04T21:02:36"/>
        <d v="2022-09-04T20:57:23"/>
        <d v="2022-09-04T20:53:51"/>
        <d v="2022-09-04T20:53:07"/>
        <d v="2022-09-04T20:52:41"/>
        <d v="2022-09-04T20:52:37"/>
        <d v="2022-09-04T20:49:05"/>
        <d v="2022-09-04T20:48:21"/>
        <d v="2022-09-04T20:48:14"/>
        <d v="2022-09-04T20:48:09"/>
        <d v="2022-09-04T20:48:03"/>
        <d v="2022-09-04T20:47:47"/>
        <d v="2022-09-04T20:47:00"/>
        <d v="2022-09-04T20:46:18"/>
        <d v="2022-09-04T20:43:42"/>
        <d v="2022-09-04T20:38:49"/>
        <d v="2022-09-04T20:38:20"/>
        <d v="2022-09-04T20:38:13"/>
        <d v="2022-09-04T20:38:07"/>
        <d v="2022-09-04T20:38:02"/>
        <d v="2022-09-04T20:37:40"/>
        <d v="2022-09-04T20:37:26"/>
        <d v="2022-09-04T20:37:12"/>
        <d v="2022-09-04T20:37:00"/>
        <d v="2022-09-04T20:36:54"/>
        <d v="2022-09-04T20:36:33"/>
        <d v="2022-09-04T20:34:34"/>
        <d v="2022-09-04T20:32:58"/>
        <d v="2022-09-04T20:32:12"/>
        <d v="2022-09-04T20:32:08"/>
        <d v="2022-09-04T20:32:04"/>
        <d v="2022-09-04T20:31:53"/>
        <d v="2022-09-04T20:31:46"/>
        <d v="2022-09-04T20:31:40"/>
        <d v="2022-09-04T20:31:35"/>
        <d v="2022-09-04T20:31:27"/>
        <d v="2022-09-04T20:31:13"/>
        <d v="2022-09-04T20:30:54"/>
        <d v="2022-09-04T20:30:40"/>
        <d v="2022-09-04T20:29:47"/>
        <d v="2022-09-04T20:29:13"/>
        <d v="2022-09-04T20:28:16"/>
        <d v="2022-09-04T20:28:02"/>
        <d v="2022-09-04T20:27:51"/>
        <d v="2022-09-04T20:27:32"/>
        <d v="2022-09-04T20:27:31"/>
        <d v="2022-09-04T20:27:16"/>
        <d v="2022-09-04T20:26:33"/>
        <d v="2022-09-04T20:24:13"/>
        <d v="2022-09-04T20:23:09"/>
        <d v="2022-09-04T20:22:33"/>
        <d v="2022-09-04T20:21:48"/>
        <d v="2022-09-04T20:19:32"/>
        <d v="2022-09-04T20:17:35"/>
        <d v="2022-09-04T20:16:16"/>
        <d v="2022-09-04T20:15:41"/>
        <d v="2022-09-04T20:15:29"/>
        <d v="2022-09-04T20:15:04"/>
        <d v="2022-09-04T20:14:46"/>
        <d v="2022-09-04T20:13:29"/>
        <d v="2022-09-04T20:13:05"/>
        <d v="2022-09-04T20:12:18"/>
        <d v="2022-09-04T20:11:44"/>
        <d v="2022-09-04T20:09:55"/>
        <d v="2022-09-04T20:09:13"/>
        <d v="2022-09-04T20:08:37"/>
        <d v="2022-09-04T20:07:52"/>
        <d v="2022-09-04T20:07:42"/>
        <d v="2022-09-04T20:07:37"/>
        <d v="2022-09-04T20:07:32"/>
        <d v="2022-09-04T20:07:29"/>
        <d v="2022-09-04T20:07:11"/>
        <d v="2022-09-04T20:05:52"/>
        <d v="2022-09-04T20:04:01"/>
        <d v="2022-09-04T20:04:00"/>
        <d v="2022-09-04T20:03:51"/>
        <d v="2022-09-04T20:03:46"/>
        <d v="2022-09-04T20:03:24"/>
        <d v="2022-09-04T20:03:18"/>
        <d v="2022-09-04T20:03:16"/>
        <d v="2022-09-04T20:03:00"/>
        <d v="2022-09-04T20:02:53"/>
        <d v="2022-09-04T20:02:44"/>
        <d v="2022-09-04T20:02:43"/>
        <d v="2022-09-04T20:02:38"/>
        <d v="2022-09-04T20:02:36"/>
        <d v="2022-09-04T20:02:23"/>
        <d v="2022-09-04T20:02:15"/>
        <d v="2022-09-04T20:01:59"/>
        <d v="2022-09-04T20:01:18"/>
        <d v="2022-09-04T20:01:07"/>
        <d v="2022-09-04T20:00:13"/>
        <d v="2022-09-04T19:59:02"/>
        <d v="2022-09-04T19:59:00"/>
        <d v="2022-09-04T19:58:59"/>
        <d v="2022-09-04T19:58:55"/>
        <d v="2022-09-04T19:58:45"/>
        <d v="2022-09-04T19:58:42"/>
        <d v="2022-09-04T19:58:13"/>
        <d v="2022-09-04T19:58:03"/>
        <d v="2022-09-04T19:52:22"/>
        <d v="2022-09-04T19:52:09"/>
        <d v="2022-09-04T19:51:55"/>
        <d v="2022-09-04T19:51:49"/>
        <d v="2022-09-04T19:51:18"/>
        <d v="2022-09-04T19:51:12"/>
        <d v="2022-09-04T19:51:00"/>
        <d v="2022-09-04T19:50:56"/>
        <d v="2022-09-04T19:50:02"/>
        <d v="2022-09-04T19:49:43"/>
        <d v="2022-09-04T19:48:34"/>
        <d v="2022-09-04T19:48:31"/>
        <d v="2022-09-04T19:47:32"/>
        <d v="2022-09-04T19:47:14"/>
        <d v="2022-09-04T19:44:09"/>
        <d v="2022-09-04T19:44:02"/>
        <d v="2022-09-04T19:42:39"/>
        <d v="2022-09-04T19:42:38"/>
        <d v="2022-09-04T19:42:05"/>
        <d v="2022-09-04T19:41:57"/>
        <d v="2022-09-04T19:41:44"/>
        <d v="2022-09-04T19:41:14"/>
        <d v="2022-09-04T19:41:13"/>
        <d v="2022-09-04T19:41:10"/>
        <d v="2022-09-04T19:40:54"/>
        <d v="2022-09-04T19:38:10"/>
        <d v="2022-09-04T19:37:06"/>
        <d v="2022-09-04T19:36:56"/>
        <d v="2022-09-04T19:36:39"/>
        <d v="2022-09-04T19:36:23"/>
        <d v="2022-09-04T19:36:07"/>
        <d v="2022-09-04T19:35:54"/>
        <d v="2022-09-04T19:35:47"/>
        <d v="2022-09-04T19:35:42"/>
        <d v="2022-09-04T19:35:35"/>
        <d v="2022-09-04T19:35:15"/>
        <d v="2022-09-04T19:34:42"/>
        <d v="2022-09-04T19:34:40"/>
        <d v="2022-09-04T19:34:39"/>
        <d v="2022-09-04T19:34:18"/>
        <d v="2022-09-04T19:33:28"/>
        <d v="2022-09-04T19:33:13"/>
        <d v="2022-09-04T19:30:24"/>
        <d v="2022-09-04T19:30:08"/>
        <d v="2022-09-04T19:29:31"/>
        <d v="2022-09-04T19:28:35"/>
        <d v="2022-09-04T19:28:31"/>
        <d v="2022-09-04T19:28:29"/>
        <d v="2022-09-04T19:28:07"/>
        <d v="2022-09-04T19:27:55"/>
        <d v="2022-09-04T19:21:08"/>
        <d v="2022-09-04T19:20:38"/>
        <d v="2022-09-04T19:17:00"/>
        <d v="2022-09-04T19:16:05"/>
        <d v="2022-09-04T19:15:16"/>
        <d v="2022-09-04T19:15:07"/>
        <d v="2022-09-04T19:14:37"/>
        <d v="2022-09-04T19:13:53"/>
        <d v="2022-09-04T19:13:38"/>
        <d v="2022-09-05T23:48:56"/>
        <d v="2022-09-05T23:41:07"/>
        <d v="2022-09-05T23:30:57"/>
        <d v="2022-09-05T23:24:19"/>
        <d v="2022-09-05T23:23:48"/>
        <d v="2022-09-05T23:21:00"/>
        <d v="2022-09-05T23:08:43"/>
        <d v="2022-09-05T23:08:27"/>
        <d v="2022-09-05T23:06:50"/>
        <d v="2022-09-05T23:04:11"/>
        <d v="2022-09-05T22:57:03"/>
        <d v="2022-09-05T22:53:37"/>
        <d v="2022-09-05T22:53:16"/>
        <d v="2022-09-05T22:52:46"/>
        <d v="2022-09-05T22:51:52"/>
        <d v="2022-09-05T22:51:32"/>
        <d v="2022-09-05T22:51:20"/>
        <d v="2022-09-05T22:51:14"/>
        <d v="2022-09-05T22:50:27"/>
        <d v="2022-09-05T22:46:35"/>
        <d v="2022-09-05T22:44:58"/>
        <d v="2022-09-05T22:44:37"/>
        <d v="2022-09-05T22:40:43"/>
        <d v="2022-09-05T22:38:00"/>
        <d v="2022-09-05T22:32:00"/>
        <d v="2022-09-05T22:26:46"/>
        <d v="2022-09-05T22:26:37"/>
        <d v="2022-09-05T22:23:42"/>
        <d v="2022-09-05T22:23:34"/>
        <d v="2022-09-05T22:22:19"/>
        <d v="2022-09-05T22:20:10"/>
        <d v="2022-09-05T22:16:55"/>
        <d v="2022-09-05T22:16:29"/>
        <d v="2022-09-05T22:15:46"/>
        <d v="2022-09-05T22:15:42"/>
        <d v="2022-09-05T22:15:38"/>
        <d v="2022-09-05T22:15:04"/>
        <d v="2022-09-05T22:04:16"/>
        <d v="2022-09-05T22:03:58"/>
        <d v="2022-09-05T22:03:43"/>
        <d v="2022-09-05T22:02:00"/>
        <d v="2022-09-05T21:59:45"/>
        <d v="2022-09-05T21:56:12"/>
        <d v="2022-09-05T21:51:36"/>
        <d v="2022-09-05T21:51:07"/>
        <d v="2022-09-05T21:43:30"/>
        <d v="2022-09-05T21:42:21"/>
        <d v="2022-09-05T21:39:10"/>
        <d v="2022-09-05T21:38:51"/>
        <d v="2022-09-05T21:28:19"/>
        <d v="2022-09-05T21:25:50"/>
        <d v="2022-09-05T21:20:39"/>
        <d v="2022-09-05T21:20:20"/>
        <d v="2022-09-05T21:16:00"/>
        <d v="2022-09-05T21:15:02"/>
        <d v="2022-09-05T21:13:42"/>
        <d v="2022-09-05T21:12:35"/>
        <d v="2022-09-05T21:07:00"/>
        <d v="2022-09-05T20:58:41"/>
        <d v="2022-09-05T20:58:17"/>
        <d v="2022-09-05T20:57:30"/>
        <d v="2022-09-05T20:57:19"/>
        <d v="2022-09-05T20:52:02"/>
        <d v="2022-09-05T20:47:36"/>
        <d v="2022-09-05T20:47:03"/>
        <d v="2022-09-05T20:46:11"/>
        <d v="2022-09-05T20:40:54"/>
        <d v="2022-09-05T20:35:58"/>
        <d v="2022-09-05T20:29:26"/>
        <d v="2022-09-05T20:26:23"/>
        <d v="2022-09-05T20:25:42"/>
        <d v="2022-09-05T20:25:26"/>
        <d v="2022-09-05T20:23:01"/>
        <d v="2022-09-05T20:22:34"/>
        <d v="2022-09-05T20:21:55"/>
        <d v="2022-09-05T20:21:52"/>
        <d v="2022-09-05T20:19:47"/>
        <d v="2022-09-05T20:19:39"/>
        <d v="2022-09-05T20:19:20"/>
        <d v="2022-09-05T20:15:11"/>
        <d v="2022-09-05T20:13:39"/>
        <d v="2022-09-05T20:13:31"/>
        <d v="2022-09-05T20:13:19"/>
        <d v="2022-09-05T20:13:08"/>
        <d v="2022-09-05T20:09:58"/>
        <d v="2022-09-05T20:05:39"/>
        <d v="2022-09-05T19:58:05"/>
        <d v="2022-09-05T19:57:26"/>
        <d v="2022-09-05T19:56:48"/>
        <d v="2022-09-05T19:55:13"/>
        <d v="2022-09-05T19:51:46"/>
        <d v="2022-09-05T19:48:05"/>
        <d v="2022-09-05T19:47:32"/>
        <d v="2022-09-05T19:47:23"/>
        <d v="2022-09-05T19:44:51"/>
        <d v="2022-09-05T19:43:48"/>
        <d v="2022-09-05T19:42:54"/>
        <d v="2022-09-05T19:42:38"/>
        <d v="2022-09-05T19:38:44"/>
        <d v="2022-09-05T19:37:49"/>
        <d v="2022-09-05T19:37:26"/>
        <d v="2022-09-05T19:37:07"/>
        <d v="2022-09-05T19:36:23"/>
        <d v="2022-09-05T19:35:59"/>
        <d v="2022-09-05T19:06:51"/>
        <d v="2022-09-08T00:16:33"/>
        <d v="2022-09-08T00:06:50"/>
        <d v="2022-09-08T00:06:37"/>
        <d v="2022-09-08T00:03:39"/>
        <d v="2022-09-08T00:02:39"/>
        <d v="2022-09-08T00:02:01"/>
        <d v="2022-09-08T00:01:01"/>
        <d v="2022-09-08T00:00:08"/>
        <d v="2022-09-07T23:56:11"/>
        <d v="2022-09-07T23:52:21"/>
        <d v="2022-09-07T23:47:16"/>
        <d v="2022-09-07T23:46:39"/>
        <d v="2022-09-07T23:45:22"/>
        <d v="2022-09-07T23:39:04"/>
        <d v="2022-09-07T23:36:36"/>
        <d v="2022-09-07T23:32:11"/>
        <d v="2022-09-07T23:29:44"/>
        <d v="2022-09-07T23:27:29"/>
        <d v="2022-09-07T23:22:13"/>
        <d v="2022-09-07T23:14:43"/>
        <d v="2022-09-07T23:12:47"/>
        <d v="2022-09-07T23:12:02"/>
        <d v="2022-09-07T23:10:33"/>
        <d v="2022-09-07T23:09:53"/>
        <d v="2022-09-07T22:59:12"/>
        <d v="2022-09-07T22:58:34"/>
        <d v="2022-09-07T22:50:58"/>
        <d v="2022-09-07T22:49:46"/>
        <d v="2022-09-07T22:49:01"/>
        <d v="2022-09-07T22:44:44"/>
        <d v="2022-09-07T22:36:23"/>
        <d v="2022-09-07T22:35:57"/>
        <d v="2022-09-07T22:33:34"/>
        <d v="2022-09-07T22:25:44"/>
        <d v="2022-09-07T22:25:37"/>
        <d v="2022-09-07T22:19:21"/>
        <d v="2022-09-07T22:17:27"/>
        <d v="2022-09-07T22:17:21"/>
        <d v="2022-09-07T22:11:11"/>
        <d v="2022-09-07T22:08:08"/>
        <d v="2022-09-07T22:07:01"/>
        <d v="2022-09-07T22:06:10"/>
        <d v="2022-09-07T22:05:33"/>
        <d v="2022-09-07T22:04:59"/>
        <d v="2022-09-07T22:04:58"/>
        <d v="2022-09-07T22:03:03"/>
        <d v="2022-09-07T21:59:49"/>
        <d v="2022-09-07T21:59:29"/>
        <d v="2022-09-07T21:56:42"/>
        <d v="2022-09-07T21:54:03"/>
        <d v="2022-09-07T21:48:23"/>
        <d v="2022-09-07T21:34:05"/>
        <d v="2022-09-07T21:33:15"/>
        <d v="2022-09-07T21:27:27"/>
        <d v="2022-09-07T21:25:11"/>
        <d v="2022-09-07T21:22:20"/>
        <d v="2022-09-07T21:20:22"/>
        <d v="2022-09-07T21:20:19"/>
        <d v="2022-09-07T21:14:20"/>
        <d v="2022-09-07T21:14:07"/>
        <d v="2022-09-07T21:13:49"/>
        <d v="2022-09-07T21:10:01"/>
        <d v="2022-09-07T21:09:29"/>
        <d v="2022-09-07T21:09:13"/>
        <d v="2022-09-07T21:09:11"/>
        <d v="2022-09-07T21:07:18"/>
        <d v="2022-09-07T21:01:33"/>
        <d v="2022-09-07T20:58:31"/>
        <d v="2022-09-07T20:48:58"/>
        <d v="2022-09-07T20:46:51"/>
        <d v="2022-09-07T20:46:48"/>
        <d v="2022-09-07T20:40:29"/>
        <d v="2022-09-07T20:39:53"/>
        <d v="2022-09-07T20:37:19"/>
        <d v="2022-09-07T20:36:53"/>
        <d v="2022-09-07T20:29:56"/>
        <d v="2022-09-07T20:23:54"/>
        <d v="2022-09-07T20:23:27"/>
        <d v="2022-09-07T20:22:39"/>
        <d v="2022-09-07T20:22:09"/>
        <d v="2022-09-07T20:13:58"/>
        <d v="2022-09-07T20:13:27"/>
        <d v="2022-09-07T20:13:06"/>
        <d v="2022-09-07T20:10:09"/>
        <d v="2022-09-07T19:59:15"/>
        <d v="2022-09-07T19:57:50"/>
        <d v="2022-09-07T19:53:51"/>
        <d v="2022-09-07T19:50:45"/>
        <d v="2022-09-07T19:48:58"/>
        <d v="2022-09-07T19:48:55"/>
        <d v="2022-09-07T19:48:43"/>
        <d v="2022-09-10T01:05:46"/>
        <d v="2022-09-10T01:05:12"/>
        <d v="2022-09-10T01:04:28"/>
        <d v="2022-09-10T00:58:42"/>
        <d v="2022-09-10T00:56:14"/>
        <d v="2022-09-10T00:56:12"/>
        <d v="2022-09-10T00:55:14"/>
        <d v="2022-09-10T00:47:10"/>
        <d v="2022-09-10T00:44:33"/>
        <d v="2022-09-10T00:44:12"/>
        <d v="2022-09-10T00:43:02"/>
        <d v="2022-09-10T00:41:38"/>
        <d v="2022-09-10T00:39:56"/>
        <d v="2022-09-10T00:39:49"/>
        <d v="2022-09-10T00:37:55"/>
        <d v="2022-09-10T00:37:24"/>
        <d v="2022-09-10T00:36:30"/>
        <d v="2022-09-10T00:35:31"/>
        <d v="2022-09-10T00:33:06"/>
        <d v="2022-09-10T00:30:26"/>
        <d v="2022-09-10T00:23:19"/>
        <d v="2022-09-10T00:16:56"/>
        <d v="2022-09-10T00:15:27"/>
        <d v="2022-09-10T00:12:25"/>
        <d v="2022-09-10T00:06:52"/>
        <d v="2022-09-10T00:04:42"/>
        <d v="2022-09-10T00:03:56"/>
        <d v="2022-09-09T23:53:20"/>
        <d v="2022-09-09T23:52:16"/>
        <d v="2022-09-09T23:49:03"/>
        <d v="2022-09-09T23:46:22"/>
        <d v="2022-09-09T23:43:12"/>
        <d v="2022-09-09T23:42:04"/>
        <d v="2022-09-09T23:41:02"/>
        <d v="2022-09-09T23:40:14"/>
        <d v="2022-09-09T23:38:52"/>
        <d v="2022-09-09T23:33:40"/>
        <d v="2022-09-09T23:24:50"/>
        <d v="2022-09-09T23:23:06"/>
        <d v="2022-09-09T23:08:20"/>
        <d v="2022-09-09T23:06:12"/>
        <d v="2022-09-09T23:02:05"/>
        <d v="2022-09-09T22:56:12"/>
        <d v="2022-09-09T22:51:59"/>
        <d v="2022-09-09T22:46:08"/>
        <d v="2022-09-09T22:42:26"/>
        <d v="2022-09-09T22:36:24"/>
        <d v="2022-09-09T22:34:48"/>
        <d v="2022-09-09T22:25:32"/>
        <d v="2022-09-09T22:22:16"/>
        <d v="2022-09-09T22:20:25"/>
        <d v="2022-09-09T22:12:26"/>
        <d v="2022-09-09T22:07:52"/>
        <d v="2022-09-09T21:55:23"/>
        <d v="2022-09-09T21:50:56"/>
        <d v="2022-09-09T21:48:59"/>
        <d v="2022-09-09T21:47:07"/>
        <d v="2022-09-09T21:46:56"/>
        <d v="2022-09-09T21:35:38"/>
        <d v="2022-09-09T21:35:16"/>
        <d v="2022-09-09T21:32:49"/>
        <d v="2022-09-09T21:31:59"/>
        <d v="2022-09-09T21:26:00"/>
        <d v="2022-09-09T21:20:12"/>
        <d v="2022-09-09T21:17:31"/>
        <d v="2022-09-09T21:15:57"/>
        <d v="2022-09-09T20:55:48"/>
        <d v="2022-09-09T20:41:24"/>
        <d v="2022-09-09T20:36:04"/>
        <d v="2022-09-09T20:29:18"/>
        <d v="2022-09-09T20:19:21"/>
        <d v="2022-09-09T20:12:12"/>
        <d v="2022-09-09T20:09:10"/>
        <d v="2022-09-09T20:07:24"/>
        <d v="2022-09-09T20:07:03"/>
        <d v="2022-09-09T19:45:25"/>
        <d v="2022-09-09T19:44:53"/>
        <d v="2022-09-09T19:42:35"/>
        <d v="2022-09-09T19:42:14"/>
        <d v="2022-09-09T19:38:39"/>
        <d v="2022-09-12T00:53:38"/>
        <d v="2022-09-12T00:53:02"/>
        <d v="2022-09-12T00:48:27"/>
        <d v="2022-09-12T00:45:01"/>
        <d v="2022-09-12T00:42:25"/>
        <d v="2022-09-12T00:40:46"/>
        <d v="2022-09-12T00:31:02"/>
        <d v="2022-09-12T00:28:49"/>
        <d v="2022-09-12T00:25:02"/>
        <d v="2022-09-12T00:12:29"/>
        <d v="2022-09-12T00:12:07"/>
        <d v="2022-09-12T00:09:45"/>
        <d v="2022-09-12T00:06:48"/>
        <d v="2022-09-12T00:00:37"/>
        <d v="2022-09-11T23:58:24"/>
        <d v="2022-09-11T23:45:54"/>
        <d v="2022-09-11T23:45:03"/>
        <d v="2022-09-11T23:42:45"/>
        <d v="2022-09-11T23:41:08"/>
        <d v="2022-09-11T23:31:24"/>
        <d v="2022-09-11T23:23:15"/>
        <d v="2022-09-11T23:15:24"/>
        <d v="2022-09-11T23:09:10"/>
        <d v="2022-09-11T23:01:33"/>
        <d v="2022-09-11T23:00:59"/>
        <d v="2022-09-11T22:56:49"/>
        <d v="2022-09-11T22:54:00"/>
        <d v="2022-09-11T22:53:53"/>
        <d v="2022-09-11T22:45:12"/>
        <d v="2022-09-11T22:45:00"/>
        <d v="2022-09-11T22:44:35"/>
        <d v="2022-09-11T22:42:49"/>
        <d v="2022-09-11T22:38:38"/>
        <d v="2022-09-11T22:36:38"/>
        <d v="2022-09-11T22:33:38"/>
        <d v="2022-09-11T22:30:45"/>
        <d v="2022-09-11T22:29:56"/>
        <d v="2022-09-11T22:29:23"/>
        <d v="2022-09-11T22:29:03"/>
        <d v="2022-09-11T22:28:26"/>
        <d v="2022-09-11T22:27:57"/>
        <d v="2022-09-11T22:27:32"/>
        <d v="2022-09-11T22:27:26"/>
        <d v="2022-09-11T22:24:26"/>
        <d v="2022-09-11T22:23:21"/>
        <d v="2022-09-11T22:20:47"/>
        <d v="2022-09-11T22:20:33"/>
        <d v="2022-09-11T22:17:05"/>
        <d v="2022-09-11T22:16:08"/>
        <d v="2022-09-11T22:14:48"/>
        <d v="2022-09-11T22:14:00"/>
        <d v="2022-09-11T22:13:54"/>
        <d v="2022-09-11T21:59:20"/>
        <d v="2022-09-11T21:57:21"/>
        <d v="2022-09-11T21:56:31"/>
        <d v="2022-09-11T21:55:41"/>
        <d v="2022-09-11T21:53:23"/>
        <d v="2022-09-11T21:52:02"/>
        <d v="2022-09-11T21:51:29"/>
        <d v="2022-09-11T21:47:09"/>
        <d v="2022-09-11T21:46:01"/>
        <d v="2022-09-11T21:37:34"/>
        <d v="2022-09-11T21:37:02"/>
        <d v="2022-09-11T21:36:58"/>
        <d v="2022-09-11T21:35:37"/>
        <d v="2022-09-11T21:30:25"/>
        <d v="2022-09-11T21:29:32"/>
        <d v="2022-09-11T21:21:33"/>
        <d v="2022-09-11T21:20:45"/>
        <d v="2022-09-11T21:19:31"/>
        <d v="2022-09-11T21:16:24"/>
        <d v="2022-09-11T21:12:04"/>
        <d v="2022-09-11T21:11:08"/>
        <d v="2022-09-11T21:04:11"/>
        <d v="2022-09-11T21:03:44"/>
        <d v="2022-09-11T21:01:35"/>
        <d v="2022-09-11T21:01:12"/>
        <d v="2022-09-11T21:00:59"/>
        <d v="2022-09-11T20:59:17"/>
        <d v="2022-09-11T20:58:59"/>
        <d v="2022-09-11T20:57:54"/>
        <d v="2022-09-11T20:57:09"/>
        <d v="2022-09-11T20:56:46"/>
        <d v="2022-09-11T20:56:34"/>
        <d v="2022-09-11T20:54:20"/>
        <d v="2022-09-11T20:47:39"/>
        <d v="2022-09-11T20:46:38"/>
        <d v="2022-09-11T20:45:09"/>
        <d v="2022-09-11T20:44:56"/>
        <d v="2022-09-11T20:44:07"/>
        <d v="2022-09-11T20:43:38"/>
        <d v="2022-09-11T20:43:24"/>
        <d v="2022-09-11T20:43:04"/>
        <d v="2022-09-11T20:41:51"/>
        <d v="2022-09-11T20:41:14"/>
        <d v="2022-09-11T20:40:05"/>
        <d v="2022-09-11T20:39:32"/>
        <d v="2022-09-11T20:39:31"/>
        <d v="2022-09-11T20:34:55"/>
        <d v="2022-09-11T20:34:03"/>
        <d v="2022-09-11T20:33:13"/>
        <d v="2022-09-11T20:30:29"/>
        <d v="2022-09-11T20:29:08"/>
        <d v="2022-09-11T20:28:03"/>
        <d v="2022-09-11T20:26:32"/>
        <d v="2022-09-11T20:24:01"/>
        <d v="2022-09-11T20:23:57"/>
        <d v="2022-09-11T20:22:07"/>
        <d v="2022-09-11T20:20:38"/>
        <d v="2022-09-11T20:18:57"/>
        <d v="2022-09-11T20:16:16"/>
        <d v="2022-09-11T20:15:46"/>
        <d v="2022-09-11T20:13:10"/>
        <d v="2022-09-11T20:10:56"/>
        <d v="2022-09-11T20:10:49"/>
        <d v="2022-09-11T20:09:43"/>
        <d v="2022-09-11T20:09:29"/>
        <d v="2022-09-11T20:08:51"/>
        <d v="2022-09-11T20:07:54"/>
        <d v="2022-09-11T20:07:28"/>
        <d v="2022-09-11T20:04:59"/>
        <d v="2022-09-11T20:03:29"/>
        <d v="2022-09-11T20:02:55"/>
        <d v="2022-09-11T20:02:45"/>
        <d v="2022-09-11T19:55:32"/>
        <d v="2022-09-11T19:51:41"/>
        <d v="2022-09-11T19:51:08"/>
        <d v="2022-09-11T19:50:09"/>
        <d v="2022-09-11T19:48:38"/>
        <d v="2022-09-11T19:46:55"/>
        <d v="2022-09-11T19:43:15"/>
        <d v="2022-09-11T19:41:15"/>
        <d v="2022-09-11T19:39:42"/>
        <d v="2022-09-11T19:39:34"/>
        <d v="2022-09-11T19:38:03"/>
        <d v="2022-09-11T19:37:14"/>
        <d v="2022-09-11T19:36:30"/>
        <d v="2022-09-11T19:31:03"/>
        <d v="2022-09-11T19:29:11"/>
        <d v="2022-09-13T00:12:15"/>
        <d v="2022-09-12T23:59:14"/>
        <d v="2022-09-12T23:44:53"/>
        <d v="2022-09-12T23:35:09"/>
        <d v="2022-09-12T23:03:28"/>
        <d v="2022-09-12T22:49:34"/>
        <d v="2022-09-12T22:43:58"/>
        <d v="2022-09-12T22:43:24"/>
        <d v="2022-09-12T22:41:49"/>
        <d v="2022-09-12T22:41:39"/>
        <d v="2022-09-12T22:39:58"/>
        <d v="2022-09-12T22:34:36"/>
        <d v="2022-09-12T22:29:03"/>
        <d v="2022-09-12T22:27:35"/>
        <d v="2022-09-12T22:20:28"/>
        <d v="2022-09-12T22:17:05"/>
        <d v="2022-09-12T22:15:58"/>
        <d v="2022-09-12T22:15:57"/>
        <d v="2022-09-12T22:14:29"/>
        <d v="2022-09-12T22:09:31"/>
        <d v="2022-09-12T21:43:41"/>
        <d v="2022-09-12T21:35:17"/>
        <d v="2022-09-12T21:33:50"/>
        <d v="2022-09-12T21:30:02"/>
        <d v="2022-09-12T21:25:03"/>
        <d v="2022-09-12T21:18:31"/>
        <d v="2022-09-12T21:14:22"/>
        <d v="2022-09-12T21:07:54"/>
        <d v="2022-09-12T21:07:31"/>
        <d v="2022-09-12T21:04:39"/>
        <d v="2022-09-12T21:02:37"/>
        <d v="2022-09-12T20:54:38"/>
        <d v="2022-09-12T20:53:41"/>
        <d v="2022-09-12T20:38:33"/>
        <d v="2022-09-12T20:38:04"/>
        <d v="2022-09-12T20:26:24"/>
        <d v="2022-09-12T20:24:10"/>
        <d v="2022-09-12T20:23:55"/>
        <d v="2022-09-12T20:23:39"/>
        <d v="2022-09-12T20:23:29"/>
        <d v="2022-09-12T20:21:24"/>
        <d v="2022-09-12T20:20:30"/>
        <d v="2022-09-12T20:18:47"/>
        <d v="2022-09-12T20:17:17"/>
        <d v="2022-09-12T20:16:34"/>
        <d v="2022-09-12T20:15:31"/>
        <d v="2022-09-12T20:10:50"/>
        <d v="2022-09-12T20:02:43"/>
        <d v="2022-09-12T19:57:22"/>
        <d v="2022-09-12T19:53:22"/>
        <d v="2022-09-12T19:52:42"/>
        <d v="2022-09-12T19:51:57"/>
        <d v="2022-09-12T19:48:37"/>
        <d v="2022-09-12T19:46:28"/>
        <d v="2022-09-12T19:46:24"/>
        <d v="2022-09-12T19:46:19"/>
        <d v="2022-09-12T19:46:04"/>
        <d v="2022-09-12T19:45:53"/>
        <d v="2022-09-12T19:45:24"/>
        <d v="2022-09-12T19:45:18"/>
        <d v="2022-09-12T19:44:51"/>
        <d v="2022-09-12T19:44:27"/>
        <d v="2022-09-14T00:52:19"/>
        <d v="2022-09-14T00:46:41"/>
        <d v="2022-09-14T00:45:57"/>
        <d v="2022-09-14T00:36:51"/>
        <d v="2022-09-14T00:28:42"/>
        <d v="2022-09-14T00:04:05"/>
        <d v="2022-09-13T23:59:34"/>
        <d v="2022-09-13T23:55:16"/>
        <d v="2022-09-13T23:55:08"/>
        <d v="2022-09-13T23:51:36"/>
        <d v="2022-09-13T23:45:42"/>
        <d v="2022-09-13T23:43:30"/>
        <d v="2022-09-13T23:42:46"/>
        <d v="2022-09-13T23:34:34"/>
        <d v="2022-09-13T23:34:21"/>
        <d v="2022-09-13T23:32:48"/>
        <d v="2022-09-13T23:31:03"/>
        <d v="2022-09-13T23:28:06"/>
        <d v="2022-09-13T23:21:08"/>
        <d v="2022-09-13T23:17:51"/>
        <d v="2022-09-13T23:09:20"/>
        <d v="2022-09-13T23:09:03"/>
        <d v="2022-09-13T23:07:01"/>
        <d v="2022-09-13T23:06:42"/>
        <d v="2022-09-13T23:05:25"/>
        <d v="2022-09-13T23:00:10"/>
        <d v="2022-09-13T22:57:38"/>
        <d v="2022-09-13T22:56:49"/>
        <d v="2022-09-13T22:51:47"/>
        <d v="2022-09-13T22:51:19"/>
        <d v="2022-09-13T22:46:45"/>
        <d v="2022-09-13T22:41:29"/>
        <d v="2022-09-13T22:37:55"/>
        <d v="2022-09-13T22:35:11"/>
        <d v="2022-09-13T22:34:44"/>
        <d v="2022-09-13T22:30:04"/>
        <d v="2022-09-13T22:30:03"/>
        <d v="2022-09-13T22:29:41"/>
        <d v="2022-09-13T22:28:10"/>
        <d v="2022-09-13T22:27:18"/>
        <d v="2022-09-13T22:27:06"/>
        <d v="2022-09-13T22:24:02"/>
        <d v="2022-09-13T22:19:33"/>
        <d v="2022-09-13T22:12:47"/>
        <d v="2022-09-13T22:12:36"/>
        <d v="2022-09-13T22:09:15"/>
        <d v="2022-09-13T22:02:55"/>
        <d v="2022-09-13T22:01:35"/>
        <d v="2022-09-13T21:59:42"/>
        <d v="2022-09-13T21:57:43"/>
        <d v="2022-09-13T21:57:03"/>
        <d v="2022-09-13T21:51:40"/>
        <d v="2022-09-13T21:43:03"/>
        <d v="2022-09-13T21:16:50"/>
        <d v="2022-09-13T21:13:38"/>
        <d v="2022-09-13T21:06:39"/>
        <d v="2022-09-13T20:58:14"/>
        <d v="2022-09-13T20:57:27"/>
        <d v="2022-09-13T20:52:01"/>
        <d v="2022-09-13T20:44:58"/>
        <d v="2022-09-13T20:41:02"/>
        <d v="2022-09-13T20:39:55"/>
        <d v="2022-09-13T20:38:53"/>
        <d v="2022-09-13T20:27:15"/>
        <d v="2022-09-13T20:23:52"/>
        <d v="2022-09-13T20:21:58"/>
        <d v="2022-09-13T20:21:30"/>
        <d v="2022-09-13T20:20:13"/>
        <d v="2022-09-13T20:16:58"/>
        <d v="2022-09-13T20:16:32"/>
        <d v="2022-09-13T20:07:28"/>
        <d v="2022-09-13T20:01:13"/>
        <d v="2022-09-13T19:59:56"/>
        <d v="2022-09-13T19:55:25"/>
        <d v="2022-09-13T19:51:09"/>
        <d v="2022-09-13T19:49:52"/>
        <d v="2022-09-13T19:44:19"/>
        <d v="2022-09-14T23:56:01"/>
        <d v="2022-09-14T23:30:20"/>
        <d v="2022-09-14T23:14:21"/>
        <d v="2022-09-14T23:12:08"/>
        <d v="2022-09-14T23:08:59"/>
        <d v="2022-09-14T22:52:34"/>
        <d v="2022-09-14T22:37:40"/>
        <d v="2022-09-14T22:34:28"/>
        <d v="2022-09-14T22:27:59"/>
        <d v="2022-09-14T22:24:53"/>
        <d v="2022-09-14T22:24:37"/>
        <d v="2022-09-14T22:20:31"/>
        <d v="2022-09-14T22:02:51"/>
        <d v="2022-09-14T21:36:38"/>
        <d v="2022-09-14T21:34:56"/>
        <d v="2022-09-14T21:28:21"/>
        <d v="2022-09-14T21:21:11"/>
        <d v="2022-09-14T21:14:03"/>
        <d v="2022-09-14T21:13:29"/>
        <d v="2022-09-14T20:59:57"/>
        <d v="2022-09-14T20:38:01"/>
        <d v="2022-09-14T20:37:52"/>
        <d v="2022-09-14T20:37:19"/>
        <d v="2022-09-14T20:29:41"/>
        <d v="2022-09-14T20:27:58"/>
        <d v="2022-09-14T19:31:48"/>
        <d v="2022-09-17T00:22:43"/>
        <d v="2022-09-17T00:20:12"/>
        <d v="2022-09-16T23:47:21"/>
        <d v="2022-09-16T23:42:25"/>
        <d v="2022-09-16T23:41:45"/>
        <d v="2022-09-16T23:41:06"/>
        <d v="2022-09-16T23:36:03"/>
        <d v="2022-09-16T23:32:27"/>
        <d v="2022-09-16T23:26:37"/>
        <d v="2022-09-16T23:21:35"/>
        <d v="2022-09-16T23:17:08"/>
        <d v="2022-09-16T23:07:33"/>
        <d v="2022-09-16T23:05:48"/>
        <d v="2022-09-16T22:59:50"/>
        <d v="2022-09-16T22:52:05"/>
        <d v="2022-09-16T22:49:37"/>
        <d v="2022-09-16T22:43:57"/>
        <d v="2022-09-16T22:23:00"/>
        <d v="2022-09-16T22:17:39"/>
        <d v="2022-09-16T22:12:09"/>
        <d v="2022-09-16T22:10:52"/>
        <d v="2022-09-16T22:03:28"/>
        <d v="2022-09-16T22:02:38"/>
        <d v="2022-09-16T21:44:55"/>
        <d v="2022-09-16T21:44:00"/>
        <d v="2022-09-16T21:27:49"/>
        <d v="2022-09-16T21:24:01"/>
        <d v="2022-09-16T21:16:58"/>
        <d v="2022-09-16T20:43:11"/>
        <d v="2022-09-16T20:31:45"/>
        <d v="2022-09-16T20:23:12"/>
        <d v="2022-09-16T20:12:48"/>
        <d v="2022-09-26T00:27:45"/>
        <d v="2022-09-26T00:25:25"/>
        <d v="2022-09-26T00:22:57"/>
        <d v="2022-09-26T00:22:55"/>
        <d v="2022-09-26T00:21:10"/>
        <d v="2022-09-26T00:21:08"/>
        <d v="2022-09-26T00:19:47"/>
        <d v="2022-09-26T00:16:34"/>
        <d v="2022-09-26T00:14:51"/>
        <d v="2022-09-26T00:13:00"/>
        <d v="2022-09-25T23:53:32"/>
        <d v="2022-09-25T23:52:16"/>
        <d v="2022-09-25T23:37:47"/>
        <d v="2022-09-25T23:36:34"/>
        <d v="2022-09-25T23:33:57"/>
        <d v="2022-09-25T23:29:51"/>
        <d v="2022-09-25T23:25:57"/>
        <d v="2022-09-25T23:25:22"/>
        <d v="2022-09-25T23:25:01"/>
        <d v="2022-09-25T23:15:51"/>
        <d v="2022-09-25T23:12:09"/>
        <d v="2022-09-25T23:06:50"/>
        <d v="2022-09-25T23:05:24"/>
        <d v="2022-09-25T23:03:20"/>
        <d v="2022-09-25T23:00:27"/>
        <d v="2022-09-25T22:52:00"/>
        <d v="2022-09-25T22:51:45"/>
        <d v="2022-09-25T22:51:19"/>
        <d v="2022-09-25T22:48:12"/>
        <d v="2022-09-25T22:39:19"/>
        <d v="2022-09-25T22:38:14"/>
        <d v="2022-09-25T22:31:10"/>
        <d v="2022-09-25T22:27:41"/>
        <d v="2022-09-25T22:25:30"/>
        <d v="2022-09-25T22:25:22"/>
        <d v="2022-09-25T22:25:03"/>
        <d v="2022-09-25T22:22:06"/>
        <d v="2022-09-25T22:21:07"/>
        <d v="2022-09-25T22:20:32"/>
        <d v="2022-09-25T22:19:27"/>
        <d v="2022-09-25T22:19:01"/>
        <d v="2022-09-25T22:16:58"/>
        <d v="2022-09-25T22:09:55"/>
        <d v="2022-09-25T22:08:14"/>
        <d v="2022-09-25T22:06:15"/>
        <d v="2022-09-25T21:54:22"/>
        <d v="2022-09-25T21:46:29"/>
        <d v="2022-09-25T21:39:41"/>
        <d v="2022-09-25T21:38:04"/>
        <d v="2022-09-25T21:37:27"/>
        <d v="2022-09-25T21:37:09"/>
        <d v="2022-09-25T21:33:01"/>
        <d v="2022-09-25T21:32:19"/>
        <d v="2022-09-25T21:31:53"/>
        <d v="2022-09-25T21:29:49"/>
        <d v="2022-09-25T21:23:19"/>
        <d v="2022-09-25T21:22:26"/>
        <d v="2022-09-25T21:20:46"/>
        <d v="2022-09-25T21:20:15"/>
        <d v="2022-09-25T21:18:52"/>
        <d v="2022-09-25T21:11:08"/>
        <d v="2022-09-25T21:07:02"/>
        <d v="2022-09-25T21:06:55"/>
        <d v="2022-09-25T21:05:58"/>
        <d v="2022-09-25T21:04:42"/>
        <d v="2022-09-25T21:03:38"/>
        <d v="2022-09-25T20:58:06"/>
        <d v="2022-09-25T20:57:47"/>
        <d v="2022-09-25T20:57:11"/>
        <d v="2022-09-25T20:46:17"/>
        <d v="2022-09-25T20:44:14"/>
        <d v="2022-09-25T20:43:18"/>
        <d v="2022-09-25T20:42:08"/>
        <d v="2022-09-25T20:37:33"/>
        <d v="2022-09-25T20:36:05"/>
        <d v="2022-09-25T20:33:40"/>
        <d v="2022-09-25T20:32:36"/>
        <d v="2022-09-25T20:32:17"/>
        <d v="2022-09-25T20:20:46"/>
        <d v="2022-09-25T20:17:46"/>
        <d v="2022-09-25T20:11:01"/>
        <d v="2022-09-25T20:07:43"/>
        <d v="2022-09-25T20:06:47"/>
        <d v="2022-09-25T20:06:32"/>
        <d v="2022-09-25T20:06:12"/>
        <d v="2022-09-25T20:05:44"/>
        <d v="2022-09-25T20:05:45"/>
        <d v="2022-09-25T20:05:40"/>
        <d v="2022-09-25T20:05:00"/>
        <d v="2022-09-25T20:02:24"/>
        <d v="2022-09-25T19:58:00"/>
        <d v="2022-09-25T19:57:27"/>
        <d v="2022-09-25T19:56:30"/>
        <d v="2022-09-25T19:56:14"/>
        <d v="2022-09-25T19:47:42"/>
        <d v="2022-09-25T19:45:18"/>
        <d v="2022-09-25T19:41:19"/>
        <d v="2022-09-25T19:40:07"/>
        <d v="2022-09-25T19:40:01"/>
        <d v="2022-09-25T19:38:44"/>
        <d v="2022-09-25T19:38:27"/>
        <d v="2022-09-25T19:38:14"/>
        <d v="2022-09-25T19:37:34"/>
        <d v="2022-09-25T19:37:32"/>
        <d v="2022-09-25T19:31:06"/>
        <d v="2022-09-25T19:30:03"/>
        <d v="2022-09-25T19:29:15"/>
        <d v="2022-09-25T19:29:04"/>
        <d v="2022-09-25T19:28:55"/>
        <d v="2022-09-25T19:28:36"/>
        <d v="2022-09-25T19:27:56"/>
        <d v="2022-09-25T19:27:49"/>
        <d v="2022-09-25T19:26:31"/>
        <d v="2022-09-25T19:25:53"/>
        <d v="2022-09-25T19:19:47"/>
        <d v="2022-09-25T19:18:31"/>
        <d v="2022-09-25T19:18:04"/>
        <d v="2022-09-25T19:17:49"/>
        <d v="2022-09-25T19:17:27"/>
        <d v="2022-09-25T19:16:56"/>
        <d v="2022-09-25T19:16:39"/>
        <d v="2022-09-25T19:16:25"/>
        <d v="2022-09-25T19:16:09"/>
        <d v="2022-09-25T19:15:45"/>
        <d v="2022-09-25T19:14:16"/>
        <d v="2022-09-27T00:18:58"/>
        <d v="2022-09-27T00:14:05"/>
        <d v="2022-09-27T00:01:02"/>
        <d v="2022-09-26T23:48:21"/>
        <d v="2022-09-26T23:47:51"/>
        <d v="2022-09-26T23:46:59"/>
        <d v="2022-09-26T23:45:39"/>
        <d v="2022-09-26T23:42:33"/>
        <d v="2022-09-26T23:40:26"/>
        <d v="2022-09-26T23:35:01"/>
        <d v="2022-09-26T23:22:35"/>
        <d v="2022-09-26T23:16:47"/>
        <d v="2022-09-26T23:04:14"/>
        <d v="2022-09-26T22:50:46"/>
        <d v="2022-09-26T22:50:11"/>
        <d v="2022-09-26T22:49:23"/>
        <d v="2022-09-26T22:47:31"/>
        <d v="2022-09-26T22:44:17"/>
        <d v="2022-09-26T22:42:19"/>
        <d v="2022-09-26T22:41:52"/>
        <d v="2022-09-26T22:39:52"/>
        <d v="2022-09-26T22:33:42"/>
        <d v="2022-09-26T22:24:37"/>
        <d v="2022-09-26T22:22:41"/>
        <d v="2022-09-26T22:22:06"/>
        <d v="2022-09-26T22:20:46"/>
        <d v="2022-09-26T22:10:37"/>
        <d v="2022-09-26T22:06:54"/>
        <d v="2022-09-26T22:06:42"/>
        <d v="2022-09-26T21:50:01"/>
        <d v="2022-09-26T21:49:59"/>
        <d v="2022-09-26T21:49:04"/>
        <d v="2022-09-26T21:32:25"/>
        <d v="2022-09-26T21:31:30"/>
        <d v="2022-09-26T21:29:39"/>
        <d v="2022-09-26T21:26:42"/>
        <d v="2022-09-26T21:25:03"/>
        <d v="2022-09-26T21:23:30"/>
        <d v="2022-09-26T21:17:49"/>
        <d v="2022-09-26T21:16:51"/>
        <d v="2022-09-26T21:15:38"/>
        <d v="2022-09-26T20:59:13"/>
        <d v="2022-09-26T20:53:25"/>
        <d v="2022-09-26T20:53:02"/>
        <d v="2022-09-26T20:48:58"/>
        <d v="2022-09-26T20:48:37"/>
        <d v="2022-09-26T20:45:20"/>
        <d v="2022-09-26T20:44:34"/>
        <d v="2022-09-26T20:44:18"/>
        <d v="2022-09-26T20:44:06"/>
        <d v="2022-09-26T20:43:57"/>
        <d v="2022-09-26T20:43:46"/>
        <d v="2022-09-26T20:42:18"/>
        <d v="2022-09-26T20:40:04"/>
        <d v="2022-09-26T20:40:02"/>
        <d v="2022-09-26T20:34:58"/>
        <d v="2022-09-26T20:17:00"/>
        <d v="2022-09-26T20:16:33"/>
        <d v="2022-09-26T20:13:27"/>
        <d v="2022-09-26T20:06:33"/>
        <d v="2022-09-26T20:02:11"/>
        <d v="2022-09-26T19:58:59"/>
        <d v="2022-09-26T19:50:37"/>
        <d v="2022-09-26T19:42:48"/>
        <d v="2022-09-26T19:38:37"/>
        <d v="2022-09-26T19:38:07"/>
        <d v="2022-09-28T00:34:44"/>
        <d v="2022-09-28T00:11:40"/>
        <d v="2022-09-28T00:04:55"/>
        <d v="2022-09-27T23:56:49"/>
        <d v="2022-09-27T23:41:39"/>
        <d v="2022-09-27T23:35:14"/>
        <d v="2022-09-27T23:32:03"/>
        <d v="2022-09-27T23:14:47"/>
        <d v="2022-09-27T23:07:03"/>
        <d v="2022-09-27T23:05:55"/>
        <d v="2022-09-27T23:05:49"/>
        <d v="2022-09-27T22:47:19"/>
        <d v="2022-09-27T22:28:53"/>
        <d v="2022-09-27T22:23:01"/>
        <d v="2022-09-27T22:22:44"/>
        <d v="2022-09-27T22:16:47"/>
        <d v="2022-09-27T22:15:26"/>
        <d v="2022-09-27T22:15:19"/>
        <d v="2022-09-27T21:47:00"/>
        <d v="2022-09-27T21:46:19"/>
        <d v="2022-09-27T21:34:53"/>
        <d v="2022-09-27T21:30:53"/>
        <d v="2022-09-27T20:59:19"/>
        <d v="2022-09-27T20:51:19"/>
        <m/>
      </sharedItems>
    </cacheField>
    <cacheField name="买家付款时间" numFmtId="0">
      <sharedItems containsString="0" containsBlank="1" containsNonDate="0" containsDate="1" minDate="2022-09-04T19:14:04" maxDate="2022-09-28T00:34:53" count="961">
        <d v="2022-09-05T00:16:03"/>
        <m/>
        <d v="2022-09-04T23:44:39"/>
        <d v="2022-09-04T23:39:58"/>
        <d v="2022-09-04T23:37:26"/>
        <d v="2022-09-04T23:33:24"/>
        <d v="2022-09-04T23:27:17"/>
        <d v="2022-09-04T23:26:47"/>
        <d v="2022-09-04T23:26:29"/>
        <d v="2022-09-04T23:24:51"/>
        <d v="2022-09-04T23:23:44"/>
        <d v="2022-09-04T23:18:25"/>
        <d v="2022-09-04T23:18:18"/>
        <d v="2022-09-04T23:15:18"/>
        <d v="2022-09-04T23:15:10"/>
        <d v="2022-09-04T23:14:37"/>
        <d v="2022-09-04T23:13:22"/>
        <d v="2022-09-04T23:12:30"/>
        <d v="2022-09-04T23:11:49"/>
        <d v="2022-09-04T23:11:51"/>
        <d v="2022-09-04T23:11:07"/>
        <d v="2022-09-04T23:11:05"/>
        <d v="2022-09-04T23:10:39"/>
        <d v="2022-09-04T23:10:32"/>
        <d v="2022-09-04T23:10:22"/>
        <d v="2022-09-04T23:10:14"/>
        <d v="2022-09-04T23:09:47"/>
        <d v="2022-09-04T23:07:36"/>
        <d v="2022-09-04T23:06:48"/>
        <d v="2022-09-04T23:05:05"/>
        <d v="2022-09-04T23:02:59"/>
        <d v="2022-09-04T23:02:38"/>
        <d v="2022-09-04T23:02:35"/>
        <d v="2022-09-04T23:00:43"/>
        <d v="2022-09-04T23:00:23"/>
        <d v="2022-09-04T22:59:47"/>
        <d v="2022-09-04T22:58:47"/>
        <d v="2022-09-04T22:59:19"/>
        <d v="2022-09-04T22:57:22"/>
        <d v="2022-09-04T22:56:49"/>
        <d v="2022-09-04T22:53:02"/>
        <d v="2022-09-04T22:51:53"/>
        <d v="2022-09-04T22:51:35"/>
        <d v="2022-09-04T22:50:32"/>
        <d v="2022-09-04T22:50:03"/>
        <d v="2022-09-04T22:50:37"/>
        <d v="2022-09-04T22:49:34"/>
        <d v="2022-09-04T22:46:30"/>
        <d v="2022-09-04T22:45:46"/>
        <d v="2022-09-04T22:44:55"/>
        <d v="2022-09-04T22:44:43"/>
        <d v="2022-09-04T22:41:08"/>
        <d v="2022-09-04T22:41:02"/>
        <d v="2022-09-04T22:40:45"/>
        <d v="2022-09-04T22:40:12"/>
        <d v="2022-09-04T22:37:36"/>
        <d v="2022-09-04T22:36:54"/>
        <d v="2022-09-04T22:35:42"/>
        <d v="2022-09-04T22:35:06"/>
        <d v="2022-09-04T22:31:57"/>
        <d v="2022-09-04T22:28:37"/>
        <d v="2022-09-04T22:28:38"/>
        <d v="2022-09-04T22:27:49"/>
        <d v="2022-09-04T22:26:29"/>
        <d v="2022-09-04T22:23:50"/>
        <d v="2022-09-04T22:23:25"/>
        <d v="2022-09-04T22:19:23"/>
        <d v="2022-09-04T22:16:54"/>
        <d v="2022-09-04T22:16:43"/>
        <d v="2022-09-04T22:15:23"/>
        <d v="2022-09-04T22:11:38"/>
        <d v="2022-09-04T22:11:01"/>
        <d v="2022-09-04T22:10:18"/>
        <d v="2022-09-04T22:10:12"/>
        <d v="2022-09-04T22:10:10"/>
        <d v="2022-09-04T22:09:31"/>
        <d v="2022-09-04T22:09:35"/>
        <d v="2022-09-04T22:09:24"/>
        <d v="2022-09-04T21:56:49"/>
        <d v="2022-09-04T21:56:00"/>
        <d v="2022-09-04T21:55:41"/>
        <d v="2022-09-04T21:56:15"/>
        <d v="2022-09-04T21:55:24"/>
        <d v="2022-09-04T21:50:22"/>
        <d v="2022-09-04T21:49:59"/>
        <d v="2022-09-04T21:44:32"/>
        <d v="2022-09-04T21:41:55"/>
        <d v="2022-09-04T21:41:52"/>
        <d v="2022-09-04T21:40:42"/>
        <d v="2022-09-04T21:47:52"/>
        <d v="2022-09-04T21:38:39"/>
        <d v="2022-09-04T21:37:36"/>
        <d v="2022-09-04T21:37:40"/>
        <d v="2022-09-04T21:37:29"/>
        <d v="2022-09-04T21:37:17"/>
        <d v="2022-09-04T21:37:11"/>
        <d v="2022-09-04T21:36:28"/>
        <d v="2022-09-04T21:36:21"/>
        <d v="2022-09-04T21:36:02"/>
        <d v="2022-09-04T21:35:59"/>
        <d v="2022-09-04T21:35:28"/>
        <d v="2022-09-04T21:32:05"/>
        <d v="2022-09-04T21:30:39"/>
        <d v="2022-09-04T21:29:53"/>
        <d v="2022-09-04T21:29:49"/>
        <d v="2022-09-04T21:25:47"/>
        <d v="2022-09-04T21:24:16"/>
        <d v="2022-09-04T21:20:17"/>
        <d v="2022-09-04T21:18:27"/>
        <d v="2022-09-04T21:17:50"/>
        <d v="2022-09-04T21:17:35"/>
        <d v="2022-09-04T21:17:09"/>
        <d v="2022-09-04T21:15:42"/>
        <d v="2022-09-04T21:15:43"/>
        <d v="2022-09-04T21:14:38"/>
        <d v="2022-09-04T21:11:42"/>
        <d v="2022-09-04T21:11:33"/>
        <d v="2022-09-04T21:10:40"/>
        <d v="2022-09-04T21:10:21"/>
        <d v="2022-09-04T21:09:19"/>
        <d v="2022-09-04T21:08:10"/>
        <d v="2022-09-04T21:08:43"/>
        <d v="2022-09-04T21:07:55"/>
        <d v="2022-09-04T21:07:10"/>
        <d v="2022-09-04T21:06:37"/>
        <d v="2022-09-04T21:05:19"/>
        <d v="2022-09-04T21:03:43"/>
        <d v="2022-09-04T20:57:31"/>
        <d v="2022-09-04T20:54:08"/>
        <d v="2022-09-04T20:53:15"/>
        <d v="2022-09-04T20:52:53"/>
        <d v="2022-09-04T20:52:47"/>
        <d v="2022-09-04T20:49:16"/>
        <d v="2022-09-04T20:48:30"/>
        <d v="2022-09-04T20:48:24"/>
        <d v="2022-09-04T20:48:20"/>
        <d v="2022-09-04T20:49:10"/>
        <d v="2022-09-04T20:47:58"/>
        <d v="2022-09-04T20:47:08"/>
        <d v="2022-09-04T20:46:25"/>
        <d v="2022-09-04T20:43:53"/>
        <d v="2022-09-04T20:39:03"/>
        <d v="2022-09-04T20:38:54"/>
        <d v="2022-09-04T20:38:24"/>
        <d v="2022-09-04T20:38:22"/>
        <d v="2022-09-04T20:38:19"/>
        <d v="2022-09-04T20:38:15"/>
        <d v="2022-09-04T20:37:40"/>
        <d v="2022-09-04T20:37:28"/>
        <d v="2022-09-04T20:37:11"/>
        <d v="2022-09-04T20:37:10"/>
        <d v="2022-09-04T20:36:44"/>
        <d v="2022-09-04T20:36:41"/>
        <d v="2022-09-04T20:34:48"/>
        <d v="2022-09-04T20:33:15"/>
        <d v="2022-09-04T20:32:57"/>
        <d v="2022-09-04T20:32:35"/>
        <d v="2022-09-04T20:32:15"/>
        <d v="2022-09-04T20:32:30"/>
        <d v="2022-09-04T20:32:29"/>
        <d v="2022-09-04T20:31:51"/>
        <d v="2022-09-04T20:31:44"/>
        <d v="2022-09-04T20:31:40"/>
        <d v="2022-09-04T20:31:03"/>
        <d v="2022-09-04T20:30:47"/>
        <d v="2022-09-04T20:30:01"/>
        <d v="2022-09-04T20:29:29"/>
        <d v="2022-09-04T20:28:30"/>
        <d v="2022-09-04T20:28:21"/>
        <d v="2022-09-04T20:28:16"/>
        <d v="2022-09-04T20:27:41"/>
        <d v="2022-09-04T20:28:00"/>
        <d v="2022-09-04T20:27:26"/>
        <d v="2022-09-04T20:26:48"/>
        <d v="2022-09-04T20:23:44"/>
        <d v="2022-09-04T20:22:55"/>
        <d v="2022-09-04T20:19:47"/>
        <d v="2022-09-04T20:17:55"/>
        <d v="2022-09-04T20:16:26"/>
        <d v="2022-09-04T20:15:50"/>
        <d v="2022-09-04T20:15:40"/>
        <d v="2022-09-04T20:15:17"/>
        <d v="2022-09-04T20:14:56"/>
        <d v="2022-09-04T20:16:42"/>
        <d v="2022-09-04T20:13:15"/>
        <d v="2022-09-04T20:12:28"/>
        <d v="2022-09-04T20:12:00"/>
        <d v="2022-09-04T20:10:12"/>
        <d v="2022-09-04T20:08:46"/>
        <d v="2022-09-04T20:08:11"/>
        <d v="2022-09-04T20:07:56"/>
        <d v="2022-09-04T20:07:52"/>
        <d v="2022-09-04T20:07:40"/>
        <d v="2022-09-04T20:07:39"/>
        <d v="2022-09-04T20:07:20"/>
        <d v="2022-09-04T20:06:17"/>
        <d v="2022-09-04T20:04:15"/>
        <d v="2022-09-04T20:04:10"/>
        <d v="2022-09-04T20:03:59"/>
        <d v="2022-09-04T20:03:55"/>
        <d v="2022-09-04T20:03:40"/>
        <d v="2022-09-04T20:03:36"/>
        <d v="2022-09-04T20:03:29"/>
        <d v="2022-09-04T20:03:17"/>
        <d v="2022-09-04T20:03:04"/>
        <d v="2022-09-04T20:02:51"/>
        <d v="2022-09-04T20:02:49"/>
        <d v="2022-09-04T20:02:56"/>
        <d v="2022-09-04T20:02:33"/>
        <d v="2022-09-04T20:02:10"/>
        <d v="2022-09-04T20:01:16"/>
        <d v="2022-09-04T20:00:31"/>
        <d v="2022-09-04T19:59:12"/>
        <d v="2022-09-04T19:59:13"/>
        <d v="2022-09-04T19:59:11"/>
        <d v="2022-09-04T19:59:05"/>
        <d v="2022-09-04T19:58:23"/>
        <d v="2022-09-04T19:58:13"/>
        <d v="2022-09-04T19:52:37"/>
        <d v="2022-09-04T19:52:05"/>
        <d v="2022-09-04T19:51:59"/>
        <d v="2022-09-04T19:51:26"/>
        <d v="2022-09-04T19:51:22"/>
        <d v="2022-09-04T19:51:10"/>
        <d v="2022-09-04T19:51:02"/>
        <d v="2022-09-04T19:50:26"/>
        <d v="2022-09-04T19:49:50"/>
        <d v="2022-09-04T19:48:43"/>
        <d v="2022-09-04T19:48:39"/>
        <d v="2022-09-04T19:47:40"/>
        <d v="2022-09-04T19:47:42"/>
        <d v="2022-09-04T19:44:16"/>
        <d v="2022-09-04T19:44:39"/>
        <d v="2022-09-04T19:42:47"/>
        <d v="2022-09-04T19:42:48"/>
        <d v="2022-09-04T19:42:21"/>
        <d v="2022-09-04T19:42:06"/>
        <d v="2022-09-04T19:42:08"/>
        <d v="2022-09-04T19:41:27"/>
        <d v="2022-09-04T19:41:21"/>
        <d v="2022-09-04T19:41:39"/>
        <d v="2022-09-04T19:41:04"/>
        <d v="2022-09-04T19:38:37"/>
        <d v="2022-09-04T19:37:19"/>
        <d v="2022-09-04T19:37:12"/>
        <d v="2022-09-04T19:36:59"/>
        <d v="2022-09-04T19:36:37"/>
        <d v="2022-09-04T19:36:13"/>
        <d v="2022-09-04T19:36:04"/>
        <d v="2022-09-04T19:35:53"/>
        <d v="2022-09-04T19:35:54"/>
        <d v="2022-09-04T19:35:22"/>
        <d v="2022-09-04T19:35:01"/>
        <d v="2022-09-04T19:34:47"/>
        <d v="2022-09-04T19:34:54"/>
        <d v="2022-09-04T19:34:34"/>
        <d v="2022-09-04T19:33:49"/>
        <d v="2022-09-04T19:33:53"/>
        <d v="2022-09-04T19:30:32"/>
        <d v="2022-09-04T19:30:17"/>
        <d v="2022-09-04T19:29:49"/>
        <d v="2022-09-04T19:28:51"/>
        <d v="2022-09-04T19:28:43"/>
        <d v="2022-09-04T19:28:41"/>
        <d v="2022-09-04T19:28:15"/>
        <d v="2022-09-04T19:20:48"/>
        <d v="2022-09-04T19:17:15"/>
        <d v="2022-09-04T19:16:16"/>
        <d v="2022-09-04T19:15:31"/>
        <d v="2022-09-04T19:15:23"/>
        <d v="2022-09-04T19:14:50"/>
        <d v="2022-09-04T19:14:04"/>
        <d v="2022-09-05T23:58:32"/>
        <d v="2022-09-05T23:41:19"/>
        <d v="2022-09-05T23:31:08"/>
        <d v="2022-09-05T23:24:27"/>
        <d v="2022-09-05T23:24:15"/>
        <d v="2022-09-05T23:10:11"/>
        <d v="2022-09-05T23:04:34"/>
        <d v="2022-09-05T22:57:37"/>
        <d v="2022-09-05T22:53:48"/>
        <d v="2022-09-05T22:53:28"/>
        <d v="2022-09-05T22:52:57"/>
        <d v="2022-09-05T22:52:04"/>
        <d v="2022-09-05T22:51:53"/>
        <d v="2022-09-05T22:51:29"/>
        <d v="2022-09-05T22:46:43"/>
        <d v="2022-09-05T22:45:21"/>
        <d v="2022-09-05T22:44:55"/>
        <d v="2022-09-05T22:41:18"/>
        <d v="2022-09-05T22:38:51"/>
        <d v="2022-09-05T22:32:10"/>
        <d v="2022-09-05T22:27:07"/>
        <d v="2022-09-05T22:23:57"/>
        <d v="2022-09-05T22:23:46"/>
        <d v="2022-09-05T22:22:29"/>
        <d v="2022-09-05T22:20:22"/>
        <d v="2022-09-05T22:17:12"/>
        <d v="2022-09-05T22:16:40"/>
        <d v="2022-09-05T22:15:59"/>
        <d v="2022-09-05T22:16:09"/>
        <d v="2022-09-05T22:15:51"/>
        <d v="2022-09-05T22:15:12"/>
        <d v="2022-09-05T22:04:48"/>
        <d v="2022-09-05T22:04:34"/>
        <d v="2022-09-05T22:03:52"/>
        <d v="2022-09-05T22:02:25"/>
        <d v="2022-09-05T22:00:08"/>
        <d v="2022-09-05T21:56:34"/>
        <d v="2022-09-05T21:51:44"/>
        <d v="2022-09-05T21:51:28"/>
        <d v="2022-09-05T21:44:52"/>
        <d v="2022-09-05T21:39:34"/>
        <d v="2022-09-05T21:39:01"/>
        <d v="2022-09-05T21:28:28"/>
        <d v="2022-09-05T21:26:05"/>
        <d v="2022-09-05T21:20:50"/>
        <d v="2022-09-05T21:20:31"/>
        <d v="2022-09-05T21:15:10"/>
        <d v="2022-09-05T21:13:57"/>
        <d v="2022-09-05T21:12:53"/>
        <d v="2022-09-05T21:07:10"/>
        <d v="2022-09-05T20:58:50"/>
        <d v="2022-09-05T20:59:25"/>
        <d v="2022-09-05T20:57:40"/>
        <d v="2022-09-05T20:58:17"/>
        <d v="2022-09-05T20:52:13"/>
        <d v="2022-09-05T20:47:53"/>
        <d v="2022-09-05T20:47:12"/>
        <d v="2022-09-05T20:41:10"/>
        <d v="2022-09-05T20:36:06"/>
        <d v="2022-09-05T20:25:51"/>
        <d v="2022-09-05T20:25:40"/>
        <d v="2022-09-05T20:23:12"/>
        <d v="2022-09-05T20:23:00"/>
        <d v="2022-09-05T20:22:14"/>
        <d v="2022-09-05T20:22:02"/>
        <d v="2022-09-05T20:20:25"/>
        <d v="2022-09-05T20:19:28"/>
        <d v="2022-09-05T20:13:57"/>
        <d v="2022-09-05T20:13:39"/>
        <d v="2022-09-05T20:13:27"/>
        <d v="2022-09-05T20:13:30"/>
        <d v="2022-09-05T20:10:08"/>
        <d v="2022-09-05T20:05:46"/>
        <d v="2022-09-05T19:58:14"/>
        <d v="2022-09-05T19:55:31"/>
        <d v="2022-09-05T19:47:39"/>
        <d v="2022-09-05T19:47:34"/>
        <d v="2022-09-05T19:45:11"/>
        <d v="2022-09-05T19:43:58"/>
        <d v="2022-09-05T19:43:06"/>
        <d v="2022-09-05T19:42:48"/>
        <d v="2022-09-05T19:39:08"/>
        <d v="2022-09-05T19:38:10"/>
        <d v="2022-09-05T19:37:46"/>
        <d v="2022-09-05T19:37:38"/>
        <d v="2022-09-05T19:37:16"/>
        <d v="2022-09-05T19:36:43"/>
        <d v="2022-09-05T19:36:09"/>
        <d v="2022-09-05T19:07:01"/>
        <d v="2022-09-08T00:16:42"/>
        <d v="2022-09-08T00:06:59"/>
        <d v="2022-09-08T23:53:30"/>
        <d v="2022-09-08T00:01:10"/>
        <d v="2022-09-07T23:52:30"/>
        <d v="2022-09-07T23:47:31"/>
        <d v="2022-09-07T23:46:48"/>
        <d v="2022-09-07T23:45:31"/>
        <d v="2022-09-07T23:39:14"/>
        <d v="2022-09-07T23:36:49"/>
        <d v="2022-09-07T23:32:29"/>
        <d v="2022-09-07T23:29:54"/>
        <d v="2022-09-07T23:27:50"/>
        <d v="2022-09-07T23:15:40"/>
        <d v="2022-09-07T23:12:57"/>
        <d v="2022-09-07T23:10:52"/>
        <d v="2022-09-07T23:10:01"/>
        <d v="2022-09-07T22:59:21"/>
        <d v="2022-09-07T22:58:51"/>
        <d v="2022-09-07T22:51:14"/>
        <d v="2022-09-07T22:51:03"/>
        <d v="2022-09-07T22:49:10"/>
        <d v="2022-09-07T22:49:15"/>
        <d v="2022-09-07T22:36:31"/>
        <d v="2022-09-07T22:36:07"/>
        <d v="2022-09-07T22:33:45"/>
        <d v="2022-09-07T22:25:51"/>
        <d v="2022-09-07T22:26:02"/>
        <d v="2022-09-07T22:19:28"/>
        <d v="2022-09-07T22:17:39"/>
        <d v="2022-09-07T22:17:46"/>
        <d v="2022-09-07T22:11:53"/>
        <d v="2022-09-07T22:08:21"/>
        <d v="2022-09-07T22:07:10"/>
        <d v="2022-09-07T22:06:30"/>
        <d v="2022-09-07T22:05:41"/>
        <d v="2022-09-07T22:05:08"/>
        <d v="2022-09-07T22:00:10"/>
        <d v="2022-09-07T21:59:37"/>
        <d v="2022-09-07T21:56:55"/>
        <d v="2022-09-07T21:48:31"/>
        <d v="2022-09-07T21:34:16"/>
        <d v="2022-09-07T21:33:27"/>
        <d v="2022-09-07T21:27:37"/>
        <d v="2022-09-07T21:21:00"/>
        <d v="2022-09-07T21:14:43"/>
        <d v="2022-09-07T21:14:17"/>
        <d v="2022-09-07T21:13:59"/>
        <d v="2022-09-07T21:10:22"/>
        <d v="2022-09-07T21:09:42"/>
        <d v="2022-09-07T21:09:43"/>
        <d v="2022-09-07T21:09:27"/>
        <d v="2022-09-07T21:07:30"/>
        <d v="2022-09-07T20:58:52"/>
        <d v="2022-09-07T20:49:17"/>
        <d v="2022-09-07T20:46:59"/>
        <d v="2022-09-07T20:46:58"/>
        <d v="2022-09-07T20:40:37"/>
        <d v="2022-09-07T20:40:04"/>
        <d v="2022-09-07T20:37:27"/>
        <d v="2022-09-07T20:37:03"/>
        <d v="2022-09-07T20:30:38"/>
        <d v="2022-09-07T20:24:04"/>
        <d v="2022-09-07T20:23:34"/>
        <d v="2022-09-07T20:22:46"/>
        <d v="2022-09-07T20:22:24"/>
        <d v="2022-09-07T20:14:10"/>
        <d v="2022-09-07T20:13:35"/>
        <d v="2022-09-07T20:13:18"/>
        <d v="2022-09-07T20:10:23"/>
        <d v="2022-09-07T19:58:01"/>
        <d v="2022-09-07T19:54:13"/>
        <d v="2022-09-07T19:50:58"/>
        <d v="2022-09-07T19:49:07"/>
        <d v="2022-09-07T19:49:09"/>
        <d v="2022-09-07T19:48:52"/>
        <d v="2022-09-10T01:06:02"/>
        <d v="2022-09-10T01:05:33"/>
        <d v="2022-09-10T00:59:06"/>
        <d v="2022-09-10T00:56:24"/>
        <d v="2022-09-10T00:56:35"/>
        <d v="2022-09-10T00:55:46"/>
        <d v="2022-09-10T00:48:47"/>
        <d v="2022-09-10T00:48:22"/>
        <d v="2022-09-10T00:44:22"/>
        <d v="2022-09-10T00:43:29"/>
        <d v="2022-09-10T00:41:55"/>
        <d v="2022-09-10T00:40:16"/>
        <d v="2022-09-10T00:39:58"/>
        <d v="2022-09-10T00:38:04"/>
        <d v="2022-09-10T00:37:04"/>
        <d v="2022-09-10T00:35:41"/>
        <d v="2022-09-10T00:33:20"/>
        <d v="2022-09-10T00:30:33"/>
        <d v="2022-09-10T00:24:01"/>
        <d v="2022-09-10T00:15:46"/>
        <d v="2022-09-10T00:12:40"/>
        <d v="2022-09-10T00:07:03"/>
        <d v="2022-09-09T23:54:35"/>
        <d v="2022-09-09T23:52:25"/>
        <d v="2022-09-09T23:49:12"/>
        <d v="2022-09-09T23:46:32"/>
        <d v="2022-09-09T23:43:28"/>
        <d v="2022-09-09T23:43:22"/>
        <d v="2022-09-09T23:42:14"/>
        <d v="2022-09-09T23:41:16"/>
        <d v="2022-09-09T23:40:26"/>
        <d v="2022-09-09T23:41:21"/>
        <d v="2022-09-09T23:33:52"/>
        <d v="2022-09-09T23:25:04"/>
        <d v="2022-09-09T23:23:14"/>
        <d v="2022-09-09T23:08:31"/>
        <d v="2022-09-09T23:06:20"/>
        <d v="2022-09-09T23:02:40"/>
        <d v="2022-09-09T22:56:31"/>
        <d v="2022-09-09T22:47:00"/>
        <d v="2022-09-09T22:36:32"/>
        <d v="2022-09-09T22:35:17"/>
        <d v="2022-09-09T22:25:41"/>
        <d v="2022-09-09T22:22:25"/>
        <d v="2022-09-09T22:21:20"/>
        <d v="2022-09-09T22:07:59"/>
        <d v="2022-09-09T21:55:32"/>
        <d v="2022-09-09T21:51:06"/>
        <d v="2022-09-09T21:49:07"/>
        <d v="2022-09-09T21:47:26"/>
        <d v="2022-09-09T21:47:06"/>
        <d v="2022-09-09T21:36:09"/>
        <d v="2022-09-09T21:35:25"/>
        <d v="2022-09-09T21:33:01"/>
        <d v="2022-09-09T21:32:07"/>
        <d v="2022-09-09T21:26:36"/>
        <d v="2022-09-09T21:20:30"/>
        <d v="2022-09-09T21:17:46"/>
        <d v="2022-09-09T20:56:08"/>
        <d v="2022-09-09T20:36:18"/>
        <d v="2022-09-09T20:29:35"/>
        <d v="2022-09-09T20:19:43"/>
        <d v="2022-09-09T20:12:22"/>
        <d v="2022-09-09T22:23:31"/>
        <d v="2022-09-09T20:07:39"/>
        <d v="2022-09-09T19:45:39"/>
        <d v="2022-09-09T19:45:04"/>
        <d v="2022-09-09T19:42:45"/>
        <d v="2022-09-09T19:42:31"/>
        <d v="2022-09-09T19:38:51"/>
        <d v="2022-09-12T00:53:47"/>
        <d v="2022-09-12T00:45:10"/>
        <d v="2022-09-12T00:42:34"/>
        <d v="2022-09-12T00:31:17"/>
        <d v="2022-09-12T00:25:09"/>
        <d v="2022-09-12T00:12:37"/>
        <d v="2022-09-12T00:12:14"/>
        <d v="2022-09-12T00:00:52"/>
        <d v="2022-09-11T23:58:41"/>
        <d v="2022-09-11T23:46:05"/>
        <d v="2022-09-11T23:45:20"/>
        <d v="2022-09-11T23:43:06"/>
        <d v="2022-09-11T23:41:21"/>
        <d v="2022-09-11T23:31:37"/>
        <d v="2022-09-11T23:15:44"/>
        <d v="2022-09-11T23:09:49"/>
        <d v="2022-09-11T23:02:13"/>
        <d v="2022-09-11T22:56:59"/>
        <d v="2022-09-11T22:54:59"/>
        <d v="2022-09-11T22:54:21"/>
        <d v="2022-09-11T22:45:19"/>
        <d v="2022-09-11T22:45:10"/>
        <d v="2022-09-11T22:44:58"/>
        <d v="2022-09-11T22:38:50"/>
        <d v="2022-09-11T22:36:53"/>
        <d v="2022-09-11T22:33:47"/>
        <d v="2022-09-11T22:30:54"/>
        <d v="2022-09-11T22:30:45"/>
        <d v="2022-09-11T22:29:36"/>
        <d v="2022-09-11T22:29:11"/>
        <d v="2022-09-11T22:28:47"/>
        <d v="2022-09-11T22:28:35"/>
        <d v="2022-09-11T22:27:37"/>
        <d v="2022-09-11T22:25:14"/>
        <d v="2022-09-11T22:23:51"/>
        <d v="2022-09-11T22:23:14"/>
        <d v="2022-09-11T22:20:41"/>
        <d v="2022-09-11T22:17:29"/>
        <d v="2022-09-11T22:16:14"/>
        <d v="2022-09-11T22:15:20"/>
        <d v="2022-09-11T22:14:28"/>
        <d v="2022-09-11T22:14:03"/>
        <d v="2022-09-11T21:59:40"/>
        <d v="2022-09-11T21:57:33"/>
        <d v="2022-09-11T21:56:38"/>
        <d v="2022-09-11T21:55:48"/>
        <d v="2022-09-11T21:54:12"/>
        <d v="2022-09-11T21:52:37"/>
        <d v="2022-09-11T21:47:35"/>
        <d v="2022-09-11T21:47:04"/>
        <d v="2022-09-11T21:37:41"/>
        <d v="2022-09-11T21:37:22"/>
        <d v="2022-09-11T21:37:18"/>
        <d v="2022-09-11T21:36:03"/>
        <d v="2022-09-11T21:21:45"/>
        <d v="2022-09-11T21:16:41"/>
        <d v="2022-09-11T21:12:15"/>
        <d v="2022-09-11T21:11:22"/>
        <d v="2022-09-11T21:04:31"/>
        <d v="2022-09-11T21:04:26"/>
        <d v="2022-09-11T21:01:45"/>
        <d v="2022-09-11T21:01:21"/>
        <d v="2022-09-11T21:01:14"/>
        <d v="2022-09-11T20:59:32"/>
        <d v="2022-09-11T20:59:10"/>
        <d v="2022-09-11T20:58:05"/>
        <d v="2022-09-11T20:57:20"/>
        <d v="2022-09-11T20:56:45"/>
        <d v="2022-09-11T20:54:31"/>
        <d v="2022-09-11T20:46:46"/>
        <d v="2022-09-11T20:45:23"/>
        <d v="2022-09-11T20:48:30"/>
        <d v="2022-09-11T20:44:22"/>
        <d v="2022-09-11T20:43:51"/>
        <d v="2022-09-11T20:43:12"/>
        <d v="2022-09-11T20:41:22"/>
        <d v="2022-09-11T20:40:45"/>
        <d v="2022-09-11T20:39:42"/>
        <d v="2022-09-11T20:35:18"/>
        <d v="2022-09-11T20:34:22"/>
        <d v="2022-09-11T20:33:37"/>
        <d v="2022-09-11T20:31:11"/>
        <d v="2022-09-11T20:29:20"/>
        <d v="2022-09-11T20:28:14"/>
        <d v="2022-09-11T20:26:40"/>
        <d v="2022-09-11T20:24:25"/>
        <d v="2022-09-11T20:24:05"/>
        <d v="2022-09-11T20:22:17"/>
        <d v="2022-09-11T20:20:55"/>
        <d v="2022-09-11T20:19:22"/>
        <d v="2022-09-11T20:16:32"/>
        <d v="2022-09-11T20:15:55"/>
        <d v="2022-09-11T20:13:31"/>
        <d v="2022-09-11T20:11:05"/>
        <d v="2022-09-11T20:10:58"/>
        <d v="2022-09-11T20:09:05"/>
        <d v="2022-09-11T20:08:07"/>
        <d v="2022-09-11T20:07:35"/>
        <d v="2022-09-11T20:05:12"/>
        <d v="2022-09-11T20:03:53"/>
        <d v="2022-09-11T20:03:03"/>
        <d v="2022-09-11T19:51:50"/>
        <d v="2022-09-11T19:51:16"/>
        <d v="2022-09-11T19:50:22"/>
        <d v="2022-09-11T19:48:47"/>
        <d v="2022-09-11T19:47:05"/>
        <d v="2022-09-11T19:43:23"/>
        <d v="2022-09-11T19:41:37"/>
        <d v="2022-09-11T19:39:59"/>
        <d v="2022-09-11T19:37:23"/>
        <d v="2022-09-11T19:31:33"/>
        <d v="2022-09-11T19:29:21"/>
        <d v="2022-09-13T00:12:25"/>
        <d v="2022-09-12T23:59:24"/>
        <d v="2022-09-12T23:45:28"/>
        <d v="2022-09-12T23:35:20"/>
        <d v="2022-09-12T23:03:44"/>
        <d v="2022-09-12T22:49:59"/>
        <d v="2022-09-12T22:44:09"/>
        <d v="2022-09-12T22:44:06"/>
        <d v="2022-09-12T22:41:59"/>
        <d v="2022-09-12T22:40:11"/>
        <d v="2022-09-12T22:34:47"/>
        <d v="2022-09-12T22:29:27"/>
        <d v="2022-09-12T22:28:17"/>
        <d v="2022-09-12T22:20:40"/>
        <d v="2022-09-12T22:17:16"/>
        <d v="2022-09-12T22:14:43"/>
        <d v="2022-09-12T22:09:41"/>
        <d v="2022-09-12T21:43:57"/>
        <d v="2022-09-12T21:36:01"/>
        <d v="2022-09-12T21:34:32"/>
        <d v="2022-09-12T21:30:23"/>
        <d v="2022-09-12T21:26:47"/>
        <d v="2022-09-12T21:18:51"/>
        <d v="2022-09-12T21:14:42"/>
        <d v="2022-09-12T21:08:33"/>
        <d v="2022-09-12T21:07:45"/>
        <d v="2022-09-12T21:04:56"/>
        <d v="2022-09-12T21:02:48"/>
        <d v="2022-09-12T20:54:58"/>
        <d v="2022-09-12T20:26:33"/>
        <d v="2022-09-12T20:24:19"/>
        <d v="2022-09-12T20:24:09"/>
        <d v="2022-09-12T20:24:04"/>
        <d v="2022-09-12T20:20:44"/>
        <d v="2022-09-12T20:19:11"/>
        <d v="2022-09-12T20:18:15"/>
        <d v="2022-09-12T20:17:00"/>
        <d v="2022-09-12T20:10:58"/>
        <d v="2022-09-12T19:57:30"/>
        <d v="2022-09-12T19:53:52"/>
        <d v="2022-09-12T19:53:06"/>
        <d v="2022-09-12T19:48:57"/>
        <d v="2022-09-12T19:47:00"/>
        <d v="2022-09-12T19:46:37"/>
        <d v="2022-09-12T19:46:12"/>
        <d v="2022-09-12T19:46:05"/>
        <d v="2022-09-12T19:45:27"/>
        <d v="2022-09-12T19:44:59"/>
        <d v="2022-09-12T19:46:33"/>
        <d v="2022-09-14T00:52:33"/>
        <d v="2022-09-14T00:46:49"/>
        <d v="2022-09-14T00:46:09"/>
        <d v="2022-09-14T00:38:04"/>
        <d v="2022-09-14T00:29:09"/>
        <d v="2022-09-14T00:04:16"/>
        <d v="2022-09-13T23:59:50"/>
        <d v="2022-09-13T23:55:45"/>
        <d v="2022-09-13T23:55:18"/>
        <d v="2022-09-13T23:45:50"/>
        <d v="2022-09-13T23:42:54"/>
        <d v="2022-09-13T23:34:39"/>
        <d v="2022-09-13T23:32:57"/>
        <d v="2022-09-13T23:31:16"/>
        <d v="2022-09-13T23:28:14"/>
        <d v="2022-09-13T23:21:17"/>
        <d v="2022-09-13T23:18:00"/>
        <d v="2022-09-13T23:10:13"/>
        <d v="2022-09-13T23:09:12"/>
        <d v="2022-09-13T23:07:10"/>
        <d v="2022-09-13T23:06:59"/>
        <d v="2022-09-13T23:05:42"/>
        <d v="2022-09-13T23:00:18"/>
        <d v="2022-09-13T22:57:51"/>
        <d v="2022-09-13T23:00:11"/>
        <d v="2022-09-13T22:51:28"/>
        <d v="2022-09-13T22:46:52"/>
        <d v="2022-09-13T22:42:23"/>
        <d v="2022-09-13T22:38:04"/>
        <d v="2022-09-13T22:35:37"/>
        <d v="2022-09-13T22:35:17"/>
        <d v="2022-09-13T22:30:21"/>
        <d v="2022-09-13T22:30:40"/>
        <d v="2022-09-13T22:28:18"/>
        <d v="2022-09-13T22:27:28"/>
        <d v="2022-09-13T22:27:19"/>
        <d v="2022-09-13T22:20:08"/>
        <d v="2022-09-13T22:12:59"/>
        <d v="2022-09-13T22:12:50"/>
        <d v="2022-09-13T22:03:05"/>
        <d v="2022-09-13T22:01:54"/>
        <d v="2022-09-13T21:59:50"/>
        <d v="2022-09-13T21:43:11"/>
        <d v="2022-09-13T21:17:46"/>
        <d v="2022-09-13T21:13:53"/>
        <d v="2022-09-13T21:06:48"/>
        <d v="2022-09-13T21:01:08"/>
        <d v="2022-09-13T20:57:36"/>
        <d v="2022-09-13T20:52:48"/>
        <d v="2022-09-13T20:45:28"/>
        <d v="2022-09-13T20:40:16"/>
        <d v="2022-09-13T20:41:52"/>
        <d v="2022-09-13T20:27:43"/>
        <d v="2022-09-13T20:24:05"/>
        <d v="2022-09-13T20:22:10"/>
        <d v="2022-09-13T20:21:38"/>
        <d v="2022-09-13T20:20:21"/>
        <d v="2022-09-13T20:17:14"/>
        <d v="2022-09-13T20:16:45"/>
        <d v="2022-09-13T20:07:59"/>
        <d v="2022-09-13T20:01:23"/>
        <d v="2022-09-13T20:00:05"/>
        <d v="2022-09-13T19:55:34"/>
        <d v="2022-09-13T19:51:31"/>
        <d v="2022-09-13T19:50:07"/>
        <d v="2022-09-13T19:44:34"/>
        <d v="2022-09-14T23:56:11"/>
        <d v="2022-09-14T23:31:03"/>
        <d v="2022-09-14T23:14:31"/>
        <d v="2022-09-14T23:12:19"/>
        <d v="2022-09-14T23:09:12"/>
        <d v="2022-09-14T22:53:18"/>
        <d v="2022-09-14T22:38:01"/>
        <d v="2022-09-14T22:34:37"/>
        <d v="2022-09-14T22:28:09"/>
        <d v="2022-09-14T22:25:04"/>
        <d v="2022-09-14T22:24:47"/>
        <d v="2022-09-14T22:20:49"/>
        <d v="2022-09-14T22:03:04"/>
        <d v="2022-09-14T21:36:47"/>
        <d v="2022-09-14T21:35:08"/>
        <d v="2022-09-14T21:21:22"/>
        <d v="2022-09-14T21:14:22"/>
        <d v="2022-09-14T21:13:46"/>
        <d v="2022-09-14T21:00:11"/>
        <d v="2022-09-14T20:38:17"/>
        <d v="2022-09-14T20:38:08"/>
        <d v="2022-09-14T20:37:32"/>
        <d v="2022-09-14T20:29:49"/>
        <d v="2022-09-14T20:28:07"/>
        <d v="2022-09-14T19:31:58"/>
        <d v="2022-09-17T00:20:20"/>
        <d v="2022-09-16T23:47:28"/>
        <d v="2022-09-16T23:42:36"/>
        <d v="2022-09-16T23:42:17"/>
        <d v="2022-09-16T23:36:15"/>
        <d v="2022-09-16T23:32:33"/>
        <d v="2022-09-16T23:21:47"/>
        <d v="2022-09-16T23:17:18"/>
        <d v="2022-09-16T23:06:10"/>
        <d v="2022-09-16T22:59:56"/>
        <d v="2022-09-16T22:52:14"/>
        <d v="2022-09-16T22:49:50"/>
        <d v="2022-09-16T22:44:10"/>
        <d v="2022-09-16T22:23:08"/>
        <d v="2022-09-16T22:17:47"/>
        <d v="2022-09-16T22:12:17"/>
        <d v="2022-09-16T22:11:01"/>
        <d v="2022-09-16T22:03:39"/>
        <d v="2022-09-16T22:02:47"/>
        <d v="2022-09-16T21:27:59"/>
        <d v="2022-09-16T20:43:42"/>
        <d v="2022-09-16T20:12:56"/>
        <d v="2022-09-26T00:27:56"/>
        <d v="2022-09-26T00:25:47"/>
        <d v="2022-09-26T00:23:42"/>
        <d v="2022-09-26T00:23:06"/>
        <d v="2022-09-26T00:21:31"/>
        <d v="2022-09-26T00:21:17"/>
        <d v="2022-09-26T00:20:04"/>
        <d v="2022-09-26T00:15:02"/>
        <d v="2022-09-25T23:52:43"/>
        <d v="2022-09-25T23:38:10"/>
        <d v="2022-09-25T23:36:58"/>
        <d v="2022-09-25T23:34:08"/>
        <d v="2022-09-25T23:30:13"/>
        <d v="2022-09-25T23:26:07"/>
        <d v="2022-09-25T23:25:32"/>
        <d v="2022-09-25T23:25:15"/>
        <d v="2022-09-25T23:12:16"/>
        <d v="2022-09-25T23:06:58"/>
        <d v="2022-09-25T23:05:33"/>
        <d v="2022-09-25T23:03:31"/>
        <d v="2022-09-25T23:00:37"/>
        <d v="2022-09-25T22:52:10"/>
        <d v="2022-09-25T22:52:15"/>
        <d v="2022-09-25T22:48:32"/>
        <d v="2022-09-25T22:39:47"/>
        <d v="2022-09-25T22:38:32"/>
        <d v="2022-09-25T22:31:29"/>
        <d v="2022-09-25T22:25:51"/>
        <d v="2022-09-25T22:25:33"/>
        <d v="2022-09-25T22:25:50"/>
        <d v="2022-09-25T22:22:21"/>
        <d v="2022-09-25T22:21:17"/>
        <d v="2022-09-25T22:20:39"/>
        <d v="2022-09-25T22:17:08"/>
        <d v="2022-09-25T22:10:15"/>
        <d v="2022-09-25T21:54:43"/>
        <d v="2022-09-25T21:46:40"/>
        <d v="2022-09-25T21:38:21"/>
        <d v="2022-09-25T21:37:34"/>
        <d v="2022-09-25T21:37:15"/>
        <d v="2022-09-25T21:33:15"/>
        <d v="2022-09-25T21:32:27"/>
        <d v="2022-09-25T21:32:00"/>
        <d v="2022-09-25T21:30:04"/>
        <d v="2022-09-25T21:23:52"/>
        <d v="2022-09-25T21:22:38"/>
        <d v="2022-09-25T21:21:01"/>
        <d v="2022-09-25T21:20:29"/>
        <d v="2022-09-25T21:19:16"/>
        <d v="2022-09-25T21:11:21"/>
        <d v="2022-09-25T21:07:34"/>
        <d v="2022-09-25T21:07:11"/>
        <d v="2022-09-25T21:06:15"/>
        <d v="2022-09-25T21:04:58"/>
        <d v="2022-09-25T20:57:33"/>
        <d v="2022-09-25T20:46:39"/>
        <d v="2022-09-25T20:43:27"/>
        <d v="2022-09-25T20:42:28"/>
        <d v="2022-09-25T20:36:35"/>
        <d v="2022-09-25T20:34:04"/>
        <d v="2022-09-25T20:32:53"/>
        <d v="2022-09-25T20:17:56"/>
        <d v="2022-09-25T20:11:27"/>
        <d v="2022-09-25T20:07:56"/>
        <d v="2022-09-25T20:06:43"/>
        <d v="2022-09-25T20:06:23"/>
        <d v="2022-09-25T20:05:53"/>
        <d v="2022-09-25T20:05:54"/>
        <d v="2022-09-25T20:05:51"/>
        <d v="2022-09-25T20:05:08"/>
        <d v="2022-09-25T20:02:47"/>
        <d v="2022-09-25T19:58:08"/>
        <d v="2022-09-25T19:57:39"/>
        <d v="2022-09-25T19:56:50"/>
        <d v="2022-09-25T19:56:43"/>
        <d v="2022-09-25T19:48:04"/>
        <d v="2022-09-25T19:45:36"/>
        <d v="2022-09-25T19:41:36"/>
        <d v="2022-09-25T19:40:11"/>
        <d v="2022-09-25T19:38:58"/>
        <d v="2022-09-25T19:38:34"/>
        <d v="2022-09-25T19:38:43"/>
        <d v="2022-09-25T19:37:45"/>
        <d v="2022-09-25T19:37:43"/>
        <d v="2022-09-25T19:31:28"/>
        <d v="2022-09-25T19:30:11"/>
        <d v="2022-09-25T19:29:32"/>
        <d v="2022-09-25T19:29:07"/>
        <d v="2022-09-25T19:28:52"/>
        <d v="2022-09-25T19:28:07"/>
        <d v="2022-09-25T19:28:14"/>
        <d v="2022-09-25T19:26:47"/>
        <d v="2022-09-25T19:26:20"/>
        <d v="2022-09-25T19:20:06"/>
        <d v="2022-09-25T19:19:31"/>
        <d v="2022-09-25T19:18:12"/>
        <d v="2022-09-25T19:18:10"/>
        <d v="2022-09-25T19:18:17"/>
        <d v="2022-09-25T19:17:05"/>
        <d v="2022-09-25T19:16:57"/>
        <d v="2022-09-25T19:16:35"/>
        <d v="2022-09-25T19:16:23"/>
        <d v="2022-09-25T19:15:55"/>
        <d v="2022-09-25T19:14:31"/>
        <d v="2022-09-27T00:19:33"/>
        <d v="2022-09-27T00:14:16"/>
        <d v="2022-09-27T00:01:15"/>
        <d v="2022-09-26T23:48:32"/>
        <d v="2022-09-26T23:48:03"/>
        <d v="2022-09-26T23:47:10"/>
        <d v="2022-09-26T23:45:51"/>
        <d v="2022-09-26T23:42:42"/>
        <d v="2022-09-26T23:40:43"/>
        <d v="2022-09-26T23:35:11"/>
        <d v="2022-09-26T23:16:58"/>
        <d v="2022-09-26T23:04:29"/>
        <d v="2022-09-26T22:51:03"/>
        <d v="2022-09-26T22:50:21"/>
        <d v="2022-09-26T22:49:34"/>
        <d v="2022-09-26T22:47:41"/>
        <d v="2022-09-26T22:44:28"/>
        <d v="2022-09-26T22:40:02"/>
        <d v="2022-09-26T22:33:54"/>
        <d v="2022-09-26T22:24:49"/>
        <d v="2022-09-26T22:22:53"/>
        <d v="2022-09-26T22:22:20"/>
        <d v="2022-09-26T22:20:54"/>
        <d v="2022-09-26T22:10:48"/>
        <d v="2022-09-26T22:07:05"/>
        <d v="2022-09-26T22:06:54"/>
        <d v="2022-09-26T21:50:19"/>
        <d v="2022-09-26T21:50:10"/>
        <d v="2022-09-26T21:32:37"/>
        <d v="2022-09-26T21:31:41"/>
        <d v="2022-09-26T21:26:59"/>
        <d v="2022-09-26T21:25:13"/>
        <d v="2022-09-26T21:23:40"/>
        <d v="2022-09-26T21:17:58"/>
        <d v="2022-09-26T21:17:04"/>
        <d v="2022-09-26T21:16:04"/>
        <d v="2022-09-26T20:54:01"/>
        <d v="2022-09-26T20:49:17"/>
        <d v="2022-09-26T20:48:46"/>
        <d v="2022-09-26T20:45:28"/>
        <d v="2022-09-26T20:44:43"/>
        <d v="2022-09-26T20:44:36"/>
        <d v="2022-09-26T20:44:22"/>
        <d v="2022-09-26T20:44:27"/>
        <d v="2022-09-26T20:44:14"/>
        <d v="2022-09-26T20:43:53"/>
        <d v="2022-09-26T20:40:14"/>
        <d v="2022-09-26T20:38:18"/>
        <d v="2022-09-26T20:17:10"/>
        <d v="2022-09-26T20:17:04"/>
        <d v="2022-09-26T20:14:46"/>
        <d v="2022-09-26T20:06:51"/>
        <d v="2022-09-26T19:59:20"/>
        <d v="2022-09-26T19:43:03"/>
        <d v="2022-09-26T19:38:48"/>
        <d v="2022-09-26T19:38:16"/>
        <d v="2022-09-28T00:34:53"/>
        <d v="2022-09-28T00:11:53"/>
        <d v="2022-09-28T00:05:08"/>
        <d v="2022-09-27T23:41:53"/>
        <d v="2022-09-27T23:35:24"/>
        <d v="2022-09-27T23:32:19"/>
        <d v="2022-09-27T23:14:57"/>
        <d v="2022-09-27T23:07:16"/>
        <d v="2022-09-27T23:06:09"/>
        <d v="2022-09-27T23:05:57"/>
        <d v="2022-09-27T22:47:30"/>
        <d v="2022-09-27T22:29:43"/>
        <d v="2022-09-27T22:15:35"/>
        <d v="2022-09-27T22:15:30"/>
        <d v="2022-09-27T21:47:13"/>
        <d v="2022-09-27T21:46:28"/>
        <d v="2022-09-27T21:35:04"/>
        <d v="2022-09-27T21:31:11"/>
        <d v="2022-09-27T20:59:26"/>
        <d v="2022-09-27T20:51:34"/>
      </sharedItems>
      <fieldGroup base="7">
        <rangePr groupBy="seconds" startDate="2022-09-04T19:14:04" endDate="2022-09-28T00:34:53" groupInterval="1"/>
        <groupItems count="62">
          <s v="(空白)"/>
          <s v="0秒"/>
          <s v="1秒"/>
          <s v="2秒"/>
          <s v="3秒"/>
          <s v="4秒"/>
          <s v="5秒"/>
          <s v="6秒"/>
          <s v="7秒"/>
          <s v="8秒"/>
          <s v="9秒"/>
          <s v="10秒"/>
          <s v="11秒"/>
          <s v="12秒"/>
          <s v="13秒"/>
          <s v="14秒"/>
          <s v="15秒"/>
          <s v="16秒"/>
          <s v="17秒"/>
          <s v="18秒"/>
          <s v="19秒"/>
          <s v="20秒"/>
          <s v="21秒"/>
          <s v="22秒"/>
          <s v="23秒"/>
          <s v="24秒"/>
          <s v="25秒"/>
          <s v="26秒"/>
          <s v="27秒"/>
          <s v="28秒"/>
          <s v="29秒"/>
          <s v="30秒"/>
          <s v="31秒"/>
          <s v="32秒"/>
          <s v="33秒"/>
          <s v="34秒"/>
          <s v="35秒"/>
          <s v="36秒"/>
          <s v="37秒"/>
          <s v="38秒"/>
          <s v="39秒"/>
          <s v="40秒"/>
          <s v="41秒"/>
          <s v="42秒"/>
          <s v="43秒"/>
          <s v="44秒"/>
          <s v="45秒"/>
          <s v="46秒"/>
          <s v="47秒"/>
          <s v="48秒"/>
          <s v="49秒"/>
          <s v="50秒"/>
          <s v="51秒"/>
          <s v="52秒"/>
          <s v="53秒"/>
          <s v="54秒"/>
          <s v="55秒"/>
          <s v="56秒"/>
          <s v="57秒"/>
          <s v="58秒"/>
          <s v="59秒"/>
          <s v="&gt;2022/9/28"/>
        </groupItems>
      </fieldGroup>
    </cacheField>
    <cacheField name="交易成功时间" numFmtId="0">
      <sharedItems containsString="0" containsBlank="1" containsNonDate="0" count="1">
        <m/>
      </sharedItems>
    </cacheField>
    <cacheField name="付款方式" numFmtId="0">
      <sharedItems containsBlank="1" count="3">
        <s v="微信支付"/>
        <m/>
        <s v="标记支付-自定义"/>
      </sharedItems>
    </cacheField>
    <cacheField name="外部订单号" numFmtId="0">
      <sharedItems containsBlank="1" count="143">
        <s v="_x0009_4200001584202209051782942588"/>
        <m/>
        <s v="_x0009_4200001565202209045116846348"/>
        <s v="_x0009_4200001556202209046845527837"/>
        <s v="_x0009_4200001539202209047870524574"/>
        <s v="_x0009_4200001551202209044842183120"/>
        <s v="_x0009_4200001541202209042651130493"/>
        <s v="_x0009_4200001556202209046641329701"/>
        <s v="_x0009_4200001564202209040012198884"/>
        <s v="_x0009_4200001552202209044682180109"/>
        <s v="_x0009_4200001566202209044072610744"/>
        <s v="_x0009_4200001577202209046632777787"/>
        <s v="_x0009_4200001585202209040202429147"/>
        <s v="_x0009_4200001569202209040286731957"/>
        <s v="_x0009_4200001541202209042524759551"/>
        <s v="_x0009_4200001554202209040674507783"/>
        <s v="_x0009_4200001538202209041665605376"/>
        <s v="_x0009_4200001567202209046791585005"/>
        <s v="_x0009_4200001569202209043748568058"/>
        <s v="_x0009_4200001574202209042716426326"/>
        <s v="_x0009_4200001572202209043413557625"/>
        <s v="_x0009_4200001580202209045402168101"/>
        <s v="_x0009_4200001569202209041317567643"/>
        <s v="_x0009_4200001551202209046731338951"/>
        <s v="_x0009_4200001561202209048168463137"/>
        <s v="_x0009_4200001560202209047823998416"/>
        <s v="_x0009_4200001559202209048877256848"/>
        <s v="_x0009_4200001579202209043345761860"/>
        <s v="_x0009_4200001557202209042357507305"/>
        <s v="_x0009_4200001582202209040300661180"/>
        <s v="_x0009_4200001583202209048279958841"/>
        <s v="_x0009_4200001555202209040128942300"/>
        <s v="_x0009_4200001585202209043651206216"/>
        <s v="_x0009_4200001543202209045918593344"/>
        <s v="_x0009_4200001540202209043101646883"/>
        <s v="_x0009_4200001583202209043156788435"/>
        <s v="_x0009_4200001555202209047690650759"/>
        <s v="_x0009_4200001580202209045200582529"/>
        <s v="_x0009_4200001547202209040211570525"/>
        <s v="_x0009_4200001570202209051350409872"/>
        <s v="_x0009_4200001540202209052895023392"/>
        <s v="_x0009_4200001587202209057669272157"/>
        <s v="_x0009_4200001584202209059968334036"/>
        <s v="_x0009_4200001540202209059815879086"/>
        <s v="_x0009_4200001575202209074479181512"/>
        <s v="_x0009_4200001587202209070162416125"/>
        <s v="_x0009_4200001566202209097781954836"/>
        <s v="_x0009_4200001611202209099677391685"/>
        <s v="_x0009_4200001545202209121034016708"/>
        <s v="_x0009_4200001546202209123748856063"/>
        <s v="_x0009_4200001565202209118816499254"/>
        <s v="_x0009_4200001564202209111289954924"/>
        <s v="_x0009_4200001551202209111947193883"/>
        <s v="_x0009_4200001538202209119691437937"/>
        <s v="_x0009_4200001559202209114001055826"/>
        <s v="_x0009_4200001542202209111104895721"/>
        <s v="_x0009_4200001546202209111582242130"/>
        <s v="_x0009_4200001549202209110680658476"/>
        <s v="_x0009_4200001586202209118862695265"/>
        <s v="_x0009_4200001561202209117312681630"/>
        <s v="_x0009_4200001581202209119237907771"/>
        <s v="_x0009_4200001543202209113174038238"/>
        <s v="_x0009_4200001568202209116031935373"/>
        <s v="_x0009_4200001553202209119193555654"/>
        <s v="_x0009_4200001576202209117759009636"/>
        <s v="_x0009_4200001564202209112892108407"/>
        <s v="_x0009_4200001567202209115740966122"/>
        <s v="_x0009_4200001575202209113347966652"/>
        <s v="_x0009_4200001561202209115026251288"/>
        <s v="_x0009_4200001553202209113406846919"/>
        <s v="_x0009_4200001583202209111129251963"/>
        <s v="_x0009_4200001550202209137541615117"/>
        <s v="_x0009_4200001585202209128266135535"/>
        <s v="_x0009_4200001550202209127169554124"/>
        <s v="_x0009_4200001546202209123989989664"/>
        <s v="_x0009_4200001586202209125916963206"/>
        <s v="_x0009_4200001561202209121279778441"/>
        <s v="_x0009_4200001548202209133178446867"/>
        <s v="_x0009_4200001557202209144857616429"/>
        <s v="_x0009_4200001561202209141502448432"/>
        <s v="_x0009_4200001562202209146645549937"/>
        <s v="_x0009_4200001539202209149319936012"/>
        <s v="_x0009_4200001550202209143453937809"/>
        <s v="_x0009_4200001558202209143604481814"/>
        <s v="_x0009_4200001542202209160667342887"/>
        <s v="_x0009_4200001540202209168820108360"/>
        <s v="_x0009_4200001568202209168297534172"/>
        <s v="_x0009_4200001548202209160353089574"/>
        <s v="_x0009_4200001572202209168820228398"/>
        <s v="_x0009_4200001577202209160954764463"/>
        <s v="_x0009_4200001547202209164403131076"/>
        <s v="_x0009_4200001588202209160511865431"/>
        <s v="_x0009_4200001548202209263311769199"/>
        <s v="_x0009_4200001568202209267290437262"/>
        <s v="_x0009_4200001573202209269721379647"/>
        <s v="_x0009_4200001546202209255850143002"/>
        <s v="_x0009_4200001554202209250199632857"/>
        <s v="_x0009_4200001588202209259396794256"/>
        <s v="_x0009_4200001562202209257552763485"/>
        <s v="_x0009_4200001552202209257435360960"/>
        <s v="_x0009_4200001542202209254422315328"/>
        <s v="_x0009_4200001576202209255031962760"/>
        <s v="_x0009_4200001578202209250009944859"/>
        <s v="_x0009_4200001607202209256777960037"/>
        <s v="_x0009_4200001583202209257665653946"/>
        <s v="_x0009_4200001554202209254658696509"/>
        <s v="_x0009_4200001615202209258411453915"/>
        <s v="_x0009_4200001558202209250070244078"/>
        <s v="_x0009_4200001559202209259617223832"/>
        <s v="_x0009_4200001546202209255222615729"/>
        <s v="_x0009_4200001579202209258688004045"/>
        <s v="_x0009_4200001575202209251365765556"/>
        <s v="_x0009_4200001546202209250728830220"/>
        <s v="_x0009_4200001571202209253893336686"/>
        <s v="_x0009_4200001571202209259034017239"/>
        <s v="_x0009_4200001561202209258014898276"/>
        <s v="_x0009_4200001576202209257586565701"/>
        <s v="_x0009_4200001579202209252905189173"/>
        <s v="_x0009_4200001582202209253440328187"/>
        <s v="_x0009_4200001585202209254561128143"/>
        <s v="_x0009_4200001566202209257728343574"/>
        <s v="_x0009_4200001540202209259346764502"/>
        <s v="_x0009_4200001548202209256446936771"/>
        <s v="_x0009_4200001566202209252608192572"/>
        <s v="_x0009_4200001571202209258267266392"/>
        <s v="_x0009_4200001579202209255262871106"/>
        <s v="_x0009_4200001561202209253780294763"/>
        <s v="_x0009_4200001574202209256499040618"/>
        <s v="_x0009_4200001543202209251651290713"/>
        <s v="_x0009_4200001542202209259935278823"/>
        <s v="_x0009_4200001584202209258363787874"/>
        <s v="_x0009_4200001557202209257022097982"/>
        <s v="_x0009_4200001586202209254827890501"/>
        <s v="_x0009_4200001569202209255997355481"/>
        <s v="_x0009_4200001585202209256193483781"/>
        <s v="_x0009_4200001539202209254599146172"/>
        <s v="_x0009_4200001541202209258700011152"/>
        <s v="_x0009_4200001586202209278991748025"/>
        <s v="_x0009_4200001560202209262435108815"/>
        <s v="_x0009_4200001569202209264653838176"/>
        <s v="_x0009_4200001578202209269767834955"/>
        <s v="_x0009_4200001559202209278947212157"/>
        <s v="_x0009_4200001543202209279629614259"/>
      </sharedItems>
    </cacheField>
    <cacheField name="支付流水号" numFmtId="0">
      <sharedItems containsBlank="1" count="144">
        <s v="_x0009_2209050015550002270639"/>
        <m/>
        <s v="_x0009_2209042333140000270133"/>
        <s v="_x0009_2209042318160002210166"/>
        <s v="_x0009_2209042302290000710226"/>
        <s v="_x0009_2209042259560001340727"/>
        <s v="_x0009_2209042249570000100823"/>
        <s v="_x0009_2209042245390001480824"/>
        <s v="_x0009_2209042244310001930004"/>
        <s v="_x0009_2209042140280001400328"/>
        <s v="_x0009_2209042140100000860446"/>
        <s v="_x0009_2209042137090001510179"/>
        <s v="_x0009_2209042129460002720889"/>
        <s v="_x0009_2209042129410003470999"/>
        <s v="_x0009_2209042123340001440592"/>
        <s v="_x0009_2209042117280001220936"/>
        <s v="_x0009_2209042052420000530196"/>
        <s v="_x0009_2209042038500000420868"/>
        <s v="_x0009_2209042026340001930907"/>
        <s v="_x0009_2209042022430001770740"/>
        <s v="_x0009_2209042012190000180538"/>
        <s v="_x0009_2209042007330003810589"/>
        <s v="_x0009_2209042005550000300599"/>
        <s v="_x0009_2209042001080000130717"/>
        <s v="_x0009_2209041952230002590808"/>
        <s v="_x0009_2209041951550002950110"/>
        <s v="_x0009_2209041951500000450755"/>
        <s v="_x0009_2209041951010003190906"/>
        <s v="_x0009_2209041948350000300617"/>
        <s v="_x0009_2209041944100000070754"/>
        <s v="_x0009_2209041942400001560678"/>
        <s v="_x0009_2209041941580000700519"/>
        <s v="_x0009_2209041941150001410599"/>
        <s v="_x0009_2209041935430002330659"/>
        <s v="_x0009_2209041935350002480530"/>
        <s v="_x0009_2209041934432621750364"/>
        <s v="_x0009_2209041934412621720700"/>
        <s v="_x0009_2209041934180002160700"/>
        <s v="_x0009_2209041930250002850841"/>
        <s v="_x0009_2209052220110004220377"/>
        <s v="_x0009_2209052040550000040148"/>
        <s v="_x0009_2209052035590001480514"/>
        <s v="_x0009_2209051936000004020205"/>
        <s v="_x0009_2209051906522621570882"/>
        <s v="_x0009_2209072217390000620856"/>
        <s v="_x0009_2209072046510002720082"/>
        <s v="_x0009_2209092324510001220020"/>
        <s v="_x0009_2209092117320002120875"/>
        <s v="_x0009_2209120025030000290861"/>
        <s v="_x0009_2209120012080000530110"/>
        <s v="_x0009_2209112253542621450938"/>
        <s v="_x0009_2209112245120009210193"/>
        <s v="_x0009_2209112233380001790383"/>
        <s v="_x0009_2209112216080002070870"/>
        <s v="_x0009_2209112146020017940557"/>
        <s v="_x0009_2209112121340003090273"/>
        <s v="_x0009_2209112116250000270496"/>
        <s v="_x0009_2209112101120001960939"/>
        <s v="_x0009_2209112101000002350992"/>
        <s v="_x0009_2209112057550000750973"/>
        <s v="_x0009_2209112054210001800794"/>
        <s v="_x0009_2209112043040002241001"/>
        <s v="_x0009_2209112043040002261006"/>
        <s v="_x0009_2209112022080001180894"/>
        <s v="_x0009_2209112020390000370244"/>
        <s v="_x0009_2209112015470001910170"/>
        <s v="_x0009_2209112010570000450902"/>
        <s v="_x0009_2209112007290000060235"/>
        <s v="_x0009_2209112002552622070588"/>
        <s v="_x0009_2209111951090001700609"/>
        <s v="_x0009_2209111950100000500310"/>
        <s v="_x0009_2209111948380002650468"/>
        <s v="_x0009_2209130012160000040163"/>
        <s v="_x0009_2209122344530001280029"/>
        <s v="_x0009_2209122114232621590644"/>
        <s v="_x0009_2209122108110002250037"/>
        <s v="_x0009_2209122102390001140296"/>
        <s v="_x0009_2209121944270004050628"/>
        <s v="_x0009_2209131959570001310424"/>
        <s v="_x0009_2209142314220000050623"/>
        <s v="_x0009_2209142312090001080728"/>
        <s v="_x0009_2209142309000002000717"/>
        <s v="_x0009_2209142228000000310963"/>
        <s v="_x0009_2209142136380002600553"/>
        <s v="_x0009_2209141931490004981012"/>
        <s v="_x0009_2209162341460000060583"/>
        <s v="_x0009_2209162336040000350445"/>
        <s v="_x0009_2209162252062621540849"/>
        <s v="_x0009_2209162223000002840116"/>
        <s v="_x0009_2209162217390005021022"/>
        <s v="_x0009_2209162212090004460073"/>
        <s v="_x0009_2209162210530000500825"/>
        <s v="_x0009_2209162043120000770757"/>
        <s v="_x0009_2209260021112621560620"/>
        <s v="_x0009_2209260019472621540226"/>
        <s v="_x0009_2209260014510001071023"/>
        <s v="_x0009_2209252337480000360533"/>
        <s v="_x0009_2209252329510000880841"/>
        <s v="_x0009_2209252325580000940961"/>
        <s v="_x0009_2209252325020000750276"/>
        <s v="_x0009_2209252306510000010842"/>
        <s v="_x0009_2209252305240001160234"/>
        <s v="_x0009_2209252303210001250073"/>
        <s v="_x0009_2209252300280001240851"/>
        <s v="_x0009_2209252252010000020013"/>
        <s v="_x0009_2209252222070001340455"/>
        <s v="_x0009_2209252221080001180149"/>
        <s v="_x0009_2209252216580002240982"/>
        <s v="_x0009_2209252209560001220286"/>
        <s v="_x0009_2209252154220001380957"/>
        <s v="_x0009_2209252146300000660602"/>
        <s v="_x0009_2209252132200001770276"/>
        <s v="_x0009_2209252131540000150977"/>
        <s v="_x0009_2209252122270001060305"/>
        <s v="_x0009_2209252120470001380298"/>
        <s v="_x0009_2209252120160000080081"/>
        <s v="_x0009_2209252118530000770214"/>
        <s v="_x0009_2209252111090000440082"/>
        <s v="_x0009_2209252105580001160679"/>
        <s v="_x0009_2209252043190000420305"/>
        <s v="_x0009_2209252036060001790044"/>
        <s v="_x0009_2209252033570001000102"/>
        <s v="_x0009_2209252032370000220856"/>
        <s v="_x0009_2209252017470002470768"/>
        <s v="_x0009_2209252007440000460248"/>
        <s v="_x0009_2209252006330000430333"/>
        <s v="_x0009_2209252006120004740549"/>
        <s v="_x0009_2209252002240004950694"/>
        <s v="_x0009_2209251957280001670751"/>
        <s v="_x0009_2209251956310002730413"/>
        <s v="_x0009_2209251956292621670507"/>
        <s v="_x0009_2209251947430001910040"/>
        <s v="_x0009_2209251945182621720480"/>
        <s v="_x0009_2209251941200000040980"/>
        <s v="_x0009_2209251938280001220621"/>
        <s v="_x0009_2209251938150000970233"/>
        <s v="_x0009_2209251937330001370325"/>
        <s v="_x0009_2209251914172621670758"/>
        <s v="_x0009_2209270014060000090252"/>
        <s v="_x0009_2209262347000000460854"/>
        <s v="_x0009_2209262304150001470309"/>
        <s v="_x0009_2209262220460002030501"/>
        <s v="_x0009_2209272215200000180728"/>
        <s v="_x0009_2209272146202621510742"/>
      </sharedItems>
    </cacheField>
    <cacheField name="商品金额合计" numFmtId="0">
      <sharedItems containsString="0" containsBlank="1" containsNumber="1" minValue="0" maxValue="857" count="93">
        <n v="59"/>
        <n v="109"/>
        <n v="99"/>
        <n v="209"/>
        <n v="89"/>
        <n v="69"/>
        <n v="249"/>
        <n v="219"/>
        <n v="246.51"/>
        <n v="19.9"/>
        <n v="39.9"/>
        <n v="348"/>
        <n v="259"/>
        <n v="58"/>
        <n v="38"/>
        <n v="79"/>
        <n v="79.8"/>
        <n v="74.88"/>
        <n v="29"/>
        <n v="233.24"/>
        <n v="49"/>
        <n v="39.8"/>
        <n v="278"/>
        <n v="273.6"/>
        <n v="118.75"/>
        <n v="125"/>
        <n v="739"/>
        <n v="134.64"/>
        <n v="136.22"/>
        <n v="139"/>
        <n v="230.86"/>
        <n v="329"/>
        <n v="113.52"/>
        <n v="499"/>
        <n v="359"/>
        <n v="238"/>
        <n v="39"/>
        <n v="599"/>
        <n v="236.55"/>
        <n v="215.82"/>
        <n v="857"/>
        <n v="219.12"/>
        <n v="256.41"/>
        <n v="129"/>
        <n v="138"/>
        <n v="66"/>
        <n v="239"/>
        <n v="159"/>
        <n v="116"/>
        <n v="269"/>
        <n v="299"/>
        <n v="49.9"/>
        <n v="119"/>
        <n v="208"/>
        <n v="75.05"/>
        <n v="64.6"/>
        <n v="128"/>
        <n v="88"/>
        <n v="472"/>
        <n v="176.22"/>
        <n v="102.08"/>
        <n v="95"/>
        <n v="126.72"/>
        <n v="57.42"/>
        <n v="118"/>
        <n v="85"/>
        <n v="339"/>
        <n v="256"/>
        <n v="145"/>
        <n v="169"/>
        <n v="167.31"/>
        <n v="139.8"/>
        <n v="369"/>
        <n v="98"/>
        <n v="165.62"/>
        <n v="145.04"/>
        <n v="65.55"/>
        <n v="148.72"/>
        <n v="163.93"/>
        <n v="160.55"/>
        <n v="69.9"/>
        <n v="364.32"/>
        <n v="49.8"/>
        <n v="318"/>
        <n v="48.9"/>
        <n v="399"/>
        <n v="90"/>
        <n v="216.6"/>
        <n v="49.4"/>
        <n v="47.9"/>
        <n v="289"/>
        <n v="298"/>
        <m/>
      </sharedItems>
    </cacheField>
    <cacheField name="运费" numFmtId="0">
      <sharedItems containsString="0" containsBlank="1" containsNumber="1" containsInteger="1" minValue="0" maxValue="10" count="3">
        <n v="0"/>
        <n v="10"/>
        <m/>
      </sharedItems>
    </cacheField>
    <cacheField name="店铺优惠合计" numFmtId="0">
      <sharedItems containsString="0" containsBlank="1" containsNumber="1" minValue="-36" maxValue="0" count="22">
        <n v="0"/>
        <n v="-4"/>
        <n v="-3"/>
        <n v="-2"/>
        <n v="-1"/>
        <n v="-5"/>
        <n v="-6"/>
        <n v="-18"/>
        <n v="-9"/>
        <n v="-7"/>
        <n v="-10"/>
        <n v="-8"/>
        <n v="-13"/>
        <n v="-12"/>
        <n v="-11"/>
        <n v="-24"/>
        <n v="-21"/>
        <n v="-25"/>
        <n v="-36"/>
        <n v="-11.98"/>
        <n v="-10.98"/>
        <m/>
      </sharedItems>
    </cacheField>
    <cacheField name="支付营销优惠" numFmtId="0">
      <sharedItems containsString="0" containsBlank="1" containsNumber="1" containsInteger="1" minValue="0" maxValue="0" count="2">
        <n v="0"/>
        <m/>
      </sharedItems>
    </cacheField>
    <cacheField name="应收订单金额" numFmtId="0">
      <sharedItems containsString="0" containsBlank="1" containsNumber="1" minValue="0" maxValue="850" count="199">
        <n v="59"/>
        <n v="109"/>
        <n v="105"/>
        <n v="106"/>
        <n v="107"/>
        <n v="99"/>
        <n v="208"/>
        <n v="94"/>
        <n v="88"/>
        <n v="67"/>
        <n v="249"/>
        <n v="219"/>
        <n v="242.51"/>
        <n v="243"/>
        <n v="218"/>
        <n v="19.9"/>
        <n v="39.9"/>
        <n v="36.9"/>
        <n v="38.9"/>
        <n v="343"/>
        <n v="214"/>
        <n v="201"/>
        <n v="258"/>
        <n v="58"/>
        <n v="259"/>
        <n v="38"/>
        <n v="256"/>
        <n v="255"/>
        <n v="215"/>
        <n v="98"/>
        <n v="37.9"/>
        <n v="79"/>
        <n v="69"/>
        <n v="247"/>
        <n v="93"/>
        <n v="95"/>
        <n v="77.8"/>
        <n v="248"/>
        <n v="71.88"/>
        <n v="29"/>
        <n v="97"/>
        <n v="244"/>
        <n v="229.24"/>
        <n v="29.9"/>
        <n v="90"/>
        <n v="79.8"/>
        <n v="49"/>
        <n v="39.8"/>
        <n v="278"/>
        <n v="78"/>
        <n v="65"/>
        <n v="242"/>
        <n v="64"/>
        <n v="245"/>
        <n v="273.6"/>
        <n v="116.75"/>
        <n v="96"/>
        <n v="246"/>
        <n v="123"/>
        <n v="66"/>
        <n v="241"/>
        <n v="125"/>
        <n v="739"/>
        <n v="127.64"/>
        <n v="131.22"/>
        <n v="134"/>
        <n v="139"/>
        <n v="126"/>
        <n v="217"/>
        <n v="84"/>
        <n v="138"/>
        <n v="218.86"/>
        <n v="329"/>
        <n v="113.52"/>
        <n v="111.52"/>
        <n v="322"/>
        <n v="499"/>
        <n v="494"/>
        <n v="359"/>
        <n v="257"/>
        <n v="238"/>
        <n v="36"/>
        <n v="609"/>
        <n v="587"/>
        <n v="595"/>
        <n v="89"/>
        <n v="87"/>
        <n v="85"/>
        <n v="599"/>
        <n v="230.55"/>
        <n v="211.82"/>
        <n v="850"/>
        <n v="352"/>
        <n v="318"/>
        <n v="219.12"/>
        <n v="254.41"/>
        <n v="244.51"/>
        <n v="355"/>
        <n v="216"/>
        <n v="245.51"/>
        <n v="324"/>
        <n v="254"/>
        <n v="129"/>
        <n v="594"/>
        <n v="593"/>
        <n v="357"/>
        <n v="225"/>
        <n v="48"/>
        <n v="63"/>
        <n v="239"/>
        <n v="235"/>
        <n v="234"/>
        <n v="159"/>
        <n v="356"/>
        <n v="128"/>
        <n v="251"/>
        <n v="252"/>
        <n v="116"/>
        <n v="264"/>
        <n v="299"/>
        <n v="269"/>
        <n v="267"/>
        <n v="605"/>
        <n v="237"/>
        <n v="364"/>
        <n v="232"/>
        <n v="293"/>
        <n v="303"/>
        <n v="302"/>
        <n v="294"/>
        <n v="253"/>
        <n v="48.9"/>
        <n v="227"/>
        <n v="46.9"/>
        <n v="47.9"/>
        <n v="70.05"/>
        <n v="68.05"/>
        <n v="58.6"/>
        <n v="268"/>
        <n v="472"/>
        <n v="263"/>
        <n v="172.22"/>
        <n v="98.08"/>
        <n v="223"/>
        <n v="124.72"/>
        <n v="52.42"/>
        <n v="588"/>
        <n v="597"/>
        <n v="118"/>
        <n v="81"/>
        <n v="49.9"/>
        <n v="334"/>
        <n v="145"/>
        <n v="339"/>
        <n v="321"/>
        <n v="169"/>
        <n v="165.31"/>
        <n v="139.8"/>
        <n v="369"/>
        <n v="162"/>
        <n v="159.62"/>
        <n v="167.31"/>
        <n v="233"/>
        <n v="298"/>
        <n v="39"/>
        <n v="143.04"/>
        <n v="337"/>
        <n v="62.55"/>
        <n v="338"/>
        <n v="236"/>
        <n v="167"/>
        <n v="148.72"/>
        <n v="161.93"/>
        <n v="155.93"/>
        <n v="160.55"/>
        <n v="166"/>
        <n v="158.55"/>
        <n v="69.9"/>
        <n v="362.32"/>
        <n v="49.8"/>
        <n v="37.92"/>
        <n v="313"/>
        <n v="296"/>
        <n v="395"/>
        <n v="592"/>
        <n v="336"/>
        <n v="333"/>
        <n v="214.6"/>
        <n v="330"/>
        <n v="38.92"/>
        <n v="47.4"/>
        <n v="45.9"/>
        <n v="266"/>
        <n v="327"/>
        <n v="295"/>
        <n v="229"/>
        <n v="289"/>
        <n v="262"/>
        <m/>
      </sharedItems>
    </cacheField>
    <cacheField name="订单实付金额" numFmtId="0">
      <sharedItems containsString="0" containsBlank="1" containsNumber="1" minValue="0" maxValue="850" count="177">
        <n v="59"/>
        <n v="0"/>
        <n v="107"/>
        <n v="99"/>
        <n v="94"/>
        <n v="88"/>
        <n v="249"/>
        <n v="219"/>
        <n v="242.51"/>
        <n v="243"/>
        <n v="19.9"/>
        <n v="39.9"/>
        <n v="36.9"/>
        <n v="38.9"/>
        <n v="343"/>
        <n v="214"/>
        <n v="201"/>
        <n v="258"/>
        <n v="58"/>
        <n v="259"/>
        <n v="38"/>
        <n v="256"/>
        <n v="255"/>
        <n v="215"/>
        <n v="98"/>
        <n v="37.9"/>
        <n v="79"/>
        <n v="69"/>
        <n v="95"/>
        <n v="93"/>
        <n v="77.8"/>
        <n v="247"/>
        <n v="248"/>
        <n v="71.88"/>
        <n v="29"/>
        <n v="97"/>
        <n v="244"/>
        <n v="229.24"/>
        <n v="29.9"/>
        <n v="90"/>
        <n v="79.8"/>
        <n v="49"/>
        <n v="39.8"/>
        <n v="106"/>
        <n v="65"/>
        <n v="242"/>
        <n v="64"/>
        <n v="245"/>
        <n v="96"/>
        <n v="123"/>
        <n v="66"/>
        <n v="241"/>
        <n v="125"/>
        <n v="127.64"/>
        <n v="131.22"/>
        <n v="134"/>
        <n v="126"/>
        <n v="217"/>
        <n v="109"/>
        <n v="84"/>
        <n v="138"/>
        <n v="218.86"/>
        <n v="329"/>
        <n v="322"/>
        <n v="499"/>
        <n v="494"/>
        <n v="359"/>
        <n v="257"/>
        <n v="238"/>
        <n v="36"/>
        <n v="609"/>
        <n v="587"/>
        <n v="595"/>
        <n v="89"/>
        <n v="85"/>
        <n v="599"/>
        <n v="246"/>
        <n v="211.82"/>
        <n v="850"/>
        <n v="352"/>
        <n v="318"/>
        <n v="219.12"/>
        <n v="254.41"/>
        <n v="244.51"/>
        <n v="216"/>
        <n v="245.51"/>
        <n v="129"/>
        <n v="594"/>
        <n v="254"/>
        <n v="225"/>
        <n v="48"/>
        <n v="324"/>
        <n v="208"/>
        <n v="63"/>
        <n v="355"/>
        <n v="239"/>
        <n v="235"/>
        <n v="159"/>
        <n v="356"/>
        <n v="251"/>
        <n v="116"/>
        <n v="264"/>
        <n v="299"/>
        <n v="269"/>
        <n v="234"/>
        <n v="267"/>
        <n v="605"/>
        <n v="237"/>
        <n v="364"/>
        <n v="232"/>
        <n v="293"/>
        <n v="303"/>
        <n v="302"/>
        <n v="294"/>
        <n v="48.9"/>
        <n v="227"/>
        <n v="46.9"/>
        <n v="47.9"/>
        <n v="70.05"/>
        <n v="68.05"/>
        <n v="58.6"/>
        <n v="128"/>
        <n v="268"/>
        <n v="472"/>
        <n v="263"/>
        <n v="172.22"/>
        <n v="98.08"/>
        <n v="223"/>
        <n v="124.72"/>
        <n v="52.42"/>
        <n v="588"/>
        <n v="118"/>
        <n v="81"/>
        <n v="49.9"/>
        <n v="334"/>
        <n v="593"/>
        <n v="145"/>
        <n v="339"/>
        <n v="321"/>
        <n v="169"/>
        <n v="165.31"/>
        <n v="139.8"/>
        <n v="369"/>
        <n v="162"/>
        <n v="159.62"/>
        <n v="167.31"/>
        <n v="233"/>
        <n v="298"/>
        <n v="39"/>
        <n v="62.55"/>
        <n v="338"/>
        <n v="236"/>
        <n v="167"/>
        <n v="148.72"/>
        <n v="161.93"/>
        <n v="155.93"/>
        <n v="160.55"/>
        <n v="166"/>
        <n v="158.55"/>
        <n v="69.9"/>
        <n v="362.32"/>
        <n v="49.8"/>
        <n v="37.92"/>
        <n v="313"/>
        <n v="296"/>
        <n v="592"/>
        <n v="337"/>
        <n v="333"/>
        <n v="214.6"/>
        <n v="38.92"/>
        <n v="47.4"/>
        <n v="45.9"/>
        <n v="266"/>
        <n v="295"/>
        <n v="289"/>
        <n v="262"/>
        <m/>
      </sharedItems>
    </cacheField>
    <cacheField name="店铺优惠方式" numFmtId="0">
      <sharedItems containsBlank="1" count="21">
        <m/>
        <s v="积分抵现(-4.00)"/>
        <s v="积分抵现(-3.00)"/>
        <s v="积分抵现(-2.00)"/>
        <s v="积分抵现(-1.00)"/>
        <s v="积分抵现(-5.00)"/>
        <s v="积分抵现(-6.00)"/>
        <s v="积分抵现(-18.00)"/>
        <s v="积分抵现(-9.00)"/>
        <s v="积分抵现(-7.00)"/>
        <s v="积分抵现(-10.00)"/>
        <s v="积分抵现(-8.00)"/>
        <s v="积分抵现(-13.00)"/>
        <s v="积分抵现(-12.00)"/>
        <s v="积分抵现(-11.00)"/>
        <s v="积分抵现(-24.00)"/>
        <s v="积分抵现(-21.00)"/>
        <s v="积分抵现(-25.00)"/>
        <s v="优惠卡券(-30.00);积分抵现(-6.00)"/>
        <s v="优惠卡券(-10.98);积分抵现(-1.00)"/>
        <s v="优惠卡券(-10.98)"/>
      </sharedItems>
    </cacheField>
    <cacheField name="全部商品名称" numFmtId="0">
      <sharedItems containsBlank="1" count="504">
        <s v="【LEMON冰感内裤 】性感不留痕 舒爽一夏天  清凉透气 裸感无痕 柔软贴身不夹臀 无车缝线 自由延展 低饱和配色  蚕丝纤维3A级健康呵护(1盒四条四色-L)(1件)"/>
        <s v="【直播专属】时尚气质百搭衬衣11RG6711(白色-XL（建议110-120斤）)(1件)"/>
        <s v="【直播专属】时尚气质百搭衬衣11RG6711(黑色-XL（建议110-120斤）)(1件)"/>
        <s v="【直播专属】时尚气质百搭衬衣11RG6711(进口兰-2XL（建议120-130斤）)(1件)"/>
        <s v="时尚气质宽松直筒裤HYN6645(黑色-M（建议90-100斤）)(1件)"/>
        <s v="秋冬厚款时尚气质中长款风衣外套女士职业装套装长袖西服 01RG1036(卡其色西装-L（建议100-110斤）)(1件)"/>
        <s v="时尚气质宽松直筒裤HYN6645(黑色-XL（建议110-120斤）)(1件)"/>
        <s v="职业西裤 女工作服大码直筒长裤职业正装裤RG-K302(【常规】黑色直筒裤-M)(1件)"/>
        <s v="【直播专属】时尚洋气雪纺短袖女薄款中袖衬衣职业气质上衣HYN-2075(白色-3XL)(1件)"/>
        <s v="卡其色风衣套装 中长款高级感西装套19RG9135(孔雀蓝外套+裤子-XL（建议110-120斤）)(1件)"/>
        <s v="金丝绒西装秋冬新款高端气质正装西服套装16RG6613(蓝色（西装+603喇叭裤）-XL（建议110-120斤）)(1件)"/>
        <s v="卡其色风衣套装 中长款高级感西装套19RG9135(卡其色外套+裤子-3XL（建议130-140斤）)(1件)"/>
        <s v="卡其色风衣套装 中长款高级感西装套19RG9135(黑色外套+裤子-XL（建议110-120斤）)(1件)"/>
        <s v="卡其色风衣套装 中长款高级感西装套19RG9135(孔雀蓝外套+裤子-3XL（建议130-140斤）)(1件)"/>
        <s v="金丝绒西装秋冬新款高端气质正装西服套装16RG6613(酒红色（西装+603喇叭裤）-S（建议80-90斤）)(1件)"/>
        <s v="法式气质长袖雪纺衬衫XC1667(绿色-S)(1件)"/>
        <s v="针织罗纹弹力打底衫RF33099(白色-2XL (建议118-126斤）)(1件)"/>
        <s v="针织罗纹弹力打底衫RF33099(白色-L (建议100-108斤）)(1件)"/>
        <s v="针织罗纹弹力打底衫RF33099(卡其-XL (建议109-117斤）)(1件)"/>
        <s v="气质小清新打底吊带RF33066(卡其色-XL (建议109-117斤）)(1件)"/>
        <s v="【直播专属】低圆领打底衫 女士套头针织毛衣女长袖薄款YD-NJR025(深紫色-L（建议110-125斤）)(1件)"/>
        <s v="气质小清新打底吊带RF33066(白色-L (建议100-108斤）)(1件)"/>
        <s v="气质小清新打底吊带RF33066(卡其色-2XL (建议118-126斤）)(1件)"/>
        <s v="气质小清新打底吊带RF33066(黑色-L (建议100-108斤）)(1件)"/>
        <s v="气质小清新打底吊带RF33066(黑色-XL (建议109-117斤）)(1件)"/>
        <s v="气质小清新打底吊带RF33066(黑色-5XL (建议143-151斤）)(1件)"/>
        <s v="气质小清新打底吊带RF33066(黑色-2XL (建议118-126斤）)(1件)"/>
        <s v="醋酸缎高级感干练西装 英伦风职业西装套装01RG2229(2229紫色西装+2227K紫色裤-L)(1件)"/>
        <s v="金丝绒西装秋冬新款高端气质正装西服套装16RG6613(蓝色（西装+603喇叭裤）-M（建议90-100斤）)(1件)"/>
        <s v="洋气英伦风小西装套装新款HYN1655(蓝色-XL（建议115-125斤）)(1件)"/>
        <s v="【500ml大容量】氨基酸海盐控油洗发露 约旦进口海盐 专利除螨 深层清洁去屑 滋养头皮WTS-海盐系列(买1送1（实发2支海盐净透洗发水 ）)(1件)"/>
        <s v="法式气质长袖雪纺衬衫XC1667(杏色-S)(1件)"/>
        <s v="洋气英伦风小西装套装新款HYN1655(蓝色-L（建议105-115斤）)(1件)"/>
        <s v="【500ml大容量】氨基酸海盐控油洗发露 约旦进口海盐 专利除螨 深层清洁去屑 滋养头皮WTS-海盐系列(海盐净透洗发水)(1件)"/>
        <s v="洋气英伦风小西装套装新款HYN1655(红色-3XL（建议135-145斤）)(1件)"/>
        <s v="洋气英伦风小西装套装新款HYN1655(红色-XL（建议115-125斤）)(1件)"/>
        <s v="金丝绒西装秋冬新款高端气质正装西服套装16RG6613(蓝色（西装+603喇叭裤）-L（建议100-110斤）)(1件)"/>
        <s v="法式气质长袖雪纺衬衫XC1667(黄色-S)(1件)"/>
        <s v="金丝绒西装秋冬新款高端气质正装西服套装16RG6613(蓝色（西装+603喇叭裤）-3XL（建议130-140斤）)(1件)"/>
        <s v="时尚气质宽松直筒裤HYN6645(黑色-L（建议100-110斤）)(1件)"/>
        <s v="【直播专属】低圆领打底衫 女士套头针织毛衣女长袖薄款YD-NJR025(祖母绿-L（建议110-125斤）)(1件)"/>
        <s v="【 告别扁平臀大肚腩，一穿立显好身材！】3D立体剪裁 360度雕塑曲线！无痕腰边，提拉翘臀，束腰塑身YKF-2112(黑色+黑色  2件装-L 建议116-130斤)(1件)"/>
        <s v="金丝绒西装秋冬新款高端气质正装西服套装16RG6613(酒红色（西装+603喇叭裤）-3XL（建议130-140斤）)(1件)"/>
        <s v="金丝绒西装秋冬新款高端气质正装西服套装16RG6613(墨绿色（西装+603喇叭裤）-3XL（建议130-140斤）)(1件)"/>
        <s v="上衣气质通勤打底长袖蝴蝶结印花衬衫NZY-NH1201(白色-S)(1件)"/>
        <s v="【直播专属】低圆领打底衫 女士套头针织毛衣女长袖薄款YD-NJR025(车子里红-L（建议110-125斤）)(1件)"/>
        <s v="【时尚不重样】MointPhoice lucky一周耳钉 925银针 巴洛克珍珠复古简约 百搭耳钉礼盒(Lucky一周耳钉)(1件)"/>
        <s v="针织罗纹弹力打底衫RF33099(黑色-XL (建议109-117斤）)(1件)"/>
        <s v="【LEMON冰感内裤 】性感不留痕 舒爽一夏天  清凉透气 裸感无痕 柔软贴身不夹臀 无车缝线 自由延展 低饱和配色  蚕丝纤维3A级健康呵护(1盒四条四色-XL)(1件)"/>
        <s v="针织罗纹弹力打底衫RF33099(黑色-S (建议80-90斤）)(1件)"/>
        <s v="【直播专属】高级感暗纹西装套装 时尚气质修身西服正装02RG6201(绿色西装＋绿色西裤-L（建议100-110斤）)(1件)"/>
        <s v="针织罗纹弹力打底衫RF33099(卡其-S (建议80-90斤）)(1件)"/>
        <s v="针织罗纹弹力打底衫RF33099(黑色-M (建议91-99斤）)(1件)"/>
        <s v="法式气质长袖雪纺衬衫XC1667(紫色-XS)(1件)"/>
        <s v="气质小清新打底吊带RF33066(黑色-M (建议91-99斤）)(1件)"/>
        <s v="【直播专属】低圆领打底衫 女士套头针织毛衣女长袖薄款YD-NJR025(夹花紫-M（建议100-110斤）)(1件)"/>
        <s v="【直播专属】时尚气质百搭衬衣11RG6716(白色-3XL（建议130-140斤）)(1件)"/>
        <s v="【直播专属】时尚气质百搭衬衣11RG6716(黑色-L（建议100-110斤）)(1件)"/>
        <s v="【直播专属】时尚气质百搭衬衣11RG6716(黑色-XL（建议110-120斤）)(1件)"/>
        <s v="【直播专属】时尚气质百搭衬衣11RG6716(黄色-XL（建议110-120斤）)(1件)"/>
        <s v="【直播专属】时尚气质百搭衬衣11RG6716(白色-XL（建议110-120斤）)(1件)"/>
        <s v="【直播专属】低圆领打底衫 女士套头针织毛衣女长袖薄款YD-NJR025(芥末黄-S（建议90-100斤）)(1件)"/>
        <s v="【直播专属】低圆领打底衫 女士套头针织毛衣女长袖薄款YD-NJR025(黑色-M（建议100-110斤）)(1件)"/>
        <s v="【直播专属】低圆领打底衫 女士套头针织毛衣女长袖薄款YD-NJR025(原驼色-XL（建议125-135斤）)(1件)"/>
        <s v="【直播专属】低圆领打底衫 女士套头针织毛衣女长袖薄款YD-NJR025(黑色-S（建议90-100斤）)(1件)"/>
        <s v="法式气质长袖雪纺衬衫XC1667(黄色-XS)(1件)"/>
        <s v="针织罗纹弹力打底衫RF33099(卡其-2XL (建议118-126斤）)(1件)"/>
        <s v="针织罗纹弹力打底衫RF33099(卡其-4XL (建议135-143斤）)(1件)"/>
        <s v="针织罗纹弹力打底衫RF33099(白色-L (建议100-108斤）)(2件)"/>
        <s v="气质小清新打底吊带RF33066(白色-XL (建议109-117斤）)(1件)"/>
        <s v="气质小清新打底吊带RF33066(卡其色-M (建议91-99斤）)(1件)"/>
        <s v="气质小清新打底吊带RF33066(黑色-3XL (建议127-135斤）)(1件)"/>
        <s v="气质小清新打底吊带RF33066(白色-3XL (建议127-135斤）)(1件)"/>
        <s v="气质小清新打底吊带RF33066(黑色-S (建议80-90斤）)(1件)"/>
        <s v="【直播专属】高级感暗纹西装套装 时尚气质修身西服正装02RG6201(绿色西装＋绿色西裤-XL（建议110-120斤）)(1件)"/>
        <s v="【直播专属】高级感暗纹西装套装 时尚气质修身西服正装02RG6201(绿色西装＋绿色西裤-2XL（建议120-130斤）)(1件)"/>
        <s v="【直播专属】高级感暗纹西装套装 时尚气质修身西服正装02RG6201(白色西装+白色西裤-3XL（建议130-140斤）)(1件)"/>
        <s v="【直播专属】高级感暗纹西装套装 时尚气质修身西服正装02RG6201(绿色西装＋绿色西裤-3XL（建议130-140斤）)(1件)"/>
        <s v="【直播专属】低圆领打底衫 女士套头针织毛衣女长袖薄款YD-NJR025(原驼色-L（建议110-125斤）)(1件)"/>
        <s v="【直播专属】低圆领打底衫 女士套头针织毛衣女长袖薄款YD-NJR025(米杏-M（建议100-110斤）)(1件)"/>
        <s v="【直播专属】时尚气质修身西装套10RG22989(黑色 西装+裤-2XL（建议120-130斤）)(1件)"/>
        <s v="【直播专属】低圆领打底衫 女士套头针织毛衣女长袖薄款YD-NJR025(米杏-L（建议110-125斤）)(1件)"/>
        <s v="针织罗纹弹力打底衫RF33099(黑色-2XL (建议118-126斤）)(1件)"/>
        <s v="针织罗纹弹力打底衫RF33099(白色-3XL (建议127-135斤）)(1件)"/>
        <s v="气质小清新打底吊带RF33066(白色-2XL (建议118-126斤）)(1件)"/>
        <s v="5条59元【女士高腰收腹冰丝网眼内裤】冰丝透气裸感无痕，亲肤软柔，告别闷热(五条装-XL（110斤-140斤）)(1件)"/>
        <s v="【直播专属】时尚气质修身西装套10RG22989(黑色 西装+裤-XL（建议110-120斤）)(1件)"/>
        <s v="【直播专属】时尚气质修身西装套10RG22989(黑色 西装+裤-4XL（建议140-150斤）)(1件)"/>
        <s v="桑蚕丝内裤蚕丝抑菌内裤女高腰无痕内裤女士内裤3条装YKF-2270(组合一（粉色 浅紫 深灰）-L（115-140斤）)(1件)"/>
        <s v="【盘龙云海传统药企专研！】氨基酸护理牙膏100g 萃取氨基酸 PN三七提取物、3大成分、对抗龋齿、洁牙固齿、减少牙菌斑、温和呵护牙龈、修护受损粘膜(一支体验装（100g）)(1件)"/>
        <s v="上衣气质通勤打底长袖蝴蝶结印花衬衫NZY-NH1201(白色-XL)(1件)"/>
        <s v="上衣气质通勤打底长袖蝴蝶结印花衬衫NZY-NH1201(白色-L)(1件)"/>
        <s v="上衣气质通勤打底长袖蝴蝶结印花衬衫NZY-NH1201(白色-M)(1件)"/>
        <s v="时尚气质宽松直筒裤HYN6645(黑色-S（建议80-90斤）)(1件)"/>
        <s v="【直播专属】低圆领打底衫 女士套头针织毛衣女长袖薄款YD-NJR025(黑色-L（建议110-125斤）)(1件)"/>
        <s v="【直播专属】低圆领打底衫 女士套头针织毛衣女长袖薄款YD-NJR025(黑色-XL（建议125-135斤）)(1件)"/>
        <s v="【直播专属】低圆领打底衫 女士套头针织毛衣女长袖薄款YD-NJR025(海藻蓝-L（建议110-125斤）)(1件)"/>
        <s v="【直播专属】低圆领打底衫 女士套头针织毛衣女长袖薄款YD-NJR025(米杏-2XL（建议135-150斤）)(1件)"/>
        <s v="【直播专属】低圆领打底衫 女士套头针织毛衣女长袖薄款YD-NJR025(白色-2XL（建议135-150斤）)(1件)"/>
        <s v="针织罗纹弹力打底衫RF33099(黑色-L (建议100-108斤）)(1件)"/>
        <s v="针织罗纹弹力打底衫RF33099(白色-M (建议91-99斤）)(1件)"/>
        <s v="【直播专属】时尚气质修身西装套10RG22989(孔雀蓝 西装+裤-XL（建议110-120斤）)(1件)"/>
        <s v="气质小清新打底吊带RF33066(白色-M (建议91-99斤）)(1件)"/>
        <s v="【直播专属】时尚气质修身西装套10RG22989(粉色 西装+裤-M（建议90-100斤）)(1件)"/>
        <s v="针织罗纹弹力打底衫RF33099(白色-XL (建议109-117斤）)(1件)"/>
        <s v="经典爆款英伦风偏小半码S-4XL时尚女士职业套装西装NZY-1712(酒红色外套+裤子-M)(1件)"/>
        <s v="西装风衣外套女新款中长款大码高级感时尚套装大衣01RG1035(单件黑色风衣-XL（建议140-150斤）)(1件)"/>
        <s v="西装风衣外套女新款中长款大码高级感时尚套装大衣01RG1035(单件红色风衣-2XL（建议120-130斤）)(1件)"/>
        <s v="【直播专属】低圆领打底衫 女士套头针织毛衣女长袖薄款YD-NJR025(皮粉-L（建议110-125斤）)(1件)"/>
        <s v="【直播专属】低圆领打底衫 女士套头针织毛衣女长袖薄款YD-NJR025(雾霾蓝-S（建议90-100斤）)(1件)"/>
        <s v="【直播专属】低圆领打底衫 女士套头针织毛衣女长袖薄款YD-NJR025(车子里红-M（建议100-110斤）)(1件)"/>
        <s v="【直播专属】低圆领打底衫 女士套头针织毛衣女长袖薄款YD-NJR025(海藻蓝-XL（建议125-135斤）)(1件)"/>
        <s v="【直播专属】低圆领打底衫 女士套头针织毛衣女长袖薄款YD-NJR025(草木绿-L（建议110-125斤）)(1件)"/>
        <s v="针织罗纹弹力打底衫RF33099(白色-4XL (建议135-143斤）)(1件)"/>
        <s v="针织罗纹弹力打底衫RF33099(黑色-3XL (建议127-135斤）)(1件)"/>
        <s v="针织罗纹弹力打底衫RF33099(黑色-4XL (建议135-143斤）)(1件)"/>
        <s v="【500ml大容量】氨基酸海盐控油洗发露 约旦进口海盐 专利除螨 深层清洁去屑 滋养头皮WTS-海盐系列(买1送1（实发海盐洗发水+奢养护发素）)(1件)"/>
        <s v="时尚气质宽松直筒裤HYN6645(黑色-3XL（建议130-140斤）)(1件)"/>
        <s v="上衣气质通勤打底长袖蝴蝶结印花衬衫NZY-NH1201(白色-XXL)(1件)"/>
        <s v="雪纺衬衫女新款豹纹长袖上衣高级感气质工作服21RG8281(黑色衬衫-2XL（建议120-130斤）)(1件)"/>
        <s v="针织罗纹弹力打底衫RF33099(黑色-3XL (建议127-135斤）)(2件)"/>
        <s v="【 告别扁平臀大肚腩，一穿立显好身材！】3D立体剪裁 360度雕塑曲线！无痕腰边，提拉翘臀，束腰塑身YKF-2112(肤色 1件装-L 建议116-130斤)(1件)"/>
        <s v="气质小清新打底吊带RF33066(黑色-L (建议100-108斤）)(2件)"/>
        <s v="气质小清新打底吊带RF33066(卡其色-L (建议100-108斤）)(1件)"/>
        <s v="气质小清新打底吊带RF33066(黑色-4XL (建议135-143斤）)(1件)"/>
        <s v="时尚洋气职业气质中长款包臀鱼尾裙HYN1088(白色-2XL（建议120-130斤）)(1件)"/>
        <s v="【直播专属】时尚洋气雪纺短袖女薄款中袖衬衣职业气质上衣HYN-2075(白色-L)(1件)"/>
        <s v="【盘龙云海传统药企专研！】氨基酸护理牙膏100g 萃取氨基酸 PN三七提取物、3大成分、对抗龋齿、洁牙固齿、减少牙菌斑、温和呵护牙龈、修护受损粘膜(买二发三（实发3支）)(1件)"/>
        <s v="【直播专属】时尚洋气雪纺短袖女薄款中袖衬衣职业气质上衣HYN-2075(白色-M)(1件)"/>
        <s v="【直播专属】高级感暗纹西装套装 时尚气质修身西服正装02RG6201(白色西装+白色西裤-XL（建议110-120斤）)(1件)"/>
        <s v="【直播专属】高级感暗纹西装套装 时尚气质修身西服正装02RG6201(绿色西装＋绿色西裤-M（建议90-100斤）)(1件)"/>
        <s v="【直播专属】低圆领打底衫 女士套头针织毛衣女长袖薄款YD-NJR025(夹花紫-L（建议110-125斤）)(1件)"/>
        <s v="【直播专属】低圆领打底衫 女士套头针织毛衣女长袖薄款YD-NJR025(原驼色-S（建议90-100斤）)(1件)"/>
        <s v="【直播专属】低圆领打底衫 女士套头针织毛衣女长袖薄款YD-NJR025(黑色-2XL（建议135-150斤）)(1件)"/>
        <s v="【直播专属】低圆领打底衫 女士套头针织毛衣女长袖薄款YD-NJR025(草木绿-XL（建议125-135斤）)(1件)"/>
        <s v="【直播专属】低圆领打底衫 女士套头针织毛衣女长袖薄款YD-NJR025(米杏-S（建议90-100斤）)(1件)"/>
        <s v="法式气质长袖雪纺衬衫XC1667(白色-S)(1件)"/>
        <s v="法式气质长袖雪纺衬衫XC1667(玫红-4XL)(1件)"/>
        <s v="法式气质长袖雪纺衬衫XC1667(杏色-XS)(1件)"/>
        <s v="气质小清新打底吊带RF33066(卡其色-3XL (建议127-135斤）)(1件)"/>
        <s v="法式气质长袖雪纺衬衫XC1667(黄色-4XL)(1件)"/>
        <s v="【直播专属】高级感暗纹西装套装 时尚气质修身西服正装02RG6201(橙色西装＋橙色西裤-2XL（建议120-130斤）)(1件)"/>
        <s v="【直播专属】高级感暗纹西装套装 时尚气质修身西服正装02RG6201(橙色西装＋橙色西裤-S（建议80-90斤）)(1件)"/>
        <s v="醋酸西装外套女薄款休闲小个子七分袖小西服连衣裙套装08RG88286(白色西装+白色连衣裙-XL)(1件)"/>
        <s v="洋气英伦风小西装套装新款HYN1655(杏色-M（建议95-105斤）)(1件)"/>
        <s v="时尚休闲长袖气质法式上衣 白衬衣16RG3303(深蓝色-XL)(1件)"/>
        <s v="【直播专属】时尚气质百搭衬衣11RG6716(黑色-3XL（建议130-140斤）)(1件)"/>
        <s v="针织罗纹弹力打底衫RF33099(卡其-3XL (建议127-135斤）)(1件)"/>
        <s v="时尚洋气职业气质中长款包臀鱼尾裙HYN1088(黑色-2XL（建议120-130斤）)(1件)"/>
        <s v="【直播专属】低圆领打底衫 女士套头针织毛衣女长袖薄款YD-NJR025(皮粉-S（建议90-100斤）)(1件)"/>
        <s v="蝴蝶结白色雪纺衬衣新款长袖上衣08RG8088(白色衬衫-XXL)(1件)"/>
        <s v="洋气英伦风小西装套装新款HYN1655(红色-S（建议85-90斤）)(1件)"/>
        <s v="上衣气质通勤打底长袖蝴蝶结印花衬衫NZY-NH1201(黑色-4XL)(1件)"/>
        <s v="【直播专属】低圆领打底衫 女士套头针织毛衣女长袖薄款YD-NJR025(芥末黄-M（建议100-110斤）)(1件)"/>
        <s v="【直播专属】低圆领打底衫 女士套头针织毛衣女长袖薄款YD-NJR025(芥末黄-XL（建议125-135斤）)(1件)"/>
        <s v="针织罗纹弹力打底衫RF33099(卡其-L (建议100-108斤）)(1件)"/>
        <s v="【 告别扁平臀大肚腩，一穿立显好身材！】3D立体剪裁 360度雕塑曲线！无痕腰边，提拉翘臀，束腰塑身YKF-2112(黑色 1件装-L 建议116-130斤)(1件)"/>
        <s v="小众法式甜美衬衫泡泡袖气质通勤女短袖衬衫22RG6662(Q6662单件白色衬衫-XL)(1件)"/>
        <s v="【直播专属】低圆领打底衫 女士套头针织毛衣女长袖薄款YD-NJR025(祖母绿-S（建议90-100斤）)(1件)"/>
        <s v="【直播专属】低圆领打底衫 女士套头针织毛衣女长袖薄款YD-NJR025(皮粉-XL（建议125-135斤）)(1件)"/>
        <s v="【直播专属】高级感暗纹西装套装 时尚气质修身西服正装02RG6201(白色西装+白色西裤-S（建议80-90斤）)(1件)"/>
        <s v="设计感长袖女衬衫修身气质OL时尚气质蕾丝拼接NZY-671(白色-XL)(1件)"/>
        <s v="纯牛皮腰带商务男款头层牛皮裤带自动扣皮带DM老人头(Z款-125cm)(1件)"/>
        <s v="新款韩版小香风西装外套女设计感时尚西装上衣16RG6608(玫红色外套-2XL（建议120-130斤）)(1件)"/>
        <s v="金丝绒西装秋冬新款高端气质正装西服套装16RG6613(墨绿色（西装+603喇叭裤）-2XL（建议120-130斤）)(1件)"/>
        <s v="金丝绒西装秋冬新款高端气质正装西服套装16RG6613(墨绿色（西装+603喇叭裤）-M（建议90-100斤）)(1件)"/>
        <s v="洋气英伦风小西装套装新款HYN1655(绿色-M（建议95-105斤）)(1件)"/>
        <s v="【直播专属】低圆领打底衫 女士套头针织毛衣女长袖薄款YD-NJR025(草木绿-S（建议90-100斤）)(1件)"/>
        <s v="洋气英伦风小西装套装新款HYN1655(红色-2XL（建议125-130斤）)(1件)"/>
        <s v="气质小清新打底吊带RF33066(白色-S (建议80-90斤）)(1件)"/>
        <s v="【直播专属】时尚气质修身西装套10RG22989(橘色 西装+裤-2XL（建议120-130斤）)(1件)"/>
        <s v="【直播专属】时尚气质修身西装套10RG22989(橘色 西装+裤-M（建议90-100斤）)(1件)"/>
        <s v="洋气英伦风小西装套装新款HYN1655(绿色-L（建议105-115斤）)(1件)"/>
        <s v="新款韩版小香风西装外套女设计感时尚西装上衣16RG6608(米色外套-L（建议100-110斤）)(1件)"/>
        <s v="新款韩版小香风西装外套女设计感时尚西装上衣16RG6608(米色外套-2XL（建议120-130斤）)(1件)"/>
        <s v="洋气时尚职业缎面衬衫设计感女士衬衣06RG6591(香槟色衬衫-L（建议100-110斤）)(1件)"/>
        <s v="【直播专属】时尚气质百搭衬衣11RG6716(黄色-L（建议100-110斤）)(1件)"/>
        <s v="【直播专属】时尚气质百搭衬衣11RG6711(白色-3XL（建议130-140斤）)(1件)"/>
        <s v="【直播专属】时尚气质百搭衬衣11RG6711(白色-L（建议100-110斤）)(1件)"/>
        <s v="【直播专属】秋装女士气质短裙11RG1086(黑色-2XL（建议120-130斤）)(1件)"/>
        <s v="【直播专属】秋装女士气质短裙11RG1086(黑色-XL（建议110-120斤）)(1件)"/>
        <s v="七分袖减龄夏季薄款西装套装小个子职业气质套装62RG8617B(杏色西装+裤子-XXL)(1件)"/>
        <s v="高级感盐系名媛时尚洋气职业西装10RG22966(22966橄榄色西服+22266裤+22566橄榄色马甲-XL（建议110-120斤）)(1件)"/>
        <s v="时尚气质宽松直筒裤HYN6645(黑色-2XL（建议120-130斤）)(1件)"/>
        <s v="【直播专属】时尚气质修身西装套10RG22989(橘色 西装+裤-3XL（建议130-140斤）)(1件)"/>
        <s v="无痕压胶男士商务竹纤维休闲衬衣YM-589-1(589-5-38)(1件)"/>
        <s v="【直播专属】时尚气质修身西装套10RG22989(橘色 西装+裤-L（建议100-110斤）)(1件)"/>
        <s v="高级感盐系名媛时尚洋气职业西装10RG22966(22966绿色西服+22266裤+22566绿色马甲-L（建议100-110斤）)(1件)"/>
        <s v="高级感盐系名媛时尚洋气职业西装10RG22966(22966宝蓝色西服+22266裤+22566宝蓝色马甲-XXL（建议120-130斤）)(1件)"/>
        <s v="高级定制款女士西装套LYH9910(深咖 西装+裤子-165/L)(1件)"/>
        <s v="高级定制款女士西装套LYH9910(黑色 西装+裤子-175/XXL)(1件)"/>
        <s v="新款休闲正装气质高端职业女士西服套装05RG9902(灰色西装+灰色西裤-XL（建议110-120斤）)(1件)"/>
        <s v="新款休闲正装气质高端职业女士西服套装05RG9902(灰色西装+灰色西裤-XXL（建议120-130斤）)(1件)"/>
        <s v="秋冬厚款时尚气质中长款风衣女士修身显瘦长袖外套01RG1032(黑色-2XL（建议120-130斤）)(1件)"/>
        <s v="洋气英伦风小西装套装新款HYN1655(杏色-XL（建议115-125斤）)(1件)"/>
        <s v="【直播专属】高级感暗纹西装套装 时尚气质修身西服正装02RG6201(白色西装+白色西裤-M（建议90-100斤）)(1件)"/>
        <s v="经典爆款英伦风偏小半码S-4XL时尚女士职业套装西装NZY-1712(黑色外套+裤子-4XL)(1件)"/>
        <s v="【直播专属】时尚气质修身西装套10RG22989(橘色 西装+裤-XL（建议110-120斤）)(1件)"/>
        <s v="【直播专属】高级感暗纹西装套装 时尚气质修身西服正装02RG6201(白色西装+白色西裤-2XL（建议120-130斤）)(1件)"/>
        <s v="上衣气质通勤打底长袖蝴蝶结印花衬衫NZY-NH1201(白色-3XL)(1件)"/>
        <s v="【直播专属】时尚气质修身西装套10RG22989(橘色 西装+裤-S（建议80-90斤）)(1件)"/>
        <s v="牛油果绿长袖职业套装时尚气质小西装女显瘦西服套装11RG9671(米色西装＋裤-L)(1件)"/>
        <s v="高级定制款女士西装套LYH9910(高级灰 西装+裤子-165/L)(1件)"/>
        <s v="高级定制款女士西装套LYH9910(高级灰 西装+裤子-175/XXL)(1件)"/>
        <s v="时尚洋气职业气质中长款包臀鱼尾裙HYN1088(黑色-M（建议90-100斤）)(1件)"/>
        <s v="时尚洋气职业气质中长款包臀鱼尾裙HYN1088(黑色-L（建议100-110斤）)(1件)"/>
        <s v="上衣气质通勤打底长袖蝴蝶结印花衬衫NZY-NH1201(白色-4XL)(1件)"/>
        <s v="黑色缎面长袖衬衫女洋气系带蝴蝶结雪纺职业衬衣HYN2153(黑色衬衫-4XL（建议140-150斤）)(1件)"/>
        <s v="【直播专属】气质时尚职业衬衫11RG6726(米色-4XL（建议140-150斤）)(1件)"/>
        <s v="【直播专属】时尚气质百搭衬衣11RG6711(白色-S（建议80-90斤）)(1件)"/>
        <s v="高级定制款商务女士西装套装LYH9913(9913 四扣-高级灰 西装+裤-160/M)(1件)"/>
        <s v="卡其色风衣套装 中长款高级感西装套19RG9135(孔雀蓝外套+裤子-M（建议90-100斤）)(1件)"/>
        <s v="【直播专属】时尚气质修身西装套10RG22989(孔雀蓝 西装+裤-2XL（建议120-130斤）)(1件)"/>
        <s v="【直播专属】时尚气质修身西装套10RG22989(橘色 西装+裤-4XL（建议140-150斤）)(1件)"/>
        <s v="【直播专属】时尚气质修身西装套10RG22989(孔雀蓝 西装+裤-4XL（建议140-150斤）)(1件)"/>
        <s v="洋气英伦风小西装套装新款HYN1655(蓝色 西装+西裤-2XL（建议125-130斤）)(1件)"/>
        <s v="【直播专属】时尚气质修身西装套10RG22989(粉色 西装+裤-2XL（建议120-130斤）)(1件)"/>
        <s v="文雅流行百搭连衣裙06RG2106(深蓝色-4XL（建议140-150斤）)(1件)"/>
        <s v="【直播专属】时尚气质修身西装套10RG22989(粉色 西装+裤-L（建议100-110斤）)(1件);【直播专属】高级感暗纹西装套装 时尚气质修身西服正装02RG6201(橙色西装＋橙色西裤-L（建议100-110斤）)(1件);新款休闲正装气质高端职业女士西服套装05RG9902(灰色西装+灰色西裤-L（建议100-110斤）)(1件)"/>
        <s v="【直播专属】时尚气质修身西装套10RG22989(黑色 西装+裤-L（建议100-110斤）)(1件)"/>
        <s v="新款休闲正装气质高端职业女士西服套装05RG9902(黑色西装+黑色西裤-L（建议100-110斤）)(1件)"/>
        <s v="【直播专属】时尚气质修身西装套10RG22989(孔雀蓝 西装+裤-L（建议100-110斤）)(1件)"/>
        <s v="新款休闲正装气质高端职业女士西服套装05RG9902(蓝色西装+蓝色西裤-XXXL（建议130-140斤）)(1件)"/>
        <s v="新款休闲正装气质高端职业女士西服套装05RG9902(黑色西装+黑色西裤-XL（建议110-120斤）)(1件)"/>
        <s v="高级感盐系名媛时尚洋气职业西装10RG22966(22966橄榄色西服+22266裤+22566橄榄色马甲-XXXXL（建议140-150斤）)(1件)"/>
        <s v="卡其色风衣套装 中长款高级感西装套19RG9135(孔雀蓝外套+裤子-4XL（建议140-150斤）)(1件)"/>
        <s v="【直播专属】时尚气质修身西装套10RG22989(粉色 西装+裤-S（建议80-90斤）)(1件)"/>
        <s v="洋气时尚职业缎面衬衫设计感女士衬衣06RG6591(白色衬衫-L（建议100-110斤）)(1件)"/>
        <s v="针织罗纹弹力打底衫RF33099(白色-S (建议80-90斤）)(1件)"/>
        <s v="高级感中长款风衣外套小个子显瘦气质上衣06RGF5001(单件咖色风衣-L（建议100-110斤）)(1件)"/>
        <s v="纯牛皮复古针扣女式腰带女士真皮皮带DM-018(咖啡色-105cm)(1件)"/>
        <s v="卡其色风衣套装 中长款高级感西装套19RG9135(雾霾蓝外套+裤子-M（建议90-100斤）)(1件)"/>
        <s v="新款休闲正装气质高端职业女士西服套装05RG9902(灰色西装+灰色西裤-M（建议90-100斤）)(1件)"/>
        <s v="【直播专属】高级感暗纹西装套装 时尚气质修身西服正装02RG6201(橙色西装＋橙色西裤-3XL（建议130-140斤）)(1件)"/>
        <s v="卡其色风衣套装 中长款高级感西装套19RG9135(孔雀蓝外套+裤子-L（建议100-110斤）)(1件)"/>
        <s v="高级感盐系名媛时尚洋气职业西装10RG22966(22966宝蓝色西服+22266裤+22566宝蓝色马甲-XL（建议110-120斤）)(1件)"/>
        <s v="高级感盐系名媛时尚洋气职业西装10RG22966(22966绿色西服+22266裤+22566绿色马甲-XL（建议110-120斤）)(1件)"/>
        <s v="【直播专属】低圆领打底衫 女士套头针织毛衣女长袖薄款YD-NJR025(祖母绿-2XL（建议135-150斤）)(1件)"/>
        <s v="新款休闲正装气质高端职业女士西服套装05RG9902(蓝色西装+蓝色西裤-L（建议100-110斤）)(1件)"/>
        <s v="秋冬厚款时尚气质中长款风衣女士修身显瘦长袖外套01RG1032(卡其色-2XL（建议120-130斤）)(1件)"/>
        <s v="秋冬厚款时尚气质中长款风衣女士修身显瘦长袖外套01RG1032(卡其色-S（建议80-90斤）)(1件)"/>
        <s v="【直播专属】时尚气质半身裙11RG1098(黑色-3XL（建议130-140斤）)(1件)"/>
        <s v="【MUMUWIE胶原蛋白养护内衣】胶原蛋白精华滋养呵护，前扣立体上托、调整矫姿、聚拢固型，无钢圈无束缚，柔软无痕超舒适。(绚丽黑1件装-L)(1件)"/>
        <s v="【直播专属】秋装女士气质短裙11RG1086(黑色-3XL（建议130-140斤）)(1件)"/>
        <s v="高级定制款商务女士西装套装LYH9913(9913 四扣-高级灰 西装+裤-165/L)(1件)"/>
        <s v="高级定制款商务女士西装套装LYH9913(9913 四扣-高级灰 西装+裤-180/4XL)(1件)"/>
        <s v="【直播专属】时尚气质修身西装套10RG22989(黑色 西装+裤-S（建议80-90斤）)(1件)"/>
        <s v="【直播专属】时尚气质修身西装套10RG22989(粉色 西装+裤-L（建议100-110斤）)(1件)"/>
        <s v="【直播专属】高级感暗纹西装套装 时尚气质修身西服正装02RG6201(绿色西装＋绿色西裤-4XL（建议140-150斤）)(1件)"/>
        <s v="【直播专属】时尚气质修身西装套10RG22989(黑色 西装+裤-3XL（建议130-140斤）)(1件)"/>
        <s v="高级定制款商务女士西装套装LYH9913(9913 四扣-高级灰 西装+裤-155/S)(1件)"/>
        <s v="【MUMUWIE胶原蛋白养护内衣】胶原蛋白精华滋养呵护，前扣立体上托、调整矫姿、聚拢固型，无钢圈无束缚，柔软无痕超舒适。(琉璃粉1件装-M)(1件)"/>
        <s v="洋气英伦风小西装套装新款HYN1655(杏色 西装+西裤-L（建议105-115斤）)(1件)"/>
        <s v="【直播专属】时尚气质修身西装套10RG22989(孔雀蓝 西装+裤-3XL（建议130-140斤）)(1件)"/>
        <s v="【直播专属】低圆领打底衫 女士套头针织毛衣女长袖薄款YD-NJR025(金驼色-M（建议100-110斤）)(1件)"/>
        <s v="缎面长袖衬衫女2022早秋新款时尚气质衬衣05RG652(酒红色衬衫单件-XL)(1件)"/>
        <s v="【MUMUWIE胶原蛋白养护内衣】胶原蛋白精华滋养呵护，前扣立体上托、调整矫姿、聚拢固型，无钢圈无束缚，柔软无痕超舒适。(琉璃粉1件装-L)(1件)"/>
        <s v="新款休闲正装气质高端职业女士西服套装05RG9902(灰色西装+灰色西裤-XXXL（建议130-140斤）)(1件)"/>
        <s v="洋气英伦风小西装套装新款HYN1655(蓝色 西装+西裤-M（建议95-105斤）)(1件)"/>
        <s v="洋气英伦风小西装套装新款HYN1655(蓝色 西装+西裤-XL（建议115-125斤）)(1件)"/>
        <s v="洋气英伦风小西装套装新款HYN1655(杏色 西装+西裤-M（建议95-105斤）)(1件)"/>
        <s v="【直播专属】高级感暗纹西装套装 时尚气质修身西服正装02RG6201(橙色西装＋橙色西裤-M（建议90-100斤）)(1件)"/>
        <s v="气质小清新打底吊带RF33066(白色-5XL (建议143-151斤）)(1件)"/>
        <s v="金丝绒西装秋冬新款高端气质正装西服套装16RG6613(墨绿色（西装+603喇叭裤）-XL（建议110-120斤）)(1件)"/>
        <s v="可调节牛皮腰带配西装连衣裙腰带DM-ZK-111(驼色-2.0cm（颜色随机）)(1件)"/>
        <s v="【直播专属】时尚气质修身西装套10RG22989(粉色 西装+裤-3XL（建议130-140斤）)(1件)"/>
        <s v="【MUMUWIE胶原蛋白养护内衣】胶原蛋白精华滋养呵护，前扣立体上托、调整矫姿、聚拢固型，无钢圈无束缚，柔软无痕超舒适。(绚丽黑+墨本绿（2件更优惠）-L)(1件)"/>
        <s v="高级感盐系名媛时尚洋气职业西装10RG22966(22966橄榄色西服+22266裤+22566橄榄色马甲-XXL（建议120-130斤）)(1件)"/>
        <s v="【直播专属】时尚气质修身西装套10RG22989(粉色 西装+裤-XL（建议110-120斤）)(1件)"/>
        <s v="洋气时尚职业缎面衬衫设计感女士衬衣06RG6591(白色衬衫-3XL（建议130-140斤）)(1件)"/>
        <s v="【MUMUWIE胶原蛋白养护内衣】胶原蛋白精华滋养呵护，前扣立体上托、调整矫姿、聚拢固型，无钢圈无束缚，柔软无痕超舒适。(琉璃粉+绚丽黑（2件更优惠）-XL)(1件)"/>
        <s v="【直播专属】高级感暗纹西装套装 时尚气质修身西服正装02RG6201(橙色西装＋橙色西裤-XL（建议110-120斤）)(1件)"/>
        <s v="【MUMUWIE胶原蛋白养护内衣】胶原蛋白精华滋养呵护，前扣立体上托、调整矫姿、聚拢固型，无钢圈无束缚，柔软无痕超舒适。(琉璃粉+绚丽黑（2件更优惠）-L)(1件)"/>
        <s v="高级定制款女士西装套LYH9910(黑色 西装+裤子-165/L)(1件)"/>
        <s v="工厂直发！【拍1发4】网红爆款！茶树精油多效内衣洗衣液  专业去血渍 蛋白酶 去黄渍 除异味 500ml/瓶(拍1发4【白茶*2+铃兰*2】)(1件)"/>
        <s v="【MUMUWIE胶原蛋白养护内衣】胶原蛋白精华滋养呵护，前扣立体上托、调整矫姿、聚拢固型，无钢圈无束缚，柔软无痕超舒适。(琉璃粉1件装-XXL)(1件)"/>
        <s v="【穿出“苹果臀”】茧墨 玻尿酸高腰收腹苹果内裤 2条装 冰丝凉感 舒适透气 滋养润肤 呵护私处健康SMT-86213(粉色+孔雀蓝-L:1.8-2.1(70-105))(1件)"/>
        <s v="【直播专属】低圆领打底衫 女士套头针织毛衣女长袖薄款YD-NJR025(皮粉-M（建议100-110斤）)(1件)"/>
        <s v="【 告别扁平臀大肚腩，一穿立显好身材！】3D立体剪裁 360度雕塑曲线！无痕腰边，提拉翘臀，束腰塑身YKF-2112(肤色 1件装-M 建议101-115斤)(1件)"/>
        <s v="双排扣职业西装套装女秋冬新款职场正装时尚工作服21RG6288(蓝条西装+裤子-M（建议90-100斤）)(1件)"/>
        <s v="【直播专属】高级感暗纹西装套装 时尚气质修身西服正装02RG6201(橙色西装＋橙色西裤-L（建议100-110斤）)(1件)"/>
        <s v="职业西服套装秋冬新款女神范休闲工作服30RG8613(卡其 西服+裤-3XL（建议130-140斤）)(1件)"/>
        <s v="职业西服套装秋冬新款女神范休闲工作服30RG8613(藏青 西服+裤-S（建议80-90斤）)(1件)"/>
        <s v="职业西服套装秋冬新款女神范休闲工作服30RG8613(藏青 西服+裤-XL（建议110-120斤）)(1件)"/>
        <s v="职业西服套装秋冬新款女神范休闲工作服30RG8613(橙红 西服+裤-XL（建议110-120斤）)(1件)"/>
        <s v="职业西服套装秋冬新款女神范休闲工作服30RG8613(橙红 西服+裤-S（建议80-90斤）)(1件)"/>
        <s v="高级定制款商务女士西装套装LYH9913(高级灰 西装+裤-XL（建议110-120斤）)(1件)"/>
        <s v="格子西装外套女英伦风休闲复古收腰小西服09RG1988(灰细格小西装-L)(1件)"/>
        <s v="无痕压胶男士商务竹纤维休闲衬衣YM-589-1(589-3-42)(1件)"/>
        <s v="【直播专属】低圆领打底衫 女士套头针织毛衣女长袖薄款YD-NJR025(芥末黄-2XL（建议135-150斤）)(1件)"/>
        <s v="洋气英伦风小西装套装新款HYN1655(蓝色 西装+西裤-3XL（建议135-145斤）)(1件)"/>
        <s v="高腰烟管九分裤小脚显瘦休闲修身长裤02RG-B86+87(B86黑色九分裤-XL)(1件)"/>
        <s v="高级定制款商务女士西装套装LYH9913(高级灰 西装+裤-L（建议100-110斤）)(1件)"/>
        <s v="2022秋冬时尚职业装气质西装套装女正装小西服05RG9905(橙色西装+裤-L（建议100-110斤）)(1件)"/>
        <s v="秋冬新款水波纹别致小西装气质修身西服套装11RG9691(黑色西装+裤子-XL（建议110-120斤）)(1件)"/>
        <s v="高级感白色西装外套女时尚炸街御姐西服两件套11RG9626(白色西装+西裤-4XL（建议140-150斤）)(1件)"/>
        <s v="高级定制款商务女士西装套装LYH9913(高级灰 西装+裤-S(建议80-90斤))(1件)"/>
        <s v="个性优雅减龄西装11RG9696(黄色-3XL（建议130-140斤）)(1件)"/>
        <s v="秋冬新款水波纹别致小西装气质修身西服套装11RG9691(绿色西装+裤子-XL（建议110-120斤）)(1件)"/>
        <s v="黑灰撞色西装套装女气质显瘦时尚女神范西服套YJH-EX8053(灰色西装+灰裤-XL（建议110-120斤）)(1件)"/>
        <s v="个性优雅减龄西装11RG9696(绿色-2XL（建议120-130斤）)(1件)"/>
        <s v="个性优雅减龄西装11RG9696(绿色-4XL（建议140-150斤）)(1件)"/>
        <s v="黑灰撞色西装套装女气质显瘦时尚女神范西服套YJH-EX8053(灰色西装+黑裤-XL（建议110-120斤）)(1件)"/>
        <s v="职业西装套装气质名媛高级感炸街西服套装YJH-EM902(姜黄色西装+裤子-L（建议100-110斤）)(1件)"/>
        <s v="黑灰撞色西装套装女气质显瘦时尚女神范西服套YJH-EX8053(灰色西装+黑裤-4XL（建议140-150斤）)(1件)"/>
        <s v="秋冬新款气质时尚职业套装女休闲修身显瘦西服正装11RG9689(咖色西装+裤子-L（建议100-110斤）)(1件)"/>
        <s v="黑灰撞色西装套装女气质显瘦时尚女神范西服套YJH-EX8053(灰色西装+黑裤-3XL（建议130-140斤）)(1件)"/>
        <s v="秋冬新款水波纹别致小西装气质修身西服套装11RG9691(卡其色西装+裤子-2XL（建议120-130斤）)(1件)"/>
        <s v="2022秋冬时尚职业装气质西装套装女正装小西服05RG9905(橙色西装+裤-4XL（建议140-150斤）)(1件)"/>
        <s v="职业西装套装气质名媛高级感炸街西服套装YJH-EM902(绿色西装+裤子-L（建议100-110斤）)(1件)"/>
        <s v="秋冬新款气质时尚职业套装女休闲修身显瘦西服正装11RG9689(咖色西装+裤子-2XL（建议120-130斤）)(1件)"/>
        <s v="2022秋冬时尚职业装气质西装套装女正装小西服05RG9905(橙色西装+裤-XL（建议110-120斤）)(1件)"/>
        <s v="新款休闲正装气质高端职业女士西服套装05RG9902(灰色西装+灰色西裤-S（建议80-90斤）)(1件)"/>
        <s v="2022秋冬时尚职业装气质西装套装女正装小西服05RG9905(橙色西装+裤-M（建议90-100斤）)(1件)"/>
        <s v="黑灰撞色西装套装女气质显瘦时尚女神范西服套YJH-EX8053(灰色西装+灰裤-3XL（建议130-140斤）)(1件)"/>
        <s v="2022秋冬时尚职业装气质西装套装女正装小西服05RG9905(橙色西装+裤-2XL（建议120-130斤）)(1件)"/>
        <s v="2022秋冬时尚职业装气质西装套装女正装小西服05RG9905(绿西装+裤-2XL（建议120-130斤）)(1件)"/>
        <s v="高端职业套装 气质时尚正装西服职业套装02RG6208(藏青色西装+裤子-M（建议90-100斤）)(1件)"/>
        <s v="通勤时尚气质商务白领正装洋气女神范套装YJH-EX8059(黑色西装+裤子-XL（建议110-120斤）)(1件)"/>
        <s v="秋冬加厚金丝绒西服套装女气质时尚06RG9653(紫色西装+紫色西裤-XL（建议110-120斤）)(1件)"/>
        <s v="秋冬加厚金丝绒西服套装女气质时尚06RG9653(紫色西装+紫色西裤-L（建议100-110斤）)(1件)"/>
        <s v="经理职场正装工作服职业装长袖西服套装21RG6261(黑色西装＋西裤-XL（建议110-120斤）)(1件)"/>
        <s v="高端干练气质系带长袖西装套 女时尚英伦风显瘦套装05RG9904(黑色西装+裤-2XL（建议120-130斤）)(1件)"/>
        <s v="高端女神范西装套 气质女公务员经理总裁工作服29RG1888(黑色西装+西裤-4XL（建议140-150斤）)(1件)"/>
        <s v="高级感正装总裁工作服职业西服套装女01RG2213(黑色西装+裤子-S（建议80-90斤）)(1件)"/>
        <s v="高级感正装总裁工作服职业西服套装女01RG2213(黑色西装+裤子-L（建议100-110斤）)(1件)"/>
        <s v="高级感正装总裁工作服职业西服套装女01RG2213(白色西装+裤子-2XL（建议120-130斤）)(1件)"/>
        <s v="韩版休闲西装套装女时尚气质女神范西服05RG2325(卡其色西装+西裤-L（建议100-110斤）)(1件)"/>
        <s v="高端职业套装 气质时尚正装西服职业套装02RG6208(灰色西装+裤子-L（建议100-110斤）)(1件)"/>
        <s v="春秋开衫毛衣女V领糖果色外套羊毛短款外搭针织衫YD-ZD35(酒红色-S)(1件)"/>
        <s v="总裁秋冬气质女神范时尚职业装商务正装西服套装29RG20199(粉紫西装+裙-2XL（建议120-130斤）)(1件)"/>
        <s v="高级感白色西装外套女时尚炸街御姐西服两件套11RG9626(白色西装+西裤-L（建议100-110斤）)(1件)"/>
        <s v="高级感白色西装外套女时尚炸街御姐西服两件套11RG9626(黑色西装+西裤-2XL（建议120-130斤）)(1件)"/>
        <s v="高级定制款商务女士西装套装LYH9913(孔雀蓝 西装+裤-XL（建议110-120斤）)(1件)"/>
        <s v="高端女神范西装套 气质女公务员经理总裁工作服29RG1888(蓝色西装+西裤-3XL（建议130-140斤）)(1件)"/>
        <s v="高端女神范西装套 气质女公务员经理总裁工作服29RG1888(蓝色西装+短裙-XL（建议110-120斤）)(1件)"/>
        <s v="秋冬V领针织衫女宽松休闲套头毛衣薄款上衣YD-262(雾霾蓝-L)(1件)"/>
        <s v="秋冬V领针织衫女宽松休闲套头毛衣薄款上衣YD-262(皮粉-XXL)(1件)"/>
        <s v="小香风荷叶边弹力连衣裙时尚气质女人味一体裙BX6057-8158(6057黑色（送胸针）-L)(1件)"/>
        <s v="春秋开衫毛衣女V领糖果色外套羊毛短款外搭针织衫YD-ZD35(奶白色-S)(1件)"/>
        <s v="春秋开衫毛衣女V领糖果色外套羊毛短款外搭针织衫YD-ZD35(浅灰色-XXL)(1件)"/>
        <s v="春秋开衫毛衣女V领糖果色外套羊毛短款外搭针织衫YD-ZD35(皮粉色-S)(1件)"/>
        <s v="【 告别扁平臀大肚腩，一穿立显好身材！】3D立体剪裁 360度雕塑曲线！无痕腰边，提拉翘臀，束腰塑身YKF-2112(黑色+肤色 2件装-L 建议116-130斤)(1件)"/>
        <s v="秋冬V领针织衫女宽松休闲套头毛衣薄款上衣YD-262(红色-XL)(1件)"/>
        <s v="男女同款职业衬衣长袖修身工作服正装衬衫JH221(深灰衬衫男-XXXL)(1件)"/>
        <s v="男女同款职业衬衣长袖修身工作服正装衬衫JH221(白衬衫男-XXXL)(1件)"/>
        <s v="防晒开衫女小披肩外套 外搭空调衫长袖薄款冰丝针织衫YD-NJR1908(米色-S)(1件)"/>
        <s v="针织长袖上衣女装内搭高弹修身T恤RF33096(黑色-2XL码118-126斤)(1件)"/>
        <s v="针织长袖上衣女装内搭高弹修身T恤RF33096(白色-XL码109-117斤)(1件)"/>
        <s v="秋冬新款气质时尚职业套装女休闲修身显瘦西服正装11RG9689(咖色西装+裤子-S（建议80-90斤）)(1件)"/>
        <s v="西装裤女春秋季高腰职业长裤垂坠感直筒裤HSS2385(黑色-26)(1件)"/>
        <s v="针织长袖上衣女装内搭高弹修身T恤RF33096(白色-L码100-108斤)(1件)"/>
        <s v="秋冬V领针织衫女宽松休闲套头毛衣薄款上衣YD-262(草木绿-M)(1件)"/>
        <s v="粉色系带长袖衬衫 休闲气质高级感法式衬衣13RG587(单件粉色衬衫-3XL（建议130-140斤）)(1件)"/>
        <s v="秋冬V领针织衫女宽松休闲套头毛衣薄款上衣YD-262(黑色-XXL)(1件)"/>
        <s v="【直播专属】气质职业装修身小西装女士西服正装套装01RG2229(玫红色西装＋裤-M（建议90-100斤）)(1件)"/>
        <s v="针织长袖上衣女装内搭高弹修身T恤RF33096(卡其色-L码100-108斤)(1件)"/>
        <s v="高级感正装总裁工作服职业西服套装女01RG2213(黑色西装+裤子-XL（建议110-120斤）)(1件)"/>
        <s v="针织长袖上衣女装内搭高弹修身T恤RF33096(黑色-L码100-108斤)(1件)"/>
        <s v="针织长袖上衣女装内搭高弹修身T恤RF33096(黑色-3XL码127-135斤)(1件)"/>
        <s v="针织长袖上衣女装内搭高弹修身T恤RF33096(黑色-XL码109-117斤)(1件)"/>
        <s v="【直播专属】时尚气质修身西装套10RG22989(孔雀蓝 西装+裤-M（建议90-100斤）)(1件)"/>
        <s v="棉感暗条纹女长袖宽松显瘦休闲衬衫10RG21653(白条衬衫-S)(1件);春款半高领针织+高腰显瘦赫本风大摆中长裙PX-W26S50506(W26S50506 米色毛衣-S)(1件);春款半高领针织+高腰显瘦赫本风大摆中长裙PX-W26S50506(W26Q50591黑色半裙-S)(1件)"/>
        <s v="高级定制款双排扣女士西装套LYH9910(深咖 西装+裤子-4XL(建议140-150斤))(1件)"/>
        <s v="高级定制款双排扣女士西装套LYH9910(湖水蓝 西装+裤子-3XL（建议130-140斤）)(1件)"/>
        <s v="法式无袖连衣裙不规则气质百搭两件套06RG2098(蓝色连衣裙-XL（建议110-120斤）)(1件)"/>
        <s v="新款职业装女纯色连衣裙春夏小个子YL-211(蓝色短袖连衣裙-2XL（建议120-130斤）)(1件)"/>
        <s v="春秋开衫毛衣女V领糖果色外套羊毛短款外搭针织衫YD-ZD35(米色-L)(1件)"/>
        <s v="高级定制款商务单排扣女士西装套装LYH9913(孔雀蓝 西装+裤-XL（建议110-120斤）)(1件)"/>
        <s v="女士职业衬衫长袖正装上衣内搭通勤洋气29RG0581(黑色-L（建议100-110斤）)(1件)"/>
        <s v="松紧腰哈伦裤女夏薄款宽松九分裤子YY-ML6268(ML6268黑长裤-M)(1件)"/>
        <s v="总裁秋冬气质女神范时尚职业装商务正装西服套装29RG20199(粉紫西装+裙-L（建议100-110斤）)(1件)"/>
        <s v="保暖加厚修身白领职业衬衣RG-AS6816(【加绒款】白色-S)(1件)"/>
        <s v="925银针欧美风几何菱形耳环女DL-h5115(香槟金色菱形耳环)(1件)"/>
        <s v="【MUMUWIE胶原蛋白养护内衣】胶原蛋白精华滋养呵护，前扣立体上托、调整矫姿、聚拢固型，无钢圈无束缚，柔软无痕超舒适。(琉璃粉+绚丽黑（2件更优惠）-M)(1件)"/>
        <s v="高级定制款商务女士西装套装LYH9913(孔雀蓝 西装+裤-3XL（建议130-140斤）)(1件)"/>
        <s v="高级定制款女士西装套LYH9910(湖水蓝 西装+裤子-XXL（建议120-130斤）)(1件)"/>
        <s v="高端职业套装 气质时尚正装西服职业套装02RG6208(灰色西装+裤子-2XL（建议120-130斤）)(1件)"/>
        <s v="高端职业套装 气质时尚正装西服职业套装02RG6208(灰色西装+裤子-S（建议80-90斤）)(1件)"/>
        <s v="高级定制款商务女士西装套装LYH9913(高级灰 西装+裤-3XL（建议130-140斤）)(1件)"/>
        <s v="高级定制款女士西装套LYH9910(孔雀蓝  西装+裤子-L（建议100-110斤）)(1件)"/>
        <s v="高级定制款商务女士西装套装LYH9913(孔雀蓝 西装+裤-L（建议100-110斤）)(1件)"/>
        <s v="新款气质高腰显瘦时尚百搭女a字半身裙CY-AZR6753(黑色-2XL/30)(1件)"/>
        <s v="高级感正装总裁工作服职业西服套装女01RG2213(橙色西装+裤子-L（建议100-110斤）)(1件)"/>
        <s v="高级感正装总裁工作服职业西服套装女01RG2213(黑色西装+裤子-3XL（建议130-140斤）)(1件)"/>
        <s v="职业套装高端时尚设计感西服服套装MY8089(蓝色  西装+裤子-XL（建议110-120斤）)(1件)"/>
        <s v="高级定制款双排扣女士西装套LYH9910(湖水蓝 西装+裤子-XXL（建议120-130斤）)(1件)"/>
        <s v="高级定制款双排扣女士西装套LYH9910(湖水蓝 西装+裤子-L（建议100-110斤）)(1件)"/>
        <s v="v领修身打底衫 春款职业装内搭上衣RF9932(白色-L码 98-106斤)(1件)"/>
        <s v="职业套装高端时尚设计感西服服套装MY8089(咖啡色  西装+裤子-M（建议90-100斤）)(1件)"/>
        <s v="真皮女士腰带 时尚百搭连衣裙装饰腰带DM-ZK048(红色)(1件)"/>
        <s v="高端西装套装女秋冬气质女神范工作服29RG20228(蓝色西装+西裤-S（建议80-90斤）)(1件)"/>
        <s v="高端OL西服套装 气质长袖休闲西服套装05RG9906(长袖红色西装＋裤子-XL（建议110-120斤）)(1件)"/>
        <s v="职业套装女士时尚气质通勤一粒扣修身百搭62RG8917B(湖蓝色西装+5007B裤-XL（建议110-120斤）)(1件)"/>
        <s v="高端西装套装女秋冬气质女神范工作服29RG20228(蓝色西装+西裤-L（建议100-110斤）)(1件)"/>
        <s v="高端西装套装女秋冬气质女神范工作服29RG20228(米杏色西装+西裤-L（建议100-110斤）)(1件)"/>
        <s v="【安梨口袋早秋泡芙糯米内裤】紫衫醇净化裤 健康洁净 净化异味  柔软无缝面料 3D蜜桃臀 兼顾多种体型 无限包容 轻若无感 近零负担 透气面料 轻薄耐穿(组合五：香芋紫*2+裸肤色*2+杏粉色*1-均码(80-140斤）-5条装)(1件)"/>
        <s v="【安梨口袋早秋泡芙糯米内裤】紫衫醇净化裤 健康洁净 净化异味  柔软无缝面料 3D蜜桃臀 兼顾多种体型 无限包容 轻若无感 近零负担 透气面料 轻薄耐穿(组合三：杏粉色+姜黄色+雅绿色+裸肤色+奶茶色-均码(80-140斤）-5条装)(1件)"/>
        <s v="职业套装高端时尚设计感西服服套装MY8089(蓝色  西装+裤子-3XL（建议130-140斤）)(1件)"/>
        <s v="高腰垂感阔腿九分裤 夏报薄款休闲裤HSS-2576(焦糖色-L)(1件)"/>
        <s v="高级定制款双排扣女士西装套LYH9910(孔雀蓝  西装+裤子-M（建议90-100斤）)(1件)"/>
        <s v="穿出饱满胸型，Q弹柔软好舒服林小眠抱抱内衣 | 无钢圈，包裹承托力好，高弹无痕收副乳(碳黑-L码 36/80ABC-两件装（更优惠）)(1件)"/>
        <s v="泡泡袖法式衬衫时尚白色设计感小众衬衣22RG6702(杏色衬衫-M（建议90-100斤）)(1件)"/>
        <s v="【安梨口袋早秋泡芙糯米内裤】紫衫醇净化裤 健康洁净 净化异味  柔软无缝面料 3D蜜桃臀 兼顾多种体型 无限包容 轻若无感 近零负担 透气面料 轻薄耐穿(组合一：香芋紫+杏粉色+姜黄色+奶茶色+雅绿色-均码(80-140斤）-5条装)(1件)"/>
        <s v="s925银针 气质花朵耳环时尚简约个性耳饰DL-H1235(香槟金耳钉)(1件)"/>
        <s v="高端OL西服套装 气质长袖休闲西服套装05RG9906(长袖红色西装＋裤子-2XL（建议120-130斤）)(1件)"/>
        <s v="秋冬加厚金丝绒西服套装女气质时尚06RG9653(黑色西装+黑色西裤-4XL（建议140-150斤）)(1件)"/>
        <s v="高级感休闲气质女神范通勤厚西服套装42RG607(咖啡色西装＋咖啡色正装裤-L（建议100-110斤）)(1件)"/>
        <s v="蜜桃绒保暖内衣女超薄V领弹力修身美肤保暖套装HLL-T129(黑色（上衣+裤）-M-L(建议80-115）)(1件)"/>
        <s v="蜜桃绒保暖内衣女超薄V领弹力修身美肤保暖套装HLL-T129(灰蓝（上衣+裤）-L-XL(建议100-135）)(1件)"/>
        <s v="蜜桃绒保暖内衣女超薄V领弹力修身美肤保暖套装HLL-T129(肤色（上衣+裤）-L-XL(建议100-135）)(1件)"/>
        <s v="【安梨口袋早秋泡芙糯米内裤】紫衫醇净化裤 健康洁净 净化异味  柔软无缝面料 3D蜜桃臀 兼顾多种体型 无限包容 轻若无感 近零负担 透气面料 轻薄耐穿(组合六：雅绿色*2+姜黄色*2+香芋紫*1-均码(80-140斤）-5条装)(1件)"/>
        <s v="【直播专属】高级感暗纹西装套装 时尚气质修身西服正装SY-6201(白色西装+白色西裤-L（建议100-110斤）)(1件)"/>
        <s v="【直播专属】高级感暗纹西装套装 时尚气质修身西服正装SY-6201(绿色西装＋绿色西裤-L（建议100-110斤）)(1件)"/>
        <s v="金丝绒纯色V领显瘦衬衫 通勤洋气优雅衬衣13RG561(单色黑色衬衫-4XL)(1件)"/>
        <s v="高级感休闲气质女神范通勤厚西服套装42RG607(灰色西装＋灰色正装裤-L（建议100-110斤）)(1件)"/>
        <s v="高端西装套女气质职业装时尚女神范西服套装SY-6215(橙色西装＋裤子-L（建议100-110斤）)(1件)"/>
        <s v="高腰显瘦西裙包臀裙白色半身裙子11RG1096(单件黑色半身裙-M)(1件)"/>
        <s v="高端OL西服套装 气质长袖休闲西服套装05RG9906(长袖红色西装＋裤子-L（建议100-110斤）)(1件)"/>
        <s v="秋季时尚气质西装职业女士西服套装MY8070(杏西装+裤-M（建议90-100斤）)(1件)"/>
        <s v="秋季时尚气质西装职业女士西服套装MY8070(杏西装+裤-L（建议100-110斤）)(1件)"/>
        <s v="秋季时尚气质西装职业女士西服套装MY8070(杏西装+裤-2XL（建议120-130斤）)(1件)"/>
        <s v="高端OL西服套装 气质长袖休闲西服套装05RG9906(长袖黑色西装＋裤子-L（建议100-110斤）)(1件)"/>
        <s v="情侣莫代尔家居服套装 男女慵懒风撞色套装可外穿居家睡衣套装(（男士）灰色-XXL码)(1件);情侣莫代尔家居服套装 男女慵懒风撞色套装可外穿居家睡衣套装(（男士） 蓝色-XXL码)(1件)"/>
        <s v="双排扣职业西装套装女秋冬新款职场正装时尚工作服21RG6288(蓝条西装+裤子-3XL（建议130-140斤）)(1件)"/>
        <s v="高端OL西服套装 气质长袖休闲西服套装05RG9906(长袖黑色西装＋裤子-3XL（建议130-140斤）)(1件)"/>
        <s v="软皮软底职业中跟高跟鞋细跟久站工作鞋QZT-222-3-5(黑色（跟高5CM）-36)(1件)"/>
        <s v="【安梨口袋早秋泡芙糯米内裤】紫衫醇净化裤 健康洁净 净化异味  柔软无缝面料 3D蜜桃臀 兼顾多种体型 无限包容 轻若无感 近零负担 透气面料 轻薄耐穿(组合二:香芋紫+杏粉色+姜黄色+奶茶色+裸肤色-均码(80-140斤）-5条装)(2件)"/>
        <s v="蜜桃绒保暖内衣女超薄V领弹力修身美肤保暖套装HLL-T129(黑色（上衣+裤）-L-XL(建议100-135）)(1件)"/>
        <s v="蜜桃绒保暖内衣女超薄V领弹力修身美肤保暖套装HLL-T129(肤色（上衣+裤）-M-L(建议80-115）)(1件)"/>
        <s v="【安梨口袋早秋泡芙糯米内裤】紫衫醇净化裤 健康洁净 净化异味  柔软无缝面料 3D蜜桃臀 兼顾多种体型 无限包容 轻若无感 近零负担 透气面料 轻薄耐穿(组合二:香芋紫+杏粉色+姜黄色+奶茶色+裸肤色-均码(80-140斤）-5条装)(1件)"/>
        <s v="针织长袖上衣女装内搭高弹修身T恤RF33096(卡其色-4XL码135-143斤)(1件)"/>
        <s v="时尚气质小西装女士职业套装MY8090(墨绿色  西装+裤子-L（建议100-110斤）)(1件)"/>
        <s v="时尚气质小西装女士职业套装MY8090(黑色 西装+裤子-L（建议100-110斤）)(1件)"/>
        <s v="时尚气质小西装女士职业套装MY8090(黑色 西装+裤子-3XL（建议130-140斤）)(1件)"/>
        <s v="【超值5瓶装】HEYXI内衣洗衣液 三重复合酶去污去渍  温和不伤手！300ml/瓶(蓝色3瓶+粉色2瓶)(1件)"/>
        <s v="买一送一【安梨口袋美肌光腿神器】柔软亲肤 不易起球  慕斯质感 不易勾丝  百搭显瘦  自然显瘦 细腻柔滑面料 婴儿肌肤般柔顺(肤色-150g：买一送一 （薄绒适合10°~15°）-连脚款)(1件)"/>
        <s v="买一送一【安梨口袋美肌光腿神器】柔软亲肤 不易起球  慕斯质感 不易勾丝  百搭显瘦  自然显瘦 细腻柔滑面料 婴儿肌肤般柔顺(肤色-50g：买一送一 （薄款不加绒适合20°~25°）-连脚款)(1件)"/>
        <s v="百搭短款小个子西服 2色 中袖/长袖YJH-EL82(8242 长袖 白色外套-S（建议80-90斤）)(1件)"/>
        <s v="高端OL西服套装 气质长袖休闲西服套装05RG9906(长袖黑色西装＋裤子-4XL（建议140-150斤）)(1件)"/>
        <s v="软糯亲肤慵懒风早秋开衫 80-150斤百搭气质外套YD-NJR009开衫(黑色-XXL)(1件)"/>
        <s v="【安梨口袋早秋泡芙糯米内裤】紫衫醇净化裤 健康洁净 净化异味  柔软无缝面料 3D蜜桃臀 兼顾多种体型 无限包容 轻若无感 近零负担 透气面料 轻薄耐穿(组合四：姜黄色*2+奶茶色*2+雅绿色*1-均码(80-140斤）-5条装)(1件)"/>
        <s v="高端OL西服套装 气质长袖休闲西服套装05RG9906(长袖红色西装＋裤子-3XL（建议130-140斤）)(1件)"/>
        <s v="质感西装气质女神范工作服西服套装MY8093(浅蓝  西装+裤子-L（建议100-110斤）)(1件)"/>
        <s v="质感西装气质女神范工作服西服套装MY8093(黑色  西装+裤子-XL（建议110-120斤）)(1件)"/>
        <s v="质感西装气质女神范工作服西服套装MY8093(浅蓝  西装+裤子-XL（建议110-120斤）)(1件)"/>
        <s v="质感西装气质女神范工作服西服套装MY8093(浅蓝  西装+裤子-4XL（建议140-150斤）)(1件)"/>
        <s v="【超值5瓶装】HEYXI内衣洗衣液 三重复合酶去污去渍  温和不伤手！300ml/瓶(粉色3瓶+蓝色2瓶)(1件)"/>
        <s v="蜜桃绒保暖内衣女超薄V领弹力修身美肤保暖套装HLL-T129(白色（上衣+裤）-M-L(建议80-115）)(1件)"/>
        <s v="蜜桃绒保暖内衣女超薄V领弹力修身美肤保暖套装HLL-T129(灰蓝（上衣+裤）-M-L(建议80-115）)(1件)"/>
        <s v="针织长袖上衣女装内搭高弹修身T恤RF33096(黑色-S码80-90斤)(1件)"/>
        <s v="针织长袖上衣女装内搭高弹修身T恤RF33096(卡其色-M码91-99斤)(1件)"/>
        <s v="针织长袖上衣女装内搭高弹修身T恤RF33096(黑色-M码91-99斤)(1件)"/>
        <s v="针织长袖上衣女装内搭高弹修身T恤RF33096(白色-4XL码135-143斤)(1件)"/>
        <s v="针织长袖上衣女装内搭高弹修身T恤RF33096(黑色-4XL码135-143斤)(1件)"/>
        <s v="情侣莫代尔家居服套装 男女慵懒风撞色套装可外穿居家睡衣套装(（男士） 蓝色-XXL码)(1件)"/>
        <s v="质感西装气质女神范工作服西服套装MY8093(雾霾蓝  西装+裤子-3XL（建议130-140斤）)(1件)"/>
        <s v="时尚气质通勤连衣裙职业套装11RG9628(白色西装＋051米黄色连衣裙-XL)(1件)"/>
        <s v="高端OL西服套装 气质长袖休闲西服套装05RG9906(长袖绿色西装＋裤子-2XL（建议120-130斤）)(1件)"/>
        <s v="法式气质长袖雪纺衬衫XC1667(绿色-S)(1件);水晶天鹅小胸针高级女士高档锆石领针XG1067(白金064)(1件)"/>
        <s v="针织长袖上衣女装内搭高弹修身T恤RF33096(卡其色-3XL码127-135斤)(1件)"/>
        <s v="外穿美背V领打底衫内搭RF7793(白色-3XL)(1件)"/>
        <s v="外穿美背V领打底衫内搭RF7793(香槟色-XL)(1件)"/>
        <s v="双排扣通勤职业套装 女西装外套裤子包臀半身裙11RG9920(【2件套 绿色】外套+8079裤子-3XL（建议130-140斤）)(1件)"/>
        <s v="职业西裤 女工作服大码直筒长裤职业正装裤RG-K302(【常规】黑色直筒裤-2XL)(1件)"/>
        <s v="高级感休闲气质女神范通勤厚西服套装42RG607(灰色西装＋灰色正装裤-2XL（建议120-130斤）)(1件)"/>
        <s v="外穿美背V领打底衫内搭RF7793(白色-XXL)(1件)"/>
        <s v="外穿美背V领打底衫内搭RF7793(黑色-XXL)(1件)"/>
        <s v="外穿美背V领打底衫内搭RF7793(白色-L)(1件)"/>
        <s v="外穿美背V领打底衫内搭RF7793(白色-XL)(1件)"/>
        <s v="外穿美背V领打底衫内搭RF7793(黑色-S)(1件)"/>
        <s v="高级感盐系名媛时尚洋气职业西装10RG22966(22966宝蓝色西服+22266裤+22566宝蓝色马甲-S（建议80-90斤）)(1件)"/>
        <s v="时尚气质小西装女士职业套装MY8090(橙色  西装+裤子-3XL（建议130-140斤）)(1件)"/>
        <s v="外穿美背V领打底衫内搭RF7793(黑色-3XL)(1件)"/>
        <s v="职业西裤 女工作服大码直筒长裤职业正装裤RG-K302(【常规】黑色直筒裤-L)(1件)"/>
        <s v="高级定制款双排扣女士西装套LYH9910(黑色 西装+裤子-XL（建议110-120斤）)(1件)"/>
        <s v="外穿美背V领打底衫内搭RF7793(黑色-XL)(1件)"/>
        <s v="【三椒精华】wecan维康三椒植物祛螨包 植物成分祛螨 免洗免晒 母婴可用(买四送一【共50包装】)(1件)"/>
        <s v="高端OL西服套装 气质长袖休闲西服套装05RG9906(长袖黑色西装＋裤子-XL（建议110-120斤）)(1件)"/>
        <s v="针织长袖上衣女装内搭高弹修身T恤RF33096(卡其色-XL码109-117斤)(1件)"/>
        <s v="时尚气质小西装女士职业套装MY8090(墨绿色  西装+裤子-XL（建议110-120斤）)(1件)"/>
        <s v="秋装新款百搭气质小西装03RG2245(黑白格-L（建议100-110斤）)(1件)"/>
        <s v="高端OL西服套装 气质长袖休闲西服套装05RG9906(长袖绿色西装＋裤子-3XL（建议130-140斤）)(1件)"/>
        <s v="外穿美背V领打底衫内搭RF7793(白色-S)(1件)"/>
        <s v="针织长袖上衣女装内搭高弹修身T恤RF33096(白色-3XL码127-135斤)(1件)"/>
        <s v="秋季时尚气质西装职业女士西服套装MY8070(黑西装+裤-4XL（建议140-150斤）)(1件)"/>
        <s v="职业套装高端时尚设计感西服服套装MY8089(蓝色  西装+裤子-2XL（建议120-130斤）)(1件)"/>
        <s v="高级定制款双排扣女士西装套LYH9910(高级灰 西装+裤子-XL（建议110-120斤）)(1件)"/>
        <s v="小个子职业正装时尚气质高级感职业西服套装12RG9571(橘色西装+裤-M（建议90-100斤）)(1件)"/>
        <s v="高端职业套装 气质时尚正装西服职业套装SY-6208(灰色西装+裤子-S（建议80-90斤）)(1件)"/>
        <s v="高端OL西服套装 气质长袖休闲西服套装05RG9906(长袖黑色西装＋裤子-S（建议80-90斤）)(1件)"/>
        <s v="高级感气质职业洋气西装套装 SY-6218(藏青 西装（含腰带）+裤子-XL)(1件)"/>
        <s v="高端职业套装 气质时尚正装西服职业套装SY-6208(灰色西装+裤子-XL（建议110-120斤）)(1件)"/>
        <s v="高级感西装外套女职业装正装西服套装SY-6239(咖色西装+裤子-4XL（建议140-150斤）)(1件)"/>
        <s v="高级感西装外套女职业装正装西服套装SY-6239(咖色西装+裤子-2XL（建议120-130斤）)(1件)"/>
        <s v="高级感西装外套女职业装正装西服套装SY-6239(咖色西装+裤子-S（建议80-90斤）)(1件)"/>
        <s v="高级感西装外套女职业装正装西服套装SY-6239(孔雀蓝西装+裤子-L（建议100-110斤）)(1件)"/>
        <s v="高级感西装外套女职业装正装西服套装SY-6239(黑色西装+裤子-XL（建议110-120斤）)(1件)"/>
        <s v="可调节牛皮腰带配西装连衣裙腰带DM-ZK-111(黑色-2.0cm（颜色随机）)(1件)"/>
        <s v="高端职业套装 气质时尚正装西服职业套装SY-6208(藏青色西装+裤子-2XL（建议120-130斤）)(1件)"/>
        <s v="套头时尚气质洋气 长/短袖衬衫 不起球 免熨烫百搭上衣08RG8036+27(8036 长袖 绿色衬衫-L（建议100-110斤）)(1件);高端V领显瘦遮肚连衣裙 抗皱免烫中袖包臀裙28RG620（不含腰带）(中袖蓝色连衣裙（不含腰带）-L)(1件)"/>
        <s v="高级定制款双排扣女士西装套LYH9910(湖水蓝 西装+裤子-XL（建议110-120斤）)(1件)"/>
        <s v="职业套装高端时尚设计感小个子服装MY8068(黑条 西装+裤子-2XL（建议120-130斤）)(1件)"/>
        <m/>
      </sharedItems>
    </cacheField>
    <cacheField name="商品种类数" numFmtId="0">
      <sharedItems containsString="0" containsBlank="1" containsNumber="1" containsInteger="1" minValue="0" maxValue="3" count="4">
        <n v="1"/>
        <n v="3"/>
        <n v="2"/>
        <m/>
      </sharedItems>
    </cacheField>
    <cacheField name="订单配送方式" numFmtId="0">
      <sharedItems containsBlank="1" count="2">
        <s v="快递"/>
        <m/>
      </sharedItems>
    </cacheField>
    <cacheField name="预约同城送达时间/预约自提时间" numFmtId="0">
      <sharedItems containsString="0" containsBlank="1" containsNonDate="0" count="1">
        <m/>
      </sharedItems>
    </cacheField>
    <cacheField name="收货人/提货人" numFmtId="0">
      <sharedItems containsBlank="1" count="582">
        <s v="黄小梅"/>
        <s v="刘湘平"/>
        <s v="罗孝云"/>
        <s v="许小姐"/>
        <s v="甜甜"/>
        <s v="杨丽"/>
        <s v="丘晓花"/>
        <s v="罗军"/>
        <s v="高华"/>
        <s v="吴立美"/>
        <s v="康代蓉"/>
        <s v="吴俊兰"/>
        <s v="麦惠华"/>
        <s v="陈新琼"/>
        <s v="刘志娥"/>
        <s v="张彩"/>
        <s v="黄韩丽"/>
        <s v="吴慧云"/>
        <s v="李女士"/>
        <s v="汪曲"/>
        <s v="房玉霞"/>
        <s v="艾冬梅"/>
        <s v="辜晓东"/>
        <s v="何培红"/>
        <s v="柔雨"/>
        <s v="吴桂婉"/>
        <s v="杨云"/>
        <s v="姚玉华"/>
        <s v="娜姐"/>
        <s v="杨艳球"/>
        <s v="黄女士"/>
        <s v="陈一颖"/>
        <s v="王菲"/>
        <s v="傅彩英"/>
        <s v="张忻萍"/>
        <s v="黄海燕"/>
        <s v="朱珠"/>
        <s v="董女士"/>
        <s v="陆小姐"/>
        <s v="黄蓝兰"/>
        <s v="张琼英"/>
        <s v="靳祺冉"/>
        <s v="黄秀青"/>
        <s v="朱锦凤"/>
        <s v="张小峡"/>
        <s v="黄青青"/>
        <s v="李有花"/>
        <s v="谢彩秀"/>
        <s v="王玲"/>
        <s v="李艳丽"/>
        <s v="刘云"/>
        <s v="火姐"/>
        <s v="李娜"/>
        <s v="叶瑞丽"/>
        <s v="项小红"/>
        <s v="留筱晓"/>
        <s v="马仙彩"/>
        <s v="张应萍"/>
        <s v="郝帅"/>
        <s v="徐铭阳"/>
        <s v="伍强"/>
        <s v="李姝频"/>
        <s v="柳现荣"/>
        <s v="赵晓琼"/>
        <s v="罗蓉"/>
        <s v="龙艳"/>
        <s v="蔡彬华"/>
        <s v="胡雪花"/>
        <s v="卢化英"/>
        <s v="陈玫辰"/>
        <s v="候玉平"/>
        <s v="赵丽"/>
        <s v="杨屏利"/>
        <s v="朱小姐"/>
        <s v="吕玮"/>
        <s v="梁远宏"/>
        <s v="杨洋"/>
        <s v="王女士"/>
        <s v="王小琳"/>
        <s v="陆晓丽"/>
        <s v="刘艳"/>
        <s v="唐颖"/>
        <s v="胡琳"/>
        <s v="余小姐"/>
        <s v="高如晴"/>
        <s v="谢天惠"/>
        <s v="罗小姐"/>
        <s v="赖燕花"/>
        <s v="马双"/>
        <s v="章玉"/>
        <s v="百合"/>
        <s v="张爱花"/>
        <s v="都金红"/>
        <s v="危常钰"/>
        <s v="王维花"/>
        <s v="李小英"/>
        <s v="韦艳玲"/>
        <s v="马海燕"/>
        <s v="刘文焰"/>
        <s v="马娇娇"/>
        <s v="杨小丽"/>
        <s v="陈汝嫦"/>
        <s v="李秀群"/>
        <s v="秋子"/>
        <s v="吕芳芳"/>
        <s v="赵美艳"/>
        <s v="李美娥"/>
        <s v="龙燕平"/>
        <s v="赵继霞"/>
        <s v="林朝霞"/>
        <s v="蒲薇羽"/>
        <s v="董水莲"/>
        <s v="王静"/>
        <s v="张春艳"/>
        <s v="赵家睿"/>
        <s v="张仁霞"/>
        <s v="南燕"/>
        <s v="何红"/>
        <s v="王琼"/>
        <s v="梦梦"/>
        <s v="杨振峰"/>
        <s v="杨海燕"/>
        <s v="邓春芬"/>
        <s v="成鸿高"/>
        <s v="刮君"/>
        <s v="王玲华"/>
        <s v="王秀丽"/>
        <s v="窦艳玲"/>
        <s v="王礼容"/>
        <s v="云姐"/>
        <s v="张美贤"/>
        <s v="卢结梅"/>
        <s v="庄翠"/>
        <s v="盛洁"/>
        <s v="李军利"/>
        <s v="尹江南"/>
        <s v="石大夫"/>
        <s v="张小红"/>
        <s v="李洁"/>
        <s v="陈何秀"/>
        <s v="邓玉萍"/>
        <s v="陈燕梅"/>
        <s v="李继红"/>
        <s v="钟金平"/>
        <s v="苗苗"/>
        <s v="程小姐"/>
        <s v="江武生"/>
        <s v="王小姐"/>
        <s v="墨"/>
        <s v="Dkp"/>
        <s v="康慧萍"/>
        <s v="罗素花"/>
        <s v="陈霞"/>
        <s v="高岩"/>
        <s v="唐宣"/>
        <s v="陈小梅"/>
        <s v="唐慧"/>
        <s v="肖健康"/>
        <s v="邢阿娜"/>
        <s v="熊金花"/>
        <s v="侯晓"/>
        <s v="尹训英"/>
        <s v="谢肖"/>
        <s v="陈巧"/>
        <s v="谢超玲"/>
        <s v="黄建英"/>
        <s v="张霞"/>
        <s v="赵秀玲"/>
        <s v="邓丽华"/>
        <s v="施艳芳"/>
        <s v="闻秀兰"/>
        <s v="王艳"/>
        <s v="刘冬霞"/>
        <s v="邹荣娟"/>
        <s v="周凤"/>
        <s v="韦秀芬"/>
        <s v="曾海玲"/>
        <s v="陈小丽"/>
        <s v="张鸣"/>
        <s v="香香"/>
        <s v="刘心莲"/>
        <s v="兰瑞娟"/>
        <s v="蕙蕙"/>
        <s v="肖艳红"/>
        <s v="朱秋娥"/>
        <s v="谢莉程"/>
        <s v="杨广志"/>
        <s v="徐楚慧"/>
        <s v="钟凤琼"/>
        <s v="田尚琼"/>
        <s v="李润娟"/>
        <s v="刘丽平"/>
        <s v="卢小"/>
        <s v="刘秀川"/>
        <s v="张军"/>
        <s v="温秀云"/>
        <s v="黄惠"/>
        <s v="刘丽"/>
        <s v="郑伊玉"/>
        <s v="蓝谊丽"/>
        <s v="杨红"/>
        <s v="最美丽的美丽"/>
        <s v="高丽"/>
        <s v="陈悦蓉"/>
        <s v="李启萍"/>
        <s v="邓长蓉"/>
        <s v="邓小云"/>
        <s v="刘美君"/>
        <s v="张思思"/>
        <s v="郝主心"/>
        <s v="曾小琴"/>
        <s v="龙莉"/>
        <s v="星星"/>
        <s v="彦喜"/>
        <s v="王影"/>
        <s v="李小姐"/>
        <s v="计影"/>
        <s v="张清梅"/>
        <s v="罗艳红"/>
        <s v="陈传香"/>
        <s v="甘艺虹"/>
        <s v="邓女士"/>
        <s v="符梅春"/>
        <s v="黄婵容"/>
        <s v="王莉"/>
        <s v="林女士"/>
        <s v="叶菊花"/>
        <s v="李文琴"/>
        <s v="杨伟桃"/>
        <s v="茆洪月"/>
        <s v="于萍"/>
        <s v="兰卫萍"/>
        <s v="胡海翔"/>
        <s v="陈小姐"/>
        <s v="媛远"/>
        <s v="孙莹"/>
        <s v="许哲艳"/>
        <s v="冰天一师"/>
        <s v="陈燕"/>
        <s v="李蔷薇"/>
        <s v="邓会芳"/>
        <s v="胡莉"/>
        <s v="莫爷"/>
        <s v="蒋晓梅"/>
        <s v="许女士"/>
        <s v="梁红"/>
        <s v="菲菲"/>
        <s v="小李"/>
        <s v="赵玉梅"/>
        <s v="郭小萍"/>
        <s v="沈科林"/>
        <s v="柯春燕"/>
        <s v="王容"/>
        <s v="张平"/>
        <s v="朱华"/>
        <s v="陈洁萍"/>
        <s v="许登红"/>
        <s v="崔翠"/>
        <s v="张粉霞"/>
        <s v="赵欣"/>
        <s v="雷嫔"/>
        <s v="李富云"/>
        <s v="李洪秀"/>
        <s v="蔡媛"/>
        <s v="刘晓慧"/>
        <s v="周周"/>
        <s v="钟小姐"/>
        <s v="崔双玉"/>
        <s v="焦丹"/>
        <s v="张晓鹏"/>
        <s v="黄晓多"/>
        <s v="陈娜"/>
        <s v="林永玉"/>
        <s v="刘家淑"/>
        <s v="吴春兰"/>
        <s v="何霞"/>
        <s v="庄彩梅"/>
        <s v="黄云"/>
        <s v="罗小英"/>
        <s v="孙丽娟"/>
        <s v="雷虎"/>
        <s v="谢易珍"/>
        <s v="林逊"/>
        <s v="黄妙"/>
        <s v="武女士"/>
        <s v="黄鸿菲"/>
        <s v="马树红"/>
        <s v="田秋艳"/>
        <s v="吴燕华"/>
        <s v="刘璐菁"/>
        <s v="周小姐"/>
        <s v="宫焕梅"/>
        <s v="张相梅"/>
        <s v="俞丽鸣"/>
        <s v="王贤玉"/>
        <s v="王雪琼"/>
        <s v="徐燕倩"/>
        <s v="李晓慧"/>
        <s v="刘秀红"/>
        <s v="刘培贤"/>
        <s v="唐金敏"/>
        <s v="小林"/>
        <s v="欧阳"/>
        <s v="许晨"/>
        <s v="何军"/>
        <s v="黄凤姣"/>
        <s v="武光花"/>
        <s v="陈英艳"/>
        <s v="何旭梅"/>
        <s v="黄冬梅"/>
        <s v="孔阳珍"/>
        <s v="刘培霞"/>
        <s v="潘美玲"/>
        <s v="艾传青"/>
        <s v="张妞妞"/>
        <s v="岑人宁"/>
        <s v="曾小冰"/>
        <s v="付绍仙"/>
        <s v="李楚红"/>
        <s v="曾小惠"/>
        <s v="李贞玉"/>
        <s v="许军"/>
        <s v="陆骏"/>
        <s v="朱鸾凤"/>
        <s v="王雪霞"/>
        <s v="陈淑珍"/>
        <s v="孙贵典"/>
        <s v="麦思亭"/>
        <s v="曾琼辉"/>
        <s v="周丽君"/>
        <s v="钟桃"/>
        <s v="孙姐"/>
        <s v="何小艳"/>
        <s v="崔红志"/>
        <s v="邓小红"/>
        <s v="收货人:刘丹手机号码:"/>
        <s v="颜小娟"/>
        <s v="姚敏"/>
        <s v="刘康奇"/>
        <s v="张丹"/>
        <s v="李永梅"/>
        <s v="王兴秋"/>
        <s v="丁小红"/>
        <s v="咕噜姐姐"/>
        <s v="李东兰"/>
        <s v="何丽敏"/>
        <s v="冯老师"/>
        <s v="李先生"/>
        <s v="代花花"/>
        <s v="李雪梅"/>
        <s v="苏莲凤"/>
        <s v="徐女士"/>
        <s v="张小姐"/>
        <s v="褚玉霞"/>
        <s v="李遥"/>
        <s v="蒲芳"/>
        <s v="李新良"/>
        <s v="苏青梅"/>
        <s v="王军梅"/>
        <s v="陈焕玲"/>
        <s v="陈艳"/>
        <s v="廖日平"/>
        <s v="阳红春"/>
        <s v="李颂安"/>
        <s v="周春梅"/>
        <s v="徐彦玲"/>
        <s v="王珠连"/>
        <s v="周红玲"/>
        <s v="艾琳"/>
        <s v="岑冰"/>
        <s v="梁琳彬"/>
        <s v="黄珊"/>
        <s v="马丽梅"/>
        <s v="曾连娣"/>
        <s v="李新"/>
        <s v="陈桂芳"/>
        <s v="陈海芹"/>
        <s v="许丽华"/>
        <s v="译锦"/>
        <s v="张丽丹"/>
        <s v="高兴"/>
        <s v="王酉梅"/>
        <s v="卢诗敏"/>
        <s v="韦伟"/>
        <s v="张桃红"/>
        <s v="王亚男"/>
        <s v="裴春娥"/>
        <s v="向玲"/>
        <s v="孟书敏"/>
        <s v="汪婷婷"/>
        <s v="陈伏香"/>
        <s v="骆仕珍"/>
        <s v="李淑芬"/>
        <s v="俞贤琴"/>
        <s v="陈彩连"/>
        <s v="王增"/>
        <s v="蔡芳瑜"/>
        <s v="王秀梅"/>
        <s v="杨继"/>
        <s v="钟雪娟"/>
        <s v="马海琴"/>
        <s v="邹巧秀"/>
        <s v="赵修芝"/>
        <s v="卫芳"/>
        <s v="朱清华"/>
        <s v="陈女士"/>
        <s v="董瑞娟"/>
        <s v="刘先生"/>
        <s v="张发庸"/>
        <s v="吴玉红"/>
        <s v="赖女士"/>
        <s v="陈云霄"/>
        <s v="郑娜"/>
        <s v="邓碧雁"/>
        <s v="黄姐"/>
        <s v="邹华玲"/>
        <s v="王冬莲"/>
        <s v="彭芳"/>
        <s v="龙生"/>
        <s v="赵海鸿"/>
        <s v="李志敏"/>
        <s v="田老师"/>
        <s v="李省利姐"/>
        <s v="张"/>
        <s v="陈迪云"/>
        <s v="程妹芳"/>
        <s v="郭小瘦"/>
        <s v="黄先生"/>
        <s v="丁小菊"/>
        <s v="谷风霞"/>
        <s v="陈之春"/>
        <s v="刚菽擎"/>
        <s v="曹莉"/>
        <s v="黎章莲"/>
        <s v="毕看看"/>
        <s v="杜素霞"/>
        <s v="张玉燕"/>
        <s v="任义"/>
        <s v="张女士"/>
        <s v="王花蕊"/>
        <s v="邱丽萍"/>
        <s v="王双英"/>
        <s v="吴静"/>
        <s v="邓兴菊"/>
        <s v="林东妹"/>
        <s v="曹娟"/>
        <s v="潘文仕"/>
        <s v="黄丽英"/>
        <s v="王娟"/>
        <s v="李艳梅"/>
        <s v="Angel yan"/>
        <s v="翁榛鸿"/>
        <s v="徐惠萍"/>
        <s v="梁红美"/>
        <s v="陶厚文"/>
        <s v="王四芳"/>
        <s v="邹素珍"/>
        <s v="王波"/>
        <s v="张俪"/>
        <s v="徐凤"/>
        <s v="李春霞"/>
        <s v="刘细英"/>
        <s v="方蕾"/>
        <s v="叶辉玲"/>
        <s v="吴彩林"/>
        <s v="净心"/>
        <s v="黄香"/>
        <s v="俪娟"/>
        <s v="吴宝贝"/>
        <s v="杜华"/>
        <s v="邹永书"/>
        <s v="谷存芬"/>
        <s v="王丽"/>
        <s v="廖灵慧"/>
        <s v="李梦芬"/>
        <s v="曹迎宾"/>
        <s v="杜杜"/>
        <s v="邓大大"/>
        <s v="钟霞"/>
        <s v="陈在"/>
        <s v="韦宝玉"/>
        <s v="刘锦梅"/>
        <s v="刘左云"/>
        <s v="沙金女神"/>
        <s v="姜雅男"/>
        <s v="李长美"/>
        <s v="金美霞"/>
        <s v="王丽英"/>
        <s v="张键"/>
        <s v="陈彦羽"/>
        <s v="张钧菁"/>
        <s v="枫涓"/>
        <s v="孙蓉"/>
        <s v="蒲旭"/>
        <s v="孔翠兰"/>
        <s v="张祺榕"/>
        <s v="沈海燕"/>
        <s v="李延文"/>
        <s v="李霞"/>
        <s v="黄新星"/>
        <s v="刘波"/>
        <s v="陈碧庄"/>
        <s v="陈淑红"/>
        <s v="李清"/>
        <s v="唐生"/>
        <s v="申丽"/>
        <s v="周朝琼"/>
        <s v="李春苗"/>
        <s v="陈俊梅"/>
        <s v="魏福林"/>
        <s v="田宏佳"/>
        <s v="杨艳梅"/>
        <s v="王一"/>
        <s v="何玉平"/>
        <s v="吴英"/>
        <s v="毛毛同学"/>
        <s v="蔡壹帆"/>
        <s v="韩意"/>
        <s v="向小源"/>
        <s v="冯云香"/>
        <s v="胡春凤"/>
        <s v="杜丽"/>
        <s v="王明娣"/>
        <s v="郑翠莲"/>
        <s v="徐小芬"/>
        <s v="刘新兰"/>
        <s v="张婷"/>
        <s v="刘平菊"/>
        <s v="刘粤"/>
        <s v="范向军"/>
        <s v="杨术平"/>
        <s v="熊英"/>
        <s v="李满林"/>
        <s v="秦"/>
        <s v="周露兰"/>
        <s v="郑伟明"/>
        <s v="葉子"/>
        <s v="黄伙带"/>
        <s v="啊珠珠"/>
        <s v="冉萍"/>
        <s v="杨秀琴"/>
        <s v="阿庆"/>
        <s v="李慧"/>
        <s v="李伟连"/>
        <s v="刘义凤"/>
        <s v="张德莲"/>
        <s v="宫玉红"/>
        <s v="刘淳"/>
        <s v="陈志云"/>
        <s v="李美莹"/>
        <s v="梅丽华"/>
        <s v="田田老师"/>
        <s v="郑雨明"/>
        <s v="欧阳艳华"/>
        <s v="赵晓华"/>
        <s v="李桂贞"/>
        <s v="温艳艳"/>
        <s v="赵小样"/>
        <s v="高素梅"/>
        <s v="高玉兰"/>
        <s v="许嫦梅"/>
        <s v="管家萍"/>
        <s v="梁桂梅"/>
        <s v="魏老师"/>
        <s v="王HH"/>
        <s v="曹坤"/>
        <s v="李美秀"/>
        <s v="李老师"/>
        <s v="杨小霞"/>
        <s v="张国英"/>
        <s v="宋晓华"/>
        <s v="桂兴华"/>
        <s v="黄炳鲜"/>
        <s v="吕健平"/>
        <s v="郭永霞"/>
        <s v="郭超"/>
        <s v="姜茗予"/>
        <s v="薛丽华"/>
        <s v="孙亚君"/>
        <s v="时延花"/>
        <s v="小小"/>
        <m/>
      </sharedItems>
    </cacheField>
    <cacheField name="收货人手机号/提货人手机号" numFmtId="0">
      <sharedItems containsBlank="1" count="600">
        <s v="_x0009_13549433282"/>
        <s v="_x0009_18973493110"/>
        <s v="_x0009_15339556963"/>
        <s v="_x0009_13926368328"/>
        <s v="_x0009_13787323623"/>
        <s v="_x0009_15812748980"/>
        <s v="_x0009_15880687562"/>
        <s v="_x0009_13802850656"/>
        <s v="_x0009_18995305186"/>
        <s v="_x0009_13786681028"/>
        <s v="_x0009_13350246832"/>
        <s v="_x0009_13035255565"/>
        <s v="_x0009_13433207223"/>
        <s v="_x0009_15347722168"/>
        <s v="_x0009_13487577507"/>
        <s v="_x0009_15978616249"/>
        <s v="_x0009_13128523797"/>
        <s v="_x0009_13879460912"/>
        <s v="_x0009_18695188464"/>
        <s v="_x0009_13829675880"/>
        <s v="_x0009_13810118109"/>
        <s v="_x0009_18081467977"/>
        <s v="_x0009_15926907845"/>
        <s v="_x0009_13939061281"/>
        <s v="_x0009_18814678513"/>
        <s v="_x0009_13533682191"/>
        <s v="_x0009_13888850781"/>
        <s v="_x0009_18907395702"/>
        <s v="_x0009_13556352499"/>
        <s v="_x0009_13207312288"/>
        <s v="_x0009_13502351213"/>
        <s v="_x0009_19523377598"/>
        <s v="_x0009_13884632786"/>
        <s v="_x0009_13605980005"/>
        <s v="_x0009_13613503285"/>
        <s v="_x0009_13168698333"/>
        <s v="_x0009_15876354499"/>
        <s v="_x0009_18604725144"/>
        <s v="_x0009_15803959588"/>
        <s v="_x0009_13611431973"/>
        <s v="_x0009_13878293966"/>
        <s v="_x0009_13235450179"/>
        <s v="_x0009_19903186039"/>
        <s v="_x0009_13978682282"/>
        <s v="_x0009_18465193280"/>
        <s v="_x0009_18977160176"/>
        <s v="_x0009_13537961618"/>
        <s v="_x0009_15988086358"/>
        <s v="_x0009_18762188408"/>
        <s v="_x0009_15288814261"/>
        <s v="_x0009_13289239297"/>
        <s v="_x0009_13551868099"/>
        <s v="_x0009_13389193188"/>
        <s v="_x0009_15137725106"/>
        <s v="_x0009_15055688611"/>
        <s v="_x0009_13967096693"/>
        <s v="_x0009_15523595855"/>
        <s v="_x0009_18016104929"/>
        <s v="_x0009_15106377503"/>
        <s v="_x0009_13437750870"/>
        <s v="_x0009_13305391162"/>
        <s v="_x0009_18982710330"/>
        <s v="_x0009_13435688219"/>
        <s v="_x0009_13256567389"/>
        <s v="_x0009_15361020211"/>
        <s v="_x0009_13550665219"/>
        <s v="_x0009_13725850282"/>
        <s v="_x0009_15006041560"/>
        <s v="_x0009_13971993678"/>
        <s v="_x0009_13963486736"/>
        <s v="_x0009_15190813456"/>
        <s v="_x0009_15883077673"/>
        <s v="_x0009_15066253898"/>
        <s v="_x0009_18780209077"/>
        <s v="_x0009_13531625120"/>
        <s v="_x0009_13596525988"/>
        <s v="_x0009_13652352877"/>
        <s v="_x0009_13928983580"/>
        <s v="_x0009_18688882520"/>
        <s v="_x0009_15153257201"/>
        <s v="_x0009_15120283961"/>
        <s v="_x0009_15832762373"/>
        <s v="_x0009_15810760121"/>
        <s v="_x0009_15106053630"/>
        <s v="_x0009_13711256550"/>
        <s v="_x0009_13928694472"/>
        <s v="_x0009_15181165166"/>
        <s v="_x0009_18933389441"/>
        <s v="_x0009_13450934374"/>
        <s v="_x0009_13849536708"/>
        <s v="_x0009_18349118098"/>
        <s v="_x0009_13887447537"/>
        <s v="_x0009_15073269799"/>
        <s v="_x0009_13694321346"/>
        <s v="_x0009_18216102873"/>
        <s v="_x0009_15859832537"/>
        <s v="_x0009_18388199170"/>
        <s v="_x0009_13980628282"/>
        <s v="_x0009_13768356321"/>
        <s v="_x0009_15945943491"/>
        <s v="_x0009_13860627810"/>
        <s v="_x0009_13622398837"/>
        <s v="_x0009_15989923209"/>
        <s v="_x0009_13168892071"/>
        <s v="_x0009_13528008930"/>
        <s v="_x0009_13159518728"/>
        <s v="_x0009_18234109807"/>
        <s v="_x0009_13805871437"/>
        <s v="_x0009_13590568872"/>
        <s v="_x0009_13054056663"/>
        <s v="_x0009_18048869361"/>
        <s v="_x0009_13959603376"/>
        <s v="_x0009_17857631688"/>
        <s v="_x0009_13600731880"/>
        <s v="_x0009_13604345230"/>
        <s v="_x0009_18299504555"/>
        <s v="_x0009_13355181816"/>
        <s v="_x0009_15020005135"/>
        <s v="_x0009_13802833343"/>
        <s v="_x0009_13545607860"/>
        <s v="_x0009_13883095782"/>
        <s v="_x0009_13796148226"/>
        <s v="_x0009_18563702577"/>
        <s v="_x0009_13877897582"/>
        <s v="_x0009_13789108963"/>
        <s v="_x0009_15235843400"/>
        <s v="_x0009_15377323833"/>
        <s v="_x0009_15202177390"/>
        <s v="_x0009_13924613335"/>
        <s v="_x0009_15100569877"/>
        <s v="_x0009_15882741104"/>
        <s v="_x0009_13928867093"/>
        <s v="_x0009_18902707678"/>
        <s v="_x0009_13702972355"/>
        <s v="_x0009_15863369616"/>
        <s v="_x0009_18661951766"/>
        <s v="_x0009_18535600685"/>
        <s v="_x0009_15307068061"/>
        <s v="_x0009_13360330598"/>
        <s v="_x0009_13198360808"/>
        <s v="_x0009_13590508828"/>
        <s v="_x0009_18766494552"/>
        <s v="_x0009_13970793281"/>
        <s v="_x0009_18089498308"/>
        <s v="_x0009_15992018303"/>
        <s v="_x0009_18116817943"/>
        <s v="_x0009_18718413209"/>
        <s v="_x0009_13815081473"/>
        <s v="_x0009_13424316068"/>
        <s v="_x0009_15102044449"/>
        <s v="_x0009_13326582001"/>
        <s v="_x0009_13007899994"/>
        <s v="_x0009_15051663302"/>
        <s v="_x0009_13970688919"/>
        <s v="_x0009_15259511851"/>
        <s v="_x0009_15889711737"/>
        <s v="_x0009_15512991239"/>
        <s v="_x0009_15082565688"/>
        <s v="_x0009_13432350022"/>
        <s v="_x0009_15874593193"/>
        <s v="_x0009_18073947338"/>
        <s v="_x0009_13898103154"/>
        <s v="_x0009_13605970796"/>
        <s v="_x0009_18820958157"/>
        <s v="_x0009_18769542689"/>
        <s v="_x0009_18981142189"/>
        <s v="_x0009_18113164453"/>
        <s v="_x0009_18684590793"/>
        <s v="_x0009_18850968370"/>
        <s v="_x0009_15889372500"/>
        <s v="_x0009_13305801381"/>
        <s v="_x0009_15169710130"/>
        <s v="_x0009_18593276349"/>
        <s v="_x0009_13187696957"/>
        <s v="_x0009_13101952509"/>
        <s v="_x0009_18732720222"/>
        <s v="_x0009_15526614502"/>
        <s v="_x0009_13540465325"/>
        <s v="_x0009_13957237746"/>
        <s v="_x0009_13367575708"/>
        <s v="_x0009_13922935252"/>
        <s v="_x0009_13600667558"/>
        <s v="_x0009_18602420738"/>
        <s v="_x0009_18877296871"/>
        <s v="_x0009_15153003811"/>
        <s v="_x0009_13988046996"/>
        <s v="_x0009_18676431186"/>
        <s v="_x0009_13508647492"/>
        <s v="_x0009_18719121148"/>
        <s v="_x0009_13823361592"/>
        <s v="_x0009_13466107678"/>
        <s v="_x0009_18616515093"/>
        <s v="_x0009_13669555266"/>
        <s v="_x0009_13377338031"/>
        <s v="_x0009_13014208202"/>
        <s v="_x0009_13597385063"/>
        <s v="_x0009_15959684951"/>
        <s v="_x0009_13039572028"/>
        <s v="_x0009_13365888371"/>
        <s v="_x0009_13633481178"/>
        <s v="_x0009_15928165635"/>
        <s v="_x0009_18959224873"/>
        <s v="_x0009_13604558939"/>
        <s v="_x0009_15860861996"/>
        <s v="_x0009_15513595855"/>
        <s v="_x0009_13590480475"/>
        <s v="_x0009_13604818248"/>
        <s v="_x0009_15521393233"/>
        <s v="_x0009_13472197633"/>
        <s v="_x0009_15383613495"/>
        <s v="_x0009_15079911709"/>
        <s v="_x0009_13476978531"/>
        <s v="_x0009_13892735618"/>
        <s v="_x0009_13104357677"/>
        <s v="_x0009_13377859631"/>
        <s v="_x0009_13583543248"/>
        <s v="_x0009_15823728843"/>
        <s v="_x0009_17809145945"/>
        <s v="_x0009_17317535431"/>
        <s v="_x0009_18033916667"/>
        <s v="_x0009_18746015398"/>
        <s v="_x0009_13207138133"/>
        <s v="_x0009_15846638261"/>
        <s v="_x0009_13755851686"/>
        <s v="_x0009_18588987929"/>
        <s v="_x0009_15386526138"/>
        <s v="_x0009_15877110266"/>
        <s v="_x0009_13929881773"/>
        <s v="_x0009_15248978035"/>
        <s v="_x0009_18802016794"/>
        <s v="_x0009_15197281601"/>
        <s v="_x0009_15595622887"/>
        <s v="_x0009_13277651865"/>
        <s v="_x0009_13662223446"/>
        <s v="_x0009_18475932257"/>
        <s v="_x0009_13961742868"/>
        <s v="_x0009_18945635670"/>
        <s v="_x0009_13017089188"/>
        <s v="_x0009_13766474883"/>
        <s v="_x0009_15361755969"/>
        <s v="_x0009_13627857135"/>
        <s v="_x0009_18809983788"/>
        <s v="_x0009_18019991846"/>
        <s v="_x0009_18627286086"/>
        <s v="_x0009_18876735571"/>
        <s v="_x0009_15193752938"/>
        <s v="_x0009_15994475177"/>
        <s v="_x0009_13543526712"/>
        <s v="_x0009_13929430198"/>
        <s v="_x0009_18606797970"/>
        <s v="_x0009_13899622992"/>
        <s v="_x0009_13560929518"/>
        <s v="_x0009_13357018311"/>
        <s v="_x0009_18729389809"/>
        <s v="_x0009_18787008378"/>
        <s v="_x0009_17547552666"/>
        <s v="_x0009_15282321910"/>
        <s v="_x0009_13786213932"/>
        <s v="_x0009_18826347389"/>
        <s v="_x0009_15172761023"/>
        <s v="_x0009_18898698197"/>
        <s v="_x0009_15697560948"/>
        <s v="_x0009_13713659484"/>
        <s v="_x0009_18768761505"/>
        <s v="_x0009_18936137111"/>
        <s v="_x0009_13991058292"/>
        <s v="_x0009_17869807518"/>
        <s v="_x0009_13607342784"/>
        <s v="_x0009_13782852934"/>
        <s v="_x0009_15094796078"/>
        <s v="_x0009_13769024512"/>
        <s v="_x0009_18327861288"/>
        <s v="_x0009_13011996616"/>
        <s v="_x0009_15889720936"/>
        <s v="_x0009_15201027852"/>
        <s v="_x0009_18155745338"/>
        <s v="_x0009_19178453931"/>
        <s v="_x0009_13706679163"/>
        <s v="_x0009_15819155382"/>
        <s v="_x0009_18659294327"/>
        <s v="_x0009_13754620573"/>
        <s v="_x0009_13766158096"/>
        <s v="_x0009_13651088176"/>
        <s v="_x0009_18927337450"/>
        <s v="_x0009_13925033248"/>
        <s v="_x0009_18079553278"/>
        <s v="_x0009_13872883601"/>
        <s v="_x0009_18099621472"/>
        <s v="_x0009_18974839913"/>
        <s v="_x0009_18610212107"/>
        <s v="_x0009_13503061525"/>
        <s v="_x0009_18602896628"/>
        <s v="_x0009_18681227670"/>
        <s v="_x0009_13761269637"/>
        <s v="_x0009_13261660638"/>
        <s v="_x0009_15897634032"/>
        <s v="_x0009_15675143145"/>
        <s v="_x0009_15817280913"/>
        <s v="_x0009_15954534593"/>
        <s v="_x0009_13922282910"/>
        <s v="_x0009_18964705821"/>
        <s v="_x0009_17725617231"/>
        <s v="_x0009_15880896368"/>
        <s v="_x0009_13794950668"/>
        <s v="_x0009_15019201885"/>
        <s v="_x0009_13935446853"/>
        <s v="_x0009_13883968126"/>
        <s v="_x0009_13782759891"/>
        <s v="_x0009_13326382456"/>
        <s v="_x0009_18357501995"/>
        <s v="_x0009_13760408676"/>
        <s v="_x0009_15588883273"/>
        <s v="_x0009_13327132110"/>
        <s v="_x0009_13577267189"/>
        <s v="_x0009_15273136588"/>
        <s v="_x0009_13562297345"/>
        <s v="_x0009_13196061518"/>
        <s v="_x0009_18780718815"/>
        <s v="_x0009_18696690081"/>
        <s v="_x0009_13016160644"/>
        <s v="_x0009_13948061669"/>
        <s v="_x0009_13314454638"/>
        <s v="_x0009_13686168995"/>
        <s v="_x0009_13727437875"/>
        <s v="_x0009_13707712003"/>
        <s v="_x0009_18187063557"/>
        <s v="_x0009_13539353935"/>
        <s v="_x0009_18960067797"/>
        <s v="_x0009_18561698570"/>
        <s v="_x0009_13813941088"/>
        <s v="_x0009_18901910998"/>
        <s v="_x0009_18075672677"/>
        <s v="_x0009_13839911899"/>
        <s v="_x0009_13718189317"/>
        <s v="_x0009_15853989500"/>
        <s v="_x0009_13763055589"/>
        <s v="_x0009_13683407261"/>
        <s v="_x0009_13799414319"/>
        <s v="_x0009_15149666048"/>
        <s v="_x0009_18317996933"/>
        <s v="_x0009_18662578068"/>
        <s v="_x0009_18774901981"/>
        <s v="_x0009_15670561001"/>
        <s v="_x0009_18910250413"/>
        <s v="_x0009_13889832081"/>
        <s v="_x0009_13480490681"/>
        <s v="_x0009_13579935351"/>
        <s v="_x0009_18656023037"/>
        <s v="_x0009_13392792852"/>
        <s v="_x0009_13529650982"/>
        <s v="_x0009_13769616439"/>
        <s v="_x0009_15907055680"/>
        <s v="_x0009_13956953722"/>
        <s v="_x0009_15833146887"/>
        <s v="_x0009_13600909228"/>
        <s v="_x0009_13600966398"/>
        <s v="_x0009_17875488887"/>
        <s v="_x0009_15106900599"/>
        <s v="_x0009_18580045568"/>
        <s v="_x0009_15280210172"/>
        <s v="_x0009_13435061206"/>
        <s v="_x0009_13622540869"/>
        <s v="_x0009_13540506122"/>
        <s v="_x0009_13991963016"/>
        <s v="_x0009_13134479471"/>
        <s v="_x0009_15526115878"/>
        <s v="_x0009_13923406367"/>
        <s v="_x0009_15953316526"/>
        <s v="_x0009_13531675782"/>
        <s v="_x0009_13812088012"/>
        <s v="_x0009_15969292390"/>
        <s v="_x0009_17773220118"/>
        <s v="_x0009_18507750997"/>
        <s v="_x0009_18079964019"/>
        <s v="_x0009_13809249909"/>
        <s v="_x0009_13927423889"/>
        <s v="_x0009_15898792199"/>
        <s v="_x0009_13928272688"/>
        <s v="_x0009_13101252231"/>
        <s v="_x0009_13762292821"/>
        <s v="_x0009_15898526327"/>
        <s v="_x0009_13602527008"/>
        <s v="_x0009_13434600795"/>
        <s v="_x0009_18682698387"/>
        <s v="_x0009_18113673426"/>
        <s v="_x0009_18929876562"/>
        <s v="_x0009_13804989258"/>
        <s v="_x0009_13801948047"/>
        <s v="_x0009_15366495233"/>
        <s v="_x0009_13922701858"/>
        <s v="_x0009_13727227970"/>
        <s v="_x0009_18628224768"/>
        <s v="_x0009_18711707908"/>
        <s v="_x0009_13510086006"/>
        <s v="_x0009_13798391746"/>
        <s v="_x0009_13479534107"/>
        <s v="_x0009_13537657517"/>
        <s v="_x0009_13806037031"/>
        <s v="_x0009_18379429518"/>
        <s v="_x0009_13683595737"/>
        <s v="_x0009_15609914522"/>
        <s v="_x0009_17754983912"/>
        <s v="_x0009_13824515622"/>
        <s v="_x0009_18777896827"/>
        <s v="_x0009_18033355013"/>
        <s v="_x0009_13923839912"/>
        <s v="_x0009_13965148744"/>
        <s v="_x0009_15977677064"/>
        <s v="_x0009_15704944488"/>
        <s v="_x0009_13774888298"/>
        <s v="_x0009_13170755688"/>
        <s v="_x0009_13835397195"/>
        <s v="_x0009_15160185981"/>
        <s v="_x0009_13071840806"/>
        <s v="_x0009_13243868149"/>
        <s v="_x0009_13653705368"/>
        <s v="_x0009_18936237068"/>
        <s v="_x0009_13709781815"/>
        <s v="_x0009_13387283268"/>
        <s v="_x0009_13598995612"/>
        <s v="_x0009_15171203687"/>
        <s v="_x0009_15571758059"/>
        <s v="_x0009_15936477811"/>
        <s v="_x0009_13594656856"/>
        <s v="_x0009_13701975728"/>
        <s v="_x0009_13868248962"/>
        <s v="_x0009_13557764054"/>
        <s v="_x0009_13549656099"/>
        <s v="_x0009_13855006413"/>
        <s v="_x0009_18607971051"/>
        <s v="_x0009_15080770456"/>
        <s v="_x0009_15360917218"/>
        <s v="_x0009_13605787131"/>
        <s v="_x0009_15952172319"/>
        <s v="_x0009_18925288732"/>
        <s v="_x0009_15204286440"/>
        <s v="_x0009_18092070159"/>
        <s v="_x0009_17337283715"/>
        <s v="_x0009_13978539295"/>
        <s v="_x0009_13426733922"/>
        <s v="_x0009_13522451472"/>
        <s v="_x0009_13918911924"/>
        <s v="_x0009_13979455653"/>
        <s v="_x0009_13139668675"/>
        <s v="_x0009_13825710179"/>
        <s v="_x0009_13368681090"/>
        <s v="_x0009_13726616116"/>
        <s v="_x0009_18528268314"/>
        <s v="_x0009_13652250503"/>
        <s v="_x0009_13417133222"/>
        <s v="_x0009_13378075088"/>
        <s v="_x0009_18980697392"/>
        <s v="_x0009_13325018236"/>
        <s v="_x0009_16636193862"/>
        <s v="_x0009_13787399939"/>
        <s v="_x0009_13733598408"/>
        <s v="_x0009_15312261200"/>
        <s v="_x0009_13752916916"/>
        <s v="_x0009_13706991315"/>
        <s v="_x0009_18675835153"/>
        <s v="_x0009_18777772432"/>
        <s v="_x0009_13860395933"/>
        <s v="_x0009_15909676254"/>
        <s v="_x0009_18090779806"/>
        <s v="_x0009_18570304963"/>
        <s v="_x0009_19802677868"/>
        <s v="_x0009_15014981118"/>
        <s v="_x0009_13355146166"/>
        <s v="_x0009_13794739036"/>
        <s v="_x0009_13578019072"/>
        <s v="_x0009_15506288889"/>
        <s v="_x0009_15592672764"/>
        <s v="_x0009_18909033766"/>
        <s v="_x0009_15801453770"/>
        <s v="_x0009_18663431888"/>
        <s v="_x0009_13303856361"/>
        <s v="_x0009_18825590466"/>
        <s v="_x0009_13531023513"/>
        <s v="_x0009_18978708022"/>
        <s v="_x0009_13685222075"/>
        <s v="_x0009_18500602252"/>
        <s v="_x0009_18228746902"/>
        <s v="_x0009_15859800533"/>
        <s v="_x0009_13085263770"/>
        <s v="_x0009_15348121089"/>
        <s v="_x0009_13529552980"/>
        <s v="_x0009_15713882256"/>
        <s v="_x0009_13392734631"/>
        <s v="_x0009_13854630997"/>
        <s v="_x0009_15973999200"/>
        <s v="_x0009_18678762587"/>
        <s v="_x0009_13466159136"/>
        <s v="_x0009_13929464188"/>
        <s v="_x0009_13635356998"/>
        <s v="_x0009_18077878545"/>
        <s v="_x0009_15662096799"/>
        <s v="_x0009_18748743924"/>
        <s v="_x0009_17725794313"/>
        <s v="_x0009_13796601920"/>
        <s v="_x0009_15828062960"/>
        <s v="_x0009_13851564549"/>
        <s v="_x0009_18977397707"/>
        <s v="_x0009_18916018516"/>
        <s v="_x0009_13451825217"/>
        <s v="_x0009_15950221061"/>
        <s v="_x0009_13501392861"/>
        <s v="_x0009_15950523608"/>
        <s v="_x0009_15010862710"/>
        <s v="_x0009_13983477488"/>
        <s v="_x0009_13314633887"/>
        <s v="_x0009_17688917578"/>
        <s v="_x0009_13552349354"/>
        <s v="_x0009_13853100101"/>
        <s v="_x0009_18209153656"/>
        <s v="_x0009_18779092190"/>
        <s v="_x0009_13734992559"/>
        <s v="_x0009_13515066901"/>
        <s v="_x0009_13210460567"/>
        <s v="_x0009_15113792525"/>
        <s v="_x0009_18822967599"/>
        <s v="_x0009_18561202016"/>
        <s v="_x0009_15723030986"/>
        <s v="_x0009_15182447987"/>
        <s v="_x0009_13760029152"/>
        <s v="_x0009_18666860091"/>
        <s v="_x0009_13882377858"/>
        <s v="_x0009_13995400325"/>
        <s v="_x0009_15835841889"/>
        <s v="_x0009_15077186610"/>
        <s v="_x0009_18178512532"/>
        <s v="_x0009_13594346033"/>
        <s v="_x0009_15812442004"/>
        <s v="_x0009_18678197759"/>
        <s v="_x0009_13984245053"/>
        <s v="_x0009_15200781225"/>
        <s v="_x0009_13647624067"/>
        <s v="_x0009_15840586025"/>
        <s v="_x0009_18983001099"/>
        <s v="_x0009_13034668056"/>
        <s v="_x0009_18959626600"/>
        <s v="_x0009_13757195077"/>
        <s v="_x0009_13631910935"/>
        <s v="_x0009_13679333691"/>
        <s v="_x0009_13927425085"/>
        <s v="_x0009_13100223735"/>
        <s v="_x0009_15237508877"/>
        <s v="_x0009_13802236515"/>
        <s v="_x0009_17843572314"/>
        <s v="_x0009_15377835899"/>
        <s v="_x0009_13768441362"/>
        <s v="_x0009_13977319348"/>
        <s v="_x0009_13822958482"/>
        <s v="_x0009_18819132673"/>
        <s v="_x0009_17371673505"/>
        <s v="_x0009_18666762441"/>
        <s v="_x0009_15013090812"/>
        <s v="_x0009_13880036596"/>
        <s v="_x0009_13696088455"/>
        <s v="_x0009_13755147394"/>
        <s v="_x0009_13704314888"/>
        <s v="_x0009_13924540279"/>
        <s v="_x0009_18229586869"/>
        <s v="_x0009_13960523923"/>
        <s v="_x0009_15275276735"/>
        <s v="_x0009_18827199566"/>
        <s v="_x0009_13371577767"/>
        <s v="_x0009_18927799071"/>
        <s v="_x0009_15949906799"/>
        <s v="_x0009_18744250073"/>
        <s v="_x0009_13807852806"/>
        <s v="_x0009_15802657939"/>
        <s v="_x0009_18783128868"/>
        <s v="_x0009_15063973836"/>
        <s v="_x0009_18736834414"/>
        <s v="_x0009_13926002544"/>
        <s v="_x0009_18842143805"/>
        <s v="_x0009_18996809868"/>
        <s v="_x0009_18373467949"/>
        <s v="_x0009_15103012026"/>
        <s v="_x0009_15678551296"/>
        <s v="_x0009_18971313413"/>
        <s v="_x0009_13530693738"/>
        <s v="_x0009_13701057908"/>
        <s v="_x0009_13029572345"/>
        <s v="_x0009_15253179635"/>
        <s v="_x0009_13906776219"/>
        <s v="_x0009_13453306829"/>
        <s v="_x0009_15165440621"/>
        <s v="_x0009_18641309717"/>
        <s v="_x0009_15184303201"/>
        <s v="_x0009_15977727185"/>
        <s v="_x0009_13895154789"/>
        <s v="_x0009_13902748225"/>
        <s v="_x0009_13942660835"/>
        <s v="_x0009_13860537195"/>
        <s v="_x0009_13809293129"/>
        <s v="_x0009_18993183969"/>
        <s v="_x0009_13766621057"/>
        <s v="_x0009_19839379123"/>
        <m/>
      </sharedItems>
    </cacheField>
    <cacheField name="收货人省份" numFmtId="0">
      <sharedItems containsBlank="1" count="29">
        <s v="广东省"/>
        <s v="湖南省"/>
        <s v="贵州省"/>
        <s v="福建省"/>
        <s v="宁夏回族自治区"/>
        <s v="四川省"/>
        <s v="湖北省"/>
        <s v="广西壮族自治区"/>
        <s v="河南省"/>
        <s v="江西省"/>
        <s v="北京市"/>
        <s v="黑龙江省"/>
        <s v="云南省"/>
        <s v="山东省"/>
        <s v="山西省"/>
        <s v="内蒙古自治区"/>
        <s v="河北省"/>
        <s v="浙江省"/>
        <s v="江苏省"/>
        <s v="陕西省"/>
        <s v="安徽省"/>
        <s v="吉林省"/>
        <s v="新疆维吾尔自治区"/>
        <s v="重庆市"/>
        <s v="上海市"/>
        <s v="甘肃省"/>
        <s v="辽宁省"/>
        <s v="海南省"/>
        <m/>
      </sharedItems>
    </cacheField>
    <cacheField name="收货人城市" numFmtId="0">
      <sharedItems containsBlank="1" count="201">
        <s v="东莞市"/>
        <s v="衡阳市"/>
        <s v="黔东南苗族侗族自治州"/>
        <s v="阳江市"/>
        <s v="湘潭市"/>
        <s v="珠海市"/>
        <s v="龙岩市"/>
        <s v="肇庆市"/>
        <s v="吴忠市"/>
        <s v="常德市"/>
        <s v="宜宾市"/>
        <s v="十堰市"/>
        <s v="佛山市"/>
        <s v="柳州市"/>
        <s v="长沙市"/>
        <s v="洛阳市"/>
        <s v="抚州市"/>
        <s v="银川市"/>
        <s v="汕头市"/>
        <s v="北京市"/>
        <s v="巴中市"/>
        <s v="黄石市"/>
        <s v="郑州市"/>
        <s v="鸡西市"/>
        <s v="广州市"/>
        <s v="昆明市"/>
        <s v="邵阳市"/>
        <s v="梅州市"/>
        <s v="临沂市"/>
        <s v="三明市"/>
        <s v="忻州市"/>
        <s v="清远市"/>
        <s v="包头市"/>
        <s v="来宾市"/>
        <s v="恩施土家族苗族自治州"/>
        <s v="衡水市"/>
        <s v="南宁市"/>
        <s v="丽水市"/>
        <s v="宿迁市"/>
        <s v="潍坊市"/>
        <s v="西安市"/>
        <s v="成都市"/>
        <s v="铜川市"/>
        <s v="安庆市"/>
        <s v="运城市"/>
        <s v="德阳市"/>
        <s v="济宁市"/>
        <s v="惠州市"/>
        <s v="泸州市"/>
        <s v="日照市"/>
        <s v="深圳市"/>
        <s v="漳州市"/>
        <s v="鄂州市"/>
        <s v="济南市"/>
        <s v="南通市"/>
        <s v="青岛市"/>
        <s v="延边朝鲜族自治州"/>
        <s v="遵义市"/>
        <s v="沧州市"/>
        <s v="泉州市"/>
        <s v="中山市"/>
        <s v="省直辖县级行政区划"/>
        <s v="曲靖市"/>
        <s v="吉林市"/>
        <s v="贵港市"/>
        <s v="哈尔滨市"/>
        <s v="福州市"/>
        <s v="长春市"/>
        <s v="太原市"/>
        <s v="宁波市"/>
        <s v="自贡市"/>
        <s v="金华市"/>
        <s v="四平市"/>
        <s v="昌吉回族自治州"/>
        <s v="咸宁市"/>
        <s v="重庆市"/>
        <s v="河池市"/>
        <s v="郴州市"/>
        <s v="吕梁市"/>
        <s v="上海市"/>
        <s v="唐山市"/>
        <s v="晋城市"/>
        <s v="吉安市"/>
        <s v="眉山市"/>
        <s v="滨州市"/>
        <s v="赣州市"/>
        <s v="武威市"/>
        <s v="博尔塔拉蒙古自治州"/>
        <s v="连云港市"/>
        <s v="安顺市"/>
        <s v="苏州市"/>
        <s v="遂宁市"/>
        <s v="茂名市"/>
        <s v="怀化市"/>
        <s v="沈阳市"/>
        <s v="聊城市"/>
        <s v="绵阳市"/>
        <s v="舟山市"/>
        <s v="德州市"/>
        <s v="桂林市"/>
        <s v="大理白族自治州"/>
        <s v="扬州市"/>
        <s v="通化市"/>
        <s v="杭州市"/>
        <s v="菏泽市"/>
        <s v="红河哈尼族彝族自治州"/>
        <s v="石嘴山市"/>
        <s v="玉林市"/>
        <s v="晋中市"/>
        <s v="厦门市"/>
        <s v="绥化市"/>
        <s v="石家庄市"/>
        <s v="萍乡市"/>
        <s v="荆州市"/>
        <s v="宝鸡市"/>
        <s v="汉中市"/>
        <s v="武汉市"/>
        <s v="烟台市"/>
        <s v="商洛市"/>
        <s v="宁德市"/>
        <s v="宜春市"/>
        <s v="江门市"/>
        <s v="乐山市"/>
        <s v="崇左市"/>
        <s v="省直辖县"/>
        <s v="海口市"/>
        <s v="荆门市"/>
        <s v="湛江市"/>
        <s v="无锡市"/>
        <s v="上饶市"/>
        <s v="喀什地区"/>
        <s v="合肥市"/>
        <s v="酒泉市"/>
        <s v="平顶山市"/>
        <s v="衢州市"/>
        <s v="通辽市"/>
        <s v="淄博市"/>
        <s v="韶关市"/>
        <s v="随州市"/>
        <s v="六盘水市"/>
        <s v="台州市"/>
        <s v="咸阳市"/>
        <s v="焦作市"/>
        <s v="泰安市"/>
        <s v="丽江市"/>
        <s v="宿州市"/>
        <s v="贺州市"/>
        <s v="温州市"/>
        <s v="威海市"/>
        <s v="乌鲁木齐市"/>
        <s v="绍兴市"/>
        <s v="阿拉善盟"/>
        <s v="东营市"/>
        <s v="南充市"/>
        <s v="潮州市"/>
        <s v="南京市"/>
        <s v="娄底市"/>
        <s v="驻马店市"/>
        <s v="鄂尔多斯市"/>
        <s v="新乡市"/>
        <s v="廊坊市"/>
        <s v="文山壮族苗族自治州"/>
        <s v="承德市"/>
        <s v="盐城市"/>
        <s v="益阳市"/>
        <s v="河源市"/>
        <s v="广元市"/>
        <s v="商丘市"/>
        <s v="宜昌市"/>
        <s v="许昌市"/>
        <s v="安阳市"/>
        <s v="百色市"/>
        <s v="滁州市"/>
        <s v="徐州市"/>
        <s v="盘锦市"/>
        <s v="孝感市"/>
        <s v="钦州市"/>
        <s v="泰州市"/>
        <s v="昭通市"/>
        <s v="凉山彝族自治州"/>
        <s v="保山市"/>
        <s v="毕节市"/>
        <s v="牡丹江市"/>
        <s v="秦皇岛市"/>
        <s v="安康市"/>
        <s v="云浮市"/>
        <s v="县"/>
        <s v="攀枝花市"/>
        <s v="防城港市"/>
        <s v="湘西土家族苗族自治州"/>
        <s v="平凉市"/>
        <s v="永州市"/>
        <s v="揭阳市"/>
        <s v="黄冈市"/>
        <s v="朝阳市"/>
        <s v="阳泉市"/>
        <s v="抚顺市"/>
        <s v="湖州市"/>
        <s v="兰州市"/>
        <s v="濮阳市"/>
        <m/>
      </sharedItems>
    </cacheField>
    <cacheField name="收货人地区" numFmtId="0">
      <sharedItems containsBlank="1" count="432">
        <s v="凤岗镇"/>
        <s v="衡东县"/>
        <s v="丹寨县"/>
        <s v="江城区"/>
        <s v="湘潭县"/>
        <s v="香洲区"/>
        <s v="新罗区"/>
        <s v="鼎湖区"/>
        <s v="利通区"/>
        <s v="汉寿县"/>
        <s v="叙州区"/>
        <s v="张湾区"/>
        <s v="南海区"/>
        <s v="柳南区"/>
        <s v="宁乡市"/>
        <s v="吉利区"/>
        <s v="金湾区"/>
        <s v="金溪县"/>
        <s v="兴庆区"/>
        <s v="龙湖区"/>
        <s v="房山区"/>
        <s v="南江县"/>
        <s v="阳新县"/>
        <s v="金水区"/>
        <s v="鸡冠区"/>
        <s v="增城区"/>
        <s v="东川区"/>
        <s v="邵东市"/>
        <s v="澄海区"/>
        <s v="岳麓区"/>
        <s v="兴宁市"/>
        <s v="官渡区"/>
        <s v="莒南县"/>
        <s v="梅列区"/>
        <s v="忻府区"/>
        <s v="清城区"/>
        <s v="青山区"/>
        <s v="海珠区"/>
        <s v="兴宾区"/>
        <s v="利川市"/>
        <s v="桃城区"/>
        <s v="江南区"/>
        <s v="青铜峡市"/>
        <s v="西乡塘区"/>
        <s v="阳春市"/>
        <s v="松阳县"/>
        <s v="宿城区"/>
        <s v="潍城区"/>
        <s v="莲湖区"/>
        <s v="温江区"/>
        <s v="耀州区"/>
        <s v="宿松县"/>
        <s v="青田县"/>
        <s v="盐湖区"/>
        <s v="绵竹市"/>
        <s v="梁山县"/>
        <s v="惠城区"/>
        <s v="兰山区"/>
        <s v="泸县"/>
        <s v="天河区"/>
        <s v="东港区"/>
        <s v="龙岗区"/>
        <s v="中江县"/>
        <s v="塘厦镇"/>
        <s v="云霄县"/>
        <s v="鄂城区"/>
        <s v="莱芜区"/>
        <s v="海安市"/>
        <s v="龙马潭区"/>
        <s v="即墨区"/>
        <s v="惠阳区"/>
        <s v="和龙市"/>
        <s v="宝安区"/>
        <s v="黄埔区"/>
        <s v="李沧区"/>
        <s v="凤冈县"/>
        <s v="运河区"/>
        <s v="鲤城区"/>
        <s v="屏山县"/>
        <s v="中山市"/>
        <s v="坦洲镇"/>
        <s v="济源市"/>
        <s v="青羊区"/>
        <s v="沾益区"/>
        <s v="湘乡市"/>
        <s v="船营区"/>
        <s v="鼎城区"/>
        <s v="大田县"/>
        <s v="呈贡区"/>
        <s v="新都区"/>
        <s v="平南县"/>
        <s v="阿城区"/>
        <s v="闽清县"/>
        <s v="常平镇"/>
        <s v="九台区"/>
        <s v="小店区"/>
        <s v="江东区"/>
        <s v="富顺县"/>
        <s v="永康市"/>
        <s v="晋江市"/>
        <s v="铁东区"/>
        <s v="昌吉市"/>
        <s v="任城区"/>
        <s v="槐荫区"/>
        <s v="花都区"/>
        <s v="嘉鱼县"/>
        <s v="渝北区"/>
        <s v="延寿县"/>
        <s v="长清区"/>
        <s v="天峨县"/>
        <s v="宜章县"/>
        <s v="文水县"/>
        <s v="韶山市"/>
        <s v="松江区"/>
        <s v="迁安市"/>
        <s v="巴州区"/>
        <s v="南沙区"/>
        <s v="潮阳区"/>
        <s v="顺德区"/>
        <s v="城阳区"/>
        <s v="泽州县"/>
        <s v="吉州区"/>
        <s v="东坡区"/>
        <s v="高明区"/>
        <s v="邹平市"/>
        <s v="章贡区"/>
        <s v="凉州区"/>
        <s v="阳山县"/>
        <s v="博乐市"/>
        <s v="番禺区"/>
        <s v="海州区"/>
        <s v="阳西县"/>
        <s v="西秀区"/>
        <s v="昆山市"/>
        <s v="永新县"/>
        <s v="龙华区"/>
        <s v="射洪市"/>
        <s v="信宜市"/>
        <s v="鹤城区"/>
        <s v="新邵县"/>
        <s v="皇姑区"/>
        <s v="建宁县"/>
        <s v="福田区"/>
        <s v="茌平县"/>
        <s v="涪城区"/>
        <s v="双流区"/>
        <s v="常宁市"/>
        <s v="普陀区"/>
        <s v="临邑县"/>
        <s v="七星区"/>
        <s v="大理市"/>
        <s v="江都区"/>
        <s v="青县"/>
        <s v="梅河口市"/>
        <s v="锦江区"/>
        <s v="港北区"/>
        <s v="定海区"/>
        <s v="樟木头镇"/>
        <s v="余杭区"/>
        <s v="苏家屯区"/>
        <s v="郓城县"/>
        <s v="蒙自市"/>
        <s v="东凤镇"/>
        <s v="化州市"/>
        <s v="宣威市"/>
        <s v="杨浦区"/>
        <s v="惠农区"/>
        <s v="博白县"/>
        <s v="龙文区"/>
        <s v="耒阳市"/>
        <s v="寿阳县"/>
        <s v="海沧区"/>
        <s v="北林区"/>
        <s v="永安市"/>
        <s v="呼兰区"/>
        <s v="荔湾区"/>
        <s v="灵寿县"/>
        <s v="上栗县"/>
        <s v="沙市区"/>
        <s v="太白县"/>
        <s v="汉台区"/>
        <s v="江汉区"/>
        <s v="福山区"/>
        <s v="梁平区"/>
        <s v="柞水县"/>
        <s v="奉贤区"/>
        <s v="蕉城区"/>
        <s v="道里区"/>
        <s v="汉阳区"/>
        <s v="南岗区"/>
        <s v="奉新县"/>
        <s v="鹤山市"/>
        <s v="峨眉山市"/>
        <s v="江州区"/>
        <s v="高要区"/>
        <s v="白沙黎族自治县"/>
        <s v="秀英区"/>
        <s v="钟祥市"/>
        <s v="吴川市"/>
        <s v="滨湖区"/>
        <s v="巴彦县"/>
        <s v="万年县"/>
        <s v="喀什市"/>
        <s v="庐阳区"/>
        <s v="荆州区"/>
        <s v="澄迈县"/>
        <s v="玉门市"/>
        <s v="扶绥县"/>
        <s v="霞山区"/>
        <s v="沙田镇"/>
        <s v="舞钢市"/>
        <s v="奇台县"/>
        <s v="端州区"/>
        <s v="柯城区"/>
        <s v="未央区"/>
        <s v="新津区"/>
        <s v="科尔沁区"/>
        <s v="淄川区"/>
        <s v="武江区"/>
        <s v="曾都区"/>
        <s v="盘州市"/>
        <s v="仙居县"/>
        <s v="秦都区"/>
        <s v="安宁市"/>
        <s v="望城区"/>
        <s v="武陟县"/>
        <s v="宁阳县"/>
        <s v="华坪县"/>
        <s v="泊头市"/>
        <s v="朝阳区"/>
        <s v="埇桥区"/>
        <s v="八步区"/>
        <s v="龙湾区"/>
        <s v="阳东区"/>
        <s v="环翠区"/>
        <s v="洪山区"/>
        <s v="海淀区"/>
        <s v="靖安县"/>
        <s v="新市区"/>
        <s v="开福区"/>
        <s v="门头沟区"/>
        <s v="白云区"/>
        <s v="武侯区"/>
        <s v="龙泉驿区"/>
        <s v="浦东新区"/>
        <s v="广水市"/>
        <s v="芝罘区"/>
        <s v="雨花区"/>
        <s v="黄浦区"/>
        <s v="金平区"/>
        <s v="南城街道办事处"/>
        <s v="巴南区"/>
        <s v="解放区"/>
        <s v="招远市"/>
        <s v="越城区"/>
        <s v="阿拉善左旗"/>
        <s v="芙蓉区"/>
        <s v="垦利区"/>
        <s v="舒兰市"/>
        <s v="嘉陵区"/>
        <s v="天柱县"/>
        <s v="企石镇"/>
        <s v="禅城区"/>
        <s v="盘龙区"/>
        <s v="五华区"/>
        <s v="湘桥区"/>
        <s v="龙海市"/>
        <s v="栖霞区"/>
        <s v="娄星区"/>
        <s v="驿城区"/>
        <s v="罗庄区"/>
        <s v="遂溪县"/>
        <s v="鼓楼区"/>
        <s v="准格尔旗"/>
        <s v="安源区"/>
        <s v="吴中区"/>
        <s v="长垣县"/>
        <s v="三河市"/>
        <s v="浑南区"/>
        <s v="寮步镇"/>
        <s v="龙华新区"/>
        <s v="富宁县"/>
        <s v="樟树市"/>
        <s v="包河区"/>
        <s v="双桥区"/>
        <s v="思明区"/>
        <s v="历下区"/>
        <s v="斗门区"/>
        <s v="夹江县"/>
        <s v="新城区"/>
        <s v="芷江侗族自治县"/>
        <s v="张店区"/>
        <s v="宜兴市"/>
        <s v="文山市"/>
        <s v="雨湖区"/>
        <s v="北流市"/>
        <s v="湘东区"/>
        <s v="丹棱县"/>
        <s v="岳塘区"/>
        <s v="成华区"/>
        <s v="四会市"/>
        <s v="铁西区"/>
        <s v="阜宁县"/>
        <s v="小榄镇"/>
        <s v="赫山区"/>
        <s v="广宁县"/>
        <s v="袁州区"/>
        <s v="乳山市"/>
        <s v="沙依巴克区"/>
        <s v="长寿区"/>
        <s v="宜州区"/>
        <s v="龙川县"/>
        <s v="瑶海区"/>
        <s v="青秀区"/>
        <s v="旺苍县"/>
        <s v="拱墅区"/>
        <s v="梁园区"/>
        <s v="邗江区"/>
        <s v="雁塔区"/>
        <s v="伍家岗区"/>
        <s v="鄢陵县"/>
        <s v="仙桃市"/>
        <s v="安阳县"/>
        <s v="瓯海区"/>
        <s v="义乌市"/>
        <s v="田阳区"/>
        <s v="浏阳市"/>
        <s v="琅琊区"/>
        <s v="宁海县"/>
        <s v="邳州市"/>
        <s v="南山区"/>
        <s v="盘山县"/>
        <s v="碑林区"/>
        <s v="殷都区"/>
        <s v="新会区"/>
        <s v="通州区"/>
        <s v="天山区"/>
        <s v="博罗县"/>
        <s v="六枝特区"/>
        <s v="安陆市"/>
        <s v="大邑县"/>
        <s v="市南区"/>
        <s v="隆回县"/>
        <s v="江阴市"/>
        <s v="闽侯县"/>
        <s v="桃江县"/>
        <s v="钦南区"/>
        <s v="古田县"/>
        <s v="旌阳区"/>
        <s v="靖江市"/>
        <s v="源城区"/>
        <s v="汶上县"/>
        <s v="和平县"/>
        <s v="昭阳区"/>
        <s v="渭滨区"/>
        <s v="新郑市"/>
        <s v="长安镇"/>
        <s v="赤坎区"/>
        <s v="陆川县"/>
        <s v="常熟市"/>
        <s v="西昌市"/>
        <s v="腾冲县"/>
        <s v="广饶县"/>
        <s v="双清区"/>
        <s v="万州区"/>
        <s v="凤山县"/>
        <s v="新泰市"/>
        <s v="威宁彝族回族苗族自治县"/>
        <s v="苏州工业园区"/>
        <s v="青白江区"/>
        <s v="阳朔县"/>
        <s v="秦淮区"/>
        <s v="亭湖区"/>
        <s v="江宁区"/>
        <s v="綦江区"/>
        <s v="西安区"/>
        <s v="海港区"/>
        <s v="历城区"/>
        <s v="汉滨区"/>
        <s v="越西县"/>
        <s v="福安市"/>
        <s v="东昌府区"/>
        <s v="云安区"/>
        <s v="东营区"/>
        <s v="垫江县"/>
        <s v="三台县"/>
        <s v="西区"/>
        <s v="孝义市"/>
        <s v="东兴市"/>
        <s v="红花岗区"/>
        <s v="花垣县"/>
        <s v="九龙坡区"/>
        <s v="沈北新区"/>
        <s v="漳浦县"/>
        <s v="兰溪市"/>
        <s v="崆峒区"/>
        <s v="武冈市"/>
        <s v="冷水滩区"/>
        <s v="湛河区"/>
        <s v="南朗镇"/>
        <s v="邕宁区"/>
        <s v="普宁市"/>
        <s v="通山县"/>
        <s v="云城区"/>
        <s v="郫都区"/>
        <s v="辰溪县"/>
        <s v="泰宁县"/>
        <s v="英山县"/>
        <s v="沂源县"/>
        <s v="永吉县"/>
        <s v="桂平市"/>
        <s v="宁远县"/>
        <s v="市北区"/>
        <s v="睢阳区"/>
        <s v="凌源市"/>
        <s v="衡南县"/>
        <s v="琼海市"/>
        <s v="港南区"/>
        <s v="武昌区"/>
        <s v="东胜区"/>
        <s v="市中区"/>
        <s v="龙港市"/>
        <s v="平定县"/>
        <s v="奎文区"/>
        <s v="顺城区"/>
        <s v="盐池县"/>
        <s v="濠江区"/>
        <s v="南浔区"/>
        <s v="七里河区"/>
        <s v="东宁市"/>
        <s v="南乐县"/>
        <m/>
      </sharedItems>
    </cacheField>
    <cacheField name="详细收货地址/提货地址" numFmtId="0">
      <sharedItems containsBlank="1" count="621">
        <s v="广东省东莞市凤岗镇广东莞东莞市凤岗镇金凤凰大道顺成酒店休闲中心 "/>
        <s v="湖南省衡阳市衡东县洣水镇交通东路碧桂园2栋菜鸟驿站 "/>
        <s v="贵州省黔东南苗族侗族自治州丹寨县疾控中心 "/>
        <s v="广东省阳江市江城区东门南路东150米 阳光马德里二期(北门) "/>
        <s v="湖南省湘潭市湘潭县易俗河镇贵竹北路金霞山1号小区 "/>
        <s v="广东省珠海市香洲区银桦新村26栋1单元501 "/>
        <s v="福建省龙岩市新罗区莲东北路38号莲滨小区 2-1"/>
        <s v="广东省肇庆市鼎湖区坑口街道山水居B19幢202房 "/>
        <s v="宁夏回族自治区吴忠市利通区黄河路润园雅居金窝窝房产 410号"/>
        <s v="湖南省常德市汉寿县辰阳北路 482号"/>
        <s v="四川省宜宾市叙州区柏溪镇水印金沙 六栋"/>
        <s v="湖北省十堰市张湾区汉江路街道六堰银河小区 "/>
        <s v="广东省佛山市南海区丹灶镇金沙城区理想家园 "/>
        <s v="广西壮族自治区柳州市柳南区长塘镇鹧鸪江一屯三组50号 "/>
        <s v="湖南省长沙市宁乡市接龙路57号丰泰商行 "/>
        <s v="河南省洛阳市吉利区西霞花园南门口柴鸟驿站 "/>
        <s v="广东省珠海市金湾区三灶镇风水塘永达海鲜餐厅 "/>
        <s v="江西省抚州市金溪县秀谷镇金灿豪门临街商铺太平洋人寿保险公司 "/>
        <s v="宁夏回族自治区银川市兴庆区中环大厦 "/>
        <s v="广东省汕头市龙湖区金涛庄89栋601 "/>
        <s v="北京市北京市房山区燕山岗南路口小白理发店 "/>
        <s v="四川省巴中市南江县四川省巴中市南江县红塔一社 "/>
        <s v="湖北省黄石市阳新县兴国镇兴国大道金迪购物广场楼上 "/>
        <s v="河南省郑州市金水区顺河路45号院 7号楼"/>
        <s v="黑龙江省鸡西市鸡冠区黑龙江省鸡西市鸡冠区卫校楼 "/>
        <s v="广东省广州市增城区金竹一路32号锦绣御景国际一期十栋 "/>
        <s v="云南省昆明市东川区教育局 "/>
        <s v="湖南省邵阳市邵东市建设中路136号 中国人寿"/>
        <s v="广东省汕头市澄海区美城路3号 广益街道"/>
        <s v="湖南省长沙市岳麓区共和世家3栋4单元1007 "/>
        <s v="湖南省长沙市岳麓区西湖街道湖韵佳苑5栋2301号 西湖鱼港(咸嘉湖路店) "/>
        <s v="广东省梅州市兴宁市福兴街道办事处兴鸿二街江南华府3栋 "/>
        <s v="云南省昆明市官渡区大都摩天四号楼909 "/>
        <s v="山东省临沂市莒南县团林镇 "/>
        <s v="福建省三明市梅列区新市北路 乾龙新村303-1101 "/>
        <s v="山西省忻州市忻府区云中北路24号煤机宿舍 "/>
        <s v="广东省清远市清城区人民路 盛景雍华庭1栋701"/>
        <s v="内蒙古自治区包头市青山区富强路南路88号 中建御澜世家6号楼二单元1704房"/>
        <s v="河南省郑州市金水区龙湖街道恒大悦龙花园 "/>
        <s v="广东省广州市海珠区江南大道中135号 202房"/>
        <s v="广西壮族自治区来宾市兴宾区维林大道398号 "/>
        <s v="湖北省恩施土家族苗族自治州利川市和润嘉园 "/>
        <s v="河北省衡水市桃城区河西街道在水一方小区 "/>
        <s v="广西壮族自治区南宁市江南区沙井富乐新城 57栋一单元"/>
        <s v="内蒙古自治区包头市青山区富强南路88号中建御澜世家6号楼二单元 "/>
        <s v="宁夏回族自治区吴忠市青铜峡市汉坝东街246号派胜·水岸世家 "/>
        <s v="广西壮族自治区南宁市西乡塘区科园西十路爱贝尔幼儿园 "/>
        <s v="广东省阳江市阳春市岗美镇镇前路住宅C3-11-12幢 岗美一佳幼儿园 "/>
        <s v="浙江省丽水市松阳县西屏镇樟庵坛A03号二单元404 "/>
        <s v="江苏省宿迁市宿城区义乌商贸城精品街二栋25-26号 25-26"/>
        <s v="山东省潍坊市潍城区月河崖83号3号楼2单元201 "/>
        <s v="陕西省西安市莲湖区丰禾路太奥广场找窝房产 一层"/>
        <s v="四川省成都市温江区麻市街182号 "/>
        <s v="陕西省铜川市耀州区新区大院逸境门口南侧（天安财险） "/>
        <s v="广东省汕头市澄海区金鸿公路奥飞娱乐 "/>
        <s v="安徽省安庆市宿松县联合路 18号"/>
        <s v="浙江省丽水市松阳县西屏街道樟庵坛A03号404 "/>
        <s v="浙江省丽水市青田县鹤城镇东山路38号苏红副食品店 "/>
        <s v="山西省运城市盐湖区东郭镇 界村 "/>
        <s v="四川省德阳市绵竹市土门镇古楼街163号 "/>
        <s v="山东省济宁市梁山县龙城广场监控室 "/>
        <s v="广东省惠州市惠城区广东省惠州市惠城区陈江大道北惠城区惠州仲恺高新区人民法庭 "/>
        <s v="山东省临沂市兰山区焦庄佳园 13号楼"/>
        <s v="四川省泸州市泸县县委办 "/>
        <s v="广东省广州市天河区长兴路美景街74号 "/>
        <s v="山东省日照市东港区昭阳路与莒州路交汇处爱婴妈妈 昭阳路"/>
        <s v="广东省深圳市龙岗区广东省深圳市龙岗区爱联龙腾工业区彩云路德馨楼32号康之源医药 "/>
        <s v="四川省德阳市中江县凯江镇玄武东路49号 "/>
        <s v="广东省东莞市塘厦镇振兴围富民路59号 "/>
        <s v="福建省漳州市云霄县列屿镇油车村 "/>
        <s v="湖北省鄂州市鄂城区沿湖路22号 "/>
        <s v="山东省济南市莱芜区龙潭西大街一号北苑小区 "/>
        <s v="江苏省南通市海安市旺池路瑞海·盛世名门(南通市海安市) "/>
        <s v="四川省泸州市龙马潭区新民街44号（巴厘诺酒店） "/>
        <s v="山东省青岛市即墨区服装批发市场D区2楼11街433号 "/>
        <s v="四川省成都市温江区凤溪大道中段198向阳茗苑 "/>
        <s v="广东省惠州市惠阳区新澳大道63号德丰雅苑 1栋1305"/>
        <s v="吉林省延边朝鲜族自治州和龙市文化路27号（建行） "/>
        <s v="广东省深圳市龙岗区宝荷路与沙荷路交汇东北300米路北 仁恒峦山美地花园3D9C "/>
        <s v="广东省深圳市宝安区西乡街道前进二路桃源居三区一栋804 "/>
        <s v="广东省广州市黄埔区黄埔东路3695号 "/>
        <s v="山东省青岛市李沧区春和景明(北区) 春和景明2期3号楼 "/>
        <s v="贵州省遵义市凤冈县龙泉镇凤凰御都5号楼 "/>
        <s v="河北省沧州市运河区水月寺街大化西区 39号5"/>
        <s v="北京市北京市房山区房窑路30号牛栏山院内 "/>
        <s v="福建省泉州市鲤城区鲤中街道贤銮福利大厦10楼 "/>
        <s v="广东省广州市增城区新塘镇锦绣银苑南门 "/>
        <s v="广东省佛山市南海区桂城怡翠花园芙蓉苑东一座801 "/>
        <s v="四川省宜宾市屏山县凤凰小区1栋一单元 "/>
        <s v="广东省中山市中山市广东省中山市岐环路2号花海湾3期15栋1703不可放妈妈驿站 "/>
        <s v="广东省中山市坦洲镇中山市坦洲镇锦绣阳光花园三期一座二梯202号房 "/>
        <s v="河南省省直辖县级行政区划济源市沁园路100号 "/>
        <s v="四川省成都市青羊区文庙街 "/>
        <s v="云南省曲靖市沾益区龙华园15栋2单元 15栋2单元501"/>
        <s v="湖南省湘潭市湘乡市东山街道滨江豪庭(湘潭市湘乡市大将南路447号) "/>
        <s v="吉林省吉林市船营区黄旗街道紫晶城42号楼四单元509 "/>
        <s v="湖南省常德市鼎城区贺家山原种场 "/>
        <s v="福建省三明市大田县均溪镇宝山路14号2楼 "/>
        <s v="云南省昆明市呈贡区蓝光天娇城2期 12栋"/>
        <s v="四川省成都市新都区新繁街道金地路214 "/>
        <s v="广西壮族自治区贵港市平南县寺面镇新隆村 "/>
        <s v="黑龙江省哈尔滨市阿城区上京华府12号楼1单元301室 "/>
        <s v="福建省福州市闽清县梅城镇台山新村622号 "/>
        <s v="广东省深圳市宝安区福永街道凤凰社区田螺山小区30栋菜鸟驿站 "/>
        <s v="广东省东莞市常平镇黄泥塘工业区一路 君祺包装"/>
        <s v="广东省广州市天河区体育东路116号财富广场西塔20楼广源部 "/>
        <s v="广东省惠州市惠城区冰塘村465号 "/>
        <s v="吉林省长春市九台区九台营城街道英伦上城9号楼 "/>
        <s v="山西省太原市小店区坞城街道坤泽十里城南区d区 "/>
        <s v="浙江省宁波市江东区腊梅路81弄滨江海晨苑6号401室 "/>
        <s v="广东省佛山市南海区丹灶镇金沙医院门卫室 "/>
        <s v="湖南省衡阳市衡东县衡东县建材大市场M栋103（中宇厨卫） "/>
        <s v="四川省自贡市富顺县四川省自贡市富顺县狮市镇 "/>
        <s v="福建省漳州市云霄县莆美镇溪新路51号 "/>
        <s v="浙江省金华市永康市东城街道金城路848弄4幢3号（美如斯） "/>
        <s v="福建省泉州市晋江市桥南片区百捷中央公园华府10栋1918 "/>
        <s v="吉林省四平市铁东区万达华宅A1 "/>
        <s v="新疆维吾尔自治区昌吉回族自治州昌吉市滨湖河新城2-1-501 "/>
        <s v="山东省济宁市任城区盛泰广场G座写字楼(银都花园东北) 盛泰广场-G座写字楼 "/>
        <s v="山东省济南市槐荫区张庄路龙腾国际花园北门 "/>
        <s v="广东省广州市花都区平步大道中雅宝新城名门J栋 "/>
        <s v="湖北省咸宁市嘉鱼县发展大道188号万鑫·国际花园 30栋二单元1502"/>
        <s v="重庆市重庆市渝北区王家街道财子湾小区 "/>
        <s v="黑龙江省哈尔滨市延寿县交通局家属楼北楼二单元502 "/>
        <s v="山东省济南市长清区五峰路南段富群百货南30米路东惠好大药房 "/>
        <s v="广西壮族自治区河池市天峨县妇幼保健院 "/>
        <s v="湖南省郴州市宜章县玉溪镇富豪路8-2胖子果业 "/>
        <s v="山西省吕梁市文水县西环路一号康欣制药有限公司 "/>
        <s v="湖南省湘潭市韶山市金海市场天天自选楼下哆咪屋 "/>
        <s v="上海市上海市松江区沪亭北路618弄40号801室 "/>
        <s v="广东省深圳市宝安区碧海名园14栋603 "/>
        <s v="河北省唐山市迁安市彭店子村 "/>
        <s v="山东省济南市长清区文昌街道长兴美郡 "/>
        <s v="四川省巴中市巴州区玉堂乡北环大道北环还房北环宾馆 "/>
        <s v="广东省广州市南沙区广州大岗灵山环城东路34号之一 "/>
        <s v="广东省汕头市潮阳区文光街道南桂园住宅5栋 "/>
        <s v="广东省佛山市顺德区广东省佛山市顺德区富华路顺德区保利·海德公园(富华路南100米) 菜鸟驿站"/>
        <s v="山东省日照市东港区山东省日照市东港区东沿街2号东港区前大洼社区(学府路东100米) "/>
        <s v="山东省青岛市城阳区河套街道青岛胶州湾综保区管委会 "/>
        <s v="山西省晋城市泽州县巴公镇官庄村 "/>
        <s v="江西省吉安市吉州区吉福路21号 菜鸟驿站医专专区"/>
        <s v="广东省广州市南沙区大岗潭州市场1号鸿安堂 "/>
        <s v="四川省眉山市东坡区思蒙镇花池路38号思蒙中心卫生院 "/>
        <s v="广东省佛山市高明区荷城街道沧江路430星辉园 "/>
        <s v="山东省滨州市邹平市邹魏二园二区高层 "/>
        <s v="江西省赣州市章贡区江西省赣州市章贡区开发区蟠龙大道6号立高汽贸 蟠龙大街12号"/>
        <s v="甘肃省武威市凉州区东关街兴盛路88号 "/>
        <s v="广东省清远市阳山县星月路127号《食德喜》 "/>
        <s v="新疆维吾尔自治区博尔塔拉蒙古自治州博乐市新疆维吾尔自治区博尔塔拉蒙古自治州博乐市星火巷40号中央名筑 36号楼二单元302"/>
        <s v="广东省广州市番禺区市桥大龙街石岗北路51号美心东苑a2栋402 402号"/>
        <s v="江苏省连云港市海州区世纪缘国际酒店(海州区海连中路10号)世纪水城三楼 "/>
        <s v="广东省深圳市龙岗区园山街道大康社区花园路33号 "/>
        <s v="广东省广州市天河区天河路太古汇广场一座33楼法制盛邦 "/>
        <s v="广东省阳江市阳西县广东省阳江市阳西县中阳大道7号百润生活超市 "/>
        <s v="贵州省安顺市西秀区贵州省安顺市西秀区轿子山镇 "/>
        <s v="江苏省苏州市昆山市兰亭御园 "/>
        <s v="江西省吉安市永新县三湾路25号太平洋保险公司 "/>
        <s v="福建省泉州市晋江市中国鞋都B1-29号安信鞋材 "/>
        <s v="广东省深圳市龙华区观澜街道桂花社区观光路1213号嘉辉商务中心8楼815 "/>
        <s v="河北省衡水市桃城区衡水市桃城区五洲国际3号楼1单元703 "/>
        <s v="四川省遂宁市射洪市平安街道射洪县城北文化路富康苑8栋304号 "/>
        <s v="广东省茂名市信宜市中兴大道中兴公寓首层乡林凤 "/>
        <s v="湖南省怀化市鹤城区坨院街道山水阳光城 16栋103"/>
        <s v="湖南省邵阳市新邵县新邵县坪上镇峡山村四组 "/>
        <s v="辽宁省沈阳市皇姑区万山北苑18-7 "/>
        <s v="福建省三明市建宁县旅游大厦二楼平安保险公司 "/>
        <s v="广东省深圳市福田区景田机场小区 5栋102"/>
        <s v="山东省聊城市茌平县长途汽车站 太平洋保险公司 "/>
        <s v="四川省绵阳市涪城区八角北路2号太阳城一期 太阳城一期"/>
        <s v="四川省成都市双流区珠江路(成都市双流区)新天地春天里一栋 "/>
        <s v="湖南省衡阳市常宁市西外环金杯电缆(常宁店) "/>
        <s v="福建省泉州市晋江市陈埭镇鞋都路869号 阳光金钥匙公寓602 "/>
        <s v="广东省惠州市惠阳区镇隆镇联溪村天健阳光花园 "/>
        <s v="浙江省舟山市普陀区新城花园金桂园4幢401 "/>
        <s v="山东省德州市临邑县恒源工业园达利园仓库 "/>
        <s v="广西壮族自治区桂林市七星区金鸡岭路口竹桥村 "/>
        <s v="云南省大理白族自治州大理市建设路鸿泰花园2栋二单元 "/>
        <s v="江苏省扬州市江都区仙女镇北园新村28幢4单元507 "/>
        <s v="河北省沧州市青县文化大街百年人寿 "/>
        <s v="吉林省通化市梅河口市山城镇阳光家园东宝驿站 "/>
        <s v="四川省成都市锦江区琉璃场经天路6号 "/>
        <s v="浙江省舟山市普陀区东港街道 舟山中梁文澜府19幢501室 "/>
        <s v="广西壮族自治区贵港市港北区城市怡景8-2-103 "/>
        <s v="浙江省舟山市定海区解放西路209号平安人寿三楼华锦部 "/>
        <s v="广东省东莞市樟木头镇塑胶市场二期8栋6号 "/>
        <s v="浙江省杭州市余杭区良渚文化村内 探梅里A区64-3-302 "/>
        <s v="辽宁省沈阳市苏家屯区银杏路一甲 一3  门2一2一1 "/>
        <s v="广西壮族自治区来宾市兴宾区前互二路18号幂姿优露美胸馆 "/>
        <s v="山东省菏泽市郓城县坝头大福源东对过，东城国际小区 "/>
        <s v="云南省红河哈尼族彝族自治州蒙自市文汇路鼎基铭园小区 "/>
        <s v="广东省中山市东凤镇东凤大道北128号天乙海岸名都 "/>
        <s v="湖北省咸宁市嘉鱼县鱼岳镇油榨湾151号二楼 "/>
        <s v="广东省茂名市化州市鉴江区塘岗岭车管所门口 "/>
        <s v="广东省惠州市惠城区金华龙家居建材MALL(惠州市惠城区)B28号瓦尔斯堡木地板 "/>
        <s v="云南省曲靖市宣威市龙泽鑫城二栋 "/>
        <s v="上海市上海市杨浦区国权北路1188弄28号东门 "/>
        <s v="广东省惠州市惠阳区景福小区 "/>
        <s v="广西壮族自治区桂林市七星区竹桥村7-1栋 "/>
        <s v="宁夏回族自治区石嘴山市惠农区宁夏红果子镇 "/>
        <s v="广西壮族自治区玉林市博白县博白县双旺镇真达礼仪幼儿园 "/>
        <s v="云南省曲靖市宣威市云南省曲靖市宣威市龙泽鑫城2栋2507号 "/>
        <s v="福建省漳州市龙文区锦绣一方丹桂里61号楼1213室 "/>
        <s v="内蒙古自治区包头市青山区赛音道三号街坊东方嘉苑3栋4单元307号 "/>
        <s v="湖南省衡阳市耒阳市金华北路党校旁 "/>
        <s v="山西省晋中市寿阳县安捷文化苑 F5单元901"/>
        <s v="四川省成都市青羊区光华街道光华壹号花园336号 "/>
        <s v="福建省厦门市海沧区刘山村120号 "/>
        <s v="黑龙江省绥化市北林区南三金鼎福源小区 5单元602"/>
        <s v="福建省三明市永安市汇景城永乐佳房二区9幢三单元301 "/>
        <s v="广东省深圳市龙岗区中海康城花园B区 5栋18A"/>
        <s v="黑龙江省哈尔滨市呼兰区二八镇黑龙江省哈尔滨市呼兰区二八镇二八村 "/>
        <s v="广东省广州市荔湾区荔江美筑(广州市荔湾区芳村大道西) "/>
        <s v="河北省石家庄市灵寿县石家庄灵寿县车站南行三百米路东颐正经络养生 "/>
        <s v="山西省太原市小店区小店街道康宁街红孩龙虾千百惠超市 "/>
        <s v="江西省萍乡市上栗县长平乡太塘村一组 "/>
        <s v="湖北省荆州市沙市区江汉北路富怡雅苑八栋二单元101 "/>
        <s v="陕西省宝鸡市太白县靖口镇东庄村五组 "/>
        <s v="陕西省汉中市汉台区东关街道滨江西路中段玫瑰庄园|-7|08 "/>
        <s v="湖北省武汉市江汉区泛海国际竹海园4-2-304 "/>
        <s v="山东省烟台市福山区华明星海湾15号楼1单元2401 "/>
        <s v="重庆市重庆市梁平区重庆市梁平县梁山街道福德锦城7栋1单元202室 "/>
        <s v="陕西省商洛市柞水县乾佑街道红石崖小区便利店42号 "/>
        <s v="上海市上海市奉贤区金海街道望园路2509弄悦达南郊华都2号楼422室 "/>
        <s v="福建省宁德市蕉城区日月星辰4栋105店红豆杉酵素养生馆 "/>
        <s v="黑龙江省哈尔滨市道里区地节街306栋703 "/>
        <s v="湖北省武汉市汉阳区湖北省武汉市汉阳区滨江大道188-7号汉阳区鹦鹉花园(阳新路西) 鹦鹉花园40栋一单元202"/>
        <s v="黑龙江省哈尔滨市南岗区王岗镇红星凯悦二期28号楼四单元802 "/>
        <s v="江西省宜春市奉新县华春色纺 "/>
        <s v="广东省江门市鹤山市鹤城镇鹤山开发区活力科技有限公司 "/>
        <s v="四川省乐山市峨眉山市胜利镇滨湖社区29栋3单元402 "/>
        <s v="广西壮族自治区崇左市江州区江南街道江南路33伍威家具城 "/>
        <s v="广东省肇庆市高要区万福路珀丽湾塞维利亚二街8号 "/>
        <s v="海南省省直辖县级行政区划白沙黎族自治县南湖小区二区3栋第三单元402 "/>
        <s v="广东省广州市南沙区黄阁镇市南路290号南沙境界H4栋1梯902房 "/>
        <s v="湖南省湘潭市湘乡市昆仑桥办事处金南村姐妹商店 "/>
        <s v="海南省省直辖县白沙黎族自治县南湖小区二区三栋402号 "/>
        <s v="海南省海口市秀英区海秀街道爱琴海A栋 "/>
        <s v="湖北省荆门市钟祥市胡集镇福泉村二组 "/>
        <s v="广东省深圳市宝安区福永镇金菊路听涛雅苑二期B1栋701 "/>
        <s v="广东省湛江市吴川市梅菉街道东风路八街26号 "/>
        <s v="江苏省无锡市滨湖区马山街道古竹街311号 "/>
        <s v="黑龙江省哈尔滨市巴彦县幸福人家一期D栋2单元 303 "/>
        <s v="贵州省安顺市西秀区南水路人行宿舍二栋一单元101 "/>
        <s v="江西省上饶市万年县步行街二楼蒙娜丽莎美容院 "/>
        <s v="广东省广州市天河区广州大道中1268号广州体育学院22栋西梯202房 "/>
        <s v="广西壮族自治区贵港市港北区贵港市港北区德宝大厦12楼1211号 "/>
        <s v="新疆维吾尔自治区喀什地区喀什市山水文园小区27号楼一单元122室 1 单元122室"/>
        <s v="安徽省合肥市庐阳区界首路幸福人家17栋304 "/>
        <s v="湖北省荆州市荆州区武德路万达华府 C区"/>
        <s v="海南省省直辖县澄迈县文化北路西六巷16号无限极 "/>
        <s v="甘肃省酒泉市玉门市甘肃省酒泉市玉门市赤金镇祈连小区 "/>
        <s v="广西壮族自治区崇左市扶绥县新宁镇东林时代小区 "/>
        <s v="广东省湛江市霞山区观海路149号观海花园 "/>
        <s v="广东省东莞市沙田镇沙田碧桂园20栋 "/>
        <s v="河南省平顶山市舞钢市寺坡街道西路老王商行 "/>
        <s v="新疆维吾尔自治区昌吉回族自治州奇台县奇台县东风小区 3号楼一单元302"/>
        <s v="广东省肇庆市端州区端州区黄岗街道星湖大道泰湖2路东盛名苑 "/>
        <s v="浙江省衢州市柯城区浙江省衢州市柯城区维多利亚香滨湾9-2-703 "/>
        <s v="陕西省西安市未央区阿房路西坊逸品园 "/>
        <s v="四川省成都市新津区金华镇宝峰雅庭 "/>
        <s v="内蒙古自治区通辽市科尔沁区悦熙台小区 43号楼一单元302室"/>
        <s v="山东省淄博市淄川区鑫益家园15号楼1单元602 "/>
        <s v="湖南省湘潭市韶山市韶山乡竹鸡塅阳光水岸韶峰批发部 "/>
        <s v="广东省韶关市武江区碧水花城枫合汇18楼鑫威课 "/>
        <s v="湖北省随州市曾都区新天地花园平安人寿二楼张达部 "/>
        <s v="湖南省邵阳市新邵县城市花园23栋一单元601 "/>
        <s v="广东省珠海市香洲区格力康乐园一期1栋508 "/>
        <s v="广东省深圳市福田区长宝路与瑞香道交叉口东北方向57米 宝瑞轩-福祥阁 "/>
        <s v="贵州省六盘水市盘州市两河新区老机场圆通快递 "/>
        <s v="浙江省台州市仙居县白塔镇高迁上屋村 观景商务宾馆 "/>
        <s v="陕西省咸阳市秦都区陕西省秦都区西兰路大秦御港城 "/>
        <s v="云南省昆明市安宁市金方街道龙旺润泽园 "/>
        <s v="湖南省长沙市望城区月亮岛街道 杨丰社区 勤诚达新界 "/>
        <s v="河南省焦作市武陟县马村四号院 "/>
        <s v="山东省泰安市宁阳县蒋集镇彩山大街东首友邦田园 "/>
        <s v="云南省丽江市华坪县荣将镇鑫华苑 "/>
        <s v="湖北省黄石市阳新县铁辅路与下雉大道交叉口附近太阳城3期·状元府菜鸟驿站 太阳城三期进士第优居房产"/>
        <s v="河北省沧州市泊头市检察院  裕华路 "/>
        <s v="广东省深圳市宝安区航城街道后瑞村南一巷84号 "/>
        <s v="北京市北京市朝阳区北京市朝阳区广渠路66号百环家园西区4号楼快递驿站 "/>
        <s v="安徽省宿州市埇桥区东方明珠小区A3栋602室 "/>
        <s v="广西壮族自治区贺州市八步区城东街道嘉年豪庭3栋商铺，太氧谷硅藻泥店里 "/>
        <s v="浙江省温州市龙湾区永中街道宏联佳园11幢1单元1603室 "/>
        <s v="广东省阳江市阳东区东城镇广雅路恒大帝景3栋 "/>
        <s v="福建省厦门市海沧区厦门嵘源日用品有限公司(厦门市海沧区) "/>
        <s v="山东省威海市环翠区草庙子 上河小镇"/>
        <s v="湖北省武汉市洪山区雄楚大街918号长江职业学院北一舍1栋2单元202 "/>
        <s v="吉林省通化市梅河口市银河大街1540号诺石足疗 "/>
        <s v="北京市北京市海淀区蓝靛厂南路39号玫瑰御园 4-3-102"/>
        <s v="广东省惠州市惠城区水口华乐红1单元1807 "/>
        <s v="广东省广州市海珠区滨江东路康怡街6号海雅楼502 "/>
        <s v="江西省宜春市靖安县海力华庭3栋一单元501 "/>
        <s v="湖北省随州市曾都区东城街道湖岸新城24栋 "/>
        <s v="新疆维吾尔自治区乌鲁木齐市新市区鲤鱼山北路509号紫煜臻城小区27-2 "/>
        <s v="湖南省长沙市开福区湘江世纪城聚江苑 6栋"/>
        <s v="北京市北京市门头沟区永定地区云梦嘉苑2号楼一单元1505 "/>
        <s v="广东省广州市白云区松洲街道增槎路518号盈大科创园外12档六荣冻品商行 "/>
        <s v="广东省广州市花都区狮岭镇大道东1号御华园10栋2704 "/>
        <s v="四川省成都市武侯区天府一街616号三栋二单元 "/>
        <s v="四川省成都市龙泉驿区洪河大道中路北段上东阳光3期 "/>
        <s v="上海市上海市浦东新区新川路209弄10号203室 "/>
        <s v="北京市北京市朝阳区北京市朝阳区广渠路百环家园17号楼妈妈驿站 "/>
        <s v="湖北省随州市广水市应山街道航空南路菜鸟驿站 "/>
        <s v="湖南省湘潭市湘潭县君逸华庭三楼太平洋 "/>
        <s v="广东省深圳市龙岗区龙城街道名居广场3Ｂ1406 "/>
        <s v="山东省烟台市芝罘区楚毓路2号1号楼3103 只楚街道"/>
        <s v="北京市北京市海淀区蓝靛厂南路玫瑰御园4-3-102 "/>
        <s v="湖南省长沙市雨花区东二环一段678号 "/>
        <s v="上海市上海市黄浦区南京东路街道北京西路199号405室 "/>
        <s v="广东省佛山市顺德区伦教世纪路华海大厦4座1002 "/>
        <s v="福建省泉州市鲤城区金龙街道金峰社区御景嘉园3栋1801室 "/>
        <s v="广东省汕头市金平区鮀江街道大学路243号汕头大学 "/>
        <s v="广东省东莞市南城街道办事处宏远社区汇龙湾四栋一单元3203 "/>
        <s v="广东省深圳市宝安区宝安区石岩街道宏发世纪花园1栋1单元803室 "/>
        <s v="山西省晋中市寿阳县宏源小区4-3-501 "/>
        <s v="重庆市重庆市巴南区龙洲湾街道龙洲大道100号 "/>
        <s v="河南省焦作市解放区丰收中路消防队西邻消防巷人事局家属院 "/>
        <s v="山东省烟台市招远市金凤花园 金凤花园52号"/>
        <s v="浙江省绍兴市越城区永成天御湾6栋2304 "/>
        <s v="广东省深圳市福田区梅林一村60栋701 "/>
        <s v="山东省济南市槐荫区美里湖街道美里路邹庄新村13号楼1单元1404 "/>
        <s v="内蒙古自治区阿拉善盟阿拉善左旗西关新村11号楼3单元201 "/>
        <s v="云南省大理白族自治州大理市北市区玉海豪庭B区 "/>
        <s v="湖南省长沙市芙蓉区嘉雨路110号天伦公寓 "/>
        <s v="山东省东营市垦利区垦利万福佳苑 "/>
        <s v="吉林省吉林市舒兰市一道街停车场院内金利货站 "/>
        <s v="四川省南充市嘉陵区彩虹佳苑10号楼 "/>
        <s v="重庆市重庆市渝北区双湖路50号 B栋2单元1-2"/>
        <s v="广东省广州市白云区同和街道蟾蜍石南街14号 "/>
        <s v="内蒙古自治区阿拉善盟阿拉善左旗，B区物业办公室 "/>
        <s v="贵州省黔东南苗族侗族自治州天柱县凤城镇金三角 1栋1102"/>
        <s v="广东省东莞市企石镇企石碧桂园二期7-2204 "/>
        <s v="广东省佛山市禅城区祖庙街道汾江中路远航酒店 "/>
        <s v="广西壮族自治区南宁市西乡塘区科德西路2号瀚林雅筑 "/>
        <s v="海南省省直辖县澄迈县六巷无限极专卖店 14号"/>
        <s v="云南省昆明市盘龙区穿金路8号楼新华保险6楼 "/>
        <s v="云南省昆明市五华区江岸小区曦江里7幢 "/>
        <s v="广东省潮州市湘桥区桥东恒大城11栋1204 "/>
        <s v="福建省漳州市龙海市海澄镇山后钻石水岸名城2期9栋804室 "/>
        <s v="山东省青岛市城阳区城阳街道青特赫府二期1号办公楼 "/>
        <s v="江苏省南京市栖霞区华电路87号颐和家园三期1栋806 "/>
        <s v="上海市上海市杨浦区政立路1585弄11号402室 "/>
        <s v="湖南省娄底市娄星区扶青路429号世纪花城 "/>
        <s v="河南省驻马店市驿城区通达路天中豪园2号楼2单元2304 "/>
        <s v="北京市北京市朝阳区北京市朝阳区平房乡平房村1441号 "/>
        <s v="山东省临沂市罗庄区付庄办事处 "/>
        <s v="广东省湛江市遂溪县山湖海上城22栋2单元 "/>
        <s v="四川省成都市龙泉驿区航天南路83号 "/>
        <s v="福建省福州市鼓楼区六一中路115号 13号203"/>
        <s v="内蒙古自治区鄂尔多斯市准格尔旗鑫凯盛小区三号楼奥若拉店 10号"/>
        <s v="江西省萍乡市安源区开发区三田村三田管理处三田加油站对面小巷200米 "/>
        <s v="江苏省苏州市吴中区尼盛滨江城三期北门 "/>
        <s v="湖南省长沙市岳麓区金星大道468号郡原广场二栋2103室 "/>
        <s v="河南省新乡市长垣县金豪府邸 "/>
        <s v="河北省廊坊市三河市燕郊镇嘉城国际5-2-1501 "/>
        <s v="辽宁省沈阳市浑南区所在地区:五三街道详细地址:浑南新区朗云街1-612号（河畔公馆B座2-4-2） B座2-4-2"/>
        <s v="广东省东莞市寮步镇齐昌大厦9楼 "/>
        <s v="新疆维吾尔自治区乌鲁木齐市新市区迎宾路33号飞机场南区75号3单元302室 "/>
        <s v="广东省深圳市龙华新区东环一路良基大厦522室 "/>
        <s v="广东省佛山市南海区狮山镇博爱湖一号4-204房 "/>
        <s v="云南省大理白族自治州大理市云南省大理白族自治州大理市南涧路明福园 "/>
        <s v="云南省文山壮族苗族自治州富宁县新华镇文苑路农科局七楼 "/>
        <s v="江西省宜春市樟树市药都南大道83号城关信用社401 "/>
        <s v="安徽省合肥市包河区海顿公馆一期七号楼3003室 "/>
        <s v="河北省承德市双桥区石油南路卓越祥园小区市政口腔 "/>
        <s v="福建省厦门市思明区思明区湖滨西路83号301 "/>
        <s v="福建省厦门市思明区演武路67号大学城C栋1104室 "/>
        <s v="广东省深圳市宝安区沙井街道天悦大厦1311 "/>
        <s v="山东省济南市历下区山东省济南市历下区转山西路18号历下区姚家荷兰庄园(云驰路北100米) "/>
        <s v="重庆市重庆市渝北区重庆市渝北区龙寿路942号 2-2-4"/>
        <s v="福建省漳州市龙海市海澄镇罗坑村贤会36号 "/>
        <s v="广东省韶关市武江区碧桂园太阳城芙蓉湾9街5座2302房 "/>
        <s v="广东省珠海市斗门区白蕉镇万科魅力之城一号门 "/>
        <s v="四川省乐山市夹江县青州乡东山村一组 "/>
        <s v="陕西省西安市新城区尚德路85号太平洋保险公司六楼 "/>
        <s v="吉林省长春市朝阳区瑞鹏路拉洛小区 "/>
        <s v="湖南省怀化市芷江侗族自治县河西么家坪和平大厦一单元 "/>
        <s v="广东省深圳市宝安区宝安36区岭下花园4巷22号1楼 "/>
        <s v="山东省淄博市张店区房镇镇华润橡树湾3号楼二单元101 "/>
        <s v="广东省惠州市惠城区惠州市惠城区小金口大二村362号，白云山维一健康管理中心 362号"/>
        <s v="江苏省无锡市宜兴市宜诚街道龙潭西路 98号宜兴蓝天颐养院"/>
        <s v="云南省文山壮族苗族自治州文山市云南省文山壮族苗族自治州文山市 望华路118号 "/>
        <s v="湖南省湘潭市雨湖区桔园路48号桔园公寓1栋 "/>
        <s v="广西壮族自治区玉林市北流市城西二路公园一号 6-14商铺"/>
        <s v="江西省萍乡市湘东区东桥镇凫田村瓦厂组 "/>
        <s v="广东省广州市番禺区广州市番禺区市桥街光明北路225号银都大厦1204房 "/>
        <s v="广东省深圳市龙岗区深圳市第三人民医院应急院区护士站 应急院区医护人员通"/>
        <s v="山东省临沂市莒南县道口镇西野埠村 "/>
        <s v="广东省佛山市顺德区顺德大良鉴海南路都汇豪庭3座6B "/>
        <s v="重庆市重庆市渝北区龙寿路648号富悦景园B-5-4-1 "/>
        <s v="四川省眉山市丹棱县新村路 女王传奇"/>
        <s v="湖南省湘潭市岳塘区河东大道46号天瑞新城1栋 上海浦东发展银行(湘潭分行)18楼财信人寿 "/>
        <s v="广东省深圳市龙岗区龙城街道对面岭一巷龙禧雅苑 "/>
        <s v="广东省湛江市霞山区工农西三路隆茂市场 "/>
        <s v="山东省临沂市兰山区临西六路和银雀山路荣华园5号楼 "/>
        <s v="四川省成都市成华区浅水半岛C区 "/>
        <s v="四川省眉山市东坡区四川省眉山市东坡区金罗马广场通义路麻辣三国自助火锅店 "/>
        <s v="广东省肇庆市四会市东城居委会槎山体育路 39座3号 "/>
        <s v="河南省驻马店市驿城区通达路天中豪园 "/>
        <s v="辽宁省沈阳市铁西区大潘街道弘泽鸣邸(铁西区沈辽西路382-1号) "/>
        <s v="上海市上海市松江区沪松路20弄（荣都公寓）48号602室 "/>
        <s v="江苏省盐城市阜宁县阜城镇城西三组（苏油加油站对面） "/>
        <s v="广东省广州市天河区保利心语B栋3102房 "/>
        <s v="广东省中山市小榄镇富民大道181号广立家具展厅 "/>
        <s v="四川省成都市双流区航空港临港路一段江安河绿道润扬19 3栋"/>
        <s v="湖南省益阳市赫山区益阳大道317号 "/>
        <s v="广东省肇庆市广宁县中华东路54号烟草专卖局楼下（20支直营店） "/>
        <s v="广东省深圳市宝安区76区流塘路西区二巷7号 "/>
        <s v="江西省宜春市袁州区烟雨路香苑小区 "/>
        <s v="广东省深圳市宝安区松岗街道中海西岸华府11栋C座17D "/>
        <s v="山东省威海市乳山市城区街道紫锦花园南区11号楼3单元3楼西户 "/>
        <s v="江西省抚州市金溪县秀谷镇金灿豪门鼎尚养发馆 "/>
        <s v="北京市北京市朝阳区石佛营东里126号院3号楼202 "/>
        <s v="新疆维吾尔自治区乌鲁木齐市沙依巴克区沙区西北路887号naga尚院A座1507室 "/>
        <s v="河北省廊坊市三河市燕郊经济技术开发区燕顺路嘉城国际5号楼2单元1101 "/>
        <s v="重庆市重庆市长寿区凤城街道鹏运左岸(重庆市长寿区文苑中路1号) "/>
        <s v="广东省佛山市顺德区勒流镇江义黄中南路4号诚艺美发 "/>
        <s v="广西壮族自治区河池市宜州区广西壮族自治区河池市宜州区刘三姐大道龙江新城16栋 "/>
        <s v="广东省河源市龙川县老隆镇新城海天财富广场12楼平安人寿 "/>
        <s v="广东省深圳市宝安区新安街道留仙1路信义领御2栋822室 "/>
        <s v="安徽省合肥市瑶海区明光路534号大院 "/>
        <s v="广西壮族自治区南宁市青秀区保利·领秀前城领秀府(青环路东)6#11#12#-113茗雅居 "/>
        <s v="内蒙古自治区鄂尔多斯市准格尔旗薛家湾镇天娇华府 "/>
        <s v="福建省厦门市海沧区嵩屿街道南一里113号1201 "/>
        <s v="云南省大理白族自治州大理市凤仪镇文化一条街 "/>
        <s v="四川省广元市旺苍县国华镇益民街18 "/>
        <s v="福建省宁德市蕉城区马山村120号 "/>
        <s v="浙江省杭州市拱墅区半山街道田园山水里11-601室 "/>
        <s v="广东省深圳市宝安区松岗街道前进公社8栋 "/>
        <s v="河南省商丘市梁园区货场西路云峰二铵门市部 "/>
        <s v="江苏省扬州市邗江区梅岭街道沿河街66号 "/>
        <s v="陕西省西安市雁塔区芙蓉西路6号曲江明珠5-1104 "/>
        <s v="湖北省宜昌市伍家岗区合益路206号东辰雅园 "/>
        <s v="河南省许昌市鄢陵县南关街四巷70一1号 "/>
        <s v="湖北省省直辖县仙桃市彭场镇牛路村委会 "/>
        <s v="湖北省宜昌市伍家岗区夷陵大道358号虹桥国际公寓 "/>
        <s v="河南省安阳市安阳县水冶镇松涛路阳光花园门口泰康人寿 "/>
        <s v="浙江省温州市瓯海区梧田街道沁绿馨苑 "/>
        <s v="浙江省金华市义乌市大陈天行制衣有限公司 "/>
        <s v="浙江省舟山市普陀区东港街道浙能蓝庭 6幢1002室"/>
        <s v="广西壮族自治区百色市田阳区田州镇常安路东侧一巷28号 "/>
        <s v="湖南省长沙市浏阳市碧桂园岭秀三十街二栋一零二 "/>
        <s v="安徽省滁州市琅琊区清流路水银山庄 8幢1004"/>
        <s v="江西省赣州市章贡区新赣州大道水游城2栋 "/>
        <s v="湖南省湘潭市雨湖区步步高大道五矿尊城和泽保健会所 25栋2楼"/>
        <s v="广东省惠州市惠阳区新圩镇产径村，产径小学后面的平记摩托维修店 "/>
        <s v="浙江省宁波市宁海县跃龙街道世贸中心九楼903-904室 "/>
        <s v="江苏省徐州市邳州市运河街道国际未来城B区 "/>
        <s v="广东省深圳市南山区桃园路椰风海岸B2栋2D "/>
        <s v="辽宁省盘锦市盘山县高升镇郁金香小区 "/>
        <s v="陕西省西安市碑林区张家村街道含光北路74号 "/>
        <s v="河南省安阳市殷都区梅园庄街道福源运动城 "/>
        <s v="广西壮族自治区玉林市博白县博白镇公园路158号泓和旺角五组团 "/>
        <s v="广东省江门市新会区会城街道南湖壹号 "/>
        <s v="北京市北京市通州区竹木厂小区1号楼3单元1203 "/>
        <s v="上海市上海市浦东新区张江高科技园区古桐路50弄1-202 "/>
        <s v="江西省抚州市金溪县溢香花城(抚州市金溪县园湖南路60号)或送至：金溪县秀谷镇秀谷大道金灿豪门沿街店铺太平洋保险公司（固定上午会在） "/>
        <s v="新疆维吾尔自治区乌鲁木齐市天山区新华北路街道新华北路152号轻工综合楼 "/>
        <s v="广东省惠州市博罗县石湾镇新怡花园 "/>
        <s v="贵州省六盘水市六枝特区九龙街道东城惠民小区13栋一单元 201"/>
        <s v="湖北省孝感市安陆市林语花都·北区(太白大道东) "/>
        <s v="湖南省长沙市浏阳市古港镇桐坑北路71号 "/>
        <s v="广东省珠海市香洲区金鼎镇金晖苑底层2A大唐辣妈绝技减肥店 "/>
        <s v="广东省汕头市澄海区文冠路与安庆路交叉路口往西北约50米临街1楼泰康人寿保险(澄海服务支公司) "/>
        <s v="广东省汕头市澄海区溪南镇南砂乡国道旁三亚日用品店 "/>
        <s v="湖南省益阳市赫山区益阳大道石化公司碧翠园小区7栋1O1 "/>
        <s v="四川省成都市大邑县新场镇永辉副食店 "/>
        <s v="山东省青岛市市南区香港中路街道东海西路37号金都花园C-31G "/>
        <s v="山西省晋中市寿阳县梅林花园工商银行左边丽福健二楼 "/>
        <s v="湖南省邵阳市隆回县湖南省邵阳市隆回县万和花园十栋二单元501房 "/>
        <s v="湖北省十堰市张湾区阳光栖谷12栋 1单元8楼"/>
        <s v="新疆维吾尔自治区喀什地区喀什市图木舒克市福州路3号唐城综合市场 "/>
        <s v="江苏省无锡市江阴市祝塘镇新北路7号司法所 "/>
        <s v="重庆市重庆市渝北区渝北渝北区丁香路200号 16栋 "/>
        <s v="福建省福州市闽侯县青口镇海韵国际城18号楼 "/>
        <s v="湖南省益阳市桃江县芙蓉路67号7天阳光酒店(桃江汽车站店) "/>
        <s v="广西壮族自治区钦州市钦南区钦北区永福西大街东泉大厦1503 "/>
        <s v="福建省宁德市古田县城东街道前山新路88号富德生命人寿五层 "/>
        <s v="宁夏回族自治区银川市兴庆区银燕圆33号楼3单元501 "/>
        <s v="四川省德阳市旌阳区庐山北路505号5楼中国平安 "/>
        <s v="湖南省长沙市望城区月亮岛街道普瑞大道888号富基世纪公园丹桂园 10栋1201"/>
        <s v="江苏省泰州市靖江市江苏省泰州市靖江市供销新村六区86 供销新村六区86号"/>
        <s v="广东省河源市源城区河源大道北135号之1 金泽客栈701房 "/>
        <s v="山东省济宁市汶上县尚书苑 3—3—702"/>
        <s v="广东省河源市和平县阳明镇华城翡翠新银和商场 "/>
        <s v="云南省昭通市昭阳区二环西路交投大厦三楼泰康人寿保险公司 "/>
        <s v="江苏省苏州市昆山市古城北路翡翠湾41栋108室 "/>
        <s v="陕西省宝鸡市渭滨区广元南路化机家属院1号楼 "/>
        <s v="四川省眉山市东坡区东湖春天 "/>
        <s v="河北省廊坊市三河市燕郊经济技术开发区学院大街1167号燕新集团后院4211室 "/>
        <s v="山东省济南市莱芜区雪湖大街福莱佳园南门东特荬特便利店 "/>
        <s v="河南省郑州市新郑市永宁街与解放路交叉口5号公馆 "/>
        <s v="广东省东莞市长安镇沙头东大六街长富雅宛 "/>
        <s v="广东省湛江市霞山区人民大道中20号汇景豪庭汇智广场A座四楼平安超越部 "/>
        <s v="广东省湛江市赤坎区南国豪苑三期25-2702 "/>
        <s v="重庆市重庆市渝北区人和镇龙寿路648号富悦景园B-5-4-1 "/>
        <s v="广西壮族自治区玉林市陆川县温泉镇园林路16号 "/>
        <s v="江苏省苏州市常熟市沙家浜镇沙家浜常昆工业园腾晖路1号中利腾晖光伏科技公司东门 "/>
        <s v="辽宁省沈阳市皇姑区陵东街道翰卿超市 "/>
        <s v="四川省凉山彝族自治州西昌市建昌路彩云府 7栋一单元1403"/>
        <s v="福建省厦门市思明区文屏路文屏山庄137号604 "/>
        <s v="湖北省十堰市张湾区友谊巷友谊新村14号楼二单元二门二号 "/>
        <s v="四川省自贡市富顺县北湖南路 338"/>
        <s v="云南省保山市腾冲县高黎贡2组团2栋3单元401 "/>
        <s v="河南省郑州市金水区国基路街道香山路宏祥路新龙 "/>
        <s v="广东省东莞市塘厦镇丽景花园云腴茶舍(丽景花园店) "/>
        <s v="山东省东营市广饶县大王镇晨光花园 19号楼二单元四楼402室"/>
        <s v="湖南省邵阳市双清区华艺灯饰 "/>
        <s v="山东省济宁市任城区南苑街道凤凰城凤鸣区19号楼菜鸟驿站 "/>
        <s v="广东省东莞市凤岗镇翡翠山湖金碧阁A座102 "/>
        <s v="云南省大理白族自治州大理市下关街道五金一条街B区1037 "/>
        <s v="广东省东莞市凤岗镇雁田丰田花园8座5栋9B "/>
        <s v="重庆市重庆市万州区孙家书房路29号1幢407 "/>
        <s v="广西壮族自治区河池市凤山县中国人寿保险公司 "/>
        <s v="山东省泰安市新泰市开发区国贸路国新汽车斜对面 "/>
        <s v="贵州省毕节市威宁彝族回族苗族自治县金岭蓝湾6号楼 F205"/>
        <s v="广东省佛山市高明区荷城街道文昌路25号 "/>
        <s v="江苏省苏州市苏州工业园区唯亭街道澄边路8号泰康之家吴园护理公寓三楼照护服务室姜雅男 "/>
        <s v="四川省成都市青白江区瀚城新天地一栋一单元十楼五号 "/>
        <s v="江苏省南京市鼓楼区和会街87号703室 "/>
        <s v="广西壮族自治区桂林市阳朔县书童国际苑37-1 "/>
        <s v="上海市上海市松江区车墩镇环城路258号申韵公寓306室 "/>
        <s v="江苏省南京市秦淮区来凤小区太平苑9号201 "/>
        <s v="江苏省盐城市亭湖区美岸华庭6号504 "/>
        <s v="北京市北京市海淀区苏州街12号 A座602"/>
        <s v="江苏省南京市江宁区文靖路59号12幢201室 "/>
        <s v="北京市北京市海淀区清河街道永泰西里20-4-202 "/>
        <s v="重庆市重庆市綦江区通惠惠都芳庭2栋14~2 "/>
        <s v="黑龙江省牡丹江市西安区景福街金鼎国际酒店803室 "/>
        <s v="广东省深圳市龙华区观澜街道吓呃新村55号 "/>
        <s v="河北省秦皇岛市海港区杜庄镇蓝图嘉园9号楼 "/>
        <s v="山东省济南市历城区唐冶中路4567号鲁商凤凰广场1号楼606 "/>
        <s v="陕西省安康市汉滨区香溪路16号 天宝公司家属院 "/>
        <s v="江西省赣州市章贡区沙河镇八一四大道九方巨亿城 "/>
        <s v="四川省凉山彝族自治州越西县四川省凉山州越西县二中住宅区 "/>
        <s v="福建省宁德市福安市城北街道新阳路311号 "/>
        <s v="山东省聊城市东昌府区北城街道星美大厦3栋21楼 "/>
        <s v="广东省云浮市云安区石城镇珠洞中磊石材市场鸿叶石材厂 "/>
        <s v="广东省东莞市凤岗镇排沙围新围二街2号卓顺环保 "/>
        <s v="山东省东营市东营区兴河东2区85号楼 "/>
        <s v="重庆市县垫江县澄溪镇步行街68号 "/>
        <s v="四川省绵阳市三台县北泉路417号梓信超市北泉路店（琴泉雅苑门口） "/>
        <s v="广东省肇庆市四会市碧海湾御水皇庭 "/>
        <s v="广东省东莞市常平镇佳超五金科技有限公司 "/>
        <s v="四川省攀枝花市西区格里坪镇格里坪村二组 "/>
        <s v="宁夏回族自治区银川市兴庆区富宁街与长城东路交汇处西南150米 凤凰花园东区小区门口 "/>
        <s v="山西省吕梁市孝义市振兴街与顺义巷口1号 "/>
        <s v="广西壮族自治区防城港市东兴市高兴大道63号（红木机电城旁）广西路建大院一楼综合办 "/>
        <s v="广西壮族自治区贵港市港北区仙衣路与布山大道交汇处东南角钓鱼台·和府 "/>
        <s v="重庆市重庆市渝北区兴科三路金福花园c幢13单元 "/>
        <s v="广东省广州市增城区荔湖街增城大道244号三泰车行 "/>
        <s v="山东省淄博市张店区云龙国际金晟丽水景园4号楼201 "/>
        <s v="贵州省遵义市红花岗区长征镇坪丰市场金桐壹号B栋15一6 "/>
        <s v="湖南省湘西土家族苗族自治州花垣县步行街柑子园路口太平洋保险公司六楼 "/>
        <s v="重庆市重庆市九龙坡区袁家岗金茂珑悦三期12栋25一7 "/>
        <s v="辽宁省沈阳市沈北新区明珠路2号亚瑟蓝湾 "/>
        <s v="重庆市重庆市渝北区新南路36号19-5 "/>
        <s v="浙江省宁波市宁海县凤山路与权宸路交叉口东60米中乌高端新材料产业园 梅林镇权宸1号"/>
        <s v="福建省漳州市漳浦县绥安镇印石中路（漳州晶冠新能源科技有限公司） 154-62号"/>
        <s v="浙江省金华市兰溪市中亚·东方名都(兰溪市黄大仙路212号) "/>
        <s v="广东省惠州市惠城区江北街道佳兆业写字楼14楼刘新兰部刘新兰收 "/>
        <s v="甘肃省平凉市崆峒区东关街道盘旋路恒润大厦二楼泰康人寿平凉中支 "/>
        <s v="湖南省邵阳市武冈市法相岩街道玉龙路落马桥巷16号 "/>
        <s v="湖南省永州市冷水滩区远志新外滩6栋 "/>
        <s v="河南省平顶山市湛河区神马大道与开源路交叉口往东500米平安保险公司5楼十二部 "/>
        <s v="广东省深圳市龙岗区南湾街道荔枝花园C5栋2103房 "/>
        <s v="重庆市重庆市九龙坡区谢家湾街道永辉超市28栋27楼5号 "/>
        <s v="广东省中山市南朗镇中山市南朗镇大车村湖溪里南岐北路76号 新聿科技 "/>
        <s v="广西壮族自治区南宁市邕宁区中国人寿保险公司 彩虹南路35号"/>
        <s v="广西壮族自治区桂林市七星区棠棣之华20栋1单元102 "/>
        <s v="广东省揭阳市普宁市洪阳镇万花雅苑B栋中梯1304（寄放保安） "/>
        <s v="广东省广州市海珠区广州市海珠区南洲北路海新街13号704 "/>
        <s v="湖北省咸宁市通山县兴业街二路 13号二楼"/>
        <s v="广东省云浮市云城区育华路166号恒美糕点 "/>
        <s v="广东省广州市番禺区巨大创意产业园17栋二楼202号 "/>
        <s v="四川省成都市郫都区犀浦镇校园东路368号 盛世桃源 "/>
        <s v="四川省眉山市东坡区珠市东街162号 "/>
        <s v="湖南省怀化市辰溪县辰阳镇金时圆小区醉江湖酒楼 "/>
        <s v="吉林省吉林市船营区西安路碧水山城a区26号楼3单元602室 "/>
        <s v="广东省佛山市南海区狮山镇松岗商业大道39号锦绣桃园3栋3座201房 "/>
        <s v="湖南省长沙市浏阳市菊花石路碧桂园岭誉2期7街2栋1201室 "/>
        <s v="湖南省邵阳市邵东市高丽路75号金鹏家园 惠玲商店旁"/>
        <s v="福建省三明市泰宁县杉城镇松光三巷7号 "/>
        <s v="山东省青岛市李沧区九水路13号一24 "/>
        <s v="湖北省黄冈市英山县山货一条街良运小区院内二楼 "/>
        <s v="山东省淄博市沂源县东河北小区大领青年房13楼 "/>
        <s v="广东省佛山市南海区罗村依云华府17座101 "/>
        <s v="山东省淄博市沂源县山东淄博沂源济宁银行院内民生保险 "/>
        <s v="吉林省吉林市永吉县口前镇站前路燕山胡同胡同 柏文一门"/>
        <s v="广西壮族自治区贵港市桂平市广西省桂平市凤凰新区7-5#二楼 "/>
        <s v="湖南省永州市宁远县柏家坪镇老油站对面顺泰电子 "/>
        <s v="四川省宜宾市屏山县新县城九地块五幢 "/>
        <s v="山东省青岛市市北区四方街道嘉善路9-5号元顺凯鑫超市 "/>
        <s v="河南省商丘市睢阳区香君路凯帝花园 "/>
        <s v="广东省广州市番禺区巨大创意产业园 17栋202"/>
        <s v="辽宁省朝阳市凌源市毓秀园小区12号楼12一1 "/>
        <s v="重庆市县垫江县牡丹湖碧水庄园门卫门室 "/>
        <s v="湖南省衡阳市衡南县泉溪镇泉长村黄芽嘴组 "/>
        <s v="海南省省直辖县琼海市新田小学温泉新村街27号台铃电动车对面 "/>
        <s v="广西壮族自治区贵港市港南区旧车路 249－7"/>
        <s v="湖北省武汉市武昌区欢乐大道华侨城一期T3-1-1503室 "/>
        <s v="广东省深圳市龙华区美丽365花园K1栋菜鸟驿站 "/>
        <s v="北京市北京市朝阳区定福庄北街瑞和国际小区3-1403 "/>
        <s v="内蒙古自治区鄂尔多斯市东胜区鄂尔多斯宏源一品 5号楼2单元1103"/>
        <s v="山东省济南市市中区千禧嘉园2号楼（丰巢快递柜） "/>
        <s v="浙江省温州市龙港市龙港县直辖村级区划金钗街555号锦绣名园35A "/>
        <s v="山西省阳泉市平定县府新街卓正名城2号楼四单元 "/>
        <s v="山东省潍坊市奎文区宝通街与东方路凤鸣郡 2-1-501"/>
        <s v="辽宁省抚顺市顺城区长春街道水岸东城 "/>
        <s v="四川省成都市郫都区郫筒街道桃园柳岸17-3-8 "/>
        <s v="广西壮族自治区南宁市青秀区葛村路8号 "/>
        <s v="宁夏回族自治区吴忠市盐池县南苑新村 三区3－10"/>
        <s v="四川省成都市大邑县新场镇三河口德兴副食店 "/>
        <s v="广东省汕头市濠江区达濠街道汕头保税区洛斯特大道洛斯特制药 "/>
        <s v="上海市上海市杨浦区五角场街道国福路50号复旦大学国福路教师公寓 "/>
        <s v="浙江省湖州市南浔区千金镇朝阳路113号沙县小吃 "/>
        <s v="广东省汕头市龙湖区金湖花园9幢 榕江路12号"/>
        <s v="甘肃省兰州市七里河区西津东路180号雅园小区1202 "/>
        <s v="黑龙江省牡丹江市东宁市公安小区鑫海商店 "/>
        <s v="河南省濮阳市南乐县仓颉宾馆对面菜鸟驿站 "/>
        <m/>
      </sharedItems>
    </cacheField>
    <cacheField name="买家备注" numFmtId="0">
      <sharedItems containsBlank="1" count="67">
        <m/>
        <s v="_x0009_我身高148，体重97斤，中号会不会太大，如果会帮我换S码"/>
        <s v="_x0009_一件黑色一件白色"/>
        <s v="_x0009_一伴黑色，一件黄色"/>
        <s v="_x0009_这款买了两件黑色和白色都各拍了一件"/>
        <s v="_x0009_草木绿色"/>
        <s v="_x0009_一件黑色一件卡其色"/>
        <s v="_x0009_速到速到速到"/>
        <s v="_x0009_送内搭"/>
        <s v="_x0009_裤子发中码，西装发小码！"/>
        <s v="_x0009_加急"/>
        <s v="_x0009_L"/>
        <s v="_x0009_衣服XL，裤子XXL"/>
        <s v="_x0009_衣服给我发XL，裤子给我发XXL，可以吗？"/>
        <s v="_x0009_记得赠运费险"/>
        <s v="_x0009_我之前买了会员的，为什么没有会员价！"/>
        <s v="_x0009_发孔雀蓝色"/>
        <s v="_x0009_孔雀蓝"/>
        <s v="_x0009_黑色一套"/>
        <s v="_x0009_我上衣3X裤子2X"/>
        <s v="_x0009_想要裤子比衣服大一号"/>
        <s v="_x0009_上衣 xl，裤子2xl"/>
        <s v="_x0009_裤子要2尺2的"/>
        <s v="_x0009_裤子要2尺2"/>
        <s v="_x0009_上衣M码，裤子L码"/>
        <s v="_x0009_今晚买的两个单，一起发好了"/>
        <s v="_x0009_出差在外，麻烦18号开始发货！"/>
        <s v="_x0009_因为我出差在外，希望18号以后发货"/>
        <s v="_x0009_西装上衣L码，裤子XL码"/>
        <s v="_x0009_赠运费险"/>
        <s v="_x0009_上衣L裤子XL"/>
        <s v="_x0009_加急，送运动险"/>
        <s v="_x0009_不合适退货"/>
        <s v="_x0009_L码的西装，3xL的裤子"/>
        <s v="_x0009_XL西装，XⅩL裤子"/>
        <s v="_x0009_请赠送运费险，"/>
        <s v="_x0009_衣服2L，裤子xL，地址四川省成都市大邑县新场镇永辉副食店"/>
        <s v="_x0009_藏蓝色"/>
        <s v="_x0009_发不同码，上身L，裙子XL"/>
        <s v="_x0009_点不了灯牌，高总说可以送运费险和衬衫的，希望能收到�"/>
        <s v="_x0009_上衣拍L"/>
        <s v="_x0009_裤子"/>
        <s v="_x0009_裙子要xl码"/>
        <s v="_x0009_双排扣，款式2！"/>
        <s v="_x0009_上衣XXL，肚子有肉要裤子XXXL"/>
        <s v="_x0009_裤子要L码"/>
        <s v="_x0009_肚子有肉，裤子要大一号"/>
        <s v="_x0009_一件黑色和一件裸肤色，谢谢！"/>
        <s v="_x0009_黑色+灰蓝"/>
        <s v="_x0009_一套肤色"/>
        <s v="_x0009_一套肤色，一套灰色"/>
        <s v="_x0009_送肤色"/>
        <s v="_x0009_上衣M，裤子L"/>
        <s v="_x0009_L码"/>
        <s v="_x0009_送的选灰蓝色"/>
        <s v="_x0009_衣服2⃣️x乚，裤子发3x儿。之前买过一套。"/>
        <s v="_x0009_➕灰色"/>
        <s v="_x0009_买肤色送白色"/>
        <s v="_x0009_一套灰蓝一套黑色"/>
        <s v="_x0009_发一套黑一套灰色"/>
        <s v="_x0009_灰色十黑色"/>
        <s v="_x0009_灰蓝"/>
        <s v="_x0009_另一套要黑"/>
        <s v="_x0009_灰蓝，黑色各1"/>
        <s v="_x0009_灰色"/>
        <s v="_x0009_衣服XL，裤子L码"/>
        <s v="_x0009_西服3XL码，裤子请配2XL码"/>
      </sharedItems>
    </cacheField>
    <cacheField name="订单星级" numFmtId="0">
      <sharedItems containsString="0" containsBlank="1" containsNonDate="0" count="1">
        <m/>
      </sharedItems>
    </cacheField>
    <cacheField name="买家姓名" numFmtId="0">
      <sharedItems containsBlank="1" count="624">
        <s v="HYM"/>
        <s v="踏雪赏梅"/>
        <s v="下雨天"/>
        <s v="vv莹"/>
        <s v="谭秀妃"/>
        <s v="yangL i"/>
        <s v="丘晓花"/>
        <s v="罗军"/>
        <s v="高华-18995305186"/>
        <s v="美美哒13786681028"/>
        <s v="🌻  三宝13350246832"/>
        <s v="兰兰～木马选片师"/>
        <s v="_x0009_17309922476"/>
        <s v="陈新琼（国家公共营养师）168"/>
        <s v="刘志娥13487577507"/>
        <s v="💎 一米阳光"/>
        <s v="黄薇笑13128523797"/>
        <s v="吴慧云专注保险16年"/>
        <s v="李雯"/>
        <s v="曲曲"/>
        <s v="房玉霞"/>
        <s v="艾卉春18081467977"/>
        <s v="_x0009_15032581683"/>
        <s v="A晓东（平安）"/>
        <s v="中国平安何培红13939061281"/>
        <s v="_x0009_17395848357"/>
        <s v="_x0009_17447635710"/>
        <s v="杨云.泰康保险(世界500强) beyond"/>
        <s v="姚玉华-（中国人寿）13607395302"/>
        <s v="娜姐"/>
        <s v="艳儿（平安）"/>
        <s v="安妮（黄裕安）"/>
        <s v="A车险小宝贝。"/>
        <s v="王菲"/>
        <s v="彩云"/>
        <s v="张忻萍"/>
        <s v="平安黄海燕"/>
        <s v="珠珠"/>
        <s v="亚丽"/>
        <s v="勇敢的心"/>
        <s v="简（黄蓝兰）太平洋保险"/>
        <s v="天天向上培训+口腔健康咨询"/>
        <s v="_x0009_17447518728"/>
        <s v="青如許ゞ"/>
        <s v="_x0009_17446846578"/>
        <s v="张小峡"/>
        <s v="心雨"/>
        <s v="谢彩秀626358"/>
        <s v="心雨（精品窗帘壁布布艺）"/>
        <s v="李艳丽15288814261"/>
        <s v="꧁꫞꯭七彩水晶链꯭꫞꧂"/>
        <s v="A火姐（古琴贡茶体雕师)"/>
        <s v="李娜"/>
        <s v="宁静致远"/>
        <s v="项小红"/>
        <s v="留筱晓"/>
        <s v="彩彩15513595855"/>
        <s v="感恩福报4929"/>
        <s v="_x0009_14884575086"/>
        <s v="木子李"/>
        <s v="徐铭阳"/>
        <s v="三十七摄氏度"/>
        <s v="李姿频"/>
        <s v="古体玉方柳现荣13256567389"/>
        <s v="_x0009_15032078757"/>
        <s v="保险审车等业务13550665219"/>
        <s v="珍惜"/>
        <s v="梅山百货彬华"/>
        <s v="雪花"/>
        <s v="风清云静"/>
        <s v="_x0009_17447239093"/>
        <s v="苹苹"/>
        <s v="MY卫衣"/>
        <s v="泰康银保客服经理杨屏利"/>
        <s v="叶子"/>
        <s v="_x0009_17352812304"/>
        <s v="梁远宏"/>
        <s v="杨洋13928983580"/>
        <s v="颖荣"/>
        <s v="王娇律师"/>
        <s v="贵在坚持"/>
        <s v="_x0009_15031888747"/>
        <s v="_x0009_17447208011"/>
        <s v="教育培训~胡老师"/>
        <s v="🇨🇳智能公章&amp;电子公章 余蕾"/>
        <s v="Amily🤝招募优秀合伙人"/>
        <s v="_x0009_17447127969"/>
        <s v="谢天惠"/>
        <s v="A万盈汽车罗娜🤓18933389441"/>
        <s v="_x0009_15031382187"/>
        <s v="_x0009_14133380131"/>
        <s v="しovの双儿"/>
        <s v="_x0009_17447049633"/>
        <s v="风雨百合"/>
        <s v="爱花-张爱花"/>
        <s v="都金红"/>
        <s v="平安危常钰"/>
        <s v="王维"/>
        <s v="霞"/>
        <s v="_x0009_13986499677"/>
        <s v="韦艳玲"/>
        <s v="马海燕~（从业14年）  15945943491"/>
        <s v="刘文焰13860627810"/>
        <s v="JUDY"/>
        <s v="东莞市君祺包装材料有限公司杨小丽"/>
        <s v="_x0009_17447006821"/>
        <s v="李秀群13528008930"/>
        <s v="_x0009_13159518728"/>
        <s v="芳芳"/>
        <s v="赵美艳13805871437"/>
        <s v="忘我"/>
        <s v="中宇卫浴_龙燕平13054056663"/>
        <s v="夏晓语"/>
        <s v="林朝霞13959603376"/>
        <s v="_x0009_15031498913"/>
        <s v="美衣晨曦女装"/>
        <s v="王静13604345230"/>
        <s v="张春艳中国平安18299504555"/>
        <s v="金管家.RFP赵家睿"/>
        <s v="节节高商贸仁霞15020005135"/>
        <s v="_x0009_15031484379"/>
        <s v="嘉鱼何红"/>
        <s v="琼"/>
        <s v="_x0009_15030685472"/>
        <s v="春暖四季"/>
        <s v="_x0009_13453094078"/>
        <s v="源悠"/>
        <s v="梁开凤18634746520"/>
        <s v="AA🐇小黑裙"/>
        <s v="王玲华"/>
        <s v="江山丽人"/>
        <s v="心如止水"/>
        <s v="窦艳玲"/>
        <s v="_x0009_15882741104"/>
        <s v="朱朱～健康管理🍒"/>
        <s v="中国平安张美贤"/>
        <s v="May希希妈咪"/>
        <s v="_x0009_15030694836"/>
        <s v="淡雅如风"/>
        <s v="_x0009_15030680973"/>
        <s v="_x0009_17446712152"/>
        <s v="江南"/>
        <s v="鸿安堂鼻炎馆石大夫(招合伙人加盟)"/>
        <s v="（张小红）张潇予13198360808"/>
        <s v="蔚蓝天空"/>
        <s v="欣赏自己"/>
        <s v="陈何秀 13970793281"/>
        <s v="鄧玉萍"/>
        <s v="食德喜与幸运楼）小梅15992018303"/>
        <s v="李继红℡₁₈₁₁₆₈₁₇₉₄₃"/>
        <s v="钟金平一保险定制"/>
        <s v="_x0009_15030684178"/>
        <s v="Anne"/>
        <s v="江武生律师"/>
        <s v="《百润》--简爱力瑄"/>
        <s v="_x0009_13007899994"/>
        <s v="邓坷平"/>
        <s v="康慧萍～太平洋保险"/>
        <s v="_x0009_15030595504"/>
        <s v="陈霞"/>
        <s v="王晓珍"/>
        <s v="_x0009_17446717665"/>
        <s v="乡林凤餐厅13432350022"/>
        <s v="慧子"/>
        <s v="肖健康"/>
        <s v="A娜娜"/>
        <s v="平安熊金花13605989263"/>
        <s v="_x0009_17446704351"/>
        <s v="太保---客服---尹训英"/>
        <s v="_x0009_15030676793"/>
        <s v="陈巧"/>
        <s v="_x0009_18684590793"/>
        <s v="Angel"/>
        <s v="樱雪"/>
        <s v="风知影"/>
        <s v="不忘初心15169710130"/>
        <s v="邓丽华"/>
        <s v="施艳芳"/>
        <s v="闻秀兰"/>
        <s v="_x0009_16956828231"/>
        <s v="人生如梦"/>
        <s v="邹荣娟"/>
        <s v="a平安周凤"/>
        <s v="@秀芬"/>
        <s v="💎曾海玲 15684927613"/>
        <s v="陈小丽律师 15314639608"/>
        <s v="_x0009_15030493057"/>
        <s v="_x0009_17400701802"/>
        <s v="上善若水方圆有归"/>
        <s v="兰瑞娟~风险管理顾问13988046996"/>
        <s v="Amary"/>
        <s v="肖艳红ID：8523676"/>
        <s v="娥乐无忧 🚗车辆业务18719121148"/>
        <s v="瓦尔斯堡木地板定制-谢姐"/>
        <s v="杨广志13466107678"/>
        <s v="喜洋洋Lucky"/>
        <s v="钟凤琼  健康顾问"/>
        <s v="太保田尚琼13377338031"/>
        <s v="&amp;佲枫"/>
        <s v="真达教育.刘丽平13597385063"/>
        <s v="A品质卫浴 唐颖"/>
        <s v="_x0009_17395013956"/>
        <s v="朱古力"/>
        <s v="刘秀川"/>
        <s v="_x0009_15042295709"/>
        <s v="_x0009_17455729932"/>
        <s v="广东欧维堡系统门窗接单"/>
        <s v="A刘立立"/>
        <s v="三明永安郑伊玉15860861996"/>
        <s v="蓝谊丽"/>
        <s v="_x0009_17455230119"/>
        <s v="唐惠¹⁵⁵²¹³⁹³²³³  θ"/>
        <s v="_x0009_15032477204"/>
        <s v="陈悦蓉（美亲）"/>
        <s v="_x0009_15042078455"/>
        <s v="_x0009_15041989423"/>
        <s v="风云雨"/>
        <s v="_x0009_17455439040"/>
        <s v="_x0009_15041883769"/>
        <s v="_x0009_17455404997"/>
        <s v="努力"/>
        <s v="_x0009_17400839279"/>
        <s v="_x0009_14620175683"/>
        <s v="创投中科彦喜"/>
        <s v="王影18746015398"/>
        <s v="_x0009_17455241228"/>
        <s v="阿梅"/>
        <s v="_x0009_17455222820"/>
        <s v="陈宣彤"/>
        <s v="风雨彩虹"/>
        <s v="邓凤玲高级总监"/>
        <s v="春和景明 符梅春"/>
        <s v="黄婵容～18802016794"/>
        <s v="小米粒"/>
        <s v="英燕-生涯规划&amp;就业指导"/>
        <s v="叶菊花"/>
        <s v="susan"/>
        <s v="桃花"/>
        <s v="红月亮"/>
        <s v="于萍 ₁₅₅₄₆₄₆₀₆₀₈"/>
        <s v="国寿兰卫萍13017089188"/>
        <s v="胡海翔-仙绣加盟商-祛痣疣汗管瘤"/>
        <s v="陈旭芝"/>
        <s v="玫琳凯，媛远"/>
        <s v="_x0009_17354022351"/>
        <s v="_x0009_15031590258"/>
        <s v="许哲艳～专注保险业9年"/>
        <s v="淼淼18627286086"/>
        <s v="_x0009_14972280529"/>
        <s v="小冰~美丽达人"/>
        <s v="金钱树"/>
        <s v="_x0009_17467914966"/>
        <s v="_x0009_17467634509"/>
        <s v="hu莉"/>
        <s v="qinqiuqing9"/>
        <s v="爱乐优托育·红黄蓝-潇潇🌴"/>
        <s v="QQ"/>
        <s v="忆往昔🍁"/>
        <s v="^ - ^锐"/>
        <s v="小李"/>
        <s v="_x0009_17467435123"/>
        <s v="念念"/>
        <s v="沈科林"/>
        <s v="柯梦泽(柯春燕)13178443768"/>
        <s v="_x0009_15172761023"/>
        <s v="_x0009_14487385305"/>
        <s v="朱华"/>
        <s v="_x0009_17466832210"/>
        <s v="许多文化走进思想"/>
        <s v="轨道18936137111"/>
        <s v="友缘"/>
        <s v="花仙子"/>
        <s v="雨后彩虹"/>
        <s v="李富云13782852934"/>
        <s v="红袖"/>
        <s v="秋水易寒"/>
        <s v="momo"/>
        <s v="_x0009_17467046479"/>
        <s v="睿彤（钟李霄）"/>
        <s v="_x0009_15201027852"/>
        <s v="焦丹"/>
        <s v="张晓鹏～平安保险19178453931"/>
        <s v="多多多"/>
        <s v="阿娜"/>
        <s v="_x0009_18659294327"/>
        <s v="刘家淑"/>
        <s v="兰兰"/>
        <s v="何霞"/>
        <s v="庄彩梅18927337450"/>
        <s v="_x0009_17480948006"/>
        <s v="罗小英（新时代风险管理师）"/>
        <s v="_x0009_15079775971"/>
        <s v="涵迟"/>
        <s v="谢易珍"/>
        <s v="_x0009_15079691884"/>
        <s v="_x0009_13503061525"/>
        <s v="_x0009_15079687686"/>
        <s v="平安黄美洪绿洲沙棘&amp;简单就是美"/>
        <s v="_x0009_17480936460"/>
        <s v="田秋艳（康怡养生养老庄园）"/>
        <s v="_x0009_15079497341"/>
        <s v="刘璐菁一个把保险作为终身事业的人"/>
        <s v="_x0009_15079584461"/>
        <s v="宫焕梅"/>
        <s v="_x0009_14864077258"/>
        <s v="俞丽鸣福布斯中国百强保险精英"/>
        <s v="_x0009_15079488989"/>
        <s v="平安保险王贤玉（MDRT会员）"/>
        <s v="Dream"/>
        <s v="徐燕倩⁴ ¹ ³"/>
        <s v="静能生慧"/>
        <s v="刘秀红"/>
        <s v="_x0009_15078878557"/>
        <s v="哈哈"/>
        <s v="中国人寿唐金敏"/>
        <s v="_x0009_14970298387"/>
        <s v="_x0009_15078784791"/>
        <s v="AAA天安保险～刘丽"/>
        <s v="泰康人寿许晨"/>
        <s v="何军13577267189"/>
        <s v="黄凤姣15273136588"/>
        <s v="爱出者爱返  福往者福来"/>
        <s v="舒兰金利货站陈英艳"/>
        <s v="何旭mei"/>
        <s v="黄冬梅"/>
        <s v="_x0009_13016160644"/>
        <s v="lpx"/>
        <s v="中国人寿潘美玲13314454638"/>
        <s v="Angela"/>
        <s v="_x0009_17479629130"/>
        <s v="_x0009_17362645126"/>
        <s v="_x0009_18187063557"/>
        <s v="李楚红"/>
        <s v="博闻小曾"/>
        <s v="蓝天"/>
        <s v="_x0009_17492107843"/>
        <s v="駿"/>
        <s v="平安高管朱鸾凤18075672677"/>
        <s v="_x0009_17491815454"/>
        <s v="王雪霞"/>
        <s v="_x0009_17480917989"/>
        <s v="孙贵典"/>
        <s v="_x0009_17491827258"/>
        <s v="_x0009_15096596023"/>
        <s v="_x0009_17491729665"/>
        <s v="周丽君"/>
        <s v="桃子"/>
        <s v="孙姐"/>
        <s v="中国太平蒋苏红电话17763659998"/>
        <s v="_x0009_15670561001"/>
        <s v="_x0009_18911927657"/>
        <s v="刘丹13889832081"/>
        <s v="颜小娟（PWP私人财富规划师）"/>
        <s v="_x0009_17480929421"/>
        <s v="_x0009_17491914769"/>
        <s v="自在多"/>
        <s v="_x0009_13392792852"/>
        <s v="假如"/>
        <s v="秋"/>
        <s v="丁小红"/>
        <s v="七宝"/>
        <s v="_x0009_15095877024"/>
        <s v="何丽敏"/>
        <s v="冯"/>
        <s v="企业个人信用贷款～债务重组～支付"/>
        <s v="曹媛"/>
        <s v="平安～雪梅"/>
        <s v="_x0009_17491642878"/>
        <s v="安家乐地产先花13435061206"/>
        <s v="太平洋张社凤13622540869"/>
        <s v="A丽妞"/>
        <s v="_x0009_15096098669"/>
        <s v="张译锦"/>
        <s v="蒲芳15526115878"/>
        <s v="平安李新良经理"/>
        <s v="_x0009_15096278578"/>
        <s v="青梅🍒白云山维一植物精油"/>
        <s v="王军梅"/>
        <s v="玲玲"/>
        <s v="吉祥～陈艳17773220118"/>
        <s v="PA廖日平"/>
        <s v="阳红春"/>
        <s v="彩虹姐姐"/>
        <s v="周春梅"/>
        <s v="徐彦玲Erica Xu"/>
        <s v="连"/>
        <s v="_x0009_17491346905"/>
        <s v="_x0009_17447745640"/>
        <s v="_x0009_13608480840"/>
        <s v="中国人寿梁琳彬13434600795"/>
        <s v="_x0009_15095899117"/>
        <s v="六月梅花"/>
        <s v="曾连娣"/>
        <s v="李新"/>
        <s v="陈桂芳"/>
        <s v="陈海芹"/>
        <s v="_x0009_13214313434"/>
        <s v="_x0009_15095684735"/>
        <s v="许丽华"/>
        <s v="_x0009_17491129023"/>
        <s v="_x0009_13727227970"/>
        <s v="太平高新，高小海"/>
        <s v="王酉梅"/>
        <s v="_x0009_17491132052"/>
        <s v="卢公子🤔"/>
        <s v="贞珠"/>
        <s v="张桃红13479534107"/>
        <s v="平安张玲13537657517"/>
        <s v="_x0009_15095582706"/>
        <s v="_x0009_17454928608"/>
        <s v="_x0009_15079381641"/>
        <s v="一抹笑颜"/>
        <s v="_x0009_14970297183"/>
        <s v="汪婷婷"/>
        <s v="香"/>
        <s v="欢乐马"/>
        <s v="玲儿"/>
        <s v="骆仕珍"/>
        <s v="_x0009_15097186252"/>
        <s v="_x0009_17400630273"/>
        <s v="茗雅居13978749831"/>
        <s v="_x0009_15105983933"/>
        <s v="_x0009_15059282472"/>
        <s v="简单"/>
        <s v="_x0009_17497547174"/>
        <s v="钟雪娟"/>
        <s v="马海琴13071840806"/>
        <s v="邹巧秀"/>
        <s v="赵修芝"/>
        <s v="_x0009_17497515028"/>
        <s v="木棉华"/>
        <s v="保险让生活更美好"/>
        <s v="董瑞娟13598995612"/>
        <s v="😀"/>
        <s v="_x0009_17497306602"/>
        <s v="吴玉红"/>
        <s v="LYL"/>
        <s v="_x0009_9258972669"/>
        <s v="_x0009_17480507443"/>
        <s v="_x0009_15104598106"/>
        <s v="_x0009_14838375736"/>
        <s v="邹华玲风险管控师"/>
        <s v="王冬莲"/>
        <s v="芳"/>
        <s v="源泉"/>
        <s v="赵海鸿"/>
        <s v="亦仕欣安"/>
        <s v="太阳花"/>
        <s v="_x0009_17503511617"/>
        <s v="_x0009_15121093573"/>
        <s v="_x0009_13423799558"/>
        <s v="_x0009_17503431872"/>
        <s v="_x0009_15121882449"/>
        <s v="_x0009_15122390058"/>
        <s v="Yuki"/>
        <s v="_x0009_15122297109"/>
        <s v="_x0009_17491712202"/>
        <s v="陈之春13825710179"/>
        <s v="_x0009_15097394901"/>
        <s v="_x0009_17491928289"/>
        <s v="_x0009_15122076365"/>
        <s v="黎思辰18528268314"/>
        <s v="毕看看"/>
        <s v="泰康保险@杜素霞�"/>
        <s v="张玉燕"/>
        <s v="心若莲花"/>
        <s v="_x0009_17503138869"/>
        <s v="_x0009_17350937163"/>
        <s v="_x0009_17363818656"/>
        <s v="邱丽萍"/>
        <s v="双英"/>
        <s v="朱朱～健康管理�"/>
        <s v="可人"/>
        <s v="_x0009_17502340919"/>
        <s v="邓兴菊"/>
        <s v="林东妹13706991315"/>
        <s v="CJ"/>
        <s v="美力健康达人潘文仕18777772432"/>
        <s v="上善若水"/>
        <s v="黄丽英"/>
        <s v="_x0009_17508449437"/>
        <s v="An安(艳梅)18090779806"/>
        <s v="Angel yan"/>
        <s v="_x0009_17508315209"/>
        <s v="徐惠萍"/>
        <s v="中国人寿梁红美13355146166"/>
        <s v="_x0009_17497441259"/>
        <s v="陶厚文"/>
        <s v="桃子夏�"/>
        <s v="_x0009_15129077919"/>
        <s v="A周霞"/>
        <s v="_x0009_15146784361"/>
        <s v="_x0009_17521233281"/>
        <s v="勿忘初心"/>
        <s v="_x0009_17502839085"/>
        <s v="方蕾总监招聘家庭财富风险管理师"/>
        <s v="zhl"/>
        <s v="毅"/>
        <s v="Cailin_WU"/>
        <s v="_x0009_17520648735"/>
        <s v="黄香ღ"/>
        <s v="肖世烜"/>
        <s v="_x0009_17520614474"/>
        <s v="中国人寿邹永书（15348121089）"/>
        <s v="谷存芬"/>
        <s v="青山绿水王老师"/>
        <s v="_x0009_12511081082"/>
        <s v="李梦芬13854630997"/>
        <s v="华艺灯饰15973999200"/>
        <s v="_x0009_17574606275"/>
        <s v="_x0009_13642383021"/>
        <s v="_x0009_17507826959"/>
        <s v="钟霞"/>
        <s v="陈在"/>
        <s v="韦宝玉18077878545"/>
        <s v="夹心"/>
        <s v="小左"/>
        <s v="_x0009_17560810588"/>
        <s v="_x0009_17573817715"/>
        <s v="_x0009_15828062960"/>
        <s v="中国平安美霞13851564549"/>
        <s v="水晶"/>
        <s v="见见"/>
        <s v="_x0009_17574337028"/>
        <s v="A平安张钧菁(jīng)15950221061"/>
        <s v="_x0009_15221876165"/>
        <s v="孙蓉"/>
        <s v="_x0009_15827930332"/>
        <s v="蒲 旭[太阳]"/>
        <s v="孔翠兰"/>
        <s v="祺榕打造IP群主裂变教练"/>
        <s v="_x0009_14882799738"/>
        <s v="李军筱"/>
        <s v="@星晨大海"/>
        <s v="_x0009_18079717568"/>
        <s v="兼葭苍苍"/>
        <s v="陈碧庄13515066901"/>
        <s v="_x0009_17574012205"/>
        <s v="练昕琦"/>
        <s v="道奇"/>
        <s v="向阳花儿开"/>
        <s v="家庭财富管理 周朝琼"/>
        <s v="梁梓"/>
        <s v="苗苗"/>
        <s v="梅兰妮"/>
        <s v="民生保险魏福林"/>
        <s v="田宏佳"/>
        <s v="A杨艳梅℡¹⁵⁸³⁵⁸⁴¹⁸⁸⁹"/>
        <s v="一萍"/>
        <s v="_x0009_17354625358"/>
        <s v="吴华英保险13594346033"/>
        <s v="啊颖～汽车.金融.房产15812442004"/>
        <s v="壹帆风顺666"/>
        <s v="韩yi"/>
        <s v="太保向小源"/>
        <s v="冯云香五福人生"/>
        <s v="胡春凤15840586025"/>
        <s v="杜丽"/>
        <s v="感恩之心"/>
        <s v="♀微♂笑♀"/>
        <s v="年末，往事清零；余生，一切随缘"/>
        <s v="_x0009_17573503583"/>
        <s v="_x0009_15221678503"/>
        <s v="粉色~甜心"/>
        <s v="刘粤"/>
        <s v="_x0009_15237508877"/>
        <s v="杨术萍"/>
        <s v="_x0009_17843572314"/>
        <s v="Linda"/>
        <s v="_x0009_17573324547"/>
        <s v="央企新华保险周露兰13977319348"/>
        <s v="李洁娜13822958482"/>
        <s v="安然~自在~13710113295"/>
        <s v="肩颈调理师王丽17371673505"/>
        <s v="_x0009_17573210220"/>
        <s v="瘦三斤"/>
        <s v="平安一生"/>
        <s v="杨秀琴"/>
        <s v="A� 辰辰贝贝"/>
        <s v="_x0009_15221388141"/>
        <s v="李伟连保险13924540279"/>
        <s v="水润珍珠"/>
        <s v="阿凤"/>
        <s v="张德莲13960523923"/>
        <s v="翏渔"/>
        <s v="碧波庭身材私密管理18827199566"/>
        <s v="131419越来越好�"/>
        <s v="_x0009_15230480711"/>
        <s v="黄伙带"/>
        <s v="梅丽华4139"/>
        <s v="田田老师托辅中心  18744250073"/>
        <s v="_x0009_17579647488"/>
        <s v="欧阳艳华"/>
        <s v="小辣椒"/>
        <s v="_x0009_15105398306"/>
        <s v="温艳艳～太平洋保险～贷款"/>
        <s v="cying"/>
        <s v="_x0009_17579649768"/>
        <s v="_x0009_15823027573"/>
        <s v="许嫦梅15574757408"/>
        <s v="褚玉霞"/>
        <s v="管家萍"/>
        <s v="梅"/>
        <s v="_x0009_17455829882"/>
        <s v="王海华"/>
        <s v="_x0009_15222998222"/>
        <s v="忆往昔�"/>
        <s v="_x0009_17579134547"/>
        <s v="李晓娜"/>
        <s v="_x0009_17353804371"/>
        <s v="张1345"/>
        <s v="宋晓华"/>
        <s v="_x0009_15229594090"/>
        <s v="_x0009_17580012830"/>
        <s v="_x0009_17580045441"/>
        <s v="_x0009_15237288451"/>
        <s v="_x0009_17508112167"/>
        <s v="_x0009_17585906900"/>
        <s v="丽华"/>
        <s v="陈燕"/>
        <s v="_x0009_17585801586"/>
        <s v="_x0009_17585745603"/>
        <s v="_x0009_17585530956"/>
        <m/>
      </sharedItems>
    </cacheField>
    <cacheField name="买家是否会员" numFmtId="0">
      <sharedItems containsBlank="1" count="3">
        <s v="否"/>
        <s v="是"/>
        <m/>
      </sharedItems>
    </cacheField>
    <cacheField name="买家手机号" numFmtId="0">
      <sharedItems containsBlank="1" count="404">
        <s v="_x0009_13549433282"/>
        <s v="_x0009_18175864335"/>
        <s v="_x0009_15339556963"/>
        <s v="_x0009_13926368328"/>
        <s v="_x0009_15200357783"/>
        <s v="_x0009_15812748980"/>
        <s v="_x0009_15880687562"/>
        <s v="_x0009_13802850656"/>
        <s v="_x0009_18995305186"/>
        <s v="_x0009_15367781971"/>
        <s v="_x0009_13350246832"/>
        <s v="_x0009_13035255565"/>
        <m/>
        <s v="_x0009_15347722168"/>
        <s v="_x0009_13487577507"/>
        <s v="_x0009_15978616249"/>
        <s v="_x0009_13128523797"/>
        <s v="_x0009_13829675880"/>
        <s v="_x0009_13810118109"/>
        <s v="_x0009_18081467977"/>
        <s v="_x0009_15926907845"/>
        <s v="_x0009_13939061281"/>
        <s v="_x0009_13888850781"/>
        <s v="_x0009_18907395702"/>
        <s v="_x0009_13556352499"/>
        <s v="_x0009_13207312288"/>
        <s v="_x0009_13727639322"/>
        <s v="_x0009_19523377598"/>
        <s v="_x0009_13884632786"/>
        <s v="_x0009_13605980005"/>
        <s v="_x0009_13613503285"/>
        <s v="_x0009_15876354499"/>
        <s v="_x0009_18604725144"/>
        <s v="_x0009_13535192404"/>
        <s v="_x0009_13878293966"/>
        <s v="_x0009_13235450179"/>
        <s v="_x0009_13978682282"/>
        <s v="_x0009_15709663093"/>
        <s v="_x0009_13537961618"/>
        <s v="_x0009_15988086358"/>
        <s v="_x0009_18762188408"/>
        <s v="_x0009_15288814261"/>
        <s v="_x0009_13717618229"/>
        <s v="_x0009_13551868099"/>
        <s v="_x0009_13389193188"/>
        <s v="_x0009_15137725106"/>
        <s v="_x0009_15055688611"/>
        <s v="_x0009_13967096693"/>
        <s v="_x0009_15513595855"/>
        <s v="_x0009_18016104929"/>
        <s v="_x0009_13437750870"/>
        <s v="_x0009_13305391162"/>
        <s v="_x0009_15808498626"/>
        <s v="_x0009_13435688219"/>
        <s v="_x0009_13725850282"/>
        <s v="_x0009_13971993678"/>
        <s v="_x0009_13963486736"/>
        <s v="_x0009_15883077673"/>
        <s v="_x0009_15066253898"/>
        <s v="_x0009_19980766847"/>
        <s v="_x0009_13480768901"/>
        <s v="_x0009_13652352877"/>
        <s v="_x0009_13928983580"/>
        <s v="_x0009_18688882520"/>
        <s v="_x0009_15153257201"/>
        <s v="_x0009_15120283961"/>
        <s v="_x0009_15106053630"/>
        <s v="_x0009_13928694472"/>
        <s v="_x0009_15181165166"/>
        <s v="_x0009_18688147632"/>
        <s v="_x0009_13849536708"/>
        <s v="_x0009_13887447537"/>
        <s v="_x0009_13694321346"/>
        <s v="_x0009_18216102873"/>
        <s v="_x0009_15859832537"/>
        <s v="_x0009_18388199170"/>
        <s v="_x0009_13768356321"/>
        <s v="_x0009_15945943491"/>
        <s v="_x0009_13622398837"/>
        <s v="_x0009_15989923209"/>
        <s v="_x0009_13528008930"/>
        <s v="_x0009_13159518728"/>
        <s v="_x0009_18234109807"/>
        <s v="_x0009_13805871437"/>
        <s v="_x0009_13590568872"/>
        <s v="_x0009_13054056663"/>
        <s v="_x0009_18048869361"/>
        <s v="_x0009_13959603376"/>
        <s v="_x0009_13728833167"/>
        <s v="_x0009_13604345230"/>
        <s v="_x0009_18299504555"/>
        <s v="_x0009_13355181816"/>
        <s v="_x0009_15020005135"/>
        <s v="_x0009_13545607860"/>
        <s v="_x0009_13883095782"/>
        <s v="_x0009_18563702577"/>
        <s v="_x0009_13789108963"/>
        <s v="_x0009_18634746520"/>
        <s v="_x0009_15377323833"/>
        <s v="_x0009_18217122175"/>
        <s v="_x0009_13924613335"/>
        <s v="_x0009_15100569877"/>
        <s v="_x0009_15882741104"/>
        <s v="_x0009_18902707678"/>
        <s v="_x0009_18661951766"/>
        <s v="_x0009_15307068061"/>
        <s v="_x0009_13360330598"/>
        <s v="_x0009_13198360808"/>
        <s v="_x0009_13590508828"/>
        <s v="_x0009_18766494552"/>
        <s v="_x0009_13970793281"/>
        <s v="_x0009_18089498308"/>
        <s v="_x0009_15992018303"/>
        <s v="_x0009_15899389797"/>
        <s v="_x0009_18718413209"/>
        <s v="_x0009_13424316068"/>
        <s v="_x0009_13808888541"/>
        <s v="_x0009_15975657888"/>
        <s v="_x0009_13007899994"/>
        <s v="_x0009_15051663302"/>
        <s v="_x0009_13970688919"/>
        <s v="_x0009_15889711737"/>
        <s v="_x0009_15931489589"/>
        <s v="_x0009_13432350022"/>
        <s v="_x0009_13974533909"/>
        <s v="_x0009_18940235732"/>
        <s v="_x0009_13605970796"/>
        <s v="_x0009_18769542689"/>
        <s v="_x0009_18113164453"/>
        <s v="_x0009_18684590793"/>
        <s v="_x0009_18750065750"/>
        <s v="_x0009_15889372500"/>
        <s v="_x0009_13305801381"/>
        <s v="_x0009_15169710130"/>
        <s v="_x0009_13978371198"/>
        <s v="_x0009_13187696957"/>
        <s v="_x0009_13101952509"/>
        <s v="_x0009_15526614502"/>
        <s v="_x0009_13540465325"/>
        <s v="_x0009_13957237746"/>
        <s v="_x0009_13367575708"/>
        <s v="_x0009_13922935252"/>
        <s v="_x0009_13600667558"/>
        <s v="_x0009_15153003811"/>
        <s v="_x0009_18676431186"/>
        <s v="_x0009_13545589436"/>
        <s v="_x0009_18719121148"/>
        <s v="_x0009_13823361592"/>
        <s v="_x0009_13466107678"/>
        <s v="_x0009_18616515093"/>
        <s v="_x0009_13669555266"/>
        <s v="_x0009_13377338031"/>
        <s v="_x0009_13014208202"/>
        <s v="_x0009_13597385063"/>
        <s v="_x0009_15959684951"/>
        <s v="_x0009_13039572028"/>
        <s v="_x0009_13633481178"/>
        <s v="_x0009_18959224873"/>
        <s v="_x0009_13256567389"/>
        <s v="_x0009_13604558939"/>
        <s v="_x0009_15860861996"/>
        <s v="_x0009_13590480475"/>
        <s v="_x0009_15521393233"/>
        <s v="_x0009_19935370948"/>
        <s v="_x0009_13892735618"/>
        <s v="_x0009_15823728843"/>
        <s v="_x0009_18746015398"/>
        <s v="_x0009_15846638261"/>
        <s v="_x0009_13755851686"/>
        <s v="_x0009_15386526138"/>
        <s v="_x0009_15877110266"/>
        <s v="_x0009_13929881773"/>
        <s v="_x0009_15248978035"/>
        <s v="_x0009_18802016794"/>
        <s v="_x0009_15576685554"/>
        <s v="_x0009_15595622887"/>
        <s v="_x0009_13277651865"/>
        <s v="_x0009_13662223446"/>
        <s v="_x0009_18475932257"/>
        <s v="_x0009_13961742868"/>
        <s v="_x0009_13017089188"/>
        <s v="_x0009_13766474883"/>
        <s v="_x0009_15361755969"/>
        <s v="_x0009_13627857135"/>
        <s v="_x0009_18019991846"/>
        <s v="_x0009_18876735571"/>
        <s v="_x0009_15193752938"/>
        <s v="_x0009_13899622992"/>
        <s v="_x0009_13357018311"/>
        <s v="_x0009_18729389809"/>
        <s v="_x0009_18787008378"/>
        <s v="_x0009_15282321910"/>
        <s v="_x0009_15172761023"/>
        <s v="_x0009_15697560948"/>
        <s v="_x0009_18768761505"/>
        <s v="_x0009_13991058292"/>
        <s v="_x0009_17869807518"/>
        <s v="_x0009_13607342784"/>
        <s v="_x0009_13782852934"/>
        <s v="_x0009_15094796078"/>
        <s v="_x0009_13769024512"/>
        <s v="_x0009_18327861288"/>
        <s v="_x0009_15889720936"/>
        <s v="_x0009_15201027852"/>
        <s v="_x0009_18155745338"/>
        <s v="_x0009_15819155382"/>
        <s v="_x0009_18659294327"/>
        <s v="_x0009_13754620573"/>
        <s v="_x0009_13766158096"/>
        <s v="_x0009_13651088176"/>
        <s v="_x0009_18927337450"/>
        <s v="_x0009_18079553278"/>
        <s v="_x0009_13503061525"/>
        <s v="_x0009_15835750846"/>
        <s v="_x0009_15675143145"/>
        <s v="_x0009_15954534593"/>
        <s v="_x0009_18144723968"/>
        <s v="_x0009_15880896368"/>
        <s v="_x0009_13794950668"/>
        <s v="_x0009_15019201885"/>
        <s v="_x0009_13935446853"/>
        <s v="_x0009_17539181157"/>
        <s v="_x0009_13326382456"/>
        <s v="_x0009_15588883273"/>
        <s v="_x0009_13327132110"/>
        <s v="_x0009_15273136588"/>
        <s v="_x0009_13562297345"/>
        <s v="_x0009_13196061518"/>
        <s v="_x0009_18780718815"/>
        <s v="_x0009_13016160644"/>
        <s v="_x0009_13948061669"/>
        <s v="_x0009_13314454638"/>
        <s v="_x0009_13686168995"/>
        <s v="_x0009_18187063557"/>
        <s v="_x0009_13539353935"/>
        <s v="_x0009_18960067797"/>
        <s v="_x0009_18075672677"/>
        <s v="_x0009_18317996933"/>
        <s v="_x0009_18662578068"/>
        <s v="_x0009_17763659998"/>
        <s v="_x0009_15670561001"/>
        <s v="_x0009_18911927657"/>
        <s v="_x0009_13889832081"/>
        <s v="_x0009_13480490681"/>
        <s v="_x0009_13706679163"/>
        <s v="_x0009_13392792852"/>
        <s v="_x0009_13529650982"/>
        <s v="_x0009_13769616439"/>
        <s v="_x0009_15907055680"/>
        <s v="_x0009_13966331065"/>
        <s v="_x0009_13600909228"/>
        <s v="_x0009_13600966398"/>
        <s v="_x0009_15323715428"/>
        <s v="_x0009_18580045568"/>
        <s v="_x0009_13435061206"/>
        <s v="_x0009_13622540869"/>
        <s v="_x0009_13540506122"/>
        <s v="_x0009_13214313434"/>
        <s v="_x0009_13923406367"/>
        <s v="_x0009_13531675782"/>
        <s v="_x0009_13812088012"/>
        <s v="_x0009_15969292390"/>
        <s v="_x0009_17773220118"/>
        <s v="_x0009_18079964019"/>
        <s v="_x0009_13927423889"/>
        <s v="_x0009_15898792199"/>
        <s v="_x0009_18113673426"/>
        <s v="_x0009_18929876562"/>
        <s v="_x0009_13804989258"/>
        <s v="_x0009_13801948047"/>
        <s v="_x0009_15366495233"/>
        <s v="_x0009_13922701858"/>
        <s v="_x0009_13727227970"/>
        <s v="_x0009_18711707908"/>
        <s v="_x0009_13510086006"/>
        <s v="_x0009_13798391746"/>
        <s v="_x0009_13479534107"/>
        <s v="_x0009_13537657517"/>
        <s v="_x0009_15609914522"/>
        <s v="_x0009_17754983912"/>
        <s v="_x0009_13824515622"/>
        <s v="_x0009_13717658227"/>
        <s v="_x0009_18777896827"/>
        <s v="_x0009_18033355013"/>
        <s v="_x0009_15977677064"/>
        <s v="_x0009_13170755688"/>
        <s v="_x0009_15160185981"/>
        <s v="_x0009_13071840806"/>
        <s v="_x0009_13709781815"/>
        <s v="_x0009_18671740446"/>
        <s v="_x0009_13598995612"/>
        <s v="_x0009_18727315203"/>
        <s v="_x0009_15936477811"/>
        <s v="_x0009_9258972669"/>
        <s v="_x0009_18607971051"/>
        <s v="_x0009_15080770456"/>
        <s v="_x0009_13605787131"/>
        <s v="_x0009_15952172319"/>
        <s v="_x0009_18925288732"/>
        <s v="_x0009_18627286086"/>
        <s v="_x0009_18528268314"/>
        <s v="_x0009_13652250503"/>
        <s v="_x0009_13417133222"/>
        <s v="_x0009_13378075088"/>
        <s v="_x0009_13787399939"/>
        <s v="_x0009_13733598408"/>
        <s v="_x0009_13752916916"/>
        <s v="_x0009_13706991315"/>
        <s v="_x0009_18675835183"/>
        <s v="_x0009_18777772432"/>
        <s v="_x0009_13139668675"/>
        <s v="_x0009_13860395933"/>
        <s v="_x0009_18281098719"/>
        <s v="_x0009_18570304963"/>
        <s v="_x0009_15014981118"/>
        <s v="_x0009_13583713627"/>
        <s v="_x0009_13578019072"/>
        <s v="_x0009_15506288889"/>
        <s v="_x0009_18909033766"/>
        <s v="_x0009_13531023513"/>
        <s v="_x0009_13101252231"/>
        <s v="_x0009_13685222075"/>
        <s v="_x0009_18228746902"/>
        <s v="_x0009_15859800533"/>
        <s v="_x0009_15348121089"/>
        <s v="_x0009_13529552980"/>
        <s v="_x0009_15713882256"/>
        <s v="_x0009_15973999200"/>
        <s v="_x0009_13642383021"/>
        <s v="_x0009_13635356998"/>
        <s v="_x0009_18077878545"/>
        <s v="_x0009_15662096799"/>
        <s v="_x0009_18748743924"/>
        <s v="_x0009_15828062960"/>
        <s v="_x0009_13851564549"/>
        <s v="_x0009_18977397707"/>
        <s v="_x0009_18916018516"/>
        <s v="_x0009_18115121518"/>
        <s v="_x0009_13983477488"/>
        <s v="_x0009_13314633887"/>
        <s v="_x0009_17688917578"/>
        <s v="_x0009_13853100101"/>
        <s v="_x0009_18209153656"/>
        <s v="_x0009_18079717568"/>
        <s v="_x0009_13734992559"/>
        <s v="_x0009_13707712003"/>
        <s v="_x0009_13515066901"/>
        <s v="_x0009_18822967599"/>
        <s v="_x0009_18561202016"/>
        <s v="_x0009_15723030986"/>
        <s v="_x0009_15182447987"/>
        <s v="_x0009_13760029152"/>
        <s v="_x0009_18666860091"/>
        <s v="_x0009_13882377858"/>
        <s v="_x0009_13928867093"/>
        <s v="_x0009_13995400325"/>
        <s v="_x0009_15835841889"/>
        <s v="_x0009_15077186610"/>
        <s v="_x0009_17843658722"/>
        <s v="_x0009_15812442004"/>
        <s v="_x0009_18678197759"/>
        <s v="_x0009_13984245053"/>
        <s v="_x0009_15200781225"/>
        <s v="_x0009_13647624067"/>
        <s v="_x0009_18983001099"/>
        <s v="_x0009_13034668056"/>
        <s v="_x0009_18959626600"/>
        <s v="_x0009_13757195077"/>
        <s v="_x0009_13927425085"/>
        <s v="_x0009_13100223735"/>
        <s v="_x0009_15237508877"/>
        <s v="_x0009_13802236515"/>
        <s v="_x0009_17843572314"/>
        <s v="_x0009_15377835899"/>
        <s v="_x0009_13977319348"/>
        <s v="_x0009_13822958482"/>
        <s v="_x0009_18819132673"/>
        <s v="_x0009_15172074515"/>
        <s v="_x0009_15013090812"/>
        <s v="_x0009_13880036596"/>
        <s v="_x0009_13696088455"/>
        <s v="_x0009_13755147394"/>
        <s v="_x0009_13924540279"/>
        <s v="_x0009_18229586869"/>
        <s v="_x0009_13960523923"/>
        <s v="_x0009_15275276735"/>
        <s v="_x0009_18827199566"/>
        <s v="_x0009_18666762441"/>
        <s v="_x0009_15949906799"/>
        <s v="_x0009_15802657939"/>
        <s v="_x0009_18783128868"/>
        <s v="_x0009_18826256091"/>
        <s v="_x0009_18373467949"/>
        <s v="_x0009_13991963016"/>
        <s v="_x0009_15103012026"/>
        <s v="_x0009_15678551296"/>
        <s v="_x0009_15302662912"/>
        <s v="_x0009_15253179635"/>
        <s v="_x0009_13453306829"/>
        <s v="_x0009_15165440621"/>
        <s v="_x0009_18980697392"/>
        <s v="_x0009_13918911924"/>
        <s v="_x0009_13860537195"/>
        <s v="_x0009_13809293129"/>
      </sharedItems>
    </cacheField>
    <cacheField name="下单网点" numFmtId="0">
      <sharedItems containsString="0" containsBlank="1" containsNonDate="0" count="1">
        <m/>
      </sharedItems>
    </cacheField>
    <cacheField name="订单退款状态" numFmtId="0">
      <sharedItems containsBlank="1" count="3">
        <m/>
        <s v="退款中"/>
        <s v="退款成功（全额退款）"/>
      </sharedItems>
    </cacheField>
    <cacheField name="订单已退款金额" numFmtId="0">
      <sharedItems containsString="0" containsBlank="1" containsNumber="1" minValue="0" maxValue="609" count="26">
        <n v="0"/>
        <n v="66"/>
        <n v="217"/>
        <n v="88"/>
        <n v="109"/>
        <n v="322"/>
        <n v="359"/>
        <n v="249"/>
        <n v="609"/>
        <n v="595"/>
        <n v="211.82"/>
        <n v="318"/>
        <n v="36.9"/>
        <n v="329"/>
        <n v="99"/>
        <n v="255"/>
        <n v="245"/>
        <n v="138"/>
        <n v="19.9"/>
        <n v="294"/>
        <n v="259"/>
        <n v="233"/>
        <n v="38.9"/>
        <n v="214.6"/>
        <n v="339"/>
        <m/>
      </sharedItems>
    </cacheField>
    <cacheField name="商家订单备注" numFmtId="0">
      <sharedItems containsBlank="1" count="55">
        <m/>
        <s v="换蓝色。莫8.4"/>
        <s v="发XL码数"/>
        <s v="改大一个码"/>
        <s v="已排2-3天出货，已后台留言告知客户9.9"/>
        <s v="改发L"/>
        <s v="黑色换白色"/>
        <s v="NZY以下已排9.6"/>
        <s v="2-3天出货，已后台留言告知客户9.9"/>
        <s v="YD以下已排9.6"/>
        <s v="停发"/>
        <s v="赠送运费险"/>
        <s v="已排9.6"/>
        <s v="RG以下已排9.8"/>
        <s v="YD以下订单已排9.8"/>
        <s v="上衣M码，裤子发L码"/>
        <s v="公司发周.9.9"/>
        <s v="绿色款不做货，已后台留言告知客户9.11"/>
        <s v="撕单未发"/>
        <s v="已排9.8"/>
        <s v="已下单代发周9.8"/>
        <s v="下单代发周9.8"/>
        <s v="已排"/>
        <s v="上衣XL，裤子XXL，2-3天出货，已后台留言告知客户9.9"/>
        <s v="改白色。莫9.7 正确单号772018176937118"/>
        <s v="裤子发XXL，衣服发XL，莫9.7"/>
        <s v="客户要改成L码"/>
        <s v="正确单号772018176937118"/>
        <s v="已排9.11"/>
        <s v="拍小了，改成发M码"/>
        <s v="下单代发周"/>
        <s v="下单代发"/>
        <s v="改成粉色"/>
        <s v="改成L码"/>
        <s v="客户改成黑色9.12"/>
        <s v="用户要黑色，改黑色。"/>
        <s v="换橘色，莫9.11"/>
        <s v="换L码，莫9.11"/>
        <s v="：换L码，莫9.11"/>
        <s v="拍大了，改成L码"/>
        <s v="客户要求补差价发顺丰，记得联系客户"/>
        <s v="改成XL码"/>
        <s v="用户衣服2XL，裤子需要换成3XL"/>
        <s v="已排9.26"/>
        <s v="外套M码数，裤子L码，莫9.26"/>
        <s v="HLL以下已排9.26"/>
        <s v="客户要退款，先不安排9.26"/>
        <s v="黑色2套"/>
        <s v="客户要退，先不安排9.25"/>
        <s v="上衣2XL，裤子3XL，9.25"/>
        <s v="白色缺货，已告知客户9.26，客户要退款，不安排"/>
        <s v="白色缺货，已告知客户9.26，灰蓝+肤色"/>
        <s v="改黑色9.25"/>
        <s v="上衣发XL，裤子发L"/>
        <s v="客户改成4XL，9.27"/>
      </sharedItems>
    </cacheField>
    <cacheField name="优惠券码名称" numFmtId="0">
      <sharedItems containsBlank="1" count="3">
        <m/>
        <s v="社群积分福利券"/>
        <s v="有奖调研优惠券"/>
      </sharedItems>
    </cacheField>
    <cacheField name="入住时间" numFmtId="0">
      <sharedItems containsString="0" containsBlank="1" containsNonDate="0" count="1">
        <m/>
      </sharedItems>
    </cacheField>
    <cacheField name="团长订单" numFmtId="0">
      <sharedItems containsBlank="1" count="2">
        <s v="否"/>
        <m/>
      </sharedItems>
    </cacheField>
    <cacheField name="订单风险标签" numFmtId="0">
      <sharedItems containsBlank="1" count="2">
        <s v="——"/>
        <m/>
      </sharedItems>
    </cacheField>
    <cacheField name="分" numFmtId="0" databaseField="0">
      <fieldGroup base="7">
        <rangePr groupBy="minutes" startDate="2022-09-04T19:14:04" endDate="2022-09-28T00:34:53" groupInterval="1"/>
        <groupItems count="62">
          <s v="&lt;2022/9/4"/>
          <s v="0分"/>
          <s v="1分"/>
          <s v="2分"/>
          <s v="3分"/>
          <s v="4分"/>
          <s v="5分"/>
          <s v="6分"/>
          <s v="7分"/>
          <s v="8分"/>
          <s v="9分"/>
          <s v="10分"/>
          <s v="11分"/>
          <s v="12分"/>
          <s v="13分"/>
          <s v="14分"/>
          <s v="15分"/>
          <s v="16分"/>
          <s v="17分"/>
          <s v="18分"/>
          <s v="19分"/>
          <s v="20分"/>
          <s v="21分"/>
          <s v="22分"/>
          <s v="23分"/>
          <s v="24分"/>
          <s v="25分"/>
          <s v="26分"/>
          <s v="27分"/>
          <s v="28分"/>
          <s v="29分"/>
          <s v="30分"/>
          <s v="31分"/>
          <s v="32分"/>
          <s v="33分"/>
          <s v="34分"/>
          <s v="35分"/>
          <s v="36分"/>
          <s v="37分"/>
          <s v="38分"/>
          <s v="39分"/>
          <s v="40分"/>
          <s v="41分"/>
          <s v="42分"/>
          <s v="43分"/>
          <s v="44分"/>
          <s v="45分"/>
          <s v="46分"/>
          <s v="47分"/>
          <s v="48分"/>
          <s v="49分"/>
          <s v="50分"/>
          <s v="51分"/>
          <s v="52分"/>
          <s v="53分"/>
          <s v="54分"/>
          <s v="55分"/>
          <s v="56分"/>
          <s v="57分"/>
          <s v="58分"/>
          <s v="59分"/>
          <s v="&gt;2022/9/28"/>
        </groupItems>
      </fieldGroup>
    </cacheField>
    <cacheField name="小时" numFmtId="0" databaseField="0">
      <fieldGroup base="7">
        <rangePr groupBy="hours" startDate="2022-09-04T19:14:04" endDate="2022-09-28T00:34:53" groupInterval="1"/>
        <groupItems count="26">
          <s v="&lt;2022/9/4"/>
          <s v="0时"/>
          <s v="1时"/>
          <s v="2时"/>
          <s v="3时"/>
          <s v="4时"/>
          <s v="5时"/>
          <s v="6时"/>
          <s v="7时"/>
          <s v="8时"/>
          <s v="9时"/>
          <s v="10时"/>
          <s v="11时"/>
          <s v="12时"/>
          <s v="13时"/>
          <s v="14时"/>
          <s v="15时"/>
          <s v="16时"/>
          <s v="17时"/>
          <s v="18时"/>
          <s v="19时"/>
          <s v="20时"/>
          <s v="21时"/>
          <s v="22时"/>
          <s v="23时"/>
          <s v="&gt;2022/9/28"/>
        </groupItems>
      </fieldGroup>
    </cacheField>
    <cacheField name="日" numFmtId="0" databaseField="0">
      <fieldGroup base="7">
        <rangePr groupBy="days" startDate="2022-09-04T19:14:04" endDate="2022-09-28T00:34:53" groupInterval="1"/>
        <groupItems count="368">
          <s v="&lt;2022/9/4"/>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2/9/28"/>
        </groupItems>
      </fieldGroup>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5" minRefreshableVersion="3" refreshedDate="44833.3891435185" refreshedBy="Administrator" recordCount="445">
  <cacheSource type="worksheet">
    <worksheetSource ref="A1:M1048576" sheet="视频号商品数据源"/>
  </cacheSource>
  <cacheFields count="13">
    <cacheField name="日期" numFmtId="0">
      <sharedItems containsString="0" containsBlank="1" containsNonDate="0" containsDate="1" minDate="2022-09-04T00:00:00" maxDate="2022-09-28T00:00:00" count="15">
        <d v="2022-09-04T00:00:00"/>
        <d v="2022-09-05T00:00:00"/>
        <d v="2022-09-07T00:00:00"/>
        <d v="2022-09-08T00:00:00"/>
        <d v="2022-09-09T00:00:00"/>
        <d v="2022-09-11T00:00:00"/>
        <d v="2022-09-12T00:00:00"/>
        <d v="2022-09-13T00:00:00"/>
        <d v="2022-09-14T00:00:00"/>
        <d v="2022-09-16T00:00:00"/>
        <d v="2022-09-25T00:00:00"/>
        <d v="2022-09-26T00:00:00"/>
        <d v="2022-09-27T00:00:00"/>
        <d v="2022-09-28T00:00:00"/>
        <m/>
      </sharedItems>
    </cacheField>
    <cacheField name="商品标题" numFmtId="0">
      <sharedItems containsBlank="1" count="155">
        <s v="气质小清新打底吊带RF33066"/>
        <s v="法式气质长袖雪纺衬衫XC1667"/>
        <s v="针织罗纹弹力打底衫RF33099"/>
        <s v="【直播专属】低圆领打底衫 女士套头针织毛衣女长袖薄款YD-NJR025"/>
        <s v="【直播专属】时尚洋气雪纺短袖女薄款中袖衬衣职业气质上衣HYN-2075"/>
        <s v="优雅潮流字母长袖衬衫HYN2149"/>
        <s v="时尚气质宽松直筒裤HYN6645"/>
        <s v="黑色缎面长袖衬衫女洋气系带蝴蝶结雪纺职业衬衣HYN2153"/>
        <s v="【直播专属】高级感暗纹西装套装 时尚气质修身西服正装02RG6201"/>
        <s v="洋气英伦风小西装套装新款HYN1655"/>
        <s v="西装风衣外套女新款中长款大码高级感时尚套装大衣01RG1035"/>
        <s v="上衣气质通勤打底长袖蝴蝶结印花衬衫NZY-NH1201"/>
        <s v="时尚洋气职业气质中长款包臀鱼尾裙HYN1088"/>
        <s v="秋冬厚款时尚气质中长款风衣女士修身显瘦长袖外套01RG1032"/>
        <s v="【直播专属】时尚气质修身西装套10RG22989"/>
        <s v="千鸟格长袖衬衫女设计感系带醋酸缎面雪纺垂感衬衣NZY-HN1203"/>
        <s v="【直播专属】时尚气质百搭衬衣11RG6716"/>
        <s v="【直播专属】秋装女士气质短裙11RG1086"/>
        <s v="金丝绒西装秋冬新款高端气质正装西服套装16RG6613"/>
        <s v="高级感盐系名媛时尚洋气职业西装10RG22966"/>
        <s v="【直播专属】气质时尚职业衬衫11RG6726"/>
        <s v="卡其色风衣套装 中长款高级感西装套19RG9135"/>
        <s v="【直播专属】时尚气质百搭衬衣11RG6711"/>
        <s v="【直播专属】时尚气质半身裙11RG1098"/>
        <s v="双排扣职业西装套装女秋冬新款职场正装时尚工作服21RG6288"/>
        <s v="洋气时尚职业缎面衬衫设计感女士衬衣06RG6591"/>
        <s v="新款休闲正装气质高端职业女士西服套装05RG9902"/>
        <s v="雪纺衬衫女新款豹纹长袖上衣高级感气质工作服21RG8281"/>
        <s v="缎面长袖衬衫女2022早秋新款时尚气质衬衣05RG652"/>
        <s v="秋冬厚款时尚气质中长款风衣外套女士职业装套装长袖西服 01RG1036"/>
        <s v="牛油果绿长袖职业套装时尚气质小西装女显瘦西服套装11RG9671"/>
        <s v="高级定制款商务女士西装套装LYH9913"/>
        <s v="新款韩版小香风西装外套女设计感时尚西装上衣16RG6608"/>
        <s v="高级定制款女士西装套LYH9910"/>
        <s v="高级感暗纹西装套装 时尚气质修身西服正装02RG6201"/>
        <s v="【高姐姐宠粉】秋季简约长款风衣D-F022"/>
        <s v="【高姐姐宠粉】初秋白领长款大衣D-D202"/>
        <s v="【高姐姐宠粉】秋季高定时尚风衣T-F029A"/>
        <s v="【高姐姐宠粉】秋季气质拼接连衣裙3699"/>
        <s v="【高姐姐宠粉】早秋绿色气质连衣裙xyh21511mkw"/>
        <s v="【高姐姐宠粉】早秋甜美格子连衣裙D-885"/>
        <s v="【高姐姐宠粉】初秋两件套长裙114"/>
        <s v="【高姐姐宠粉】秋季高定长款风衣F-5867"/>
        <s v="【高姐姐宠粉】初秋封腰连衣长裙113"/>
        <s v="【高姐姐宠粉】秋季高定风衣F-5723"/>
        <s v="【高姐姐宠粉】秋季蕾丝连衣裙zl22c-023"/>
        <s v="【高姐姐宠粉】早秋心形图案连衣裙k22c569"/>
        <s v="【高姐姐宠粉】秋季高定轻奢连衣裙D-A059"/>
        <s v="【高姐姐宠粉】初秋休闲风衣F-6578"/>
        <s v="【高姐姐宠粉】秋季长袖碎花连衣裙F-6123"/>
        <s v="【高姐姐宠粉】初秋印花连衣裙f6286"/>
        <s v="【高姐姐宠粉】初秋V领连衣裙02s13l129-M2"/>
        <s v="【高姐姐宠粉】秋季长款风衣D-0208"/>
        <s v="【高姐姐宠粉】秋季时尚简约连衣裙F-6538"/>
        <s v="【高姐姐宠粉】时尚清爽款T恤R99112"/>
        <s v="【高姐姐宠粉】初秋时尚百搭毛衣K708"/>
        <s v="【高姐姐宠粉】初秋轻奢淑女套装S-03"/>
        <s v="【高姐姐宠粉】秋季时尚可爱风毛衣K6617"/>
        <s v="高级感中长款风衣外套小个子显瘦气质上衣06RGF5001"/>
        <s v="秋冬款韩版时尚气质女神职业连衣裙西服套装30RG8609"/>
        <s v="【直播专属】中长款时尚风衣RGF5002#"/>
        <s v="【直播专享】大气细跟气质高跟鞋QDZ-858"/>
        <s v="职业西服套装秋冬新款女神范休闲工作服30RG8613"/>
        <s v="秋冬新款水波纹别致小西装气质修身西服套装11RG9691"/>
        <s v="个性优雅减龄西装11RG9696"/>
        <s v="高端女神范西装套 气质女公务员经理总裁工作服29RG1888"/>
        <s v="【直播专享】大气高端简约时尚仿三扣衬衣HYN2138"/>
        <s v="高级感白色西装外套女时尚炸街御姐西服两件套11RG9626"/>
        <s v="总裁秋冬气质女神范时尚职业装商务正装西服套装29RG20199"/>
        <s v="秋冬V领针织衫女宽松休闲套头毛衣薄款上衣YD-262"/>
        <s v="高端职业套装 气质时尚正装西服职业套装02RG6208"/>
        <s v="黑灰撞色西装套装女气质显瘦时尚女神范西服套YJH-EX8053"/>
        <s v="春秋开衫毛衣女V领糖果色外套羊毛短款外搭针织衫YD-ZD35"/>
        <s v="职业西装套装气质名媛高级感炸街西服套装YJH-EM902"/>
        <s v="气质职业装修身小西装女士西服正装套装01RG2229"/>
        <s v="韩版休闲西装套装女时尚气质女神范西服05RG2325"/>
        <s v="高级感正装总裁工作服职业西服套装女01RG2213"/>
        <s v="高端干练气质系带长袖西装套 女时尚英伦风显瘦套装05RG9904"/>
        <s v="经理职场正装工作服职业装长袖西服套装21RG6261"/>
        <s v="秋冬加厚金丝绒西服套装女气质时尚06RG9653"/>
        <s v="通勤时尚气质商务白领正装洋气女神范套装YJH-EX8059"/>
        <s v="2022秋冬时尚职业装气质西装套装女正装小西服05RG9905"/>
        <s v="秋冬新款气质时尚职业套装女休闲修身显瘦西服正装11RG9689"/>
        <s v="醋酸缎高级感干练西装 英伦风职业西装套装01RG2229"/>
        <s v="个性优雅减龄西装套装11RG9696"/>
        <s v="针织长袖上衣女装内搭高弹修身T恤RF33096"/>
        <s v="【直播专属】气质职业装修身小西装女士西服正装套装01RG2229"/>
        <s v="【直播专属】韩版休闲西装套装女时尚气质女神范西服05RG2325"/>
        <s v="【直播专属】经理职场正装工作服职业装长袖西服套装21RG6261"/>
        <s v="【直播专属】通勤时尚气质商务白领正装洋气女神范套装YJH-EX8059"/>
        <s v="高级定制款双排扣女士西装套LYH9910"/>
        <s v="高级定制款商务单排扣女士西装套装LYH9913"/>
        <s v="职业套装高端时尚设计感西服服套装MY8089"/>
        <s v="高端OL西服套装 气质长袖休闲西服套装05RG9906"/>
        <s v="职业外套气质高端时尚女神范中长款外套MY8096"/>
        <s v="【直播专属】时尚单排扣修身长袖针织衫外套XHF33002"/>
        <s v="职业套装高端时尚设计感小个子服装MY8068"/>
        <s v="高端西装套装女秋冬气质女神范工作服29RG20228"/>
        <s v="拼接时尚女西服职业套装格子款商务修身上班工作服LYH6228"/>
        <s v="高级感正装总裁工作服职业西服套装女YS-9203"/>
        <s v="【直播专属】高级感暗纹西装套装 时尚气质修身西服正装SY-6201"/>
        <s v="女神范正装工作服春秋气质高端职业套装SY-6209"/>
        <s v="秋季时尚气质西装职业女士西服套装MY8070"/>
        <s v="高端西装套女气质职业装时尚女神范西服套装SY-6215"/>
        <s v="时尚气质小西装女士职业套装MY8090"/>
        <s v="高级感休闲气质女神范通勤厚西服套装42RG607"/>
        <s v="【直播专属】2022年新款休闲针织垂感拖地长裤子XHF33210"/>
        <s v="【直播专属】圆领打底衫女士百搭修身针织毛衣XHF33221"/>
        <s v="质感西装气质女神范工作服西服套装MY8093"/>
        <s v="蜜桃绒保暖内衣女超薄V领弹力修身美肤保暖套装HLL-T129"/>
        <s v="外穿美背V领打底衫内搭RF7793"/>
        <s v="中长款风衣女秋冬时尚小个子气质休闲30RG8606"/>
        <s v="小个子职业正装时尚气质高级感职业西服套装12RG9571"/>
        <s v="高端职业套装 气质时尚正装西服职业套装SY-6208"/>
        <s v="高级感西装外套女职业装正装西服套装SY-6239"/>
        <s v="高级感休闲风衣外套高端阔太太中长款西装大衣HYN9912"/>
        <s v="时尚西装套装 高级感炸街正装职业装两件套SY-6202"/>
        <s v="高级感气质职业洋气西装套装 SY-6218"/>
        <s v="【高总推荐】卡包AAL10010"/>
        <s v="【高总推荐】萨迪男士时尚百搭自动扣腰带AAP80009"/>
        <s v="【高总推荐】SADI萨迪荔枝纹大容量手提包SDS30068"/>
        <s v="【高总推荐】SADI萨迪两面双扣腰带SDP80111"/>
        <s v="【高总推荐】SADI萨迪老花面料托特包SDS30110"/>
        <s v="【高总推荐】SADI萨迪双面腰带SDP80120"/>
        <s v="【高总推荐】SADI萨迪百搭双肩背包 SDJ40001"/>
        <s v="【高总推荐】SADI萨迪山茶花链条竹筒包SDX20143"/>
        <s v="【高总推荐】SADI萨迪男士胸包SDR50011"/>
        <s v="【高总推荐】SADI萨迪小香风粗链条水桶包 SDX20142"/>
        <s v="【高总推荐】SADI萨迪手提单肩包SDX20372"/>
        <s v="【高总推荐】SADI萨迪女士双面腰带SDP80094"/>
        <s v="【高总推荐】SADI萨迪小香风单肩包SDX20043"/>
        <s v="【高总推荐】SADI萨迪水桶包单肩包SDX20123"/>
        <s v="【高总推荐】SADI萨迪宽肩带链条小方包SDX20023"/>
        <s v="【高总推荐】SADI萨迪复古托特手提包SDS30111"/>
        <s v="【高总推荐】SADI萨迪大容量托特包SDS30038"/>
        <s v="【高总推荐】SADI萨迪大容量通勤托特包单肩包SDX20102"/>
        <s v="【高总推荐】SADI萨迪烫钻戴妃包SDS30027"/>
        <s v="【高总推荐】SADI萨迪头层牛皮斜挎包SDX20112"/>
        <s v="【高总推荐】SADI萨迪大容量托特包SDS30034"/>
        <s v="【高总推荐】SADI萨迪简约大容量托特包单肩包SDS30035"/>
        <s v="【高总推荐】SADI萨迪复古手拎包SDS30123"/>
        <s v="【高总推荐】SADI萨迪鳄鱼纹水桶包SDS30072"/>
        <s v="【高总推荐】SADI萨迪复古单肩包SDX20159"/>
        <s v="【高总推荐】SADI萨迪复古手拎包SDS30115"/>
        <s v="【高总推荐】SADI萨迪大容量油蜡皮单肩包SDX20064"/>
        <s v="【高总推荐】SADI萨迪纯手工铂金包SDS30023"/>
        <s v="【高总推荐】SADI萨迪菜篮子包SDS30067"/>
        <s v="【高总推荐】SADI萨迪链条小方包SDX20327"/>
        <s v="【高总推荐】SADI萨迪撞色复古邮差包 SDY70029"/>
        <s v="【高总推荐】SADI萨迪绣线流浪包SDX20079五天内发货"/>
        <s v="【高总推荐】SADI萨迪鳄鱼纹单肩包SDY70025"/>
        <s v="【高总推荐】SADI萨迪简约手提水桶包SDS30037"/>
        <s v="【高总推荐】SADI萨迪星推月光宝盒手提包SDS30001"/>
        <s v="【高总推荐】SADI萨迪皱褶蝴蝶扣小方包SDS30049"/>
        <m/>
      </sharedItems>
    </cacheField>
    <cacheField name="商品id" numFmtId="0">
      <sharedItems containsString="0" containsBlank="1" containsNumber="1" containsInteger="1" minValue="942187024" maxValue="102972153098411" count="145">
        <n v="2529476838"/>
        <n v="1567470953"/>
        <n v="2033524077"/>
        <n v="2419194308"/>
        <n v="1906890718"/>
        <n v="2035646456"/>
        <n v="2035823215"/>
        <n v="2541092403"/>
        <n v="1983238576"/>
        <n v="2507693918"/>
        <n v="2480178424"/>
        <n v="2027905719"/>
        <n v="2507679096"/>
        <n v="2021508256"/>
        <n v="2006409756"/>
        <n v="2019733769"/>
        <n v="2011047024"/>
        <n v="2015826323"/>
        <n v="2476776138"/>
        <n v="2460481743"/>
        <n v="2011142049"/>
        <n v="2021434911"/>
        <n v="2010924773"/>
        <n v="2015822774"/>
        <n v="2476788224"/>
        <n v="2482777785"/>
        <n v="2011142012"/>
        <n v="2463683490"/>
        <n v="2027747907"/>
        <n v="2480177374"/>
        <n v="2499188374"/>
        <n v="2545182157"/>
        <n v="2012733897"/>
        <n v="2023542289"/>
        <n v="2006302397"/>
        <n v="102571986098411"/>
        <n v="102572130098411"/>
        <n v="102572664098411"/>
        <n v="102571921098411"/>
        <n v="102571799098411"/>
        <n v="102572272098411"/>
        <n v="102572060098411"/>
        <n v="102572372098411"/>
        <n v="102571931098411"/>
        <n v="102573793098411"/>
        <n v="102571798098411"/>
        <n v="102571747098411"/>
        <n v="102572072098411"/>
        <n v="102573410098411"/>
        <n v="102573737098411"/>
        <n v="102572032098411"/>
        <n v="102571834098411"/>
        <n v="102572106098411"/>
        <n v="102573678098411"/>
        <n v="102572532098411"/>
        <n v="102572703098411"/>
        <n v="102573891098411"/>
        <n v="102573749098411"/>
        <n v="2512477890"/>
        <n v="2038147985"/>
        <n v="1987549626"/>
        <n v="1617491551"/>
        <n v="2512296379"/>
        <n v="2023048055"/>
        <n v="2504687566"/>
        <n v="2066613598"/>
        <n v="1691802220"/>
        <n v="2570376557"/>
        <n v="2569577636"/>
        <n v="2527498888"/>
        <n v="2507991086"/>
        <n v="2569088581"/>
        <n v="2540788342"/>
        <n v="2066030561"/>
        <n v="2036131202"/>
        <n v="2570082685"/>
        <n v="2038124769"/>
        <n v="2066934037"/>
        <n v="2508094755"/>
        <n v="2021841658"/>
        <n v="2066037345"/>
        <n v="2507098983"/>
        <n v="2035424532"/>
        <n v="1987735700"/>
        <n v="2589792962"/>
        <n v="2628778680"/>
        <n v="2612296980"/>
        <n v="2099706046"/>
        <n v="1987113893"/>
        <n v="2628697751"/>
        <n v="2612389776"/>
        <n v="2093525223"/>
        <n v="2593994336"/>
        <n v="2628880197"/>
        <n v="2078929917"/>
        <n v="2628790077"/>
        <n v="2588975439"/>
        <n v="1987148816"/>
        <n v="1987125055"/>
        <n v="2628799448"/>
        <n v="2095744093"/>
        <n v="942187024"/>
        <n v="2512582445"/>
        <n v="2076540611"/>
        <n v="2078942989"/>
        <n v="2076418502"/>
        <n v="2076446286"/>
        <n v="2594082312"/>
        <n v="102949612098411"/>
        <n v="102949533098411"/>
        <n v="102949987098411"/>
        <n v="102949198098411"/>
        <n v="102972058098411"/>
        <n v="102949423098411"/>
        <n v="102949536098411"/>
        <n v="102949835098411"/>
        <n v="102949653098411"/>
        <n v="102949107098411"/>
        <n v="102972043098411"/>
        <n v="102949396098411"/>
        <n v="102949508098411"/>
        <n v="102949633098411"/>
        <n v="102972027098411"/>
        <n v="102972062098411"/>
        <n v="102949754098411"/>
        <n v="101728597098411"/>
        <n v="102949645098411"/>
        <n v="102949495098411"/>
        <n v="102971895098411"/>
        <n v="102972153098411"/>
        <n v="101729413098411"/>
        <n v="101729149098411"/>
        <n v="101729408098411"/>
        <n v="102949582098411"/>
        <n v="102949834098411"/>
        <n v="102949693098411"/>
        <n v="102949509098411"/>
        <n v="102949721098411"/>
        <n v="102949368098411"/>
        <n v="102949644098411"/>
        <n v="102949808098411"/>
        <n v="102949588098411"/>
        <n v="102949478098411"/>
        <n v="102949930098411"/>
        <m/>
      </sharedItems>
    </cacheField>
    <cacheField name="商品价格" numFmtId="0">
      <sharedItems containsString="0" containsBlank="1" containsNumber="1" minValue="19.9" maxValue="8999" count="81">
        <n v="69"/>
        <n v="99"/>
        <n v="159"/>
        <n v="279"/>
        <n v="249"/>
        <n v="739"/>
        <n v="799"/>
        <n v="726"/>
        <n v="278"/>
        <n v="748"/>
        <n v="286"/>
        <n v="269"/>
        <n v="229"/>
        <n v="638"/>
        <n v="996"/>
        <n v="776"/>
        <n v="239"/>
        <n v="256"/>
        <n v="928"/>
        <n v="268"/>
        <n v="608"/>
        <n v="659"/>
        <n v="1569"/>
        <n v="69.9"/>
        <n v="79"/>
        <n v="259"/>
        <n v="966"/>
        <n v="746"/>
        <n v="418"/>
        <n v="499"/>
        <n v="149"/>
        <n v="299"/>
        <n v="199"/>
        <n v="135"/>
        <n v="179"/>
        <n v="109"/>
        <n v="169"/>
        <n v="89"/>
        <n v="165"/>
        <n v="59"/>
        <n v="75"/>
        <n v="19.9"/>
        <n v="39.9"/>
        <n v="219"/>
        <n v="329"/>
        <n v="129"/>
        <n v="359"/>
        <n v="209"/>
        <n v="599"/>
        <n v="759"/>
        <n v="678"/>
        <n v="138"/>
        <n v="119"/>
        <n v="49.9"/>
        <n v="339"/>
        <n v="399"/>
        <n v="289"/>
        <n v="1290"/>
        <n v="899"/>
        <n v="2168"/>
        <n v="598"/>
        <n v="1898"/>
        <n v="1699"/>
        <n v="1399"/>
        <n v="1599"/>
        <n v="1576"/>
        <n v="1168"/>
        <n v="1999"/>
        <n v="1899"/>
        <n v="369"/>
        <n v="2099"/>
        <n v="1868"/>
        <n v="2269"/>
        <n v="1968"/>
        <n v="1676"/>
        <n v="8999"/>
        <n v="1568"/>
        <n v="1458"/>
        <n v="1499"/>
        <n v="6999"/>
        <m/>
      </sharedItems>
    </cacheField>
    <cacheField name="商品来源" numFmtId="0">
      <sharedItems containsBlank="1" count="3">
        <s v="职业优品旗舰店"/>
        <s v="微盟"/>
        <m/>
      </sharedItems>
    </cacheField>
    <cacheField name="分享人数" numFmtId="0">
      <sharedItems containsString="0" containsBlank="1" containsNumber="1" containsInteger="1" minValue="0" maxValue="2" count="4">
        <n v="0"/>
        <n v="1"/>
        <n v="2"/>
        <m/>
      </sharedItems>
    </cacheField>
    <cacheField name="曝光次数" numFmtId="0">
      <sharedItems containsString="0" containsBlank="1" containsNumber="1" containsInteger="1" minValue="7" maxValue="16026" count="405">
        <n v="6666"/>
        <n v="7090"/>
        <n v="7455"/>
        <n v="6332"/>
        <n v="4849"/>
        <n v="3022"/>
        <n v="3311"/>
        <n v="2506"/>
        <n v="3306"/>
        <n v="3284"/>
        <n v="2586"/>
        <n v="3399"/>
        <n v="2323"/>
        <n v="2418"/>
        <n v="2755"/>
        <n v="2241"/>
        <n v="2086"/>
        <n v="1844"/>
        <n v="2054"/>
        <n v="1601"/>
        <n v="1566"/>
        <n v="1716"/>
        <n v="1693"/>
        <n v="1372"/>
        <n v="1174"/>
        <n v="1029"/>
        <n v="981"/>
        <n v="966"/>
        <n v="939"/>
        <n v="1064"/>
        <n v="864"/>
        <n v="829"/>
        <n v="2286"/>
        <n v="4313"/>
        <n v="2436"/>
        <n v="3523"/>
        <n v="3512"/>
        <n v="1876"/>
        <n v="1294"/>
        <n v="1592"/>
        <n v="1126"/>
        <n v="3466"/>
        <n v="2213"/>
        <n v="1379"/>
        <n v="1327"/>
        <n v="1089"/>
        <n v="1446"/>
        <n v="933"/>
        <n v="1004"/>
        <n v="912"/>
        <n v="1487"/>
        <n v="852"/>
        <n v="775"/>
        <n v="758"/>
        <n v="666"/>
        <n v="621"/>
        <n v="524"/>
        <n v="443"/>
        <n v="440"/>
        <n v="418"/>
        <n v="400"/>
        <n v="369"/>
        <n v="350"/>
        <n v="340"/>
        <n v="595"/>
        <n v="841"/>
        <n v="2841"/>
        <n v="2639"/>
        <n v="3015"/>
        <n v="2393"/>
        <n v="1740"/>
        <n v="1203"/>
        <n v="1094"/>
        <n v="980"/>
        <n v="1550"/>
        <n v="2143"/>
        <n v="1078"/>
        <n v="1295"/>
        <n v="967"/>
        <n v="889"/>
        <n v="1719"/>
        <n v="921"/>
        <n v="958"/>
        <n v="1101"/>
        <n v="1344"/>
        <n v="805"/>
        <n v="774"/>
        <n v="1045"/>
        <n v="842"/>
        <n v="598"/>
        <n v="536"/>
        <n v="919"/>
        <n v="568"/>
        <n v="539"/>
        <n v="495"/>
        <n v="473"/>
        <n v="427"/>
        <n v="222"/>
        <n v="224"/>
        <n v="429"/>
        <n v="558"/>
        <n v="4474"/>
        <n v="828"/>
        <n v="934"/>
        <n v="1121"/>
        <n v="906"/>
        <n v="1638"/>
        <n v="1125"/>
        <n v="1170"/>
        <n v="1441"/>
        <n v="1537"/>
        <n v="1496"/>
        <n v="1490"/>
        <n v="1461"/>
        <n v="1709"/>
        <n v="1893"/>
        <n v="1612"/>
        <n v="1465"/>
        <n v="1425"/>
        <n v="1498"/>
        <n v="2265"/>
        <n v="2030"/>
        <n v="2328"/>
        <n v="2020"/>
        <n v="1215"/>
        <n v="951"/>
        <n v="953"/>
        <n v="1565"/>
        <n v="1662"/>
        <n v="1252"/>
        <n v="1387"/>
        <n v="1135"/>
        <n v="1034"/>
        <n v="5419"/>
        <n v="1569"/>
        <n v="1552"/>
        <n v="1529"/>
        <n v="1426"/>
        <n v="1254"/>
        <n v="969"/>
        <n v="1003"/>
        <n v="965"/>
        <n v="766"/>
        <n v="672"/>
        <n v="712"/>
        <n v="681"/>
        <n v="638"/>
        <n v="606"/>
        <n v="215"/>
        <n v="1019"/>
        <n v="7"/>
        <n v="823"/>
        <n v="302"/>
        <n v="4059"/>
        <n v="3257"/>
        <n v="3231"/>
        <n v="3305"/>
        <n v="2582"/>
        <n v="1686"/>
        <n v="1451"/>
        <n v="1522"/>
        <n v="7961"/>
        <n v="2739"/>
        <n v="2037"/>
        <n v="1994"/>
        <n v="1616"/>
        <n v="16026"/>
        <n v="3335"/>
        <n v="2710"/>
        <n v="2702"/>
        <n v="2594"/>
        <n v="3275"/>
        <n v="2289"/>
        <n v="1734"/>
        <n v="1800"/>
        <n v="1778"/>
        <n v="1688"/>
        <n v="1436"/>
        <n v="1266"/>
        <n v="2112"/>
        <n v="1349"/>
        <n v="1385"/>
        <n v="1326"/>
        <n v="1277"/>
        <n v="2404"/>
        <n v="209"/>
        <n v="2215"/>
        <n v="4407"/>
        <n v="2259"/>
        <n v="5454"/>
        <n v="2487"/>
        <n v="2173"/>
        <n v="1751"/>
        <n v="1416"/>
        <n v="1269"/>
        <n v="1144"/>
        <n v="1240"/>
        <n v="1008"/>
        <n v="927"/>
        <n v="815"/>
        <n v="777"/>
        <n v="737"/>
        <n v="724"/>
        <n v="693"/>
        <n v="684"/>
        <n v="687"/>
        <n v="673"/>
        <n v="671"/>
        <n v="586"/>
        <n v="587"/>
        <n v="546"/>
        <n v="571"/>
        <n v="583"/>
        <n v="550"/>
        <n v="526"/>
        <n v="807"/>
        <n v="21"/>
        <n v="69"/>
        <n v="1999"/>
        <n v="2368"/>
        <n v="3005"/>
        <n v="2673"/>
        <n v="2792"/>
        <n v="1839"/>
        <n v="1564"/>
        <n v="1450"/>
        <n v="1458"/>
        <n v="1483"/>
        <n v="1602"/>
        <n v="1590"/>
        <n v="1770"/>
        <n v="1697"/>
        <n v="1685"/>
        <n v="1520"/>
        <n v="2372"/>
        <n v="2041"/>
        <n v="1911"/>
        <n v="2107"/>
        <n v="961"/>
        <n v="1869"/>
        <n v="1937"/>
        <n v="1735"/>
        <n v="1668"/>
        <n v="1721"/>
        <n v="1707"/>
        <n v="1456"/>
        <n v="798"/>
        <n v="1110"/>
        <n v="1189"/>
        <n v="2093"/>
        <n v="1661"/>
        <n v="1261"/>
        <n v="1402"/>
        <n v="915"/>
        <n v="803"/>
        <n v="748"/>
        <n v="930"/>
        <n v="896"/>
        <n v="1176"/>
        <n v="942"/>
        <n v="821"/>
        <n v="813"/>
        <n v="1112"/>
        <n v="840"/>
        <n v="782"/>
        <n v="716"/>
        <n v="690"/>
        <n v="619"/>
        <n v="612"/>
        <n v="691"/>
        <n v="700"/>
        <n v="637"/>
        <n v="905"/>
        <n v="944"/>
        <n v="1193"/>
        <n v="1321"/>
        <n v="2387"/>
        <n v="1491"/>
        <n v="1195"/>
        <n v="1608"/>
        <n v="843"/>
        <n v="759"/>
        <n v="747"/>
        <n v="721"/>
        <n v="686"/>
        <n v="738"/>
        <n v="725"/>
        <n v="682"/>
        <n v="707"/>
        <n v="2489"/>
        <n v="3364"/>
        <n v="1190"/>
        <n v="1219"/>
        <n v="650"/>
        <n v="1821"/>
        <n v="785"/>
        <n v="787"/>
        <n v="784"/>
        <n v="494"/>
        <n v="2553"/>
        <n v="2560"/>
        <n v="4413"/>
        <n v="2858"/>
        <n v="2675"/>
        <n v="2158"/>
        <n v="1976"/>
        <n v="1753"/>
        <n v="1678"/>
        <n v="1677"/>
        <n v="1769"/>
        <n v="2116"/>
        <n v="1922"/>
        <n v="1739"/>
        <n v="1710"/>
        <n v="1889"/>
        <n v="1875"/>
        <n v="2164"/>
        <n v="2114"/>
        <n v="2201"/>
        <n v="2092"/>
        <n v="1836"/>
        <n v="1998"/>
        <n v="2340"/>
        <n v="2276"/>
        <n v="3895"/>
        <n v="1946"/>
        <n v="1157"/>
        <n v="1177"/>
        <n v="1278"/>
        <n v="1198"/>
        <n v="1051"/>
        <n v="806"/>
        <n v="749"/>
        <n v="740"/>
        <n v="733"/>
        <n v="706"/>
        <n v="1117"/>
        <n v="861"/>
        <n v="808"/>
        <n v="881"/>
        <n v="754"/>
        <n v="752"/>
        <n v="757"/>
        <n v="1036"/>
        <n v="1095"/>
        <n v="875"/>
        <n v="2961"/>
        <n v="1518"/>
        <n v="1412"/>
        <n v="1415"/>
        <n v="993"/>
        <n v="911"/>
        <n v="1245"/>
        <n v="931"/>
        <n v="1206"/>
        <n v="1297"/>
        <n v="947"/>
        <n v="771"/>
        <n v="710"/>
        <n v="677"/>
        <n v="618"/>
        <n v="792"/>
        <n v="603"/>
        <n v="555"/>
        <n v="537"/>
        <n v="685"/>
        <n v="1005"/>
        <n v="972"/>
        <n v="709"/>
        <n v="699"/>
        <n v="692"/>
        <n v="623"/>
        <n v="1138"/>
        <n v="767"/>
        <n v="479"/>
        <n v="799"/>
        <n v="4015"/>
        <n v="3861"/>
        <n v="4629"/>
        <n v="1762"/>
        <n v="3389"/>
        <n v="3051"/>
        <n v="3211"/>
        <n v="2577"/>
        <n v="1975"/>
        <n v="1863"/>
        <n v="849"/>
        <n v="1935"/>
        <n v="223"/>
        <n v="2757"/>
        <n v="219"/>
        <n v="295"/>
        <n v="293"/>
        <n v="298"/>
        <n v="257"/>
        <n v="242"/>
        <n v="249"/>
        <n v="247"/>
        <n v="318"/>
        <n v="254"/>
        <n v="252"/>
        <n v="237"/>
        <n v="228"/>
        <n v="227"/>
        <m/>
      </sharedItems>
    </cacheField>
    <cacheField name="点击次数" numFmtId="0">
      <sharedItems containsString="0" containsBlank="1" containsNumber="1" containsInteger="1" minValue="1" maxValue="891" count="160">
        <n v="477"/>
        <n v="891"/>
        <n v="469"/>
        <n v="363"/>
        <n v="180"/>
        <n v="61"/>
        <n v="136"/>
        <n v="51"/>
        <n v="279"/>
        <n v="152"/>
        <n v="96"/>
        <n v="166"/>
        <n v="42"/>
        <n v="57"/>
        <n v="185"/>
        <n v="108"/>
        <n v="14"/>
        <n v="83"/>
        <n v="26"/>
        <n v="32"/>
        <n v="37"/>
        <n v="20"/>
        <n v="27"/>
        <n v="16"/>
        <n v="38"/>
        <n v="22"/>
        <n v="12"/>
        <n v="67"/>
        <n v="39"/>
        <n v="13"/>
        <n v="84"/>
        <n v="213"/>
        <n v="125"/>
        <n v="145"/>
        <n v="93"/>
        <n v="43"/>
        <n v="41"/>
        <n v="17"/>
        <n v="216"/>
        <n v="133"/>
        <n v="23"/>
        <n v="19"/>
        <n v="50"/>
        <n v="77"/>
        <n v="30"/>
        <n v="10"/>
        <n v="11"/>
        <n v="15"/>
        <n v="3"/>
        <n v="6"/>
        <n v="7"/>
        <n v="8"/>
        <n v="49"/>
        <n v="45"/>
        <n v="127"/>
        <n v="220"/>
        <n v="98"/>
        <n v="55"/>
        <n v="28"/>
        <n v="131"/>
        <n v="123"/>
        <n v="116"/>
        <n v="31"/>
        <n v="47"/>
        <n v="87"/>
        <n v="25"/>
        <n v="53"/>
        <n v="29"/>
        <n v="35"/>
        <n v="34"/>
        <n v="60"/>
        <n v="76"/>
        <n v="121"/>
        <n v="70"/>
        <n v="154"/>
        <n v="94"/>
        <n v="64"/>
        <n v="54"/>
        <n v="103"/>
        <n v="201"/>
        <n v="122"/>
        <n v="82"/>
        <n v="99"/>
        <n v="86"/>
        <n v="138"/>
        <n v="59"/>
        <n v="18"/>
        <n v="33"/>
        <n v="159"/>
        <n v="111"/>
        <n v="24"/>
        <n v="36"/>
        <n v="21"/>
        <n v="327"/>
        <n v="106"/>
        <n v="74"/>
        <n v="62"/>
        <n v="2"/>
        <n v="175"/>
        <n v="312"/>
        <n v="72"/>
        <n v="439"/>
        <n v="140"/>
        <n v="675"/>
        <n v="151"/>
        <n v="69"/>
        <n v="71"/>
        <n v="46"/>
        <n v="148"/>
        <n v="146"/>
        <n v="63"/>
        <n v="104"/>
        <n v="92"/>
        <n v="281"/>
        <n v="88"/>
        <n v="329"/>
        <n v="80"/>
        <n v="40"/>
        <n v="119"/>
        <n v="9"/>
        <n v="141"/>
        <n v="164"/>
        <n v="75"/>
        <n v="78"/>
        <n v="95"/>
        <n v="109"/>
        <n v="100"/>
        <n v="101"/>
        <n v="102"/>
        <n v="156"/>
        <n v="44"/>
        <n v="73"/>
        <n v="52"/>
        <n v="56"/>
        <n v="66"/>
        <n v="112"/>
        <n v="118"/>
        <n v="48"/>
        <n v="255"/>
        <n v="135"/>
        <n v="388"/>
        <n v="90"/>
        <n v="97"/>
        <n v="186"/>
        <n v="275"/>
        <n v="126"/>
        <n v="58"/>
        <n v="318"/>
        <n v="91"/>
        <n v="65"/>
        <n v="120"/>
        <n v="637"/>
        <n v="137"/>
        <n v="184"/>
        <n v="85"/>
        <n v="79"/>
        <n v="1"/>
        <n v="4"/>
        <n v="5"/>
        <m/>
      </sharedItems>
    </cacheField>
    <cacheField name="创建订单人数" numFmtId="0">
      <sharedItems containsString="0" containsBlank="1" containsNumber="1" containsInteger="1" minValue="0" maxValue="69" count="26">
        <n v="69"/>
        <n v="17"/>
        <n v="49"/>
        <n v="32"/>
        <n v="3"/>
        <n v="0"/>
        <n v="11"/>
        <n v="12"/>
        <n v="8"/>
        <n v="2"/>
        <n v="15"/>
        <n v="1"/>
        <n v="5"/>
        <n v="6"/>
        <n v="4"/>
        <n v="33"/>
        <n v="10"/>
        <n v="20"/>
        <n v="7"/>
        <n v="19"/>
        <n v="21"/>
        <n v="29"/>
        <n v="16"/>
        <n v="14"/>
        <n v="64"/>
        <m/>
      </sharedItems>
    </cacheField>
    <cacheField name="创建订单数" numFmtId="0">
      <sharedItems containsString="0" containsBlank="1" containsNumber="1" containsInteger="1" minValue="0" maxValue="82" count="28">
        <n v="80"/>
        <n v="19"/>
        <n v="54"/>
        <n v="35"/>
        <n v="3"/>
        <n v="0"/>
        <n v="11"/>
        <n v="13"/>
        <n v="9"/>
        <n v="2"/>
        <n v="1"/>
        <n v="5"/>
        <n v="8"/>
        <n v="4"/>
        <n v="36"/>
        <n v="18"/>
        <n v="21"/>
        <n v="7"/>
        <n v="6"/>
        <n v="22"/>
        <n v="23"/>
        <n v="10"/>
        <n v="15"/>
        <n v="12"/>
        <n v="16"/>
        <n v="82"/>
        <n v="20"/>
        <m/>
      </sharedItems>
    </cacheField>
    <cacheField name="成交人数" numFmtId="0">
      <sharedItems containsString="0" containsBlank="1" containsNumber="1" containsInteger="1" minValue="0" maxValue="64" count="26">
        <n v="62"/>
        <n v="16"/>
        <n v="40"/>
        <n v="27"/>
        <n v="2"/>
        <n v="0"/>
        <n v="11"/>
        <n v="6"/>
        <n v="12"/>
        <n v="5"/>
        <n v="3"/>
        <n v="4"/>
        <n v="1"/>
        <n v="8"/>
        <n v="30"/>
        <n v="9"/>
        <n v="19"/>
        <n v="10"/>
        <n v="7"/>
        <n v="17"/>
        <n v="20"/>
        <n v="28"/>
        <n v="14"/>
        <n v="13"/>
        <n v="64"/>
        <m/>
      </sharedItems>
    </cacheField>
    <cacheField name="成交订单数" numFmtId="0">
      <sharedItems containsString="0" containsBlank="1" containsNumber="1" containsInteger="1" minValue="0" maxValue="82" count="25">
        <n v="70"/>
        <n v="18"/>
        <n v="41"/>
        <n v="28"/>
        <n v="2"/>
        <n v="0"/>
        <n v="11"/>
        <n v="6"/>
        <n v="12"/>
        <n v="5"/>
        <n v="3"/>
        <n v="7"/>
        <n v="4"/>
        <n v="1"/>
        <n v="8"/>
        <n v="33"/>
        <n v="16"/>
        <n v="9"/>
        <n v="19"/>
        <n v="10"/>
        <n v="20"/>
        <n v="17"/>
        <n v="13"/>
        <n v="82"/>
        <m/>
      </sharedItems>
    </cacheField>
    <cacheField name="成交金额" numFmtId="0">
      <sharedItems containsString="0" containsBlank="1" containsNumber="1" minValue="0" maxValue="6923" count="165">
        <n v="1442.1"/>
        <n v="358.2"/>
        <n v="1658.7"/>
        <n v="1083.2"/>
        <n v="129"/>
        <n v="0"/>
        <n v="1063"/>
        <n v="2723"/>
        <n v="1549"/>
        <n v="496"/>
        <n v="1169"/>
        <n v="1238"/>
        <n v="287"/>
        <n v="1506"/>
        <n v="983.51"/>
        <n v="107"/>
        <n v="87"/>
        <n v="768"/>
        <n v="656.7"/>
        <n v="39.8"/>
        <n v="613.4"/>
        <n v="351.1"/>
        <n v="66"/>
        <n v="197"/>
        <n v="1975"/>
        <n v="508"/>
        <n v="98"/>
        <n v="99"/>
        <n v="398"/>
        <n v="993"/>
        <n v="378.1"/>
        <n v="19.9"/>
        <n v="383.1"/>
        <n v="184.5"/>
        <n v="1482"/>
        <n v="1031"/>
        <n v="193"/>
        <n v="1721"/>
        <n v="96"/>
        <n v="172"/>
        <n v="431"/>
        <n v="980"/>
        <n v="218"/>
        <n v="88"/>
        <n v="718"/>
        <n v="149"/>
        <n v="159"/>
        <n v="109"/>
        <n v="169"/>
        <n v="594"/>
        <n v="356"/>
        <n v="79"/>
        <n v="623"/>
        <n v="236"/>
        <n v="138"/>
        <n v="159.2"/>
        <n v="232.4"/>
        <n v="114.7"/>
        <n v="89"/>
        <n v="742"/>
        <n v="259"/>
        <n v="285"/>
        <n v="196"/>
        <n v="4461"/>
        <n v="216"/>
        <n v="976"/>
        <n v="85"/>
        <n v="709.14"/>
        <n v="711"/>
        <n v="217"/>
        <n v="1781"/>
        <n v="254.41"/>
        <n v="599"/>
        <n v="139.3"/>
        <n v="148.6"/>
        <n v="37.9"/>
        <n v="63"/>
        <n v="4943"/>
        <n v="1024"/>
        <n v="6923"/>
        <n v="119.4"/>
        <n v="641"/>
        <n v="324"/>
        <n v="84"/>
        <n v="1432"/>
        <n v="95"/>
        <n v="2386"/>
        <n v="1962"/>
        <n v="2980"/>
        <n v="251"/>
        <n v="196.5"/>
        <n v="219"/>
        <n v="249"/>
        <n v="1187"/>
        <n v="705"/>
        <n v="1061"/>
        <n v="762"/>
        <n v="1333"/>
        <n v="79.6"/>
        <n v="119"/>
        <n v="698"/>
        <n v="254"/>
        <n v="77.8"/>
        <n v="713"/>
        <n v="3580"/>
        <n v="942"/>
        <n v="190.6"/>
        <n v="510"/>
        <n v="264"/>
        <n v="354"/>
        <n v="593"/>
        <n v="238"/>
        <n v="2367"/>
        <n v="492"/>
        <n v="806"/>
        <n v="304.2"/>
        <n v="269"/>
        <n v="76.8"/>
        <n v="512"/>
        <n v="244"/>
        <n v="1339"/>
        <n v="39.9"/>
        <n v="223"/>
        <n v="1193"/>
        <n v="48.9"/>
        <n v="807"/>
        <n v="3369"/>
        <n v="598"/>
        <n v="1791"/>
        <n v="321"/>
        <n v="294"/>
        <n v="359"/>
        <n v="776"/>
        <n v="233"/>
        <n v="1195"/>
        <n v="299"/>
        <n v="710"/>
        <n v="2617.92"/>
        <n v="393"/>
        <n v="802.84"/>
        <n v="296"/>
        <n v="1185"/>
        <n v="467"/>
        <n v="293"/>
        <n v="4385"/>
        <n v="769"/>
        <n v="266"/>
        <n v="166"/>
        <n v="314.2"/>
        <n v="777"/>
        <n v="715"/>
        <n v="574"/>
        <n v="339"/>
        <n v="262"/>
        <n v="49.9"/>
        <n v="861.3"/>
        <n v="1257.9"/>
        <n v="1995"/>
        <n v="495"/>
        <n v="676"/>
        <n v="239.7"/>
        <n v="876"/>
        <n v="447"/>
        <n v="79.9"/>
        <m/>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8" refreshedVersion="5" minRefreshableVersion="3" refreshedDate="44833.3891435185" refreshedBy="Administrator" recordCount="1662">
  <cacheSource type="worksheet">
    <worksheetSource ref="H8:L1048576" sheet="有赞透视"/>
  </cacheSource>
  <cacheFields count="5">
    <cacheField name="日期" numFmtId="0">
      <sharedItems containsString="0" containsBlank="1" containsNonDate="0" containsDate="1" minDate="2022-08-09T00:00:00" maxDate="2022-09-27T00:00:00" count="29">
        <d v="2022-09-04T00:00:00"/>
        <d v="2022-09-05T00:00:00"/>
        <d v="2022-09-07T00:00:00"/>
        <d v="2022-09-10T00:00:00"/>
        <d v="2022-09-11T00:00:00"/>
        <d v="2022-09-12T00:00:00"/>
        <d v="2022-09-13T00:00:00"/>
        <d v="2022-08-31T00:00:00"/>
        <d v="2022-08-29T00:00:00"/>
        <d v="2022-08-28T00:00:00"/>
        <d v="2022-08-27T00:00:00"/>
        <d v="2022-08-26T00:00:00"/>
        <d v="2022-08-25T00:00:00"/>
        <d v="2022-08-24T00:00:00"/>
        <d v="2022-08-22T00:00:00"/>
        <d v="2022-08-21T00:00:00"/>
        <d v="2022-08-20T00:00:00"/>
        <d v="2022-08-18T00:00:00"/>
        <d v="2022-08-17T00:00:00"/>
        <d v="2022-08-16T00:00:00"/>
        <d v="2022-08-15T00:00:00"/>
        <d v="2022-08-10T00:00:00"/>
        <d v="2022-08-09T00:00:00"/>
        <d v="2022-09-14T00:00:00"/>
        <d v="2022-09-16T00:00:00"/>
        <d v="2022-09-25T00:00:00"/>
        <d v="2022-09-26T00:00:00"/>
        <d v="2022-09-27T00:00:00"/>
        <m/>
      </sharedItems>
    </cacheField>
    <cacheField name="用户名称" numFmtId="0">
      <sharedItems containsBlank="1" count="930">
        <s v="康代蓉"/>
        <s v="罗孝云"/>
        <s v="汪曲"/>
        <s v="吴慧云"/>
        <s v="黄韩丽"/>
        <s v="许小姐"/>
        <s v="秋子"/>
        <s v="梁远宏"/>
        <s v="张春艳"/>
        <s v="胡琳"/>
        <s v="张小峡"/>
        <s v="朱锦凤"/>
        <s v="杨屏利"/>
        <s v="危常钰"/>
        <s v="高华"/>
        <s v="苗苗"/>
        <s v="何培红"/>
        <s v="Dkp"/>
        <s v="叶瑞丽"/>
        <s v="李娜"/>
        <s v="南燕"/>
        <s v="陈玫辰"/>
        <s v="朱珠"/>
        <s v="留筱晓"/>
        <s v="郝帅"/>
        <s v="吴立美"/>
        <s v="都金红"/>
        <s v="王小姐"/>
        <s v="高如晴"/>
        <s v="程小姐"/>
        <s v="梦梦"/>
        <s v="柔雨"/>
        <s v="娜姐"/>
        <s v="杨振峰"/>
        <s v="房玉霞"/>
        <s v="杨海燕"/>
        <s v="陈新琼"/>
        <s v="董女士"/>
        <s v="王菲"/>
        <s v="王玲华"/>
        <s v="王女士"/>
        <s v="成鸿高"/>
        <s v="邓玉萍"/>
        <s v="张美贤"/>
        <s v="甜甜"/>
        <s v="张小红"/>
        <s v="韦艳玲"/>
        <s v="谢彩秀"/>
        <s v="马娇娇"/>
        <s v="罗小姐"/>
        <s v="邓春芬"/>
        <s v="王琼"/>
        <s v="李女士"/>
        <s v="熊金花"/>
        <s v="黄女士"/>
        <s v="刘湘平"/>
        <s v="李艳丽"/>
        <s v="唐慧"/>
        <s v="邢阿娜"/>
        <s v="杨艳球"/>
        <s v="马仙彩"/>
        <s v="张爱花"/>
        <s v="杨丽"/>
        <s v="蒲薇羽"/>
        <s v="刘文焰"/>
        <s v="徐铭阳"/>
        <s v="刘云"/>
        <s v="马海燕"/>
        <s v="李美娥"/>
        <s v="卢化英"/>
        <s v="林朝霞"/>
        <s v="谢天惠"/>
        <s v="李小英"/>
        <s v="尹训英"/>
        <s v="吕芳芳"/>
        <s v="黄海燕"/>
        <s v="余小姐"/>
        <s v="刘艳"/>
        <s v="陈小丽"/>
        <s v="唐颖"/>
        <s v="谢肖"/>
        <s v="罗素花"/>
        <s v="陈汝嫦"/>
        <s v="靳祺冉"/>
        <s v="云姐"/>
        <s v="蔡彬华"/>
        <s v="李秀群"/>
        <s v="高岩"/>
        <s v="张彩"/>
        <s v="杨洋"/>
        <s v="杨云"/>
        <s v="李有花"/>
        <s v="杨小丽"/>
        <s v="赵美艳"/>
        <s v="黄秀青"/>
        <s v="陆晓丽"/>
        <s v="龙燕平"/>
        <s v="王秀丽"/>
        <s v="张忻萍"/>
        <s v="刘志娥"/>
        <s v="蕙蕙"/>
        <s v="肖艳红"/>
        <s v="张鸣"/>
        <s v="董水莲"/>
        <s v="赵晓琼"/>
        <s v="谢超玲"/>
        <s v="陈何秀"/>
        <s v="陈巧"/>
        <s v="黄蓝兰"/>
        <s v="兰瑞娟"/>
        <s v="吴桂婉"/>
        <s v="盛洁"/>
        <s v="赵家睿"/>
        <s v="施艳芳"/>
        <s v="周凤"/>
        <s v="卢结梅"/>
        <s v="邹荣娟"/>
        <s v="胡雪花"/>
        <s v="王艳"/>
        <s v="吕玮"/>
        <s v="韦秀芬"/>
        <s v="刘冬霞"/>
        <s v="赖燕花"/>
        <s v="罗蓉"/>
        <s v="张琼英"/>
        <s v="李军利"/>
        <s v="侯晓"/>
        <s v="王静"/>
        <s v="章玉"/>
        <s v="王玲"/>
        <s v="百合"/>
        <s v="火姐"/>
        <s v="赵秀玲"/>
        <s v="马双"/>
        <s v="香香"/>
        <s v="刘心莲"/>
        <s v="庄翠"/>
        <s v="尹江南"/>
        <s v="项小红"/>
        <s v="麦惠华"/>
        <s v="李文琴"/>
        <s v="郑伊玉"/>
        <s v="杨广志"/>
        <s v="刘秀川"/>
        <s v="蓝谊丽"/>
        <s v="田尚琼"/>
        <s v="徐楚慧"/>
        <s v="卢小"/>
        <s v="叶菊花"/>
        <s v="杨红"/>
        <s v="于萍"/>
        <s v="杨伟桃"/>
        <s v="钟凤琼"/>
        <s v="黄婵容"/>
        <s v="王莉"/>
        <s v="张军"/>
        <s v="胡海翔"/>
        <s v="温秀云"/>
        <s v="李小姐"/>
        <s v="林女士"/>
        <s v="张清梅"/>
        <s v="张思思"/>
        <s v="郝主心"/>
        <s v="谢莉程"/>
        <s v="柳现荣"/>
        <s v="刘丽平"/>
        <s v="陈悦蓉"/>
        <s v="计影"/>
        <s v="符梅春"/>
        <s v="兰卫萍"/>
        <s v="孙莹"/>
        <s v="媛远"/>
        <s v="李启萍"/>
        <s v="邓长蓉"/>
        <s v="李润娟"/>
        <s v="邓小云"/>
        <s v="龙莉"/>
        <s v="刘美君"/>
        <s v="罗艳红"/>
        <s v="最美丽的美丽"/>
        <s v="星星"/>
        <s v="陈小姐"/>
        <s v="彦喜"/>
        <s v="王影"/>
        <s v="高丽"/>
        <s v="赵欣"/>
        <s v="刘晓慧"/>
        <s v="胡莉"/>
        <s v="张粉霞"/>
        <s v="沈科林"/>
        <s v="张平"/>
        <s v="崔翠"/>
        <s v="郭小萍"/>
        <s v="李富云"/>
        <s v="周周"/>
        <s v="钟小姐"/>
        <s v="邓会芳"/>
        <s v="赵玉梅"/>
        <s v="陈燕"/>
        <s v="柯春燕"/>
        <s v="朱华"/>
        <s v="小李"/>
        <s v="曾小琴"/>
        <s v="陈洁萍"/>
        <s v="蔡媛"/>
        <s v="李洪秀"/>
        <s v="焦丹"/>
        <s v="蒋晓梅"/>
        <s v="许女士"/>
        <s v="刘家淑"/>
        <s v="陆小姐"/>
        <s v="张晓鹏"/>
        <s v="林永玉"/>
        <s v="李蔷薇"/>
        <s v="梁红"/>
        <s v="谢易珍"/>
        <s v="何霞"/>
        <s v="刘培贤"/>
        <s v="刘秀红"/>
        <s v="武女士"/>
        <s v="黄妙"/>
        <s v="宫焕梅"/>
        <s v="张相梅"/>
        <s v="欧阳"/>
        <s v="俞丽鸣"/>
        <s v="黄鸿菲"/>
        <s v="黄云"/>
        <s v="田秋艳"/>
        <s v="刘璐菁"/>
        <s v="马树红"/>
        <s v="徐燕倩"/>
        <s v="王贤玉"/>
        <s v="唐金敏"/>
        <s v="何旭梅"/>
        <s v="罗小英"/>
        <s v="孔阳珍"/>
        <s v="吴春兰"/>
        <s v="林逊"/>
        <s v="庄彩梅"/>
        <s v="菲菲"/>
        <s v="张妞妞"/>
        <s v="许晨"/>
        <s v="何军"/>
        <s v="黄凤姣"/>
        <s v="艾传青"/>
        <s v="潘美玲"/>
        <s v="武光花"/>
        <s v="李晓慧"/>
        <s v="孙丽娟"/>
        <s v="周小姐"/>
        <s v="小林"/>
        <s v="刘丽"/>
        <s v="刘培霞"/>
        <s v="周丽君"/>
        <s v="曾琼辉"/>
        <s v="陈艳"/>
        <s v="梁琳彬"/>
        <s v="付绍仙"/>
        <s v="许军"/>
        <s v="陆骏"/>
        <s v="黄晓多"/>
        <s v="何丽敏"/>
        <s v="褚玉霞"/>
        <s v="王雪霞"/>
        <s v="张丹"/>
        <s v="徐彦玲"/>
        <s v="李遥"/>
        <s v="岑人宁"/>
        <s v="李东兰"/>
        <s v="代花花"/>
        <s v="王亚男"/>
        <s v="王军梅"/>
        <s v="邓小红"/>
        <s v="姚敏"/>
        <s v="许丽华"/>
        <s v="向玲"/>
        <s v="蒲芳"/>
        <s v="麦思亭"/>
        <s v="周红玲"/>
        <s v="岑冰"/>
        <s v="孙贵典"/>
        <s v="李永梅"/>
        <s v="李新良"/>
        <s v="王珠连"/>
        <s v="丁小红"/>
        <s v="艾琳"/>
        <s v="何小艳"/>
        <s v="朱鸾凤"/>
        <s v="崔红志"/>
        <s v="李雪梅"/>
        <s v="收货人:刘丹手机号码:"/>
        <s v="王兴秋"/>
        <s v="冰天一师"/>
        <s v="苏莲凤"/>
        <s v="高兴"/>
        <s v="陈伏香"/>
        <s v="廖日平"/>
        <s v="冯老师"/>
        <s v="卢诗敏"/>
        <s v="黄珊"/>
        <s v="汪婷婷"/>
        <s v="徐女士"/>
        <s v="译锦"/>
        <s v="马海琴"/>
        <s v="朱清华"/>
        <s v="俞贤琴"/>
        <s v="赵修芝"/>
        <s v="郑娜"/>
        <s v="钟雪娟"/>
        <s v="邹巧秀"/>
        <s v="卫芳"/>
        <s v="张发庸"/>
        <s v="邓碧雁"/>
        <s v="陈云霄"/>
        <s v="蔡芳瑜"/>
        <s v="杨继"/>
        <s v="黄姐"/>
        <s v="董瑞娟"/>
        <s v="王秀梅"/>
        <s v="骆仕珍"/>
        <s v="陈彩连"/>
        <s v="李淑芬"/>
        <s v="王冬莲"/>
        <s v="李贞玉"/>
        <s v="王增"/>
        <s v="李志敏"/>
        <s v="龙生"/>
        <s v="谷风霞"/>
        <s v="黄先生"/>
        <s v="王花蕊"/>
        <s v="邓兴菊"/>
        <s v="吴静"/>
        <s v="张玉燕"/>
        <s v="黎章莲"/>
        <s v="任义"/>
        <s v="张女士"/>
        <s v="刚菽擎"/>
        <s v="郭小瘦"/>
        <s v="毕看看"/>
        <s v="曹莉"/>
        <s v="王双英"/>
        <s v="杜素霞"/>
        <s v="林东妹"/>
        <s v="曾小冰"/>
        <s v="潘文仕"/>
        <s v="胡敏"/>
        <s v="陶厚文"/>
        <s v="许登红"/>
        <s v="吴彩林"/>
        <s v="王小华"/>
        <s v="李迎春"/>
        <s v="美姐"/>
        <s v="刘雄玲"/>
        <s v="李伟连"/>
        <s v="邹永书"/>
        <s v="蒋振艳"/>
        <s v="骆才珍"/>
        <s v="王成芳"/>
        <s v="王盈欢"/>
        <s v="文光浩"/>
        <s v="彭云珍"/>
        <s v="张国英"/>
        <s v="丁艳彩"/>
        <s v="安妮"/>
        <s v="小镜王"/>
        <s v="杨伟华"/>
        <s v="赵雨欣"/>
        <s v="谢新华"/>
        <s v="徐春荣"/>
        <s v="刘宝玲"/>
        <s v="郑琦"/>
        <s v="刘斗志"/>
        <s v="邓桂英"/>
        <s v="锁凤霞"/>
        <s v="贺超美"/>
        <s v="王晓冬"/>
        <s v="谭雅文"/>
        <s v="王春华"/>
        <s v="刘苹"/>
        <s v="高红娜"/>
        <s v="武新娥"/>
        <s v="张律师"/>
        <s v="封文娟"/>
        <s v="黄海真"/>
        <s v="李崇梅"/>
        <s v="刘银玉"/>
        <s v="李娅"/>
        <s v="杨德桥"/>
        <s v="许嫦梅"/>
        <s v="梅春蓉"/>
        <s v="贺女士"/>
        <s v="冯瑞英"/>
        <s v="菜花"/>
        <s v="秦伟"/>
        <s v="陈海荣"/>
        <s v="丁力"/>
        <s v="弓公子"/>
        <s v="清风拂晓"/>
        <s v="蒋秀"/>
        <s v="屈志敬"/>
        <s v="袁小琴"/>
        <s v="孙蓉"/>
        <s v="毛昕瑶"/>
        <s v="杨姐"/>
        <s v="杨艳梅"/>
        <s v="陈娜"/>
        <s v="糖果"/>
        <s v="初明霞"/>
        <s v="余雪梅"/>
        <s v="彭迎"/>
        <s v="侯晓琳"/>
        <s v="刘美苑"/>
        <s v="小曾"/>
        <s v="刘容辛"/>
        <s v="李怀珍"/>
        <s v="张婷"/>
        <s v="艾秀珍"/>
        <s v="徐贞萍"/>
        <s v="王春玲"/>
        <s v="林兆丽"/>
        <s v="韩雪梅"/>
        <s v="唐慈君"/>
        <s v="张先生"/>
        <s v="邓红敏"/>
        <s v="王丽娜"/>
        <s v="余江琴"/>
        <s v="赵英莲"/>
        <s v="陈书蔚"/>
        <s v="刘红月"/>
        <s v="覃秀芬"/>
        <s v="陈利云"/>
        <s v="李汝萍"/>
        <s v="尚小丽"/>
        <s v="肖优兰"/>
        <s v="敖捷"/>
        <s v="姜林红"/>
        <s v="王学辉"/>
        <s v="赵从芹"/>
        <s v="张现红"/>
        <s v="余鸿雁"/>
        <s v="应红璐"/>
        <s v="小美"/>
        <s v="王飒"/>
        <s v="王HH"/>
        <s v="梁红美"/>
        <s v="李老师"/>
        <s v="秦艳"/>
        <s v="李盛春"/>
        <s v="冯未娜"/>
        <s v="虞俊华"/>
        <s v="吴菊"/>
        <s v="赵瑞卓"/>
        <s v="丁卫华"/>
        <s v="可乐"/>
        <s v="许芃"/>
        <s v="陶秋月"/>
        <s v="陈卓"/>
        <s v="周秋兰"/>
        <s v="小娟"/>
        <s v="罗松"/>
        <s v="小蜜蜂"/>
        <s v="马女士"/>
        <s v="刘建仿"/>
        <s v="钟庆英"/>
        <s v="金润"/>
        <s v="曹金辉"/>
        <s v="杨贵凤"/>
        <s v="张月娜"/>
        <s v="马艳宜"/>
        <s v="李泓靓"/>
        <s v="彭晓丽"/>
        <s v="刘芸惠"/>
        <s v="幸坤"/>
        <s v="晉越36259"/>
        <s v="王元仙"/>
        <s v="陈碧庄"/>
        <s v="郭艳杰"/>
        <s v="段梅姬"/>
        <s v="李盼"/>
        <s v="魏芹"/>
        <s v="陈利峰"/>
        <s v="张海花"/>
        <s v="邬新苗"/>
        <s v="贾改"/>
        <s v="王佳蓉"/>
        <s v="张玉红"/>
        <s v="李淑英"/>
        <s v="风金"/>
        <s v="朱小蓉"/>
        <s v="曹桂芳"/>
        <s v="吴立红"/>
        <s v="谭秀妃"/>
        <s v="李霞"/>
        <s v="李荣"/>
        <s v="胡琴"/>
        <s v="杨桂凤"/>
        <s v="刘红梅"/>
        <s v="谢友萍"/>
        <s v="余碧兰"/>
        <s v="胡雪"/>
        <s v="杜巧静"/>
        <s v="陈和英"/>
        <s v="赵朝梅"/>
        <s v="李艳秋"/>
        <s v="柳艳玲"/>
        <s v="张洪芳"/>
        <s v="江楠"/>
        <s v="田晓波"/>
        <s v="廖女士"/>
        <s v="朱秋娥"/>
        <s v="刘义凤"/>
        <s v="龙超平"/>
        <s v="游爱瑜"/>
        <s v="蔡春艳"/>
        <s v="何婕"/>
        <s v="朱桂香"/>
        <s v="李宛鸿"/>
        <s v="罗俊芬"/>
        <s v="陶淑华"/>
        <s v="杜孔娟"/>
        <s v="赵建兰"/>
        <s v="郭俊云"/>
        <s v="王智贤"/>
        <s v="张爱莉"/>
        <s v="陈小华"/>
        <s v="罗叶"/>
        <s v="欧红灿"/>
        <s v="袁小姐"/>
        <s v="唐国刚"/>
        <s v="覃爱纯"/>
        <s v="萍"/>
        <s v="吕惠霞"/>
        <s v="黄小姐"/>
        <s v="郑姐"/>
        <s v="黄䅌"/>
        <s v="臧明月"/>
        <s v="雪儿"/>
        <s v="徐玉澜"/>
        <s v="谢言"/>
        <s v="王雪"/>
        <s v="彭女士"/>
        <s v="彭芳"/>
        <s v="李渝萍"/>
        <s v="华姐"/>
        <s v="董曰健"/>
        <s v="邓晨晨"/>
        <s v="曾羽"/>
        <s v="曾雪玲"/>
        <s v="胡金梅"/>
        <s v="蒋枚"/>
        <s v="王美艳"/>
        <s v="游燕红"/>
        <s v="傅志馨"/>
        <s v="杜俊林"/>
        <s v="甄亚忱"/>
        <s v="杨会霞"/>
        <s v="刘国良"/>
        <s v="刘云云"/>
        <s v="王红"/>
        <s v="骆斌"/>
        <s v="孙云"/>
        <s v="马秀"/>
        <s v="张雪芳"/>
        <s v="华恩泽"/>
        <s v="陈桂珍"/>
        <s v="王保凤"/>
        <s v="小倩"/>
        <s v="陈大志"/>
        <s v="李艳梅"/>
        <s v="刘小琼"/>
        <s v="张华丽"/>
        <s v="李芬"/>
        <s v="孟亚琴"/>
        <s v="岳晶"/>
        <s v="谢朝阳"/>
        <s v="杨秀琴"/>
        <s v="王"/>
        <s v="陈美蓉"/>
        <s v="王珍"/>
        <s v="陈传香"/>
        <s v="江凤琴"/>
        <s v="蔡桦"/>
        <s v="杨洁"/>
        <s v="黄平"/>
        <s v="牟海玲"/>
        <s v="黄宝萱"/>
        <s v="刘祥辉"/>
        <s v="徐永彩"/>
        <s v="赵晨曦"/>
        <s v="王秀"/>
        <s v="董秀月"/>
        <s v="曹梅"/>
        <s v="林美云"/>
        <s v="华华"/>
        <s v="金月"/>
        <s v="缁缦"/>
        <s v="周女士"/>
        <s v="吴李香"/>
        <s v="莫世娥"/>
        <s v="刘彩琴"/>
        <s v="陈樱"/>
        <s v="马静"/>
        <s v="樊宏"/>
        <s v="封魏华"/>
        <s v="欧鸿飞"/>
        <s v="云姐姐"/>
        <s v="曾淑兰"/>
        <s v="方维"/>
        <s v="金女士"/>
        <s v="钟桃"/>
        <s v="申素红"/>
        <s v="朱明娟"/>
        <s v="黄芳"/>
        <s v="咏琪"/>
        <s v="陶春艳"/>
        <s v="邱会萍"/>
        <s v="黄小琴"/>
        <s v="周艳艳"/>
        <s v="李柳仙"/>
        <s v="肖志艺"/>
        <s v="肖霞云"/>
        <s v="魏嘉"/>
        <s v="王容"/>
        <s v="陈昱锦"/>
        <s v="郑悬"/>
        <s v="余小红"/>
        <s v="姚丽丽"/>
        <s v="闫春霞"/>
        <s v="小余"/>
        <s v="小凤凤"/>
        <s v="危斯兰"/>
        <s v="王超瓜"/>
        <s v="滕志香"/>
        <s v="石玉竹"/>
        <s v="马淑芳"/>
        <s v="刘功兰"/>
        <s v="李俊霞"/>
        <s v="胡明英"/>
        <s v="陈荣臻"/>
        <s v="新惠"/>
        <s v="王彦奇"/>
        <s v="张玉美"/>
        <s v="梁秀"/>
        <s v="陈小霞"/>
        <s v="蔡慧勤"/>
        <s v="谢晓慧"/>
        <s v="王秀玲"/>
        <s v="黄秋获"/>
        <s v="赵凤英"/>
        <s v="王娟利"/>
        <s v="邱丽萍"/>
        <s v="吴秋霞"/>
        <s v="李建香"/>
        <s v="薛女士"/>
        <s v="王芳"/>
        <s v="翁素青"/>
        <s v="凌生"/>
        <s v="林姐"/>
        <s v="许愿"/>
        <s v="李丽萍"/>
        <s v="贺友红"/>
        <s v="成东霞"/>
        <s v="杨继芳"/>
        <s v="闫小小"/>
        <s v="肖艳军"/>
        <s v="小张"/>
        <s v="王燕"/>
        <s v="王先生"/>
        <s v="王世宝"/>
        <s v="马丽萍"/>
        <s v="罗女士"/>
        <s v="付军艳"/>
        <s v="崔明明"/>
        <s v="刘井云"/>
        <s v="金玉"/>
        <s v="潘俐玲"/>
        <s v="赵晓华"/>
        <s v="郭彩滨"/>
        <s v="方燕兰"/>
        <s v="冷家会"/>
        <s v="吴昕"/>
        <s v="孙女士"/>
        <s v="王小云"/>
        <s v="叶思玲"/>
        <s v="周亚云"/>
        <s v="曹冬梅"/>
        <s v="余雪"/>
        <s v="刘佳"/>
        <s v="徐爱琴"/>
        <s v="肖纷香"/>
        <s v="刘平珠"/>
        <s v="杨国凤"/>
        <s v="许秀凤"/>
        <s v="孟凡贞"/>
        <s v="谢老板"/>
        <s v="石生华"/>
        <s v="申丽"/>
        <s v="陆颖"/>
        <s v="符和静"/>
        <s v="曹宝贝"/>
        <s v="张玲英"/>
        <s v="唐苏平"/>
        <s v="上官粟梒"/>
        <s v="蒲慧萍"/>
        <s v="练新英"/>
        <s v="韩风艳"/>
        <s v="聪哥"/>
        <s v="张严元"/>
        <s v="张琴"/>
        <s v="沙艳"/>
        <s v="周凤爱"/>
        <s v="邱香"/>
        <s v="隆琼霞"/>
        <s v="黄丽芳"/>
        <s v="郑群英"/>
        <s v="邓新"/>
        <s v="朱茜"/>
        <s v="丁梅"/>
        <s v="于国玲"/>
        <s v="罗丽霞"/>
        <s v="余祥和"/>
        <s v="郝巧红"/>
        <s v="殷远红"/>
        <s v="李一淼"/>
        <s v="黄梅兰"/>
        <s v="郝文青"/>
        <s v="赵银环"/>
        <s v="赵雄英（卡其色39码）"/>
        <s v="易应娇"/>
        <s v="李红"/>
        <s v="黄起娣"/>
        <s v="张淑珍"/>
        <s v="张淑辉"/>
        <s v="御姐"/>
        <s v="吴惠"/>
        <s v="青海省西宁市胜利路景林佳苑小区"/>
        <s v="刘玉"/>
        <s v="李芳"/>
        <s v="黄细妹"/>
        <s v="黄美玉"/>
        <s v="范祝良"/>
        <s v="周酿宁"/>
        <s v="余英"/>
        <s v="杨小霞"/>
        <s v="闫丽霞"/>
        <s v="晓声"/>
        <s v="王云"/>
        <s v="王雪黎"/>
        <s v="邵胜敏"/>
        <s v="乔红"/>
        <s v="罗群"/>
        <s v="李秀玲"/>
        <s v="解金梅"/>
        <s v="胡彩霞"/>
        <s v="程蕾"/>
        <s v="黄岚"/>
        <s v="格林"/>
        <s v="梁晓萍"/>
        <s v="马玉环"/>
        <s v="吴清玲"/>
        <s v="李爱明"/>
        <s v="马红燕"/>
        <s v="李昱晓"/>
        <s v="李雪花"/>
        <s v="柳金秋"/>
        <s v="王敏"/>
        <s v="郑玉侠"/>
        <s v="王新萍"/>
        <s v="罗应萍"/>
        <s v="雷星月"/>
        <s v="徐桂林"/>
        <s v="王祎娜"/>
        <s v="卢春"/>
        <s v="李欣懊"/>
        <s v="侯卫敏"/>
        <s v="陈日森"/>
        <s v="杨先生"/>
        <s v="王悦"/>
        <s v="苏鸿鸣"/>
        <s v="刘万梅"/>
        <s v="梁俊燕"/>
        <s v="付琳"/>
        <s v="陈云军"/>
        <s v="曾兰"/>
        <s v="曹桂侠"/>
        <s v="字丽先"/>
        <s v="罗向丽"/>
        <s v="鲁阿姨"/>
        <s v="林锦辉"/>
        <s v="郭荣华"/>
        <s v="冯朝晖"/>
        <s v="陈玉红"/>
        <s v="曾凡江"/>
        <s v="曹艳霞"/>
        <s v="魏洪艳"/>
        <s v="刘情"/>
        <s v="王长容"/>
        <s v="吴梅"/>
        <s v="小胡"/>
        <s v="盈瀛"/>
        <s v="王丽杰"/>
        <s v="丁苹果"/>
        <s v="艳子"/>
        <s v="孙伟"/>
        <s v="钟广珍"/>
        <s v="张兰英"/>
        <s v="王霖"/>
        <s v="唐朝晖"/>
        <s v="罗安芬"/>
        <s v="卢小琴"/>
        <s v="丹丹"/>
        <s v="庄蕙羽"/>
        <s v="余小真"/>
        <s v="杨娜娜"/>
        <s v="杨桂兰"/>
        <s v="向国莲"/>
        <s v="舒雅"/>
        <s v="毛佳蕙"/>
        <s v="林梅"/>
        <s v="林丽平"/>
        <s v="廖先兰"/>
        <s v="梁春芳"/>
        <s v="黄杰"/>
        <s v="陈"/>
        <s v="白糖"/>
        <s v="张永梅"/>
        <s v="谢会"/>
        <s v="孙彩云"/>
        <s v="秦淑娴"/>
        <s v="欧金花"/>
        <s v="邓丽"/>
        <s v="岑海英"/>
        <s v="邹慧娟"/>
        <s v="何小姐"/>
        <s v="杜丹丹"/>
        <s v="苏桂丽"/>
        <s v="白静"/>
        <s v="袁海霞"/>
        <s v="罗祥琴"/>
        <s v="张勤东"/>
        <s v="马爱梅"/>
        <s v="赖小丽"/>
        <s v="孔德凤"/>
        <s v="海若"/>
        <s v="吴国萍"/>
        <s v="宋转红"/>
        <s v="马俊琴"/>
        <s v="何青"/>
        <s v="黎小姐"/>
        <s v="杨春燕"/>
        <s v="幸怀英"/>
        <s v="谢凤珍"/>
        <s v="佳怡"/>
        <s v="吴霞"/>
        <s v="金秀"/>
        <s v="李保妹"/>
        <s v="唐美尔"/>
        <s v="徐静"/>
        <s v="刘莉"/>
        <s v="王小玲"/>
        <s v="朱建利"/>
        <s v="张春华"/>
        <s v="田宏佳"/>
        <s v="蒋洪"/>
        <s v="宁尾萍"/>
        <s v="林小姐"/>
        <s v="张爱兰"/>
        <s v="卫雪梅"/>
        <s v="蓝秀姬"/>
        <s v="杨芳芳"/>
        <s v="刘伟英"/>
        <s v="邹素珍"/>
        <s v="翁榛鸿"/>
        <s v="王四芳"/>
        <s v="陈迪云"/>
        <s v="王娟"/>
        <s v="Angel yan"/>
        <s v="李春霞"/>
        <s v="俪娟"/>
        <s v="叶辉玲"/>
        <s v="刘细英"/>
        <s v="廖灵慧"/>
        <s v="王丽"/>
        <s v="姜雅男"/>
        <s v="周露兰"/>
        <s v="刘新兰"/>
        <s v="胡春凤"/>
        <s v="李清"/>
        <s v="陈彦羽"/>
        <s v="曹迎宾"/>
        <s v="周朝琼"/>
        <s v="何玉平"/>
        <s v="钟霞"/>
        <s v="邓大大"/>
        <s v="李梦芬"/>
        <s v="赖女士"/>
        <s v="刘锦梅"/>
        <s v="杜杜"/>
        <s v="陈淑红"/>
        <s v="秦"/>
        <s v="阿庆"/>
        <s v="黄伙带"/>
        <s v="蒲旭"/>
        <s v="枫涓"/>
        <s v="冉萍"/>
        <s v="李慧"/>
        <s v="郑雨明"/>
        <s v="管家萍"/>
        <s v="李美莹"/>
        <s v="梅丽华"/>
        <s v="魏老师"/>
        <s v="高玉兰"/>
        <s v="高素梅"/>
        <s v="李美秀"/>
        <s v="陈志云"/>
        <s v="李桂贞"/>
        <s v="曹坤"/>
        <s v="温艳艳"/>
        <s v="宋晓华"/>
        <s v="吕健平"/>
        <s v="时延花"/>
        <s v="郭永霞"/>
        <s v="孙亚君"/>
        <s v="郭超"/>
        <s v="姜茗予"/>
        <s v="宫玉红"/>
        <s v="小小"/>
        <s v="桂兴华"/>
        <s v="黄炳鲜"/>
        <m/>
      </sharedItems>
    </cacheField>
    <cacheField name="直播下单金额" numFmtId="0">
      <sharedItems containsString="0" containsBlank="1" containsNumber="1" minValue="0" maxValue="3829" count="494">
        <n v="1235.8"/>
        <n v="631.11"/>
        <n v="602"/>
        <n v="559.8"/>
        <n v="512.8"/>
        <n v="489.9"/>
        <n v="420.7"/>
        <n v="401.8"/>
        <n v="369.8"/>
        <n v="360.9"/>
        <n v="344"/>
        <n v="343"/>
        <n v="321.8"/>
        <n v="316"/>
        <n v="314"/>
        <n v="298.9"/>
        <n v="287.9"/>
        <n v="268.9"/>
        <n v="259"/>
        <n v="249"/>
        <n v="248"/>
        <n v="245"/>
        <n v="244"/>
        <n v="242"/>
        <n v="235.9"/>
        <n v="219"/>
        <n v="213.6"/>
        <n v="201"/>
        <n v="177.8"/>
        <n v="174.7"/>
        <n v="157.4"/>
        <n v="156.8"/>
        <n v="138.9"/>
        <n v="137.9"/>
        <n v="99"/>
        <n v="98.7"/>
        <n v="97.7"/>
        <n v="97"/>
        <n v="96.6"/>
        <n v="95.7"/>
        <n v="90"/>
        <n v="77.8"/>
        <n v="76.7"/>
        <n v="69"/>
        <n v="59.8"/>
        <n v="58.8"/>
        <n v="57.8"/>
        <n v="56.8"/>
        <n v="39.9"/>
        <n v="39.8"/>
        <n v="38.9"/>
        <n v="37.9"/>
        <n v="36.9"/>
        <n v="19.9"/>
        <n v="442.7"/>
        <n v="411.7"/>
        <n v="404.8"/>
        <n v="346"/>
        <n v="194"/>
        <n v="136.9"/>
        <n v="98"/>
        <n v="94"/>
        <n v="93.7"/>
        <n v="76.8"/>
        <n v="29.9"/>
        <n v="1074.8"/>
        <n v="918.8"/>
        <n v="844.7"/>
        <n v="503"/>
        <n v="499"/>
        <n v="342.7"/>
        <n v="329"/>
        <n v="282.8"/>
        <n v="257"/>
        <n v="148.9"/>
        <n v="126"/>
        <n v="96"/>
        <n v="84"/>
        <n v="850"/>
        <n v="836"/>
        <n v="831"/>
        <n v="609.02"/>
        <n v="608"/>
        <n v="599"/>
        <n v="520"/>
        <n v="286.8"/>
        <n v="254.41"/>
        <n v="247"/>
        <n v="246"/>
        <n v="245.51"/>
        <n v="244.51"/>
        <n v="217"/>
        <n v="216"/>
        <n v="206"/>
        <n v="93"/>
        <n v="88"/>
        <n v="1342"/>
        <n v="1088"/>
        <n v="814"/>
        <n v="807"/>
        <n v="753"/>
        <n v="591"/>
        <n v="500"/>
        <n v="494"/>
        <n v="493"/>
        <n v="463"/>
        <n v="457"/>
        <n v="395.9"/>
        <n v="359"/>
        <n v="355"/>
        <n v="285.9"/>
        <n v="278.9"/>
        <n v="225"/>
        <n v="63"/>
        <n v="521.8"/>
        <n v="492"/>
        <n v="474"/>
        <n v="356"/>
        <n v="239"/>
        <n v="235"/>
        <n v="3829"/>
        <n v="1612.9"/>
        <n v="1265"/>
        <n v="856"/>
        <n v="657"/>
        <n v="592"/>
        <n v="510"/>
        <n v="299"/>
        <n v="298.8"/>
        <n v="269"/>
        <n v="264"/>
        <n v="238"/>
        <n v="237"/>
        <n v="232"/>
        <n v="85.8"/>
        <n v="48.9"/>
        <n v="47.9"/>
        <n v="46.9"/>
        <n v="593.64"/>
        <n v="412.15"/>
        <n v="403.05"/>
        <n v="326.52"/>
        <n v="293.2"/>
        <n v="275.8"/>
        <n v="247.1"/>
        <n v="243.9"/>
        <n v="233.96"/>
        <n v="223.38"/>
        <n v="216.05"/>
        <n v="195.3"/>
        <n v="164.9"/>
        <n v="162.44"/>
        <n v="137.48"/>
        <n v="137.3"/>
        <n v="131.4"/>
        <n v="130.45"/>
        <n v="130.34"/>
        <n v="127.7"/>
        <n v="126.56"/>
        <n v="125.4"/>
        <n v="78.6"/>
        <n v="77.56"/>
        <n v="70.98"/>
        <n v="66.9"/>
        <n v="65.8"/>
        <n v="58.9"/>
        <n v="56.78"/>
        <n v="52.08"/>
        <n v="51.1"/>
        <n v="48.1"/>
        <n v="42.68"/>
        <n v="39.7"/>
        <n v="27.9"/>
        <n v="21.88"/>
        <n v="11.88"/>
        <n v="10.9"/>
        <n v="9.9"/>
        <n v="8.8"/>
        <n v="7.92"/>
        <n v="1.98"/>
        <n v="1"/>
        <n v="606"/>
        <n v="436"/>
        <n v="423"/>
        <n v="407.9"/>
        <n v="357.9"/>
        <n v="340"/>
        <n v="288.9"/>
        <n v="258.9"/>
        <n v="218.12"/>
        <n v="187.7"/>
        <n v="139"/>
        <n v="138"/>
        <n v="118.9"/>
        <n v="117.9"/>
        <n v="100.7"/>
        <n v="75.8"/>
        <n v="73.32"/>
        <n v="69.7"/>
        <n v="60.8"/>
        <n v="30.8"/>
        <n v="872.4"/>
        <n v="536.6"/>
        <n v="511.9"/>
        <n v="450.6"/>
        <n v="381.9"/>
        <n v="329.8"/>
        <n v="320.8"/>
        <n v="295.8"/>
        <n v="293.8"/>
        <n v="289.9"/>
        <n v="273.8"/>
        <n v="267.9"/>
        <n v="266.9"/>
        <n v="259.9"/>
        <n v="250"/>
        <n v="249.6"/>
        <n v="210"/>
        <n v="173.8"/>
        <n v="148.8"/>
        <n v="135"/>
        <n v="109.6"/>
        <n v="100"/>
        <n v="95"/>
        <n v="88.6"/>
        <n v="67.7"/>
        <n v="50.8"/>
        <n v="48.8"/>
        <n v="46.8"/>
        <n v="40.9"/>
        <n v="40.8"/>
        <n v="20.9"/>
        <n v="662.9"/>
        <n v="443.9"/>
        <n v="410.9"/>
        <n v="346.9"/>
        <n v="338.9"/>
        <n v="308"/>
        <n v="307"/>
        <n v="260"/>
        <n v="159"/>
        <n v="157"/>
        <n v="154"/>
        <n v="129.4"/>
        <n v="89"/>
        <n v="87"/>
        <n v="49.8"/>
        <n v="29.8"/>
        <n v="18.78"/>
        <n v="454.95"/>
        <n v="371"/>
        <n v="352.91"/>
        <n v="343.9"/>
        <n v="304.8"/>
        <n v="272"/>
        <n v="263.9"/>
        <n v="243"/>
        <n v="233.9"/>
        <n v="206.6"/>
        <n v="187.6"/>
        <n v="175.9"/>
        <n v="172"/>
        <n v="167"/>
        <n v="163.8"/>
        <n v="146.8"/>
        <n v="137.8"/>
        <n v="136.8"/>
        <n v="128"/>
        <n v="125.9"/>
        <n v="118.6"/>
        <n v="96.9"/>
        <n v="96.01"/>
        <n v="86"/>
        <n v="81"/>
        <n v="79"/>
        <n v="66.7"/>
        <n v="0"/>
        <n v="730"/>
        <n v="461.81"/>
        <n v="291.9"/>
        <n v="282"/>
        <n v="255.9"/>
        <n v="254.9"/>
        <n v="197"/>
        <n v="193"/>
        <n v="119.9"/>
        <n v="115.5"/>
        <n v="107.9"/>
        <n v="91.9"/>
        <n v="85"/>
        <n v="77"/>
        <n v="37.1"/>
        <n v="36.3"/>
        <n v="34.91"/>
        <n v="30.92"/>
        <n v="19.8"/>
        <n v="944.38"/>
        <n v="893.54"/>
        <n v="787.64"/>
        <n v="509.4"/>
        <n v="331.76"/>
        <n v="328.4"/>
        <n v="317.1"/>
        <n v="244.78"/>
        <n v="242.5"/>
        <n v="225.4"/>
        <n v="180.5"/>
        <n v="173.3"/>
        <n v="161.06"/>
        <n v="148.6"/>
        <n v="147.16"/>
        <n v="144.3"/>
        <n v="138.8"/>
        <n v="136.64"/>
        <n v="126.4"/>
        <n v="119.7"/>
        <n v="115.8"/>
        <n v="111.5"/>
        <n v="110.9"/>
        <n v="109.9"/>
        <n v="104.9"/>
        <n v="89.7"/>
        <n v="88.58"/>
        <n v="77.58"/>
        <n v="69.9"/>
        <n v="66.8"/>
        <n v="59.9"/>
        <n v="58.68"/>
        <n v="49.9"/>
        <n v="38.8"/>
        <n v="29.7"/>
        <n v="28.68"/>
        <n v="12.9"/>
        <n v="10.8"/>
        <n v="8.88"/>
        <n v="3"/>
        <n v="2"/>
        <n v="910.57"/>
        <n v="610.8"/>
        <n v="468.9"/>
        <n v="448.01"/>
        <n v="432.9"/>
        <n v="432.8"/>
        <n v="421.45"/>
        <n v="383.8"/>
        <n v="318"/>
        <n v="283.9"/>
        <n v="280.01"/>
        <n v="249.9"/>
        <n v="199"/>
        <n v="192.03"/>
        <n v="170.55"/>
        <n v="146"/>
        <n v="132.91"/>
        <n v="123.91"/>
        <n v="80"/>
        <n v="78"/>
        <n v="75"/>
        <n v="73"/>
        <n v="69.2"/>
        <n v="54.81"/>
        <n v="45.81"/>
        <n v="36.1"/>
        <n v="570.9"/>
        <n v="396.91"/>
        <n v="321.7"/>
        <n v="302.9"/>
        <n v="266.8"/>
        <n v="255.44"/>
        <n v="248.9"/>
        <n v="246.9"/>
        <n v="236"/>
        <n v="177"/>
        <n v="157.9"/>
        <n v="147"/>
        <n v="99.9"/>
        <n v="98.9"/>
        <n v="82"/>
        <n v="570.6"/>
        <n v="323.1"/>
        <n v="274.9"/>
        <n v="245.9"/>
        <n v="240"/>
        <n v="223.61"/>
        <n v="196.9"/>
        <n v="195.8"/>
        <n v="190.9"/>
        <n v="173.11"/>
        <n v="171.11"/>
        <n v="106.9"/>
        <n v="105.91"/>
        <n v="87.11"/>
        <n v="675"/>
        <n v="327"/>
        <n v="245.92"/>
        <n v="177.9"/>
        <n v="176"/>
        <n v="154.9"/>
        <n v="149"/>
        <n v="146.6"/>
        <n v="145"/>
        <n v="115.9"/>
        <n v="76.9"/>
        <n v="69.6"/>
        <n v="50.7"/>
        <n v="40.7"/>
        <n v="300.8"/>
        <n v="229.9"/>
        <n v="205.9"/>
        <n v="196"/>
        <n v="185.9"/>
        <n v="185"/>
        <n v="184.9"/>
        <n v="153"/>
        <n v="125.8"/>
        <n v="125"/>
        <n v="102.9"/>
        <n v="67.9"/>
        <n v="67"/>
        <n v="56.7"/>
        <n v="56"/>
        <n v="54"/>
        <n v="11"/>
        <n v="433.64"/>
        <n v="290"/>
        <n v="285.05"/>
        <n v="242.9"/>
        <n v="220"/>
        <n v="158.9"/>
        <n v="155.9"/>
        <n v="121.32"/>
        <n v="119.05"/>
        <n v="68"/>
        <n v="64"/>
        <n v="483.9"/>
        <n v="332"/>
        <n v="234"/>
        <n v="144"/>
        <n v="116.4"/>
        <n v="109"/>
        <n v="78.9"/>
        <n v="73.9"/>
        <n v="215.7"/>
        <n v="665.9"/>
        <n v="395.8"/>
        <n v="228.9"/>
        <n v="183"/>
        <n v="182"/>
        <n v="181.9"/>
        <n v="147.9"/>
        <n v="293.9"/>
        <n v="268"/>
        <n v="255"/>
        <n v="73.8"/>
        <n v="594"/>
        <n v="588"/>
        <n v="571.9"/>
        <n v="321.08"/>
        <n v="680"/>
        <n v="593"/>
        <n v="457.62"/>
        <n v="402"/>
        <n v="339"/>
        <n v="334"/>
        <n v="312.8"/>
        <n v="258"/>
        <n v="208.9"/>
        <n v="194.83"/>
        <n v="188.62"/>
        <n v="169"/>
        <n v="167.31"/>
        <n v="165.31"/>
        <n v="161.93"/>
        <n v="160.55"/>
        <n v="158.55"/>
        <n v="1075.8"/>
        <n v="933.9"/>
        <n v="929"/>
        <n v="926"/>
        <n v="632"/>
        <n v="413.82"/>
        <n v="378.9"/>
        <n v="342.8"/>
        <n v="233"/>
        <n v="128.7"/>
        <n v="99.8"/>
        <n v="97.8"/>
        <n v="47.4"/>
        <n v="38.92"/>
        <n v="1186"/>
        <n v="600"/>
        <n v="295"/>
        <n v="289"/>
        <m/>
      </sharedItems>
    </cacheField>
    <cacheField name="直播下单数" numFmtId="0">
      <sharedItems containsString="0" containsBlank="1" containsNumber="1" containsInteger="1" minValue="0" maxValue="21" count="16">
        <n v="7"/>
        <n v="6"/>
        <n v="2"/>
        <n v="4"/>
        <n v="5"/>
        <n v="3"/>
        <n v="1"/>
        <n v="13"/>
        <n v="12"/>
        <n v="8"/>
        <n v="11"/>
        <n v="15"/>
        <n v="21"/>
        <n v="10"/>
        <n v="9"/>
        <m/>
      </sharedItems>
    </cacheField>
    <cacheField name="直播下单天数" numFmtId="0">
      <sharedItems containsString="0" containsBlank="1" containsNumber="1" containsInteger="1" minValue="0" maxValue="1" count="2">
        <n v="1"/>
        <m/>
      </sharedItems>
    </cacheField>
  </cacheFields>
</pivotCacheDefinition>
</file>

<file path=xl/pivotCache/pivotCacheRecords1.xml><?xml version="1.0" encoding="utf-8"?>
<pivotCacheRecords xmlns="http://schemas.openxmlformats.org/spreadsheetml/2006/main" xmlns:r="http://schemas.openxmlformats.org/officeDocument/2006/relationships" count="1152">
  <r>
    <x v="0"/>
    <x v="0"/>
    <x v="0"/>
    <x v="0"/>
    <x v="0"/>
    <x v="0"/>
    <x v="0"/>
    <x v="0"/>
    <x v="0"/>
    <x v="0"/>
    <x v="0"/>
    <x v="0"/>
    <x v="0"/>
    <x v="0"/>
    <x v="0"/>
    <x v="0"/>
    <x v="0"/>
    <x v="0"/>
    <x v="0"/>
    <x v="0"/>
    <x v="0"/>
    <x v="0"/>
    <x v="0"/>
    <x v="0"/>
    <x v="0"/>
    <x v="0"/>
    <x v="0"/>
    <x v="0"/>
    <x v="0"/>
    <x v="0"/>
    <x v="0"/>
    <x v="0"/>
    <x v="0"/>
    <x v="0"/>
    <x v="0"/>
    <x v="0"/>
    <x v="0"/>
    <x v="0"/>
    <x v="0"/>
    <x v="0"/>
    <x v="0"/>
    <x v="0"/>
  </r>
  <r>
    <x v="1"/>
    <x v="0"/>
    <x v="1"/>
    <x v="1"/>
    <x v="0"/>
    <x v="1"/>
    <x v="1"/>
    <x v="1"/>
    <x v="0"/>
    <x v="1"/>
    <x v="1"/>
    <x v="1"/>
    <x v="1"/>
    <x v="0"/>
    <x v="0"/>
    <x v="0"/>
    <x v="1"/>
    <x v="1"/>
    <x v="0"/>
    <x v="1"/>
    <x v="0"/>
    <x v="0"/>
    <x v="0"/>
    <x v="1"/>
    <x v="1"/>
    <x v="1"/>
    <x v="1"/>
    <x v="1"/>
    <x v="1"/>
    <x v="0"/>
    <x v="0"/>
    <x v="1"/>
    <x v="1"/>
    <x v="1"/>
    <x v="0"/>
    <x v="0"/>
    <x v="0"/>
    <x v="0"/>
    <x v="0"/>
    <x v="0"/>
    <x v="0"/>
    <x v="0"/>
  </r>
  <r>
    <x v="2"/>
    <x v="0"/>
    <x v="1"/>
    <x v="1"/>
    <x v="0"/>
    <x v="1"/>
    <x v="2"/>
    <x v="1"/>
    <x v="0"/>
    <x v="1"/>
    <x v="1"/>
    <x v="1"/>
    <x v="1"/>
    <x v="0"/>
    <x v="1"/>
    <x v="0"/>
    <x v="2"/>
    <x v="1"/>
    <x v="1"/>
    <x v="2"/>
    <x v="0"/>
    <x v="0"/>
    <x v="0"/>
    <x v="2"/>
    <x v="2"/>
    <x v="2"/>
    <x v="2"/>
    <x v="2"/>
    <x v="2"/>
    <x v="0"/>
    <x v="0"/>
    <x v="2"/>
    <x v="1"/>
    <x v="2"/>
    <x v="0"/>
    <x v="0"/>
    <x v="0"/>
    <x v="0"/>
    <x v="0"/>
    <x v="0"/>
    <x v="0"/>
    <x v="0"/>
  </r>
  <r>
    <x v="3"/>
    <x v="0"/>
    <x v="1"/>
    <x v="1"/>
    <x v="0"/>
    <x v="1"/>
    <x v="3"/>
    <x v="1"/>
    <x v="0"/>
    <x v="1"/>
    <x v="1"/>
    <x v="1"/>
    <x v="1"/>
    <x v="0"/>
    <x v="2"/>
    <x v="0"/>
    <x v="3"/>
    <x v="1"/>
    <x v="2"/>
    <x v="3"/>
    <x v="0"/>
    <x v="0"/>
    <x v="0"/>
    <x v="1"/>
    <x v="1"/>
    <x v="1"/>
    <x v="1"/>
    <x v="1"/>
    <x v="1"/>
    <x v="0"/>
    <x v="0"/>
    <x v="1"/>
    <x v="1"/>
    <x v="1"/>
    <x v="0"/>
    <x v="0"/>
    <x v="0"/>
    <x v="0"/>
    <x v="0"/>
    <x v="0"/>
    <x v="0"/>
    <x v="0"/>
  </r>
  <r>
    <x v="4"/>
    <x v="0"/>
    <x v="1"/>
    <x v="0"/>
    <x v="0"/>
    <x v="1"/>
    <x v="4"/>
    <x v="2"/>
    <x v="0"/>
    <x v="2"/>
    <x v="1"/>
    <x v="1"/>
    <x v="1"/>
    <x v="0"/>
    <x v="3"/>
    <x v="0"/>
    <x v="4"/>
    <x v="2"/>
    <x v="3"/>
    <x v="1"/>
    <x v="0"/>
    <x v="0"/>
    <x v="0"/>
    <x v="3"/>
    <x v="3"/>
    <x v="0"/>
    <x v="3"/>
    <x v="3"/>
    <x v="3"/>
    <x v="0"/>
    <x v="0"/>
    <x v="3"/>
    <x v="0"/>
    <x v="3"/>
    <x v="0"/>
    <x v="0"/>
    <x v="0"/>
    <x v="0"/>
    <x v="0"/>
    <x v="0"/>
    <x v="0"/>
    <x v="0"/>
  </r>
  <r>
    <x v="5"/>
    <x v="0"/>
    <x v="1"/>
    <x v="0"/>
    <x v="0"/>
    <x v="1"/>
    <x v="5"/>
    <x v="3"/>
    <x v="0"/>
    <x v="2"/>
    <x v="1"/>
    <x v="1"/>
    <x v="2"/>
    <x v="0"/>
    <x v="0"/>
    <x v="0"/>
    <x v="5"/>
    <x v="3"/>
    <x v="0"/>
    <x v="4"/>
    <x v="0"/>
    <x v="0"/>
    <x v="0"/>
    <x v="4"/>
    <x v="4"/>
    <x v="1"/>
    <x v="4"/>
    <x v="4"/>
    <x v="4"/>
    <x v="0"/>
    <x v="0"/>
    <x v="4"/>
    <x v="1"/>
    <x v="4"/>
    <x v="0"/>
    <x v="0"/>
    <x v="0"/>
    <x v="0"/>
    <x v="0"/>
    <x v="0"/>
    <x v="0"/>
    <x v="0"/>
  </r>
  <r>
    <x v="6"/>
    <x v="0"/>
    <x v="1"/>
    <x v="1"/>
    <x v="0"/>
    <x v="1"/>
    <x v="6"/>
    <x v="1"/>
    <x v="0"/>
    <x v="1"/>
    <x v="1"/>
    <x v="1"/>
    <x v="3"/>
    <x v="0"/>
    <x v="4"/>
    <x v="0"/>
    <x v="6"/>
    <x v="1"/>
    <x v="4"/>
    <x v="5"/>
    <x v="0"/>
    <x v="0"/>
    <x v="0"/>
    <x v="5"/>
    <x v="5"/>
    <x v="0"/>
    <x v="5"/>
    <x v="5"/>
    <x v="5"/>
    <x v="0"/>
    <x v="0"/>
    <x v="5"/>
    <x v="0"/>
    <x v="5"/>
    <x v="0"/>
    <x v="0"/>
    <x v="0"/>
    <x v="0"/>
    <x v="0"/>
    <x v="0"/>
    <x v="0"/>
    <x v="0"/>
  </r>
  <r>
    <x v="7"/>
    <x v="0"/>
    <x v="1"/>
    <x v="0"/>
    <x v="0"/>
    <x v="1"/>
    <x v="7"/>
    <x v="4"/>
    <x v="0"/>
    <x v="2"/>
    <x v="1"/>
    <x v="1"/>
    <x v="2"/>
    <x v="0"/>
    <x v="5"/>
    <x v="0"/>
    <x v="7"/>
    <x v="4"/>
    <x v="5"/>
    <x v="6"/>
    <x v="0"/>
    <x v="0"/>
    <x v="0"/>
    <x v="3"/>
    <x v="3"/>
    <x v="0"/>
    <x v="3"/>
    <x v="3"/>
    <x v="3"/>
    <x v="0"/>
    <x v="0"/>
    <x v="3"/>
    <x v="0"/>
    <x v="3"/>
    <x v="0"/>
    <x v="0"/>
    <x v="0"/>
    <x v="0"/>
    <x v="0"/>
    <x v="0"/>
    <x v="0"/>
    <x v="0"/>
  </r>
  <r>
    <x v="8"/>
    <x v="0"/>
    <x v="1"/>
    <x v="0"/>
    <x v="0"/>
    <x v="0"/>
    <x v="8"/>
    <x v="5"/>
    <x v="0"/>
    <x v="0"/>
    <x v="2"/>
    <x v="2"/>
    <x v="4"/>
    <x v="0"/>
    <x v="4"/>
    <x v="0"/>
    <x v="8"/>
    <x v="5"/>
    <x v="4"/>
    <x v="7"/>
    <x v="0"/>
    <x v="0"/>
    <x v="0"/>
    <x v="6"/>
    <x v="6"/>
    <x v="3"/>
    <x v="6"/>
    <x v="6"/>
    <x v="6"/>
    <x v="1"/>
    <x v="0"/>
    <x v="6"/>
    <x v="0"/>
    <x v="6"/>
    <x v="0"/>
    <x v="0"/>
    <x v="0"/>
    <x v="0"/>
    <x v="0"/>
    <x v="0"/>
    <x v="0"/>
    <x v="0"/>
  </r>
  <r>
    <x v="9"/>
    <x v="0"/>
    <x v="1"/>
    <x v="1"/>
    <x v="0"/>
    <x v="1"/>
    <x v="9"/>
    <x v="1"/>
    <x v="0"/>
    <x v="1"/>
    <x v="1"/>
    <x v="1"/>
    <x v="5"/>
    <x v="0"/>
    <x v="3"/>
    <x v="0"/>
    <x v="9"/>
    <x v="1"/>
    <x v="3"/>
    <x v="8"/>
    <x v="0"/>
    <x v="0"/>
    <x v="0"/>
    <x v="7"/>
    <x v="7"/>
    <x v="0"/>
    <x v="7"/>
    <x v="7"/>
    <x v="7"/>
    <x v="0"/>
    <x v="0"/>
    <x v="7"/>
    <x v="1"/>
    <x v="7"/>
    <x v="0"/>
    <x v="0"/>
    <x v="0"/>
    <x v="0"/>
    <x v="0"/>
    <x v="0"/>
    <x v="0"/>
    <x v="0"/>
  </r>
  <r>
    <x v="10"/>
    <x v="0"/>
    <x v="1"/>
    <x v="0"/>
    <x v="0"/>
    <x v="1"/>
    <x v="10"/>
    <x v="6"/>
    <x v="0"/>
    <x v="2"/>
    <x v="1"/>
    <x v="1"/>
    <x v="6"/>
    <x v="0"/>
    <x v="0"/>
    <x v="0"/>
    <x v="10"/>
    <x v="6"/>
    <x v="0"/>
    <x v="9"/>
    <x v="0"/>
    <x v="0"/>
    <x v="0"/>
    <x v="3"/>
    <x v="3"/>
    <x v="0"/>
    <x v="3"/>
    <x v="3"/>
    <x v="3"/>
    <x v="0"/>
    <x v="0"/>
    <x v="3"/>
    <x v="0"/>
    <x v="3"/>
    <x v="0"/>
    <x v="0"/>
    <x v="0"/>
    <x v="0"/>
    <x v="0"/>
    <x v="0"/>
    <x v="0"/>
    <x v="0"/>
  </r>
  <r>
    <x v="11"/>
    <x v="0"/>
    <x v="1"/>
    <x v="0"/>
    <x v="0"/>
    <x v="1"/>
    <x v="11"/>
    <x v="7"/>
    <x v="0"/>
    <x v="2"/>
    <x v="1"/>
    <x v="1"/>
    <x v="7"/>
    <x v="0"/>
    <x v="0"/>
    <x v="0"/>
    <x v="11"/>
    <x v="7"/>
    <x v="0"/>
    <x v="10"/>
    <x v="0"/>
    <x v="0"/>
    <x v="0"/>
    <x v="8"/>
    <x v="8"/>
    <x v="4"/>
    <x v="8"/>
    <x v="8"/>
    <x v="8"/>
    <x v="0"/>
    <x v="0"/>
    <x v="8"/>
    <x v="1"/>
    <x v="8"/>
    <x v="0"/>
    <x v="0"/>
    <x v="0"/>
    <x v="0"/>
    <x v="0"/>
    <x v="0"/>
    <x v="0"/>
    <x v="0"/>
  </r>
  <r>
    <x v="12"/>
    <x v="0"/>
    <x v="1"/>
    <x v="0"/>
    <x v="0"/>
    <x v="1"/>
    <x v="12"/>
    <x v="8"/>
    <x v="0"/>
    <x v="2"/>
    <x v="1"/>
    <x v="1"/>
    <x v="6"/>
    <x v="0"/>
    <x v="0"/>
    <x v="0"/>
    <x v="10"/>
    <x v="6"/>
    <x v="0"/>
    <x v="11"/>
    <x v="0"/>
    <x v="0"/>
    <x v="0"/>
    <x v="9"/>
    <x v="9"/>
    <x v="1"/>
    <x v="9"/>
    <x v="9"/>
    <x v="9"/>
    <x v="0"/>
    <x v="0"/>
    <x v="9"/>
    <x v="0"/>
    <x v="9"/>
    <x v="0"/>
    <x v="0"/>
    <x v="0"/>
    <x v="0"/>
    <x v="0"/>
    <x v="0"/>
    <x v="0"/>
    <x v="0"/>
  </r>
  <r>
    <x v="13"/>
    <x v="0"/>
    <x v="1"/>
    <x v="0"/>
    <x v="0"/>
    <x v="1"/>
    <x v="13"/>
    <x v="9"/>
    <x v="0"/>
    <x v="2"/>
    <x v="1"/>
    <x v="1"/>
    <x v="8"/>
    <x v="0"/>
    <x v="1"/>
    <x v="0"/>
    <x v="12"/>
    <x v="8"/>
    <x v="1"/>
    <x v="12"/>
    <x v="0"/>
    <x v="0"/>
    <x v="0"/>
    <x v="2"/>
    <x v="2"/>
    <x v="2"/>
    <x v="2"/>
    <x v="2"/>
    <x v="2"/>
    <x v="0"/>
    <x v="0"/>
    <x v="2"/>
    <x v="1"/>
    <x v="2"/>
    <x v="0"/>
    <x v="0"/>
    <x v="0"/>
    <x v="0"/>
    <x v="0"/>
    <x v="0"/>
    <x v="0"/>
    <x v="0"/>
  </r>
  <r>
    <x v="14"/>
    <x v="0"/>
    <x v="1"/>
    <x v="0"/>
    <x v="0"/>
    <x v="1"/>
    <x v="14"/>
    <x v="10"/>
    <x v="0"/>
    <x v="2"/>
    <x v="1"/>
    <x v="1"/>
    <x v="6"/>
    <x v="0"/>
    <x v="6"/>
    <x v="0"/>
    <x v="13"/>
    <x v="9"/>
    <x v="6"/>
    <x v="13"/>
    <x v="0"/>
    <x v="0"/>
    <x v="0"/>
    <x v="10"/>
    <x v="10"/>
    <x v="5"/>
    <x v="10"/>
    <x v="10"/>
    <x v="10"/>
    <x v="0"/>
    <x v="0"/>
    <x v="10"/>
    <x v="0"/>
    <x v="10"/>
    <x v="0"/>
    <x v="0"/>
    <x v="0"/>
    <x v="0"/>
    <x v="0"/>
    <x v="0"/>
    <x v="0"/>
    <x v="0"/>
  </r>
  <r>
    <x v="15"/>
    <x v="0"/>
    <x v="1"/>
    <x v="1"/>
    <x v="0"/>
    <x v="1"/>
    <x v="15"/>
    <x v="1"/>
    <x v="0"/>
    <x v="1"/>
    <x v="1"/>
    <x v="1"/>
    <x v="7"/>
    <x v="0"/>
    <x v="4"/>
    <x v="0"/>
    <x v="14"/>
    <x v="1"/>
    <x v="4"/>
    <x v="14"/>
    <x v="0"/>
    <x v="0"/>
    <x v="0"/>
    <x v="8"/>
    <x v="8"/>
    <x v="4"/>
    <x v="8"/>
    <x v="8"/>
    <x v="8"/>
    <x v="0"/>
    <x v="0"/>
    <x v="8"/>
    <x v="1"/>
    <x v="8"/>
    <x v="0"/>
    <x v="0"/>
    <x v="0"/>
    <x v="0"/>
    <x v="0"/>
    <x v="0"/>
    <x v="0"/>
    <x v="0"/>
  </r>
  <r>
    <x v="16"/>
    <x v="0"/>
    <x v="0"/>
    <x v="0"/>
    <x v="0"/>
    <x v="0"/>
    <x v="16"/>
    <x v="11"/>
    <x v="0"/>
    <x v="0"/>
    <x v="3"/>
    <x v="3"/>
    <x v="0"/>
    <x v="0"/>
    <x v="0"/>
    <x v="0"/>
    <x v="0"/>
    <x v="0"/>
    <x v="0"/>
    <x v="0"/>
    <x v="0"/>
    <x v="0"/>
    <x v="0"/>
    <x v="11"/>
    <x v="11"/>
    <x v="6"/>
    <x v="11"/>
    <x v="11"/>
    <x v="11"/>
    <x v="0"/>
    <x v="0"/>
    <x v="11"/>
    <x v="0"/>
    <x v="11"/>
    <x v="0"/>
    <x v="0"/>
    <x v="0"/>
    <x v="0"/>
    <x v="0"/>
    <x v="0"/>
    <x v="0"/>
    <x v="0"/>
  </r>
  <r>
    <x v="17"/>
    <x v="0"/>
    <x v="1"/>
    <x v="0"/>
    <x v="0"/>
    <x v="1"/>
    <x v="17"/>
    <x v="12"/>
    <x v="0"/>
    <x v="2"/>
    <x v="1"/>
    <x v="1"/>
    <x v="9"/>
    <x v="0"/>
    <x v="0"/>
    <x v="0"/>
    <x v="15"/>
    <x v="10"/>
    <x v="0"/>
    <x v="15"/>
    <x v="0"/>
    <x v="0"/>
    <x v="0"/>
    <x v="12"/>
    <x v="12"/>
    <x v="0"/>
    <x v="12"/>
    <x v="12"/>
    <x v="12"/>
    <x v="0"/>
    <x v="0"/>
    <x v="12"/>
    <x v="0"/>
    <x v="12"/>
    <x v="0"/>
    <x v="0"/>
    <x v="0"/>
    <x v="0"/>
    <x v="0"/>
    <x v="0"/>
    <x v="0"/>
    <x v="0"/>
  </r>
  <r>
    <x v="18"/>
    <x v="0"/>
    <x v="1"/>
    <x v="0"/>
    <x v="0"/>
    <x v="1"/>
    <x v="18"/>
    <x v="13"/>
    <x v="0"/>
    <x v="2"/>
    <x v="1"/>
    <x v="1"/>
    <x v="10"/>
    <x v="0"/>
    <x v="0"/>
    <x v="0"/>
    <x v="16"/>
    <x v="11"/>
    <x v="0"/>
    <x v="16"/>
    <x v="0"/>
    <x v="0"/>
    <x v="0"/>
    <x v="3"/>
    <x v="3"/>
    <x v="0"/>
    <x v="3"/>
    <x v="3"/>
    <x v="3"/>
    <x v="0"/>
    <x v="0"/>
    <x v="3"/>
    <x v="0"/>
    <x v="3"/>
    <x v="0"/>
    <x v="0"/>
    <x v="0"/>
    <x v="0"/>
    <x v="0"/>
    <x v="0"/>
    <x v="0"/>
    <x v="0"/>
  </r>
  <r>
    <x v="19"/>
    <x v="0"/>
    <x v="1"/>
    <x v="0"/>
    <x v="0"/>
    <x v="1"/>
    <x v="19"/>
    <x v="14"/>
    <x v="0"/>
    <x v="2"/>
    <x v="1"/>
    <x v="1"/>
    <x v="10"/>
    <x v="0"/>
    <x v="2"/>
    <x v="0"/>
    <x v="17"/>
    <x v="12"/>
    <x v="2"/>
    <x v="17"/>
    <x v="0"/>
    <x v="0"/>
    <x v="0"/>
    <x v="13"/>
    <x v="13"/>
    <x v="7"/>
    <x v="13"/>
    <x v="13"/>
    <x v="13"/>
    <x v="0"/>
    <x v="0"/>
    <x v="13"/>
    <x v="1"/>
    <x v="13"/>
    <x v="0"/>
    <x v="0"/>
    <x v="0"/>
    <x v="0"/>
    <x v="0"/>
    <x v="0"/>
    <x v="0"/>
    <x v="0"/>
  </r>
  <r>
    <x v="20"/>
    <x v="0"/>
    <x v="1"/>
    <x v="0"/>
    <x v="0"/>
    <x v="1"/>
    <x v="20"/>
    <x v="15"/>
    <x v="0"/>
    <x v="2"/>
    <x v="1"/>
    <x v="1"/>
    <x v="10"/>
    <x v="0"/>
    <x v="0"/>
    <x v="0"/>
    <x v="16"/>
    <x v="11"/>
    <x v="0"/>
    <x v="18"/>
    <x v="0"/>
    <x v="0"/>
    <x v="0"/>
    <x v="5"/>
    <x v="5"/>
    <x v="0"/>
    <x v="5"/>
    <x v="5"/>
    <x v="5"/>
    <x v="0"/>
    <x v="0"/>
    <x v="5"/>
    <x v="0"/>
    <x v="5"/>
    <x v="0"/>
    <x v="0"/>
    <x v="0"/>
    <x v="0"/>
    <x v="0"/>
    <x v="0"/>
    <x v="0"/>
    <x v="0"/>
  </r>
  <r>
    <x v="21"/>
    <x v="0"/>
    <x v="1"/>
    <x v="0"/>
    <x v="0"/>
    <x v="1"/>
    <x v="21"/>
    <x v="16"/>
    <x v="0"/>
    <x v="2"/>
    <x v="1"/>
    <x v="1"/>
    <x v="10"/>
    <x v="0"/>
    <x v="2"/>
    <x v="0"/>
    <x v="17"/>
    <x v="12"/>
    <x v="2"/>
    <x v="18"/>
    <x v="0"/>
    <x v="0"/>
    <x v="0"/>
    <x v="2"/>
    <x v="2"/>
    <x v="2"/>
    <x v="2"/>
    <x v="2"/>
    <x v="2"/>
    <x v="0"/>
    <x v="0"/>
    <x v="2"/>
    <x v="1"/>
    <x v="2"/>
    <x v="0"/>
    <x v="0"/>
    <x v="0"/>
    <x v="0"/>
    <x v="0"/>
    <x v="0"/>
    <x v="0"/>
    <x v="0"/>
  </r>
  <r>
    <x v="22"/>
    <x v="0"/>
    <x v="1"/>
    <x v="0"/>
    <x v="0"/>
    <x v="1"/>
    <x v="22"/>
    <x v="17"/>
    <x v="0"/>
    <x v="2"/>
    <x v="1"/>
    <x v="1"/>
    <x v="9"/>
    <x v="0"/>
    <x v="0"/>
    <x v="0"/>
    <x v="15"/>
    <x v="10"/>
    <x v="0"/>
    <x v="19"/>
    <x v="0"/>
    <x v="0"/>
    <x v="0"/>
    <x v="14"/>
    <x v="14"/>
    <x v="1"/>
    <x v="14"/>
    <x v="14"/>
    <x v="14"/>
    <x v="0"/>
    <x v="0"/>
    <x v="14"/>
    <x v="0"/>
    <x v="14"/>
    <x v="0"/>
    <x v="0"/>
    <x v="0"/>
    <x v="0"/>
    <x v="0"/>
    <x v="0"/>
    <x v="0"/>
    <x v="0"/>
  </r>
  <r>
    <x v="23"/>
    <x v="0"/>
    <x v="1"/>
    <x v="0"/>
    <x v="0"/>
    <x v="1"/>
    <x v="23"/>
    <x v="18"/>
    <x v="0"/>
    <x v="2"/>
    <x v="1"/>
    <x v="1"/>
    <x v="10"/>
    <x v="0"/>
    <x v="4"/>
    <x v="0"/>
    <x v="18"/>
    <x v="13"/>
    <x v="4"/>
    <x v="20"/>
    <x v="0"/>
    <x v="0"/>
    <x v="0"/>
    <x v="15"/>
    <x v="15"/>
    <x v="8"/>
    <x v="15"/>
    <x v="15"/>
    <x v="15"/>
    <x v="0"/>
    <x v="0"/>
    <x v="15"/>
    <x v="1"/>
    <x v="15"/>
    <x v="0"/>
    <x v="0"/>
    <x v="0"/>
    <x v="0"/>
    <x v="0"/>
    <x v="0"/>
    <x v="0"/>
    <x v="0"/>
  </r>
  <r>
    <x v="24"/>
    <x v="0"/>
    <x v="1"/>
    <x v="0"/>
    <x v="0"/>
    <x v="1"/>
    <x v="24"/>
    <x v="19"/>
    <x v="0"/>
    <x v="2"/>
    <x v="1"/>
    <x v="1"/>
    <x v="9"/>
    <x v="0"/>
    <x v="0"/>
    <x v="0"/>
    <x v="15"/>
    <x v="10"/>
    <x v="0"/>
    <x v="21"/>
    <x v="0"/>
    <x v="0"/>
    <x v="0"/>
    <x v="13"/>
    <x v="13"/>
    <x v="7"/>
    <x v="13"/>
    <x v="13"/>
    <x v="13"/>
    <x v="0"/>
    <x v="0"/>
    <x v="13"/>
    <x v="1"/>
    <x v="13"/>
    <x v="0"/>
    <x v="0"/>
    <x v="0"/>
    <x v="0"/>
    <x v="0"/>
    <x v="0"/>
    <x v="0"/>
    <x v="0"/>
  </r>
  <r>
    <x v="25"/>
    <x v="0"/>
    <x v="1"/>
    <x v="0"/>
    <x v="0"/>
    <x v="1"/>
    <x v="25"/>
    <x v="20"/>
    <x v="0"/>
    <x v="2"/>
    <x v="1"/>
    <x v="1"/>
    <x v="9"/>
    <x v="0"/>
    <x v="0"/>
    <x v="0"/>
    <x v="15"/>
    <x v="10"/>
    <x v="0"/>
    <x v="22"/>
    <x v="0"/>
    <x v="0"/>
    <x v="0"/>
    <x v="16"/>
    <x v="16"/>
    <x v="0"/>
    <x v="5"/>
    <x v="16"/>
    <x v="16"/>
    <x v="0"/>
    <x v="0"/>
    <x v="16"/>
    <x v="0"/>
    <x v="16"/>
    <x v="0"/>
    <x v="0"/>
    <x v="0"/>
    <x v="0"/>
    <x v="0"/>
    <x v="0"/>
    <x v="0"/>
    <x v="0"/>
  </r>
  <r>
    <x v="26"/>
    <x v="0"/>
    <x v="1"/>
    <x v="0"/>
    <x v="0"/>
    <x v="1"/>
    <x v="26"/>
    <x v="21"/>
    <x v="0"/>
    <x v="2"/>
    <x v="1"/>
    <x v="1"/>
    <x v="9"/>
    <x v="0"/>
    <x v="0"/>
    <x v="0"/>
    <x v="15"/>
    <x v="10"/>
    <x v="0"/>
    <x v="23"/>
    <x v="0"/>
    <x v="0"/>
    <x v="0"/>
    <x v="13"/>
    <x v="13"/>
    <x v="7"/>
    <x v="13"/>
    <x v="13"/>
    <x v="13"/>
    <x v="0"/>
    <x v="0"/>
    <x v="13"/>
    <x v="1"/>
    <x v="13"/>
    <x v="0"/>
    <x v="0"/>
    <x v="0"/>
    <x v="0"/>
    <x v="0"/>
    <x v="0"/>
    <x v="0"/>
    <x v="0"/>
  </r>
  <r>
    <x v="27"/>
    <x v="0"/>
    <x v="1"/>
    <x v="0"/>
    <x v="0"/>
    <x v="1"/>
    <x v="27"/>
    <x v="22"/>
    <x v="0"/>
    <x v="2"/>
    <x v="1"/>
    <x v="1"/>
    <x v="9"/>
    <x v="0"/>
    <x v="0"/>
    <x v="0"/>
    <x v="15"/>
    <x v="10"/>
    <x v="0"/>
    <x v="24"/>
    <x v="0"/>
    <x v="0"/>
    <x v="0"/>
    <x v="2"/>
    <x v="2"/>
    <x v="2"/>
    <x v="2"/>
    <x v="2"/>
    <x v="2"/>
    <x v="0"/>
    <x v="0"/>
    <x v="2"/>
    <x v="1"/>
    <x v="2"/>
    <x v="0"/>
    <x v="0"/>
    <x v="0"/>
    <x v="0"/>
    <x v="0"/>
    <x v="0"/>
    <x v="0"/>
    <x v="0"/>
  </r>
  <r>
    <x v="28"/>
    <x v="0"/>
    <x v="1"/>
    <x v="0"/>
    <x v="0"/>
    <x v="1"/>
    <x v="28"/>
    <x v="23"/>
    <x v="0"/>
    <x v="2"/>
    <x v="1"/>
    <x v="1"/>
    <x v="9"/>
    <x v="0"/>
    <x v="0"/>
    <x v="0"/>
    <x v="15"/>
    <x v="10"/>
    <x v="0"/>
    <x v="25"/>
    <x v="0"/>
    <x v="0"/>
    <x v="0"/>
    <x v="17"/>
    <x v="17"/>
    <x v="9"/>
    <x v="16"/>
    <x v="17"/>
    <x v="17"/>
    <x v="0"/>
    <x v="0"/>
    <x v="17"/>
    <x v="0"/>
    <x v="12"/>
    <x v="0"/>
    <x v="0"/>
    <x v="0"/>
    <x v="0"/>
    <x v="0"/>
    <x v="0"/>
    <x v="0"/>
    <x v="0"/>
  </r>
  <r>
    <x v="29"/>
    <x v="0"/>
    <x v="1"/>
    <x v="0"/>
    <x v="0"/>
    <x v="1"/>
    <x v="29"/>
    <x v="24"/>
    <x v="0"/>
    <x v="2"/>
    <x v="1"/>
    <x v="1"/>
    <x v="9"/>
    <x v="0"/>
    <x v="0"/>
    <x v="0"/>
    <x v="15"/>
    <x v="10"/>
    <x v="0"/>
    <x v="24"/>
    <x v="0"/>
    <x v="0"/>
    <x v="0"/>
    <x v="5"/>
    <x v="5"/>
    <x v="0"/>
    <x v="5"/>
    <x v="5"/>
    <x v="5"/>
    <x v="0"/>
    <x v="0"/>
    <x v="5"/>
    <x v="0"/>
    <x v="5"/>
    <x v="0"/>
    <x v="0"/>
    <x v="0"/>
    <x v="0"/>
    <x v="0"/>
    <x v="0"/>
    <x v="0"/>
    <x v="0"/>
  </r>
  <r>
    <x v="30"/>
    <x v="0"/>
    <x v="1"/>
    <x v="0"/>
    <x v="0"/>
    <x v="1"/>
    <x v="30"/>
    <x v="25"/>
    <x v="0"/>
    <x v="2"/>
    <x v="1"/>
    <x v="1"/>
    <x v="9"/>
    <x v="0"/>
    <x v="0"/>
    <x v="0"/>
    <x v="15"/>
    <x v="10"/>
    <x v="0"/>
    <x v="26"/>
    <x v="0"/>
    <x v="0"/>
    <x v="0"/>
    <x v="16"/>
    <x v="16"/>
    <x v="0"/>
    <x v="5"/>
    <x v="16"/>
    <x v="16"/>
    <x v="0"/>
    <x v="0"/>
    <x v="16"/>
    <x v="0"/>
    <x v="16"/>
    <x v="0"/>
    <x v="0"/>
    <x v="0"/>
    <x v="0"/>
    <x v="0"/>
    <x v="0"/>
    <x v="0"/>
    <x v="0"/>
  </r>
  <r>
    <x v="31"/>
    <x v="0"/>
    <x v="1"/>
    <x v="0"/>
    <x v="0"/>
    <x v="1"/>
    <x v="31"/>
    <x v="26"/>
    <x v="0"/>
    <x v="2"/>
    <x v="1"/>
    <x v="1"/>
    <x v="9"/>
    <x v="0"/>
    <x v="0"/>
    <x v="0"/>
    <x v="15"/>
    <x v="10"/>
    <x v="0"/>
    <x v="21"/>
    <x v="0"/>
    <x v="0"/>
    <x v="0"/>
    <x v="18"/>
    <x v="18"/>
    <x v="4"/>
    <x v="17"/>
    <x v="18"/>
    <x v="18"/>
    <x v="0"/>
    <x v="0"/>
    <x v="18"/>
    <x v="0"/>
    <x v="12"/>
    <x v="0"/>
    <x v="0"/>
    <x v="0"/>
    <x v="0"/>
    <x v="0"/>
    <x v="0"/>
    <x v="0"/>
    <x v="0"/>
  </r>
  <r>
    <x v="32"/>
    <x v="0"/>
    <x v="1"/>
    <x v="0"/>
    <x v="0"/>
    <x v="2"/>
    <x v="32"/>
    <x v="27"/>
    <x v="0"/>
    <x v="2"/>
    <x v="1"/>
    <x v="1"/>
    <x v="11"/>
    <x v="0"/>
    <x v="5"/>
    <x v="0"/>
    <x v="19"/>
    <x v="14"/>
    <x v="5"/>
    <x v="27"/>
    <x v="0"/>
    <x v="0"/>
    <x v="0"/>
    <x v="19"/>
    <x v="19"/>
    <x v="0"/>
    <x v="18"/>
    <x v="19"/>
    <x v="19"/>
    <x v="0"/>
    <x v="0"/>
    <x v="19"/>
    <x v="0"/>
    <x v="17"/>
    <x v="0"/>
    <x v="0"/>
    <x v="0"/>
    <x v="0"/>
    <x v="0"/>
    <x v="0"/>
    <x v="0"/>
    <x v="0"/>
  </r>
  <r>
    <x v="33"/>
    <x v="0"/>
    <x v="1"/>
    <x v="0"/>
    <x v="0"/>
    <x v="1"/>
    <x v="33"/>
    <x v="28"/>
    <x v="0"/>
    <x v="2"/>
    <x v="1"/>
    <x v="1"/>
    <x v="7"/>
    <x v="0"/>
    <x v="5"/>
    <x v="0"/>
    <x v="20"/>
    <x v="15"/>
    <x v="5"/>
    <x v="10"/>
    <x v="0"/>
    <x v="0"/>
    <x v="0"/>
    <x v="16"/>
    <x v="16"/>
    <x v="0"/>
    <x v="5"/>
    <x v="16"/>
    <x v="16"/>
    <x v="0"/>
    <x v="0"/>
    <x v="16"/>
    <x v="0"/>
    <x v="16"/>
    <x v="0"/>
    <x v="0"/>
    <x v="0"/>
    <x v="0"/>
    <x v="0"/>
    <x v="0"/>
    <x v="0"/>
    <x v="0"/>
  </r>
  <r>
    <x v="34"/>
    <x v="0"/>
    <x v="1"/>
    <x v="0"/>
    <x v="0"/>
    <x v="1"/>
    <x v="34"/>
    <x v="29"/>
    <x v="0"/>
    <x v="2"/>
    <x v="1"/>
    <x v="1"/>
    <x v="7"/>
    <x v="0"/>
    <x v="7"/>
    <x v="0"/>
    <x v="21"/>
    <x v="16"/>
    <x v="7"/>
    <x v="28"/>
    <x v="0"/>
    <x v="0"/>
    <x v="0"/>
    <x v="20"/>
    <x v="20"/>
    <x v="10"/>
    <x v="19"/>
    <x v="20"/>
    <x v="20"/>
    <x v="0"/>
    <x v="0"/>
    <x v="20"/>
    <x v="1"/>
    <x v="18"/>
    <x v="0"/>
    <x v="0"/>
    <x v="0"/>
    <x v="0"/>
    <x v="0"/>
    <x v="0"/>
    <x v="0"/>
    <x v="0"/>
  </r>
  <r>
    <x v="35"/>
    <x v="0"/>
    <x v="1"/>
    <x v="0"/>
    <x v="0"/>
    <x v="1"/>
    <x v="35"/>
    <x v="30"/>
    <x v="0"/>
    <x v="2"/>
    <x v="1"/>
    <x v="1"/>
    <x v="12"/>
    <x v="0"/>
    <x v="4"/>
    <x v="0"/>
    <x v="22"/>
    <x v="17"/>
    <x v="4"/>
    <x v="29"/>
    <x v="0"/>
    <x v="0"/>
    <x v="0"/>
    <x v="2"/>
    <x v="2"/>
    <x v="2"/>
    <x v="2"/>
    <x v="2"/>
    <x v="2"/>
    <x v="0"/>
    <x v="0"/>
    <x v="2"/>
    <x v="1"/>
    <x v="2"/>
    <x v="0"/>
    <x v="0"/>
    <x v="0"/>
    <x v="0"/>
    <x v="0"/>
    <x v="0"/>
    <x v="0"/>
    <x v="0"/>
  </r>
  <r>
    <x v="36"/>
    <x v="0"/>
    <x v="1"/>
    <x v="0"/>
    <x v="0"/>
    <x v="0"/>
    <x v="36"/>
    <x v="31"/>
    <x v="0"/>
    <x v="0"/>
    <x v="4"/>
    <x v="4"/>
    <x v="13"/>
    <x v="0"/>
    <x v="0"/>
    <x v="0"/>
    <x v="23"/>
    <x v="18"/>
    <x v="0"/>
    <x v="30"/>
    <x v="0"/>
    <x v="0"/>
    <x v="0"/>
    <x v="21"/>
    <x v="21"/>
    <x v="5"/>
    <x v="20"/>
    <x v="21"/>
    <x v="21"/>
    <x v="0"/>
    <x v="0"/>
    <x v="21"/>
    <x v="0"/>
    <x v="19"/>
    <x v="0"/>
    <x v="0"/>
    <x v="0"/>
    <x v="0"/>
    <x v="0"/>
    <x v="0"/>
    <x v="0"/>
    <x v="0"/>
  </r>
  <r>
    <x v="37"/>
    <x v="0"/>
    <x v="1"/>
    <x v="0"/>
    <x v="0"/>
    <x v="1"/>
    <x v="37"/>
    <x v="32"/>
    <x v="0"/>
    <x v="2"/>
    <x v="1"/>
    <x v="1"/>
    <x v="9"/>
    <x v="0"/>
    <x v="0"/>
    <x v="0"/>
    <x v="15"/>
    <x v="10"/>
    <x v="0"/>
    <x v="15"/>
    <x v="0"/>
    <x v="0"/>
    <x v="0"/>
    <x v="18"/>
    <x v="18"/>
    <x v="4"/>
    <x v="17"/>
    <x v="18"/>
    <x v="18"/>
    <x v="0"/>
    <x v="0"/>
    <x v="22"/>
    <x v="0"/>
    <x v="12"/>
    <x v="0"/>
    <x v="0"/>
    <x v="0"/>
    <x v="0"/>
    <x v="0"/>
    <x v="0"/>
    <x v="0"/>
    <x v="0"/>
  </r>
  <r>
    <x v="38"/>
    <x v="0"/>
    <x v="1"/>
    <x v="0"/>
    <x v="0"/>
    <x v="0"/>
    <x v="38"/>
    <x v="33"/>
    <x v="0"/>
    <x v="2"/>
    <x v="1"/>
    <x v="1"/>
    <x v="9"/>
    <x v="0"/>
    <x v="0"/>
    <x v="0"/>
    <x v="15"/>
    <x v="10"/>
    <x v="0"/>
    <x v="31"/>
    <x v="0"/>
    <x v="0"/>
    <x v="0"/>
    <x v="18"/>
    <x v="18"/>
    <x v="4"/>
    <x v="17"/>
    <x v="18"/>
    <x v="18"/>
    <x v="0"/>
    <x v="0"/>
    <x v="22"/>
    <x v="0"/>
    <x v="12"/>
    <x v="0"/>
    <x v="0"/>
    <x v="0"/>
    <x v="0"/>
    <x v="0"/>
    <x v="0"/>
    <x v="0"/>
    <x v="0"/>
  </r>
  <r>
    <x v="39"/>
    <x v="0"/>
    <x v="1"/>
    <x v="0"/>
    <x v="0"/>
    <x v="1"/>
    <x v="39"/>
    <x v="34"/>
    <x v="0"/>
    <x v="2"/>
    <x v="1"/>
    <x v="1"/>
    <x v="12"/>
    <x v="0"/>
    <x v="0"/>
    <x v="0"/>
    <x v="24"/>
    <x v="19"/>
    <x v="0"/>
    <x v="32"/>
    <x v="0"/>
    <x v="0"/>
    <x v="0"/>
    <x v="19"/>
    <x v="19"/>
    <x v="0"/>
    <x v="18"/>
    <x v="19"/>
    <x v="19"/>
    <x v="0"/>
    <x v="0"/>
    <x v="19"/>
    <x v="0"/>
    <x v="17"/>
    <x v="0"/>
    <x v="0"/>
    <x v="0"/>
    <x v="0"/>
    <x v="0"/>
    <x v="0"/>
    <x v="0"/>
    <x v="0"/>
  </r>
  <r>
    <x v="40"/>
    <x v="0"/>
    <x v="1"/>
    <x v="0"/>
    <x v="0"/>
    <x v="0"/>
    <x v="40"/>
    <x v="34"/>
    <x v="0"/>
    <x v="0"/>
    <x v="5"/>
    <x v="5"/>
    <x v="14"/>
    <x v="0"/>
    <x v="0"/>
    <x v="0"/>
    <x v="25"/>
    <x v="20"/>
    <x v="0"/>
    <x v="33"/>
    <x v="0"/>
    <x v="0"/>
    <x v="0"/>
    <x v="22"/>
    <x v="22"/>
    <x v="6"/>
    <x v="21"/>
    <x v="22"/>
    <x v="22"/>
    <x v="0"/>
    <x v="0"/>
    <x v="23"/>
    <x v="0"/>
    <x v="20"/>
    <x v="0"/>
    <x v="0"/>
    <x v="0"/>
    <x v="0"/>
    <x v="0"/>
    <x v="0"/>
    <x v="0"/>
    <x v="0"/>
  </r>
  <r>
    <x v="41"/>
    <x v="0"/>
    <x v="1"/>
    <x v="0"/>
    <x v="0"/>
    <x v="1"/>
    <x v="40"/>
    <x v="35"/>
    <x v="0"/>
    <x v="2"/>
    <x v="1"/>
    <x v="1"/>
    <x v="12"/>
    <x v="0"/>
    <x v="2"/>
    <x v="0"/>
    <x v="26"/>
    <x v="21"/>
    <x v="2"/>
    <x v="34"/>
    <x v="0"/>
    <x v="0"/>
    <x v="0"/>
    <x v="17"/>
    <x v="17"/>
    <x v="9"/>
    <x v="16"/>
    <x v="17"/>
    <x v="17"/>
    <x v="0"/>
    <x v="0"/>
    <x v="17"/>
    <x v="0"/>
    <x v="12"/>
    <x v="0"/>
    <x v="0"/>
    <x v="0"/>
    <x v="1"/>
    <x v="0"/>
    <x v="0"/>
    <x v="0"/>
    <x v="0"/>
  </r>
  <r>
    <x v="42"/>
    <x v="0"/>
    <x v="1"/>
    <x v="0"/>
    <x v="0"/>
    <x v="1"/>
    <x v="41"/>
    <x v="36"/>
    <x v="0"/>
    <x v="2"/>
    <x v="1"/>
    <x v="1"/>
    <x v="12"/>
    <x v="0"/>
    <x v="0"/>
    <x v="0"/>
    <x v="24"/>
    <x v="19"/>
    <x v="0"/>
    <x v="34"/>
    <x v="0"/>
    <x v="0"/>
    <x v="0"/>
    <x v="23"/>
    <x v="23"/>
    <x v="8"/>
    <x v="22"/>
    <x v="23"/>
    <x v="23"/>
    <x v="0"/>
    <x v="0"/>
    <x v="24"/>
    <x v="1"/>
    <x v="21"/>
    <x v="0"/>
    <x v="0"/>
    <x v="0"/>
    <x v="0"/>
    <x v="0"/>
    <x v="0"/>
    <x v="0"/>
    <x v="0"/>
  </r>
  <r>
    <x v="43"/>
    <x v="0"/>
    <x v="1"/>
    <x v="0"/>
    <x v="0"/>
    <x v="0"/>
    <x v="42"/>
    <x v="37"/>
    <x v="0"/>
    <x v="2"/>
    <x v="1"/>
    <x v="1"/>
    <x v="12"/>
    <x v="0"/>
    <x v="1"/>
    <x v="0"/>
    <x v="27"/>
    <x v="22"/>
    <x v="1"/>
    <x v="34"/>
    <x v="0"/>
    <x v="0"/>
    <x v="0"/>
    <x v="10"/>
    <x v="10"/>
    <x v="5"/>
    <x v="10"/>
    <x v="10"/>
    <x v="10"/>
    <x v="0"/>
    <x v="0"/>
    <x v="10"/>
    <x v="0"/>
    <x v="10"/>
    <x v="0"/>
    <x v="0"/>
    <x v="0"/>
    <x v="0"/>
    <x v="0"/>
    <x v="0"/>
    <x v="0"/>
    <x v="0"/>
  </r>
  <r>
    <x v="44"/>
    <x v="0"/>
    <x v="1"/>
    <x v="0"/>
    <x v="0"/>
    <x v="1"/>
    <x v="43"/>
    <x v="38"/>
    <x v="0"/>
    <x v="2"/>
    <x v="1"/>
    <x v="1"/>
    <x v="12"/>
    <x v="0"/>
    <x v="0"/>
    <x v="0"/>
    <x v="24"/>
    <x v="19"/>
    <x v="0"/>
    <x v="35"/>
    <x v="0"/>
    <x v="0"/>
    <x v="0"/>
    <x v="16"/>
    <x v="16"/>
    <x v="0"/>
    <x v="5"/>
    <x v="16"/>
    <x v="16"/>
    <x v="0"/>
    <x v="0"/>
    <x v="16"/>
    <x v="0"/>
    <x v="16"/>
    <x v="0"/>
    <x v="0"/>
    <x v="0"/>
    <x v="0"/>
    <x v="0"/>
    <x v="0"/>
    <x v="0"/>
    <x v="0"/>
  </r>
  <r>
    <x v="45"/>
    <x v="0"/>
    <x v="1"/>
    <x v="0"/>
    <x v="0"/>
    <x v="1"/>
    <x v="44"/>
    <x v="39"/>
    <x v="0"/>
    <x v="2"/>
    <x v="1"/>
    <x v="1"/>
    <x v="7"/>
    <x v="0"/>
    <x v="0"/>
    <x v="0"/>
    <x v="11"/>
    <x v="7"/>
    <x v="0"/>
    <x v="36"/>
    <x v="0"/>
    <x v="0"/>
    <x v="0"/>
    <x v="24"/>
    <x v="24"/>
    <x v="11"/>
    <x v="23"/>
    <x v="24"/>
    <x v="24"/>
    <x v="0"/>
    <x v="0"/>
    <x v="25"/>
    <x v="0"/>
    <x v="12"/>
    <x v="0"/>
    <x v="0"/>
    <x v="0"/>
    <x v="2"/>
    <x v="0"/>
    <x v="0"/>
    <x v="0"/>
    <x v="0"/>
  </r>
  <r>
    <x v="46"/>
    <x v="0"/>
    <x v="1"/>
    <x v="0"/>
    <x v="0"/>
    <x v="1"/>
    <x v="45"/>
    <x v="40"/>
    <x v="0"/>
    <x v="2"/>
    <x v="1"/>
    <x v="1"/>
    <x v="9"/>
    <x v="0"/>
    <x v="0"/>
    <x v="0"/>
    <x v="15"/>
    <x v="10"/>
    <x v="0"/>
    <x v="37"/>
    <x v="0"/>
    <x v="0"/>
    <x v="0"/>
    <x v="25"/>
    <x v="25"/>
    <x v="0"/>
    <x v="24"/>
    <x v="25"/>
    <x v="25"/>
    <x v="0"/>
    <x v="0"/>
    <x v="26"/>
    <x v="0"/>
    <x v="12"/>
    <x v="0"/>
    <x v="0"/>
    <x v="0"/>
    <x v="0"/>
    <x v="0"/>
    <x v="0"/>
    <x v="0"/>
    <x v="0"/>
  </r>
  <r>
    <x v="47"/>
    <x v="0"/>
    <x v="1"/>
    <x v="0"/>
    <x v="0"/>
    <x v="1"/>
    <x v="46"/>
    <x v="41"/>
    <x v="0"/>
    <x v="2"/>
    <x v="1"/>
    <x v="1"/>
    <x v="7"/>
    <x v="0"/>
    <x v="1"/>
    <x v="0"/>
    <x v="28"/>
    <x v="23"/>
    <x v="1"/>
    <x v="38"/>
    <x v="0"/>
    <x v="0"/>
    <x v="0"/>
    <x v="10"/>
    <x v="10"/>
    <x v="5"/>
    <x v="10"/>
    <x v="10"/>
    <x v="10"/>
    <x v="0"/>
    <x v="0"/>
    <x v="10"/>
    <x v="0"/>
    <x v="10"/>
    <x v="0"/>
    <x v="0"/>
    <x v="0"/>
    <x v="0"/>
    <x v="0"/>
    <x v="0"/>
    <x v="0"/>
    <x v="0"/>
  </r>
  <r>
    <x v="48"/>
    <x v="0"/>
    <x v="1"/>
    <x v="0"/>
    <x v="0"/>
    <x v="1"/>
    <x v="47"/>
    <x v="42"/>
    <x v="0"/>
    <x v="2"/>
    <x v="1"/>
    <x v="1"/>
    <x v="2"/>
    <x v="0"/>
    <x v="4"/>
    <x v="0"/>
    <x v="29"/>
    <x v="24"/>
    <x v="4"/>
    <x v="39"/>
    <x v="0"/>
    <x v="0"/>
    <x v="0"/>
    <x v="13"/>
    <x v="13"/>
    <x v="7"/>
    <x v="13"/>
    <x v="13"/>
    <x v="13"/>
    <x v="0"/>
    <x v="0"/>
    <x v="13"/>
    <x v="1"/>
    <x v="13"/>
    <x v="0"/>
    <x v="0"/>
    <x v="0"/>
    <x v="0"/>
    <x v="0"/>
    <x v="0"/>
    <x v="0"/>
    <x v="0"/>
  </r>
  <r>
    <x v="49"/>
    <x v="0"/>
    <x v="1"/>
    <x v="0"/>
    <x v="0"/>
    <x v="1"/>
    <x v="48"/>
    <x v="43"/>
    <x v="0"/>
    <x v="2"/>
    <x v="1"/>
    <x v="1"/>
    <x v="10"/>
    <x v="0"/>
    <x v="3"/>
    <x v="0"/>
    <x v="30"/>
    <x v="25"/>
    <x v="3"/>
    <x v="40"/>
    <x v="0"/>
    <x v="0"/>
    <x v="0"/>
    <x v="26"/>
    <x v="26"/>
    <x v="12"/>
    <x v="25"/>
    <x v="26"/>
    <x v="26"/>
    <x v="0"/>
    <x v="0"/>
    <x v="27"/>
    <x v="0"/>
    <x v="22"/>
    <x v="0"/>
    <x v="0"/>
    <x v="0"/>
    <x v="0"/>
    <x v="0"/>
    <x v="0"/>
    <x v="0"/>
    <x v="0"/>
  </r>
  <r>
    <x v="50"/>
    <x v="0"/>
    <x v="1"/>
    <x v="0"/>
    <x v="0"/>
    <x v="3"/>
    <x v="49"/>
    <x v="44"/>
    <x v="0"/>
    <x v="0"/>
    <x v="6"/>
    <x v="6"/>
    <x v="15"/>
    <x v="0"/>
    <x v="0"/>
    <x v="0"/>
    <x v="31"/>
    <x v="26"/>
    <x v="0"/>
    <x v="41"/>
    <x v="0"/>
    <x v="0"/>
    <x v="0"/>
    <x v="27"/>
    <x v="27"/>
    <x v="1"/>
    <x v="26"/>
    <x v="27"/>
    <x v="27"/>
    <x v="0"/>
    <x v="0"/>
    <x v="28"/>
    <x v="0"/>
    <x v="23"/>
    <x v="0"/>
    <x v="0"/>
    <x v="0"/>
    <x v="0"/>
    <x v="0"/>
    <x v="0"/>
    <x v="0"/>
    <x v="0"/>
  </r>
  <r>
    <x v="51"/>
    <x v="0"/>
    <x v="1"/>
    <x v="0"/>
    <x v="0"/>
    <x v="1"/>
    <x v="50"/>
    <x v="45"/>
    <x v="0"/>
    <x v="2"/>
    <x v="1"/>
    <x v="1"/>
    <x v="7"/>
    <x v="0"/>
    <x v="0"/>
    <x v="0"/>
    <x v="11"/>
    <x v="7"/>
    <x v="0"/>
    <x v="42"/>
    <x v="0"/>
    <x v="0"/>
    <x v="0"/>
    <x v="10"/>
    <x v="10"/>
    <x v="5"/>
    <x v="10"/>
    <x v="10"/>
    <x v="10"/>
    <x v="0"/>
    <x v="0"/>
    <x v="10"/>
    <x v="0"/>
    <x v="10"/>
    <x v="0"/>
    <x v="0"/>
    <x v="0"/>
    <x v="0"/>
    <x v="0"/>
    <x v="0"/>
    <x v="0"/>
    <x v="0"/>
  </r>
  <r>
    <x v="52"/>
    <x v="0"/>
    <x v="1"/>
    <x v="0"/>
    <x v="0"/>
    <x v="1"/>
    <x v="51"/>
    <x v="46"/>
    <x v="0"/>
    <x v="2"/>
    <x v="1"/>
    <x v="1"/>
    <x v="7"/>
    <x v="0"/>
    <x v="0"/>
    <x v="0"/>
    <x v="11"/>
    <x v="7"/>
    <x v="0"/>
    <x v="43"/>
    <x v="0"/>
    <x v="0"/>
    <x v="0"/>
    <x v="28"/>
    <x v="28"/>
    <x v="0"/>
    <x v="18"/>
    <x v="28"/>
    <x v="28"/>
    <x v="0"/>
    <x v="0"/>
    <x v="29"/>
    <x v="0"/>
    <x v="24"/>
    <x v="0"/>
    <x v="1"/>
    <x v="0"/>
    <x v="0"/>
    <x v="0"/>
    <x v="0"/>
    <x v="0"/>
    <x v="0"/>
  </r>
  <r>
    <x v="53"/>
    <x v="0"/>
    <x v="1"/>
    <x v="1"/>
    <x v="0"/>
    <x v="1"/>
    <x v="52"/>
    <x v="1"/>
    <x v="0"/>
    <x v="1"/>
    <x v="1"/>
    <x v="1"/>
    <x v="2"/>
    <x v="0"/>
    <x v="0"/>
    <x v="0"/>
    <x v="5"/>
    <x v="1"/>
    <x v="0"/>
    <x v="44"/>
    <x v="0"/>
    <x v="0"/>
    <x v="0"/>
    <x v="29"/>
    <x v="29"/>
    <x v="1"/>
    <x v="14"/>
    <x v="29"/>
    <x v="29"/>
    <x v="0"/>
    <x v="0"/>
    <x v="30"/>
    <x v="0"/>
    <x v="25"/>
    <x v="0"/>
    <x v="0"/>
    <x v="0"/>
    <x v="0"/>
    <x v="0"/>
    <x v="0"/>
    <x v="0"/>
    <x v="0"/>
  </r>
  <r>
    <x v="54"/>
    <x v="0"/>
    <x v="1"/>
    <x v="1"/>
    <x v="0"/>
    <x v="1"/>
    <x v="53"/>
    <x v="1"/>
    <x v="0"/>
    <x v="1"/>
    <x v="1"/>
    <x v="1"/>
    <x v="2"/>
    <x v="0"/>
    <x v="5"/>
    <x v="0"/>
    <x v="7"/>
    <x v="1"/>
    <x v="5"/>
    <x v="44"/>
    <x v="0"/>
    <x v="0"/>
    <x v="0"/>
    <x v="29"/>
    <x v="29"/>
    <x v="1"/>
    <x v="14"/>
    <x v="29"/>
    <x v="30"/>
    <x v="0"/>
    <x v="0"/>
    <x v="30"/>
    <x v="0"/>
    <x v="25"/>
    <x v="0"/>
    <x v="0"/>
    <x v="0"/>
    <x v="0"/>
    <x v="0"/>
    <x v="0"/>
    <x v="0"/>
    <x v="0"/>
  </r>
  <r>
    <x v="55"/>
    <x v="0"/>
    <x v="1"/>
    <x v="0"/>
    <x v="0"/>
    <x v="1"/>
    <x v="54"/>
    <x v="47"/>
    <x v="0"/>
    <x v="2"/>
    <x v="1"/>
    <x v="1"/>
    <x v="10"/>
    <x v="0"/>
    <x v="4"/>
    <x v="0"/>
    <x v="18"/>
    <x v="13"/>
    <x v="4"/>
    <x v="45"/>
    <x v="0"/>
    <x v="0"/>
    <x v="0"/>
    <x v="30"/>
    <x v="30"/>
    <x v="0"/>
    <x v="27"/>
    <x v="30"/>
    <x v="31"/>
    <x v="0"/>
    <x v="0"/>
    <x v="31"/>
    <x v="1"/>
    <x v="26"/>
    <x v="0"/>
    <x v="0"/>
    <x v="0"/>
    <x v="0"/>
    <x v="0"/>
    <x v="0"/>
    <x v="0"/>
    <x v="0"/>
  </r>
  <r>
    <x v="56"/>
    <x v="0"/>
    <x v="0"/>
    <x v="0"/>
    <x v="0"/>
    <x v="0"/>
    <x v="55"/>
    <x v="48"/>
    <x v="0"/>
    <x v="0"/>
    <x v="7"/>
    <x v="7"/>
    <x v="5"/>
    <x v="0"/>
    <x v="0"/>
    <x v="0"/>
    <x v="32"/>
    <x v="27"/>
    <x v="0"/>
    <x v="46"/>
    <x v="0"/>
    <x v="0"/>
    <x v="0"/>
    <x v="31"/>
    <x v="31"/>
    <x v="12"/>
    <x v="25"/>
    <x v="31"/>
    <x v="32"/>
    <x v="0"/>
    <x v="0"/>
    <x v="32"/>
    <x v="0"/>
    <x v="27"/>
    <x v="0"/>
    <x v="0"/>
    <x v="0"/>
    <x v="0"/>
    <x v="0"/>
    <x v="0"/>
    <x v="0"/>
    <x v="0"/>
  </r>
  <r>
    <x v="57"/>
    <x v="0"/>
    <x v="1"/>
    <x v="0"/>
    <x v="0"/>
    <x v="1"/>
    <x v="56"/>
    <x v="49"/>
    <x v="0"/>
    <x v="2"/>
    <x v="1"/>
    <x v="1"/>
    <x v="10"/>
    <x v="0"/>
    <x v="3"/>
    <x v="0"/>
    <x v="30"/>
    <x v="25"/>
    <x v="3"/>
    <x v="47"/>
    <x v="0"/>
    <x v="0"/>
    <x v="0"/>
    <x v="32"/>
    <x v="32"/>
    <x v="13"/>
    <x v="28"/>
    <x v="32"/>
    <x v="33"/>
    <x v="0"/>
    <x v="0"/>
    <x v="33"/>
    <x v="0"/>
    <x v="28"/>
    <x v="0"/>
    <x v="0"/>
    <x v="0"/>
    <x v="0"/>
    <x v="0"/>
    <x v="0"/>
    <x v="0"/>
    <x v="0"/>
  </r>
  <r>
    <x v="58"/>
    <x v="0"/>
    <x v="0"/>
    <x v="0"/>
    <x v="0"/>
    <x v="0"/>
    <x v="57"/>
    <x v="50"/>
    <x v="0"/>
    <x v="0"/>
    <x v="8"/>
    <x v="8"/>
    <x v="0"/>
    <x v="0"/>
    <x v="0"/>
    <x v="0"/>
    <x v="0"/>
    <x v="0"/>
    <x v="0"/>
    <x v="48"/>
    <x v="0"/>
    <x v="0"/>
    <x v="0"/>
    <x v="33"/>
    <x v="33"/>
    <x v="3"/>
    <x v="29"/>
    <x v="33"/>
    <x v="34"/>
    <x v="0"/>
    <x v="0"/>
    <x v="34"/>
    <x v="0"/>
    <x v="29"/>
    <x v="0"/>
    <x v="0"/>
    <x v="0"/>
    <x v="0"/>
    <x v="0"/>
    <x v="0"/>
    <x v="0"/>
    <x v="0"/>
  </r>
  <r>
    <x v="59"/>
    <x v="0"/>
    <x v="1"/>
    <x v="1"/>
    <x v="0"/>
    <x v="1"/>
    <x v="58"/>
    <x v="1"/>
    <x v="0"/>
    <x v="1"/>
    <x v="1"/>
    <x v="1"/>
    <x v="10"/>
    <x v="0"/>
    <x v="0"/>
    <x v="0"/>
    <x v="16"/>
    <x v="1"/>
    <x v="0"/>
    <x v="49"/>
    <x v="0"/>
    <x v="0"/>
    <x v="0"/>
    <x v="34"/>
    <x v="34"/>
    <x v="14"/>
    <x v="30"/>
    <x v="34"/>
    <x v="35"/>
    <x v="0"/>
    <x v="0"/>
    <x v="35"/>
    <x v="0"/>
    <x v="30"/>
    <x v="0"/>
    <x v="0"/>
    <x v="0"/>
    <x v="0"/>
    <x v="0"/>
    <x v="0"/>
    <x v="0"/>
    <x v="0"/>
  </r>
  <r>
    <x v="60"/>
    <x v="0"/>
    <x v="1"/>
    <x v="1"/>
    <x v="0"/>
    <x v="0"/>
    <x v="59"/>
    <x v="1"/>
    <x v="0"/>
    <x v="1"/>
    <x v="1"/>
    <x v="1"/>
    <x v="10"/>
    <x v="0"/>
    <x v="0"/>
    <x v="0"/>
    <x v="16"/>
    <x v="1"/>
    <x v="0"/>
    <x v="47"/>
    <x v="0"/>
    <x v="0"/>
    <x v="0"/>
    <x v="16"/>
    <x v="35"/>
    <x v="0"/>
    <x v="5"/>
    <x v="16"/>
    <x v="16"/>
    <x v="0"/>
    <x v="0"/>
    <x v="16"/>
    <x v="0"/>
    <x v="16"/>
    <x v="0"/>
    <x v="0"/>
    <x v="0"/>
    <x v="0"/>
    <x v="0"/>
    <x v="0"/>
    <x v="0"/>
    <x v="0"/>
  </r>
  <r>
    <x v="61"/>
    <x v="0"/>
    <x v="1"/>
    <x v="0"/>
    <x v="0"/>
    <x v="1"/>
    <x v="60"/>
    <x v="51"/>
    <x v="0"/>
    <x v="2"/>
    <x v="1"/>
    <x v="1"/>
    <x v="10"/>
    <x v="0"/>
    <x v="0"/>
    <x v="0"/>
    <x v="16"/>
    <x v="11"/>
    <x v="0"/>
    <x v="17"/>
    <x v="0"/>
    <x v="0"/>
    <x v="0"/>
    <x v="35"/>
    <x v="36"/>
    <x v="0"/>
    <x v="31"/>
    <x v="35"/>
    <x v="36"/>
    <x v="0"/>
    <x v="0"/>
    <x v="36"/>
    <x v="0"/>
    <x v="31"/>
    <x v="0"/>
    <x v="0"/>
    <x v="0"/>
    <x v="0"/>
    <x v="0"/>
    <x v="0"/>
    <x v="0"/>
    <x v="0"/>
  </r>
  <r>
    <x v="62"/>
    <x v="0"/>
    <x v="1"/>
    <x v="0"/>
    <x v="0"/>
    <x v="2"/>
    <x v="61"/>
    <x v="52"/>
    <x v="0"/>
    <x v="2"/>
    <x v="1"/>
    <x v="1"/>
    <x v="6"/>
    <x v="0"/>
    <x v="0"/>
    <x v="0"/>
    <x v="10"/>
    <x v="6"/>
    <x v="0"/>
    <x v="50"/>
    <x v="0"/>
    <x v="0"/>
    <x v="0"/>
    <x v="36"/>
    <x v="37"/>
    <x v="15"/>
    <x v="32"/>
    <x v="36"/>
    <x v="37"/>
    <x v="0"/>
    <x v="0"/>
    <x v="37"/>
    <x v="0"/>
    <x v="32"/>
    <x v="0"/>
    <x v="0"/>
    <x v="0"/>
    <x v="0"/>
    <x v="0"/>
    <x v="0"/>
    <x v="0"/>
    <x v="0"/>
  </r>
  <r>
    <x v="63"/>
    <x v="0"/>
    <x v="1"/>
    <x v="1"/>
    <x v="0"/>
    <x v="2"/>
    <x v="62"/>
    <x v="1"/>
    <x v="0"/>
    <x v="1"/>
    <x v="1"/>
    <x v="1"/>
    <x v="6"/>
    <x v="0"/>
    <x v="0"/>
    <x v="0"/>
    <x v="10"/>
    <x v="1"/>
    <x v="0"/>
    <x v="50"/>
    <x v="0"/>
    <x v="0"/>
    <x v="0"/>
    <x v="36"/>
    <x v="37"/>
    <x v="15"/>
    <x v="32"/>
    <x v="36"/>
    <x v="37"/>
    <x v="0"/>
    <x v="0"/>
    <x v="37"/>
    <x v="0"/>
    <x v="32"/>
    <x v="0"/>
    <x v="0"/>
    <x v="0"/>
    <x v="0"/>
    <x v="0"/>
    <x v="0"/>
    <x v="0"/>
    <x v="0"/>
  </r>
  <r>
    <x v="64"/>
    <x v="0"/>
    <x v="1"/>
    <x v="1"/>
    <x v="0"/>
    <x v="2"/>
    <x v="63"/>
    <x v="1"/>
    <x v="0"/>
    <x v="1"/>
    <x v="1"/>
    <x v="1"/>
    <x v="6"/>
    <x v="0"/>
    <x v="3"/>
    <x v="0"/>
    <x v="33"/>
    <x v="1"/>
    <x v="3"/>
    <x v="50"/>
    <x v="0"/>
    <x v="0"/>
    <x v="0"/>
    <x v="36"/>
    <x v="37"/>
    <x v="15"/>
    <x v="32"/>
    <x v="36"/>
    <x v="37"/>
    <x v="0"/>
    <x v="0"/>
    <x v="37"/>
    <x v="0"/>
    <x v="32"/>
    <x v="0"/>
    <x v="0"/>
    <x v="0"/>
    <x v="0"/>
    <x v="0"/>
    <x v="0"/>
    <x v="0"/>
    <x v="0"/>
  </r>
  <r>
    <x v="65"/>
    <x v="0"/>
    <x v="1"/>
    <x v="0"/>
    <x v="0"/>
    <x v="1"/>
    <x v="64"/>
    <x v="53"/>
    <x v="0"/>
    <x v="2"/>
    <x v="1"/>
    <x v="1"/>
    <x v="10"/>
    <x v="0"/>
    <x v="0"/>
    <x v="0"/>
    <x v="16"/>
    <x v="11"/>
    <x v="0"/>
    <x v="51"/>
    <x v="0"/>
    <x v="0"/>
    <x v="0"/>
    <x v="23"/>
    <x v="23"/>
    <x v="8"/>
    <x v="22"/>
    <x v="23"/>
    <x v="23"/>
    <x v="0"/>
    <x v="0"/>
    <x v="24"/>
    <x v="1"/>
    <x v="21"/>
    <x v="0"/>
    <x v="0"/>
    <x v="0"/>
    <x v="0"/>
    <x v="0"/>
    <x v="0"/>
    <x v="0"/>
    <x v="0"/>
  </r>
  <r>
    <x v="66"/>
    <x v="0"/>
    <x v="1"/>
    <x v="1"/>
    <x v="0"/>
    <x v="1"/>
    <x v="65"/>
    <x v="1"/>
    <x v="0"/>
    <x v="1"/>
    <x v="1"/>
    <x v="1"/>
    <x v="10"/>
    <x v="0"/>
    <x v="0"/>
    <x v="0"/>
    <x v="16"/>
    <x v="1"/>
    <x v="0"/>
    <x v="49"/>
    <x v="0"/>
    <x v="0"/>
    <x v="0"/>
    <x v="34"/>
    <x v="34"/>
    <x v="14"/>
    <x v="30"/>
    <x v="34"/>
    <x v="35"/>
    <x v="0"/>
    <x v="0"/>
    <x v="35"/>
    <x v="0"/>
    <x v="30"/>
    <x v="0"/>
    <x v="0"/>
    <x v="0"/>
    <x v="0"/>
    <x v="0"/>
    <x v="0"/>
    <x v="0"/>
    <x v="0"/>
  </r>
  <r>
    <x v="67"/>
    <x v="0"/>
    <x v="1"/>
    <x v="0"/>
    <x v="0"/>
    <x v="1"/>
    <x v="66"/>
    <x v="54"/>
    <x v="0"/>
    <x v="2"/>
    <x v="1"/>
    <x v="1"/>
    <x v="10"/>
    <x v="0"/>
    <x v="4"/>
    <x v="0"/>
    <x v="18"/>
    <x v="13"/>
    <x v="4"/>
    <x v="52"/>
    <x v="0"/>
    <x v="0"/>
    <x v="0"/>
    <x v="37"/>
    <x v="38"/>
    <x v="8"/>
    <x v="22"/>
    <x v="23"/>
    <x v="38"/>
    <x v="0"/>
    <x v="0"/>
    <x v="38"/>
    <x v="0"/>
    <x v="12"/>
    <x v="0"/>
    <x v="0"/>
    <x v="0"/>
    <x v="0"/>
    <x v="0"/>
    <x v="0"/>
    <x v="0"/>
    <x v="0"/>
  </r>
  <r>
    <x v="68"/>
    <x v="0"/>
    <x v="1"/>
    <x v="1"/>
    <x v="0"/>
    <x v="1"/>
    <x v="67"/>
    <x v="1"/>
    <x v="0"/>
    <x v="1"/>
    <x v="1"/>
    <x v="1"/>
    <x v="9"/>
    <x v="0"/>
    <x v="0"/>
    <x v="0"/>
    <x v="15"/>
    <x v="1"/>
    <x v="0"/>
    <x v="53"/>
    <x v="0"/>
    <x v="0"/>
    <x v="0"/>
    <x v="38"/>
    <x v="39"/>
    <x v="0"/>
    <x v="24"/>
    <x v="37"/>
    <x v="39"/>
    <x v="0"/>
    <x v="0"/>
    <x v="39"/>
    <x v="0"/>
    <x v="33"/>
    <x v="0"/>
    <x v="0"/>
    <x v="0"/>
    <x v="0"/>
    <x v="0"/>
    <x v="0"/>
    <x v="0"/>
    <x v="0"/>
  </r>
  <r>
    <x v="69"/>
    <x v="0"/>
    <x v="1"/>
    <x v="1"/>
    <x v="0"/>
    <x v="1"/>
    <x v="68"/>
    <x v="1"/>
    <x v="0"/>
    <x v="1"/>
    <x v="1"/>
    <x v="1"/>
    <x v="5"/>
    <x v="0"/>
    <x v="0"/>
    <x v="0"/>
    <x v="32"/>
    <x v="1"/>
    <x v="0"/>
    <x v="54"/>
    <x v="0"/>
    <x v="0"/>
    <x v="0"/>
    <x v="38"/>
    <x v="39"/>
    <x v="0"/>
    <x v="24"/>
    <x v="37"/>
    <x v="39"/>
    <x v="0"/>
    <x v="0"/>
    <x v="39"/>
    <x v="0"/>
    <x v="33"/>
    <x v="0"/>
    <x v="0"/>
    <x v="0"/>
    <x v="0"/>
    <x v="0"/>
    <x v="0"/>
    <x v="0"/>
    <x v="0"/>
  </r>
  <r>
    <x v="70"/>
    <x v="0"/>
    <x v="1"/>
    <x v="0"/>
    <x v="0"/>
    <x v="0"/>
    <x v="69"/>
    <x v="55"/>
    <x v="0"/>
    <x v="2"/>
    <x v="1"/>
    <x v="1"/>
    <x v="9"/>
    <x v="0"/>
    <x v="0"/>
    <x v="0"/>
    <x v="15"/>
    <x v="10"/>
    <x v="0"/>
    <x v="23"/>
    <x v="0"/>
    <x v="0"/>
    <x v="0"/>
    <x v="39"/>
    <x v="40"/>
    <x v="7"/>
    <x v="33"/>
    <x v="38"/>
    <x v="40"/>
    <x v="0"/>
    <x v="0"/>
    <x v="40"/>
    <x v="1"/>
    <x v="34"/>
    <x v="0"/>
    <x v="0"/>
    <x v="0"/>
    <x v="0"/>
    <x v="0"/>
    <x v="0"/>
    <x v="0"/>
    <x v="0"/>
  </r>
  <r>
    <x v="71"/>
    <x v="0"/>
    <x v="1"/>
    <x v="0"/>
    <x v="0"/>
    <x v="1"/>
    <x v="70"/>
    <x v="56"/>
    <x v="0"/>
    <x v="2"/>
    <x v="1"/>
    <x v="1"/>
    <x v="9"/>
    <x v="0"/>
    <x v="0"/>
    <x v="0"/>
    <x v="15"/>
    <x v="10"/>
    <x v="0"/>
    <x v="24"/>
    <x v="0"/>
    <x v="0"/>
    <x v="0"/>
    <x v="40"/>
    <x v="41"/>
    <x v="6"/>
    <x v="34"/>
    <x v="39"/>
    <x v="41"/>
    <x v="0"/>
    <x v="0"/>
    <x v="41"/>
    <x v="0"/>
    <x v="35"/>
    <x v="0"/>
    <x v="0"/>
    <x v="0"/>
    <x v="0"/>
    <x v="0"/>
    <x v="0"/>
    <x v="0"/>
    <x v="0"/>
  </r>
  <r>
    <x v="72"/>
    <x v="0"/>
    <x v="1"/>
    <x v="0"/>
    <x v="0"/>
    <x v="1"/>
    <x v="71"/>
    <x v="57"/>
    <x v="0"/>
    <x v="2"/>
    <x v="1"/>
    <x v="1"/>
    <x v="9"/>
    <x v="0"/>
    <x v="0"/>
    <x v="0"/>
    <x v="15"/>
    <x v="10"/>
    <x v="0"/>
    <x v="26"/>
    <x v="0"/>
    <x v="0"/>
    <x v="0"/>
    <x v="41"/>
    <x v="42"/>
    <x v="16"/>
    <x v="35"/>
    <x v="40"/>
    <x v="42"/>
    <x v="0"/>
    <x v="0"/>
    <x v="42"/>
    <x v="0"/>
    <x v="12"/>
    <x v="0"/>
    <x v="0"/>
    <x v="0"/>
    <x v="0"/>
    <x v="0"/>
    <x v="0"/>
    <x v="0"/>
    <x v="0"/>
  </r>
  <r>
    <x v="73"/>
    <x v="0"/>
    <x v="1"/>
    <x v="0"/>
    <x v="0"/>
    <x v="1"/>
    <x v="72"/>
    <x v="58"/>
    <x v="0"/>
    <x v="2"/>
    <x v="1"/>
    <x v="1"/>
    <x v="9"/>
    <x v="0"/>
    <x v="0"/>
    <x v="0"/>
    <x v="15"/>
    <x v="10"/>
    <x v="0"/>
    <x v="24"/>
    <x v="0"/>
    <x v="0"/>
    <x v="0"/>
    <x v="32"/>
    <x v="32"/>
    <x v="13"/>
    <x v="28"/>
    <x v="32"/>
    <x v="33"/>
    <x v="0"/>
    <x v="0"/>
    <x v="33"/>
    <x v="0"/>
    <x v="28"/>
    <x v="0"/>
    <x v="0"/>
    <x v="0"/>
    <x v="0"/>
    <x v="0"/>
    <x v="0"/>
    <x v="0"/>
    <x v="0"/>
  </r>
  <r>
    <x v="74"/>
    <x v="0"/>
    <x v="1"/>
    <x v="0"/>
    <x v="0"/>
    <x v="2"/>
    <x v="73"/>
    <x v="59"/>
    <x v="0"/>
    <x v="2"/>
    <x v="1"/>
    <x v="1"/>
    <x v="10"/>
    <x v="0"/>
    <x v="2"/>
    <x v="0"/>
    <x v="17"/>
    <x v="12"/>
    <x v="2"/>
    <x v="55"/>
    <x v="0"/>
    <x v="0"/>
    <x v="0"/>
    <x v="42"/>
    <x v="43"/>
    <x v="7"/>
    <x v="36"/>
    <x v="41"/>
    <x v="43"/>
    <x v="0"/>
    <x v="0"/>
    <x v="43"/>
    <x v="1"/>
    <x v="36"/>
    <x v="0"/>
    <x v="0"/>
    <x v="0"/>
    <x v="0"/>
    <x v="0"/>
    <x v="0"/>
    <x v="0"/>
    <x v="0"/>
  </r>
  <r>
    <x v="75"/>
    <x v="0"/>
    <x v="1"/>
    <x v="1"/>
    <x v="0"/>
    <x v="1"/>
    <x v="74"/>
    <x v="1"/>
    <x v="0"/>
    <x v="1"/>
    <x v="1"/>
    <x v="1"/>
    <x v="2"/>
    <x v="0"/>
    <x v="6"/>
    <x v="0"/>
    <x v="34"/>
    <x v="1"/>
    <x v="6"/>
    <x v="56"/>
    <x v="0"/>
    <x v="0"/>
    <x v="0"/>
    <x v="10"/>
    <x v="10"/>
    <x v="5"/>
    <x v="10"/>
    <x v="10"/>
    <x v="10"/>
    <x v="0"/>
    <x v="0"/>
    <x v="10"/>
    <x v="0"/>
    <x v="10"/>
    <x v="0"/>
    <x v="0"/>
    <x v="0"/>
    <x v="0"/>
    <x v="0"/>
    <x v="0"/>
    <x v="0"/>
    <x v="0"/>
  </r>
  <r>
    <x v="76"/>
    <x v="0"/>
    <x v="1"/>
    <x v="0"/>
    <x v="0"/>
    <x v="1"/>
    <x v="75"/>
    <x v="60"/>
    <x v="0"/>
    <x v="2"/>
    <x v="1"/>
    <x v="1"/>
    <x v="2"/>
    <x v="0"/>
    <x v="1"/>
    <x v="0"/>
    <x v="35"/>
    <x v="28"/>
    <x v="1"/>
    <x v="57"/>
    <x v="0"/>
    <x v="0"/>
    <x v="0"/>
    <x v="43"/>
    <x v="37"/>
    <x v="15"/>
    <x v="32"/>
    <x v="36"/>
    <x v="44"/>
    <x v="0"/>
    <x v="0"/>
    <x v="44"/>
    <x v="0"/>
    <x v="12"/>
    <x v="0"/>
    <x v="0"/>
    <x v="0"/>
    <x v="0"/>
    <x v="0"/>
    <x v="0"/>
    <x v="0"/>
    <x v="0"/>
  </r>
  <r>
    <x v="77"/>
    <x v="0"/>
    <x v="1"/>
    <x v="0"/>
    <x v="0"/>
    <x v="1"/>
    <x v="76"/>
    <x v="61"/>
    <x v="0"/>
    <x v="2"/>
    <x v="1"/>
    <x v="1"/>
    <x v="2"/>
    <x v="0"/>
    <x v="0"/>
    <x v="0"/>
    <x v="5"/>
    <x v="3"/>
    <x v="0"/>
    <x v="58"/>
    <x v="0"/>
    <x v="0"/>
    <x v="0"/>
    <x v="32"/>
    <x v="32"/>
    <x v="13"/>
    <x v="28"/>
    <x v="32"/>
    <x v="33"/>
    <x v="0"/>
    <x v="0"/>
    <x v="33"/>
    <x v="0"/>
    <x v="28"/>
    <x v="0"/>
    <x v="0"/>
    <x v="0"/>
    <x v="0"/>
    <x v="0"/>
    <x v="0"/>
    <x v="0"/>
    <x v="0"/>
  </r>
  <r>
    <x v="78"/>
    <x v="0"/>
    <x v="1"/>
    <x v="0"/>
    <x v="0"/>
    <x v="1"/>
    <x v="77"/>
    <x v="62"/>
    <x v="0"/>
    <x v="2"/>
    <x v="1"/>
    <x v="1"/>
    <x v="2"/>
    <x v="0"/>
    <x v="6"/>
    <x v="0"/>
    <x v="34"/>
    <x v="29"/>
    <x v="6"/>
    <x v="59"/>
    <x v="0"/>
    <x v="0"/>
    <x v="0"/>
    <x v="44"/>
    <x v="44"/>
    <x v="4"/>
    <x v="8"/>
    <x v="42"/>
    <x v="45"/>
    <x v="0"/>
    <x v="0"/>
    <x v="45"/>
    <x v="0"/>
    <x v="37"/>
    <x v="0"/>
    <x v="0"/>
    <x v="0"/>
    <x v="0"/>
    <x v="0"/>
    <x v="0"/>
    <x v="0"/>
    <x v="0"/>
  </r>
  <r>
    <x v="79"/>
    <x v="0"/>
    <x v="1"/>
    <x v="1"/>
    <x v="0"/>
    <x v="1"/>
    <x v="78"/>
    <x v="1"/>
    <x v="0"/>
    <x v="1"/>
    <x v="1"/>
    <x v="1"/>
    <x v="2"/>
    <x v="0"/>
    <x v="0"/>
    <x v="0"/>
    <x v="5"/>
    <x v="1"/>
    <x v="0"/>
    <x v="60"/>
    <x v="0"/>
    <x v="0"/>
    <x v="0"/>
    <x v="41"/>
    <x v="42"/>
    <x v="16"/>
    <x v="35"/>
    <x v="40"/>
    <x v="42"/>
    <x v="0"/>
    <x v="0"/>
    <x v="42"/>
    <x v="0"/>
    <x v="12"/>
    <x v="0"/>
    <x v="0"/>
    <x v="0"/>
    <x v="0"/>
    <x v="0"/>
    <x v="0"/>
    <x v="0"/>
    <x v="0"/>
  </r>
  <r>
    <x v="80"/>
    <x v="0"/>
    <x v="1"/>
    <x v="0"/>
    <x v="0"/>
    <x v="1"/>
    <x v="79"/>
    <x v="63"/>
    <x v="0"/>
    <x v="2"/>
    <x v="1"/>
    <x v="1"/>
    <x v="10"/>
    <x v="0"/>
    <x v="4"/>
    <x v="0"/>
    <x v="18"/>
    <x v="13"/>
    <x v="4"/>
    <x v="61"/>
    <x v="0"/>
    <x v="0"/>
    <x v="0"/>
    <x v="37"/>
    <x v="38"/>
    <x v="8"/>
    <x v="22"/>
    <x v="23"/>
    <x v="38"/>
    <x v="0"/>
    <x v="0"/>
    <x v="38"/>
    <x v="0"/>
    <x v="12"/>
    <x v="0"/>
    <x v="0"/>
    <x v="0"/>
    <x v="0"/>
    <x v="0"/>
    <x v="0"/>
    <x v="0"/>
    <x v="0"/>
  </r>
  <r>
    <x v="81"/>
    <x v="0"/>
    <x v="1"/>
    <x v="2"/>
    <x v="0"/>
    <x v="1"/>
    <x v="80"/>
    <x v="1"/>
    <x v="0"/>
    <x v="1"/>
    <x v="1"/>
    <x v="1"/>
    <x v="10"/>
    <x v="0"/>
    <x v="2"/>
    <x v="0"/>
    <x v="17"/>
    <x v="1"/>
    <x v="2"/>
    <x v="55"/>
    <x v="0"/>
    <x v="0"/>
    <x v="0"/>
    <x v="45"/>
    <x v="45"/>
    <x v="7"/>
    <x v="36"/>
    <x v="43"/>
    <x v="46"/>
    <x v="0"/>
    <x v="0"/>
    <x v="43"/>
    <x v="1"/>
    <x v="36"/>
    <x v="0"/>
    <x v="0"/>
    <x v="0"/>
    <x v="0"/>
    <x v="0"/>
    <x v="0"/>
    <x v="0"/>
    <x v="0"/>
  </r>
  <r>
    <x v="82"/>
    <x v="0"/>
    <x v="1"/>
    <x v="0"/>
    <x v="0"/>
    <x v="1"/>
    <x v="81"/>
    <x v="64"/>
    <x v="0"/>
    <x v="2"/>
    <x v="1"/>
    <x v="1"/>
    <x v="10"/>
    <x v="0"/>
    <x v="3"/>
    <x v="0"/>
    <x v="30"/>
    <x v="25"/>
    <x v="3"/>
    <x v="62"/>
    <x v="0"/>
    <x v="0"/>
    <x v="0"/>
    <x v="46"/>
    <x v="46"/>
    <x v="0"/>
    <x v="3"/>
    <x v="44"/>
    <x v="47"/>
    <x v="0"/>
    <x v="0"/>
    <x v="46"/>
    <x v="1"/>
    <x v="38"/>
    <x v="0"/>
    <x v="0"/>
    <x v="0"/>
    <x v="0"/>
    <x v="0"/>
    <x v="0"/>
    <x v="0"/>
    <x v="0"/>
  </r>
  <r>
    <x v="83"/>
    <x v="0"/>
    <x v="1"/>
    <x v="0"/>
    <x v="0"/>
    <x v="1"/>
    <x v="82"/>
    <x v="65"/>
    <x v="0"/>
    <x v="2"/>
    <x v="1"/>
    <x v="1"/>
    <x v="10"/>
    <x v="0"/>
    <x v="4"/>
    <x v="0"/>
    <x v="18"/>
    <x v="13"/>
    <x v="4"/>
    <x v="63"/>
    <x v="0"/>
    <x v="0"/>
    <x v="0"/>
    <x v="47"/>
    <x v="47"/>
    <x v="17"/>
    <x v="37"/>
    <x v="45"/>
    <x v="48"/>
    <x v="0"/>
    <x v="0"/>
    <x v="47"/>
    <x v="0"/>
    <x v="39"/>
    <x v="0"/>
    <x v="0"/>
    <x v="0"/>
    <x v="0"/>
    <x v="0"/>
    <x v="0"/>
    <x v="0"/>
    <x v="0"/>
  </r>
  <r>
    <x v="84"/>
    <x v="0"/>
    <x v="1"/>
    <x v="1"/>
    <x v="0"/>
    <x v="1"/>
    <x v="83"/>
    <x v="1"/>
    <x v="0"/>
    <x v="1"/>
    <x v="1"/>
    <x v="1"/>
    <x v="10"/>
    <x v="0"/>
    <x v="2"/>
    <x v="0"/>
    <x v="17"/>
    <x v="1"/>
    <x v="2"/>
    <x v="64"/>
    <x v="0"/>
    <x v="0"/>
    <x v="0"/>
    <x v="46"/>
    <x v="46"/>
    <x v="0"/>
    <x v="3"/>
    <x v="44"/>
    <x v="47"/>
    <x v="0"/>
    <x v="0"/>
    <x v="46"/>
    <x v="1"/>
    <x v="38"/>
    <x v="0"/>
    <x v="0"/>
    <x v="0"/>
    <x v="0"/>
    <x v="0"/>
    <x v="0"/>
    <x v="0"/>
    <x v="0"/>
  </r>
  <r>
    <x v="85"/>
    <x v="0"/>
    <x v="1"/>
    <x v="0"/>
    <x v="0"/>
    <x v="1"/>
    <x v="84"/>
    <x v="66"/>
    <x v="0"/>
    <x v="2"/>
    <x v="1"/>
    <x v="1"/>
    <x v="9"/>
    <x v="0"/>
    <x v="0"/>
    <x v="0"/>
    <x v="15"/>
    <x v="10"/>
    <x v="0"/>
    <x v="65"/>
    <x v="0"/>
    <x v="0"/>
    <x v="0"/>
    <x v="48"/>
    <x v="48"/>
    <x v="18"/>
    <x v="38"/>
    <x v="46"/>
    <x v="49"/>
    <x v="0"/>
    <x v="0"/>
    <x v="48"/>
    <x v="0"/>
    <x v="40"/>
    <x v="0"/>
    <x v="0"/>
    <x v="0"/>
    <x v="0"/>
    <x v="0"/>
    <x v="0"/>
    <x v="0"/>
    <x v="0"/>
  </r>
  <r>
    <x v="86"/>
    <x v="0"/>
    <x v="1"/>
    <x v="1"/>
    <x v="0"/>
    <x v="1"/>
    <x v="85"/>
    <x v="1"/>
    <x v="0"/>
    <x v="1"/>
    <x v="1"/>
    <x v="1"/>
    <x v="2"/>
    <x v="0"/>
    <x v="0"/>
    <x v="0"/>
    <x v="5"/>
    <x v="1"/>
    <x v="0"/>
    <x v="49"/>
    <x v="0"/>
    <x v="0"/>
    <x v="0"/>
    <x v="34"/>
    <x v="34"/>
    <x v="14"/>
    <x v="30"/>
    <x v="34"/>
    <x v="35"/>
    <x v="0"/>
    <x v="0"/>
    <x v="35"/>
    <x v="0"/>
    <x v="30"/>
    <x v="0"/>
    <x v="0"/>
    <x v="0"/>
    <x v="0"/>
    <x v="0"/>
    <x v="0"/>
    <x v="0"/>
    <x v="0"/>
  </r>
  <r>
    <x v="87"/>
    <x v="0"/>
    <x v="1"/>
    <x v="1"/>
    <x v="0"/>
    <x v="1"/>
    <x v="86"/>
    <x v="1"/>
    <x v="0"/>
    <x v="1"/>
    <x v="1"/>
    <x v="1"/>
    <x v="10"/>
    <x v="0"/>
    <x v="0"/>
    <x v="0"/>
    <x v="16"/>
    <x v="1"/>
    <x v="0"/>
    <x v="66"/>
    <x v="0"/>
    <x v="0"/>
    <x v="0"/>
    <x v="41"/>
    <x v="42"/>
    <x v="16"/>
    <x v="35"/>
    <x v="40"/>
    <x v="42"/>
    <x v="0"/>
    <x v="0"/>
    <x v="42"/>
    <x v="0"/>
    <x v="12"/>
    <x v="0"/>
    <x v="0"/>
    <x v="0"/>
    <x v="0"/>
    <x v="0"/>
    <x v="0"/>
    <x v="0"/>
    <x v="0"/>
  </r>
  <r>
    <x v="88"/>
    <x v="0"/>
    <x v="1"/>
    <x v="0"/>
    <x v="0"/>
    <x v="1"/>
    <x v="87"/>
    <x v="67"/>
    <x v="0"/>
    <x v="2"/>
    <x v="1"/>
    <x v="1"/>
    <x v="10"/>
    <x v="0"/>
    <x v="2"/>
    <x v="0"/>
    <x v="17"/>
    <x v="12"/>
    <x v="2"/>
    <x v="67"/>
    <x v="0"/>
    <x v="0"/>
    <x v="0"/>
    <x v="17"/>
    <x v="17"/>
    <x v="9"/>
    <x v="16"/>
    <x v="17"/>
    <x v="17"/>
    <x v="0"/>
    <x v="0"/>
    <x v="17"/>
    <x v="0"/>
    <x v="12"/>
    <x v="0"/>
    <x v="0"/>
    <x v="0"/>
    <x v="0"/>
    <x v="0"/>
    <x v="0"/>
    <x v="0"/>
    <x v="0"/>
  </r>
  <r>
    <x v="89"/>
    <x v="0"/>
    <x v="1"/>
    <x v="0"/>
    <x v="0"/>
    <x v="1"/>
    <x v="88"/>
    <x v="68"/>
    <x v="0"/>
    <x v="2"/>
    <x v="1"/>
    <x v="1"/>
    <x v="16"/>
    <x v="0"/>
    <x v="3"/>
    <x v="0"/>
    <x v="36"/>
    <x v="30"/>
    <x v="3"/>
    <x v="68"/>
    <x v="0"/>
    <x v="0"/>
    <x v="0"/>
    <x v="49"/>
    <x v="49"/>
    <x v="13"/>
    <x v="39"/>
    <x v="47"/>
    <x v="50"/>
    <x v="2"/>
    <x v="0"/>
    <x v="49"/>
    <x v="1"/>
    <x v="41"/>
    <x v="0"/>
    <x v="0"/>
    <x v="0"/>
    <x v="0"/>
    <x v="0"/>
    <x v="0"/>
    <x v="0"/>
    <x v="0"/>
  </r>
  <r>
    <x v="90"/>
    <x v="0"/>
    <x v="1"/>
    <x v="0"/>
    <x v="0"/>
    <x v="1"/>
    <x v="89"/>
    <x v="69"/>
    <x v="0"/>
    <x v="2"/>
    <x v="1"/>
    <x v="1"/>
    <x v="10"/>
    <x v="0"/>
    <x v="0"/>
    <x v="0"/>
    <x v="16"/>
    <x v="11"/>
    <x v="0"/>
    <x v="47"/>
    <x v="0"/>
    <x v="0"/>
    <x v="0"/>
    <x v="50"/>
    <x v="50"/>
    <x v="19"/>
    <x v="40"/>
    <x v="48"/>
    <x v="51"/>
    <x v="0"/>
    <x v="0"/>
    <x v="50"/>
    <x v="0"/>
    <x v="42"/>
    <x v="0"/>
    <x v="0"/>
    <x v="0"/>
    <x v="0"/>
    <x v="0"/>
    <x v="0"/>
    <x v="0"/>
    <x v="0"/>
  </r>
  <r>
    <x v="91"/>
    <x v="0"/>
    <x v="1"/>
    <x v="0"/>
    <x v="0"/>
    <x v="0"/>
    <x v="90"/>
    <x v="70"/>
    <x v="0"/>
    <x v="2"/>
    <x v="1"/>
    <x v="1"/>
    <x v="9"/>
    <x v="0"/>
    <x v="0"/>
    <x v="0"/>
    <x v="15"/>
    <x v="10"/>
    <x v="0"/>
    <x v="69"/>
    <x v="0"/>
    <x v="0"/>
    <x v="0"/>
    <x v="41"/>
    <x v="42"/>
    <x v="16"/>
    <x v="35"/>
    <x v="40"/>
    <x v="42"/>
    <x v="0"/>
    <x v="0"/>
    <x v="42"/>
    <x v="0"/>
    <x v="12"/>
    <x v="0"/>
    <x v="0"/>
    <x v="0"/>
    <x v="0"/>
    <x v="0"/>
    <x v="0"/>
    <x v="0"/>
    <x v="0"/>
  </r>
  <r>
    <x v="92"/>
    <x v="0"/>
    <x v="1"/>
    <x v="0"/>
    <x v="0"/>
    <x v="1"/>
    <x v="91"/>
    <x v="71"/>
    <x v="0"/>
    <x v="2"/>
    <x v="1"/>
    <x v="1"/>
    <x v="9"/>
    <x v="0"/>
    <x v="0"/>
    <x v="0"/>
    <x v="15"/>
    <x v="10"/>
    <x v="0"/>
    <x v="70"/>
    <x v="0"/>
    <x v="0"/>
    <x v="0"/>
    <x v="51"/>
    <x v="51"/>
    <x v="5"/>
    <x v="41"/>
    <x v="49"/>
    <x v="52"/>
    <x v="0"/>
    <x v="0"/>
    <x v="51"/>
    <x v="1"/>
    <x v="43"/>
    <x v="0"/>
    <x v="0"/>
    <x v="0"/>
    <x v="0"/>
    <x v="0"/>
    <x v="0"/>
    <x v="0"/>
    <x v="0"/>
  </r>
  <r>
    <x v="93"/>
    <x v="0"/>
    <x v="1"/>
    <x v="0"/>
    <x v="0"/>
    <x v="1"/>
    <x v="92"/>
    <x v="72"/>
    <x v="0"/>
    <x v="2"/>
    <x v="1"/>
    <x v="1"/>
    <x v="9"/>
    <x v="0"/>
    <x v="0"/>
    <x v="0"/>
    <x v="15"/>
    <x v="10"/>
    <x v="0"/>
    <x v="24"/>
    <x v="0"/>
    <x v="0"/>
    <x v="0"/>
    <x v="52"/>
    <x v="52"/>
    <x v="19"/>
    <x v="42"/>
    <x v="50"/>
    <x v="53"/>
    <x v="0"/>
    <x v="0"/>
    <x v="52"/>
    <x v="0"/>
    <x v="44"/>
    <x v="0"/>
    <x v="0"/>
    <x v="0"/>
    <x v="0"/>
    <x v="0"/>
    <x v="0"/>
    <x v="0"/>
    <x v="0"/>
  </r>
  <r>
    <x v="94"/>
    <x v="0"/>
    <x v="1"/>
    <x v="0"/>
    <x v="0"/>
    <x v="1"/>
    <x v="93"/>
    <x v="73"/>
    <x v="0"/>
    <x v="2"/>
    <x v="1"/>
    <x v="1"/>
    <x v="9"/>
    <x v="0"/>
    <x v="0"/>
    <x v="0"/>
    <x v="15"/>
    <x v="10"/>
    <x v="0"/>
    <x v="71"/>
    <x v="0"/>
    <x v="0"/>
    <x v="0"/>
    <x v="53"/>
    <x v="53"/>
    <x v="0"/>
    <x v="18"/>
    <x v="28"/>
    <x v="54"/>
    <x v="0"/>
    <x v="0"/>
    <x v="53"/>
    <x v="0"/>
    <x v="45"/>
    <x v="0"/>
    <x v="1"/>
    <x v="0"/>
    <x v="0"/>
    <x v="0"/>
    <x v="0"/>
    <x v="0"/>
    <x v="0"/>
  </r>
  <r>
    <x v="95"/>
    <x v="0"/>
    <x v="1"/>
    <x v="0"/>
    <x v="0"/>
    <x v="1"/>
    <x v="94"/>
    <x v="74"/>
    <x v="0"/>
    <x v="2"/>
    <x v="1"/>
    <x v="1"/>
    <x v="9"/>
    <x v="0"/>
    <x v="0"/>
    <x v="0"/>
    <x v="15"/>
    <x v="10"/>
    <x v="0"/>
    <x v="72"/>
    <x v="0"/>
    <x v="0"/>
    <x v="0"/>
    <x v="10"/>
    <x v="10"/>
    <x v="5"/>
    <x v="10"/>
    <x v="10"/>
    <x v="10"/>
    <x v="0"/>
    <x v="0"/>
    <x v="10"/>
    <x v="0"/>
    <x v="10"/>
    <x v="0"/>
    <x v="0"/>
    <x v="0"/>
    <x v="0"/>
    <x v="0"/>
    <x v="0"/>
    <x v="0"/>
    <x v="0"/>
  </r>
  <r>
    <x v="96"/>
    <x v="0"/>
    <x v="1"/>
    <x v="0"/>
    <x v="0"/>
    <x v="1"/>
    <x v="95"/>
    <x v="75"/>
    <x v="0"/>
    <x v="2"/>
    <x v="1"/>
    <x v="1"/>
    <x v="9"/>
    <x v="0"/>
    <x v="0"/>
    <x v="0"/>
    <x v="15"/>
    <x v="10"/>
    <x v="0"/>
    <x v="23"/>
    <x v="0"/>
    <x v="0"/>
    <x v="0"/>
    <x v="54"/>
    <x v="54"/>
    <x v="20"/>
    <x v="43"/>
    <x v="51"/>
    <x v="55"/>
    <x v="0"/>
    <x v="0"/>
    <x v="54"/>
    <x v="0"/>
    <x v="46"/>
    <x v="0"/>
    <x v="0"/>
    <x v="0"/>
    <x v="0"/>
    <x v="0"/>
    <x v="0"/>
    <x v="0"/>
    <x v="0"/>
  </r>
  <r>
    <x v="97"/>
    <x v="0"/>
    <x v="1"/>
    <x v="0"/>
    <x v="0"/>
    <x v="1"/>
    <x v="96"/>
    <x v="76"/>
    <x v="0"/>
    <x v="2"/>
    <x v="1"/>
    <x v="1"/>
    <x v="9"/>
    <x v="0"/>
    <x v="0"/>
    <x v="0"/>
    <x v="15"/>
    <x v="10"/>
    <x v="0"/>
    <x v="73"/>
    <x v="0"/>
    <x v="0"/>
    <x v="0"/>
    <x v="34"/>
    <x v="34"/>
    <x v="14"/>
    <x v="30"/>
    <x v="34"/>
    <x v="35"/>
    <x v="0"/>
    <x v="0"/>
    <x v="35"/>
    <x v="0"/>
    <x v="30"/>
    <x v="0"/>
    <x v="0"/>
    <x v="0"/>
    <x v="0"/>
    <x v="0"/>
    <x v="0"/>
    <x v="0"/>
    <x v="0"/>
  </r>
  <r>
    <x v="98"/>
    <x v="0"/>
    <x v="1"/>
    <x v="0"/>
    <x v="0"/>
    <x v="1"/>
    <x v="97"/>
    <x v="77"/>
    <x v="0"/>
    <x v="2"/>
    <x v="1"/>
    <x v="1"/>
    <x v="9"/>
    <x v="0"/>
    <x v="0"/>
    <x v="0"/>
    <x v="15"/>
    <x v="10"/>
    <x v="0"/>
    <x v="71"/>
    <x v="0"/>
    <x v="0"/>
    <x v="0"/>
    <x v="47"/>
    <x v="47"/>
    <x v="17"/>
    <x v="37"/>
    <x v="45"/>
    <x v="56"/>
    <x v="0"/>
    <x v="0"/>
    <x v="47"/>
    <x v="0"/>
    <x v="12"/>
    <x v="0"/>
    <x v="0"/>
    <x v="0"/>
    <x v="0"/>
    <x v="0"/>
    <x v="0"/>
    <x v="0"/>
    <x v="0"/>
  </r>
  <r>
    <x v="99"/>
    <x v="0"/>
    <x v="1"/>
    <x v="0"/>
    <x v="0"/>
    <x v="1"/>
    <x v="98"/>
    <x v="78"/>
    <x v="0"/>
    <x v="2"/>
    <x v="1"/>
    <x v="1"/>
    <x v="6"/>
    <x v="0"/>
    <x v="0"/>
    <x v="0"/>
    <x v="10"/>
    <x v="6"/>
    <x v="0"/>
    <x v="74"/>
    <x v="0"/>
    <x v="0"/>
    <x v="0"/>
    <x v="55"/>
    <x v="55"/>
    <x v="17"/>
    <x v="37"/>
    <x v="52"/>
    <x v="57"/>
    <x v="0"/>
    <x v="0"/>
    <x v="55"/>
    <x v="1"/>
    <x v="47"/>
    <x v="0"/>
    <x v="0"/>
    <x v="0"/>
    <x v="0"/>
    <x v="0"/>
    <x v="0"/>
    <x v="0"/>
    <x v="0"/>
  </r>
  <r>
    <x v="100"/>
    <x v="0"/>
    <x v="1"/>
    <x v="0"/>
    <x v="0"/>
    <x v="1"/>
    <x v="99"/>
    <x v="79"/>
    <x v="0"/>
    <x v="2"/>
    <x v="1"/>
    <x v="1"/>
    <x v="6"/>
    <x v="0"/>
    <x v="0"/>
    <x v="0"/>
    <x v="10"/>
    <x v="6"/>
    <x v="0"/>
    <x v="75"/>
    <x v="0"/>
    <x v="0"/>
    <x v="0"/>
    <x v="53"/>
    <x v="53"/>
    <x v="0"/>
    <x v="18"/>
    <x v="28"/>
    <x v="54"/>
    <x v="0"/>
    <x v="0"/>
    <x v="53"/>
    <x v="0"/>
    <x v="45"/>
    <x v="0"/>
    <x v="1"/>
    <x v="0"/>
    <x v="0"/>
    <x v="0"/>
    <x v="0"/>
    <x v="0"/>
    <x v="0"/>
  </r>
  <r>
    <x v="101"/>
    <x v="0"/>
    <x v="1"/>
    <x v="0"/>
    <x v="0"/>
    <x v="1"/>
    <x v="100"/>
    <x v="80"/>
    <x v="0"/>
    <x v="2"/>
    <x v="1"/>
    <x v="1"/>
    <x v="6"/>
    <x v="0"/>
    <x v="0"/>
    <x v="0"/>
    <x v="10"/>
    <x v="6"/>
    <x v="0"/>
    <x v="74"/>
    <x v="0"/>
    <x v="0"/>
    <x v="0"/>
    <x v="52"/>
    <x v="52"/>
    <x v="19"/>
    <x v="42"/>
    <x v="50"/>
    <x v="53"/>
    <x v="0"/>
    <x v="0"/>
    <x v="52"/>
    <x v="0"/>
    <x v="44"/>
    <x v="0"/>
    <x v="1"/>
    <x v="0"/>
    <x v="0"/>
    <x v="0"/>
    <x v="0"/>
    <x v="0"/>
    <x v="0"/>
  </r>
  <r>
    <x v="102"/>
    <x v="0"/>
    <x v="1"/>
    <x v="0"/>
    <x v="0"/>
    <x v="1"/>
    <x v="101"/>
    <x v="81"/>
    <x v="0"/>
    <x v="2"/>
    <x v="1"/>
    <x v="1"/>
    <x v="6"/>
    <x v="0"/>
    <x v="3"/>
    <x v="0"/>
    <x v="33"/>
    <x v="31"/>
    <x v="3"/>
    <x v="76"/>
    <x v="0"/>
    <x v="0"/>
    <x v="0"/>
    <x v="10"/>
    <x v="10"/>
    <x v="5"/>
    <x v="10"/>
    <x v="10"/>
    <x v="10"/>
    <x v="0"/>
    <x v="0"/>
    <x v="10"/>
    <x v="0"/>
    <x v="10"/>
    <x v="0"/>
    <x v="0"/>
    <x v="0"/>
    <x v="0"/>
    <x v="0"/>
    <x v="0"/>
    <x v="0"/>
    <x v="0"/>
  </r>
  <r>
    <x v="103"/>
    <x v="0"/>
    <x v="1"/>
    <x v="0"/>
    <x v="0"/>
    <x v="1"/>
    <x v="102"/>
    <x v="82"/>
    <x v="0"/>
    <x v="2"/>
    <x v="1"/>
    <x v="1"/>
    <x v="6"/>
    <x v="0"/>
    <x v="3"/>
    <x v="0"/>
    <x v="33"/>
    <x v="31"/>
    <x v="3"/>
    <x v="77"/>
    <x v="0"/>
    <x v="0"/>
    <x v="0"/>
    <x v="17"/>
    <x v="17"/>
    <x v="9"/>
    <x v="16"/>
    <x v="17"/>
    <x v="17"/>
    <x v="0"/>
    <x v="0"/>
    <x v="17"/>
    <x v="0"/>
    <x v="12"/>
    <x v="0"/>
    <x v="0"/>
    <x v="0"/>
    <x v="0"/>
    <x v="0"/>
    <x v="0"/>
    <x v="0"/>
    <x v="0"/>
  </r>
  <r>
    <x v="104"/>
    <x v="0"/>
    <x v="1"/>
    <x v="1"/>
    <x v="0"/>
    <x v="1"/>
    <x v="103"/>
    <x v="1"/>
    <x v="0"/>
    <x v="1"/>
    <x v="1"/>
    <x v="1"/>
    <x v="10"/>
    <x v="0"/>
    <x v="4"/>
    <x v="0"/>
    <x v="18"/>
    <x v="1"/>
    <x v="4"/>
    <x v="78"/>
    <x v="0"/>
    <x v="0"/>
    <x v="0"/>
    <x v="56"/>
    <x v="56"/>
    <x v="14"/>
    <x v="44"/>
    <x v="53"/>
    <x v="58"/>
    <x v="0"/>
    <x v="0"/>
    <x v="56"/>
    <x v="0"/>
    <x v="48"/>
    <x v="0"/>
    <x v="0"/>
    <x v="0"/>
    <x v="0"/>
    <x v="0"/>
    <x v="0"/>
    <x v="0"/>
    <x v="0"/>
  </r>
  <r>
    <x v="105"/>
    <x v="0"/>
    <x v="1"/>
    <x v="1"/>
    <x v="0"/>
    <x v="1"/>
    <x v="104"/>
    <x v="1"/>
    <x v="0"/>
    <x v="1"/>
    <x v="1"/>
    <x v="1"/>
    <x v="10"/>
    <x v="0"/>
    <x v="0"/>
    <x v="0"/>
    <x v="16"/>
    <x v="1"/>
    <x v="0"/>
    <x v="79"/>
    <x v="0"/>
    <x v="0"/>
    <x v="0"/>
    <x v="57"/>
    <x v="57"/>
    <x v="5"/>
    <x v="45"/>
    <x v="54"/>
    <x v="59"/>
    <x v="0"/>
    <x v="0"/>
    <x v="57"/>
    <x v="0"/>
    <x v="49"/>
    <x v="0"/>
    <x v="0"/>
    <x v="0"/>
    <x v="0"/>
    <x v="0"/>
    <x v="0"/>
    <x v="0"/>
    <x v="0"/>
  </r>
  <r>
    <x v="106"/>
    <x v="0"/>
    <x v="1"/>
    <x v="0"/>
    <x v="0"/>
    <x v="2"/>
    <x v="105"/>
    <x v="83"/>
    <x v="0"/>
    <x v="2"/>
    <x v="1"/>
    <x v="1"/>
    <x v="6"/>
    <x v="0"/>
    <x v="0"/>
    <x v="0"/>
    <x v="10"/>
    <x v="6"/>
    <x v="0"/>
    <x v="80"/>
    <x v="0"/>
    <x v="0"/>
    <x v="0"/>
    <x v="58"/>
    <x v="58"/>
    <x v="13"/>
    <x v="46"/>
    <x v="55"/>
    <x v="60"/>
    <x v="0"/>
    <x v="0"/>
    <x v="58"/>
    <x v="0"/>
    <x v="12"/>
    <x v="0"/>
    <x v="0"/>
    <x v="0"/>
    <x v="0"/>
    <x v="0"/>
    <x v="0"/>
    <x v="0"/>
    <x v="0"/>
  </r>
  <r>
    <x v="107"/>
    <x v="0"/>
    <x v="1"/>
    <x v="0"/>
    <x v="0"/>
    <x v="1"/>
    <x v="106"/>
    <x v="84"/>
    <x v="0"/>
    <x v="2"/>
    <x v="1"/>
    <x v="1"/>
    <x v="10"/>
    <x v="0"/>
    <x v="2"/>
    <x v="0"/>
    <x v="17"/>
    <x v="12"/>
    <x v="2"/>
    <x v="81"/>
    <x v="0"/>
    <x v="0"/>
    <x v="0"/>
    <x v="18"/>
    <x v="59"/>
    <x v="0"/>
    <x v="47"/>
    <x v="56"/>
    <x v="61"/>
    <x v="0"/>
    <x v="0"/>
    <x v="59"/>
    <x v="1"/>
    <x v="50"/>
    <x v="0"/>
    <x v="0"/>
    <x v="0"/>
    <x v="0"/>
    <x v="0"/>
    <x v="0"/>
    <x v="0"/>
    <x v="0"/>
  </r>
  <r>
    <x v="108"/>
    <x v="0"/>
    <x v="1"/>
    <x v="1"/>
    <x v="0"/>
    <x v="1"/>
    <x v="107"/>
    <x v="1"/>
    <x v="0"/>
    <x v="1"/>
    <x v="1"/>
    <x v="1"/>
    <x v="6"/>
    <x v="0"/>
    <x v="4"/>
    <x v="0"/>
    <x v="37"/>
    <x v="1"/>
    <x v="4"/>
    <x v="75"/>
    <x v="0"/>
    <x v="0"/>
    <x v="0"/>
    <x v="55"/>
    <x v="55"/>
    <x v="17"/>
    <x v="37"/>
    <x v="52"/>
    <x v="57"/>
    <x v="0"/>
    <x v="0"/>
    <x v="55"/>
    <x v="1"/>
    <x v="47"/>
    <x v="0"/>
    <x v="0"/>
    <x v="0"/>
    <x v="0"/>
    <x v="0"/>
    <x v="0"/>
    <x v="0"/>
    <x v="0"/>
  </r>
  <r>
    <x v="109"/>
    <x v="0"/>
    <x v="1"/>
    <x v="1"/>
    <x v="0"/>
    <x v="2"/>
    <x v="108"/>
    <x v="1"/>
    <x v="0"/>
    <x v="1"/>
    <x v="1"/>
    <x v="1"/>
    <x v="6"/>
    <x v="0"/>
    <x v="0"/>
    <x v="0"/>
    <x v="10"/>
    <x v="1"/>
    <x v="0"/>
    <x v="80"/>
    <x v="0"/>
    <x v="0"/>
    <x v="0"/>
    <x v="58"/>
    <x v="58"/>
    <x v="13"/>
    <x v="46"/>
    <x v="55"/>
    <x v="60"/>
    <x v="0"/>
    <x v="0"/>
    <x v="58"/>
    <x v="0"/>
    <x v="12"/>
    <x v="0"/>
    <x v="0"/>
    <x v="0"/>
    <x v="0"/>
    <x v="0"/>
    <x v="0"/>
    <x v="0"/>
    <x v="0"/>
  </r>
  <r>
    <x v="110"/>
    <x v="0"/>
    <x v="1"/>
    <x v="1"/>
    <x v="0"/>
    <x v="1"/>
    <x v="109"/>
    <x v="1"/>
    <x v="0"/>
    <x v="1"/>
    <x v="1"/>
    <x v="1"/>
    <x v="2"/>
    <x v="0"/>
    <x v="0"/>
    <x v="0"/>
    <x v="5"/>
    <x v="1"/>
    <x v="0"/>
    <x v="47"/>
    <x v="0"/>
    <x v="0"/>
    <x v="0"/>
    <x v="50"/>
    <x v="50"/>
    <x v="19"/>
    <x v="40"/>
    <x v="48"/>
    <x v="51"/>
    <x v="0"/>
    <x v="0"/>
    <x v="50"/>
    <x v="0"/>
    <x v="42"/>
    <x v="0"/>
    <x v="0"/>
    <x v="0"/>
    <x v="0"/>
    <x v="0"/>
    <x v="0"/>
    <x v="0"/>
    <x v="0"/>
  </r>
  <r>
    <x v="111"/>
    <x v="0"/>
    <x v="1"/>
    <x v="0"/>
    <x v="0"/>
    <x v="1"/>
    <x v="110"/>
    <x v="85"/>
    <x v="0"/>
    <x v="2"/>
    <x v="1"/>
    <x v="1"/>
    <x v="10"/>
    <x v="0"/>
    <x v="0"/>
    <x v="0"/>
    <x v="16"/>
    <x v="11"/>
    <x v="0"/>
    <x v="82"/>
    <x v="0"/>
    <x v="0"/>
    <x v="0"/>
    <x v="59"/>
    <x v="60"/>
    <x v="13"/>
    <x v="28"/>
    <x v="57"/>
    <x v="62"/>
    <x v="0"/>
    <x v="0"/>
    <x v="60"/>
    <x v="0"/>
    <x v="51"/>
    <x v="0"/>
    <x v="0"/>
    <x v="0"/>
    <x v="0"/>
    <x v="0"/>
    <x v="0"/>
    <x v="0"/>
    <x v="0"/>
  </r>
  <r>
    <x v="112"/>
    <x v="0"/>
    <x v="1"/>
    <x v="0"/>
    <x v="0"/>
    <x v="1"/>
    <x v="111"/>
    <x v="86"/>
    <x v="0"/>
    <x v="2"/>
    <x v="1"/>
    <x v="1"/>
    <x v="10"/>
    <x v="0"/>
    <x v="2"/>
    <x v="0"/>
    <x v="17"/>
    <x v="12"/>
    <x v="2"/>
    <x v="82"/>
    <x v="0"/>
    <x v="0"/>
    <x v="0"/>
    <x v="29"/>
    <x v="29"/>
    <x v="1"/>
    <x v="14"/>
    <x v="29"/>
    <x v="29"/>
    <x v="0"/>
    <x v="0"/>
    <x v="30"/>
    <x v="0"/>
    <x v="25"/>
    <x v="0"/>
    <x v="0"/>
    <x v="0"/>
    <x v="0"/>
    <x v="0"/>
    <x v="0"/>
    <x v="0"/>
    <x v="0"/>
  </r>
  <r>
    <x v="113"/>
    <x v="0"/>
    <x v="1"/>
    <x v="0"/>
    <x v="0"/>
    <x v="1"/>
    <x v="112"/>
    <x v="87"/>
    <x v="0"/>
    <x v="2"/>
    <x v="1"/>
    <x v="1"/>
    <x v="10"/>
    <x v="0"/>
    <x v="2"/>
    <x v="0"/>
    <x v="17"/>
    <x v="12"/>
    <x v="2"/>
    <x v="83"/>
    <x v="0"/>
    <x v="0"/>
    <x v="0"/>
    <x v="10"/>
    <x v="10"/>
    <x v="5"/>
    <x v="10"/>
    <x v="10"/>
    <x v="10"/>
    <x v="0"/>
    <x v="0"/>
    <x v="10"/>
    <x v="0"/>
    <x v="10"/>
    <x v="0"/>
    <x v="0"/>
    <x v="0"/>
    <x v="0"/>
    <x v="0"/>
    <x v="0"/>
    <x v="0"/>
    <x v="0"/>
  </r>
  <r>
    <x v="114"/>
    <x v="0"/>
    <x v="0"/>
    <x v="0"/>
    <x v="0"/>
    <x v="0"/>
    <x v="113"/>
    <x v="88"/>
    <x v="0"/>
    <x v="0"/>
    <x v="9"/>
    <x v="9"/>
    <x v="5"/>
    <x v="0"/>
    <x v="0"/>
    <x v="0"/>
    <x v="32"/>
    <x v="27"/>
    <x v="0"/>
    <x v="46"/>
    <x v="0"/>
    <x v="0"/>
    <x v="0"/>
    <x v="60"/>
    <x v="61"/>
    <x v="5"/>
    <x v="48"/>
    <x v="58"/>
    <x v="63"/>
    <x v="0"/>
    <x v="0"/>
    <x v="61"/>
    <x v="0"/>
    <x v="52"/>
    <x v="0"/>
    <x v="0"/>
    <x v="0"/>
    <x v="0"/>
    <x v="0"/>
    <x v="0"/>
    <x v="0"/>
    <x v="0"/>
  </r>
  <r>
    <x v="115"/>
    <x v="0"/>
    <x v="0"/>
    <x v="0"/>
    <x v="0"/>
    <x v="0"/>
    <x v="114"/>
    <x v="89"/>
    <x v="0"/>
    <x v="0"/>
    <x v="10"/>
    <x v="10"/>
    <x v="0"/>
    <x v="0"/>
    <x v="0"/>
    <x v="0"/>
    <x v="0"/>
    <x v="0"/>
    <x v="0"/>
    <x v="48"/>
    <x v="0"/>
    <x v="0"/>
    <x v="0"/>
    <x v="61"/>
    <x v="62"/>
    <x v="0"/>
    <x v="24"/>
    <x v="59"/>
    <x v="64"/>
    <x v="0"/>
    <x v="0"/>
    <x v="62"/>
    <x v="0"/>
    <x v="53"/>
    <x v="0"/>
    <x v="0"/>
    <x v="0"/>
    <x v="0"/>
    <x v="0"/>
    <x v="0"/>
    <x v="0"/>
    <x v="0"/>
  </r>
  <r>
    <x v="116"/>
    <x v="0"/>
    <x v="1"/>
    <x v="1"/>
    <x v="0"/>
    <x v="1"/>
    <x v="115"/>
    <x v="1"/>
    <x v="0"/>
    <x v="1"/>
    <x v="1"/>
    <x v="1"/>
    <x v="5"/>
    <x v="0"/>
    <x v="0"/>
    <x v="0"/>
    <x v="32"/>
    <x v="1"/>
    <x v="0"/>
    <x v="26"/>
    <x v="0"/>
    <x v="0"/>
    <x v="0"/>
    <x v="62"/>
    <x v="63"/>
    <x v="13"/>
    <x v="49"/>
    <x v="60"/>
    <x v="65"/>
    <x v="0"/>
    <x v="0"/>
    <x v="63"/>
    <x v="0"/>
    <x v="12"/>
    <x v="0"/>
    <x v="0"/>
    <x v="0"/>
    <x v="0"/>
    <x v="0"/>
    <x v="0"/>
    <x v="0"/>
    <x v="0"/>
  </r>
  <r>
    <x v="117"/>
    <x v="0"/>
    <x v="1"/>
    <x v="0"/>
    <x v="0"/>
    <x v="1"/>
    <x v="116"/>
    <x v="90"/>
    <x v="0"/>
    <x v="2"/>
    <x v="1"/>
    <x v="1"/>
    <x v="5"/>
    <x v="0"/>
    <x v="0"/>
    <x v="0"/>
    <x v="32"/>
    <x v="27"/>
    <x v="0"/>
    <x v="23"/>
    <x v="0"/>
    <x v="0"/>
    <x v="0"/>
    <x v="56"/>
    <x v="56"/>
    <x v="14"/>
    <x v="44"/>
    <x v="53"/>
    <x v="58"/>
    <x v="0"/>
    <x v="0"/>
    <x v="56"/>
    <x v="0"/>
    <x v="48"/>
    <x v="0"/>
    <x v="1"/>
    <x v="0"/>
    <x v="0"/>
    <x v="0"/>
    <x v="0"/>
    <x v="0"/>
    <x v="0"/>
  </r>
  <r>
    <x v="118"/>
    <x v="0"/>
    <x v="1"/>
    <x v="0"/>
    <x v="0"/>
    <x v="1"/>
    <x v="117"/>
    <x v="91"/>
    <x v="0"/>
    <x v="2"/>
    <x v="1"/>
    <x v="1"/>
    <x v="9"/>
    <x v="0"/>
    <x v="0"/>
    <x v="0"/>
    <x v="15"/>
    <x v="10"/>
    <x v="0"/>
    <x v="84"/>
    <x v="0"/>
    <x v="0"/>
    <x v="0"/>
    <x v="29"/>
    <x v="29"/>
    <x v="1"/>
    <x v="14"/>
    <x v="29"/>
    <x v="29"/>
    <x v="0"/>
    <x v="0"/>
    <x v="30"/>
    <x v="0"/>
    <x v="25"/>
    <x v="0"/>
    <x v="0"/>
    <x v="0"/>
    <x v="0"/>
    <x v="0"/>
    <x v="0"/>
    <x v="0"/>
    <x v="0"/>
  </r>
  <r>
    <x v="119"/>
    <x v="0"/>
    <x v="1"/>
    <x v="0"/>
    <x v="0"/>
    <x v="1"/>
    <x v="118"/>
    <x v="92"/>
    <x v="0"/>
    <x v="2"/>
    <x v="1"/>
    <x v="1"/>
    <x v="9"/>
    <x v="0"/>
    <x v="0"/>
    <x v="0"/>
    <x v="15"/>
    <x v="10"/>
    <x v="0"/>
    <x v="23"/>
    <x v="0"/>
    <x v="0"/>
    <x v="0"/>
    <x v="63"/>
    <x v="64"/>
    <x v="0"/>
    <x v="50"/>
    <x v="61"/>
    <x v="66"/>
    <x v="0"/>
    <x v="0"/>
    <x v="64"/>
    <x v="0"/>
    <x v="12"/>
    <x v="0"/>
    <x v="0"/>
    <x v="0"/>
    <x v="0"/>
    <x v="0"/>
    <x v="0"/>
    <x v="0"/>
    <x v="0"/>
  </r>
  <r>
    <x v="120"/>
    <x v="0"/>
    <x v="1"/>
    <x v="0"/>
    <x v="0"/>
    <x v="1"/>
    <x v="119"/>
    <x v="93"/>
    <x v="0"/>
    <x v="2"/>
    <x v="1"/>
    <x v="1"/>
    <x v="9"/>
    <x v="0"/>
    <x v="0"/>
    <x v="0"/>
    <x v="15"/>
    <x v="10"/>
    <x v="0"/>
    <x v="69"/>
    <x v="0"/>
    <x v="0"/>
    <x v="0"/>
    <x v="64"/>
    <x v="65"/>
    <x v="5"/>
    <x v="45"/>
    <x v="62"/>
    <x v="67"/>
    <x v="0"/>
    <x v="0"/>
    <x v="65"/>
    <x v="0"/>
    <x v="12"/>
    <x v="0"/>
    <x v="0"/>
    <x v="0"/>
    <x v="0"/>
    <x v="0"/>
    <x v="0"/>
    <x v="0"/>
    <x v="0"/>
  </r>
  <r>
    <x v="121"/>
    <x v="0"/>
    <x v="0"/>
    <x v="0"/>
    <x v="0"/>
    <x v="0"/>
    <x v="120"/>
    <x v="94"/>
    <x v="0"/>
    <x v="0"/>
    <x v="11"/>
    <x v="11"/>
    <x v="0"/>
    <x v="0"/>
    <x v="0"/>
    <x v="0"/>
    <x v="0"/>
    <x v="0"/>
    <x v="0"/>
    <x v="85"/>
    <x v="0"/>
    <x v="0"/>
    <x v="0"/>
    <x v="65"/>
    <x v="66"/>
    <x v="0"/>
    <x v="0"/>
    <x v="63"/>
    <x v="68"/>
    <x v="0"/>
    <x v="0"/>
    <x v="66"/>
    <x v="1"/>
    <x v="54"/>
    <x v="0"/>
    <x v="0"/>
    <x v="0"/>
    <x v="0"/>
    <x v="0"/>
    <x v="0"/>
    <x v="0"/>
    <x v="0"/>
  </r>
  <r>
    <x v="122"/>
    <x v="0"/>
    <x v="1"/>
    <x v="0"/>
    <x v="0"/>
    <x v="1"/>
    <x v="121"/>
    <x v="95"/>
    <x v="0"/>
    <x v="2"/>
    <x v="1"/>
    <x v="1"/>
    <x v="9"/>
    <x v="0"/>
    <x v="0"/>
    <x v="0"/>
    <x v="15"/>
    <x v="10"/>
    <x v="0"/>
    <x v="26"/>
    <x v="0"/>
    <x v="0"/>
    <x v="0"/>
    <x v="50"/>
    <x v="50"/>
    <x v="19"/>
    <x v="40"/>
    <x v="48"/>
    <x v="51"/>
    <x v="0"/>
    <x v="0"/>
    <x v="50"/>
    <x v="0"/>
    <x v="42"/>
    <x v="0"/>
    <x v="0"/>
    <x v="0"/>
    <x v="0"/>
    <x v="0"/>
    <x v="0"/>
    <x v="0"/>
    <x v="0"/>
  </r>
  <r>
    <x v="123"/>
    <x v="0"/>
    <x v="1"/>
    <x v="0"/>
    <x v="0"/>
    <x v="1"/>
    <x v="121"/>
    <x v="94"/>
    <x v="0"/>
    <x v="2"/>
    <x v="1"/>
    <x v="1"/>
    <x v="9"/>
    <x v="0"/>
    <x v="0"/>
    <x v="0"/>
    <x v="15"/>
    <x v="10"/>
    <x v="0"/>
    <x v="84"/>
    <x v="0"/>
    <x v="0"/>
    <x v="0"/>
    <x v="59"/>
    <x v="60"/>
    <x v="13"/>
    <x v="28"/>
    <x v="57"/>
    <x v="62"/>
    <x v="0"/>
    <x v="0"/>
    <x v="60"/>
    <x v="0"/>
    <x v="51"/>
    <x v="0"/>
    <x v="0"/>
    <x v="0"/>
    <x v="0"/>
    <x v="0"/>
    <x v="0"/>
    <x v="0"/>
    <x v="0"/>
  </r>
  <r>
    <x v="124"/>
    <x v="0"/>
    <x v="1"/>
    <x v="0"/>
    <x v="0"/>
    <x v="1"/>
    <x v="122"/>
    <x v="96"/>
    <x v="0"/>
    <x v="2"/>
    <x v="1"/>
    <x v="1"/>
    <x v="9"/>
    <x v="0"/>
    <x v="0"/>
    <x v="0"/>
    <x v="15"/>
    <x v="10"/>
    <x v="0"/>
    <x v="54"/>
    <x v="0"/>
    <x v="0"/>
    <x v="0"/>
    <x v="66"/>
    <x v="67"/>
    <x v="3"/>
    <x v="51"/>
    <x v="64"/>
    <x v="69"/>
    <x v="0"/>
    <x v="0"/>
    <x v="67"/>
    <x v="0"/>
    <x v="12"/>
    <x v="0"/>
    <x v="0"/>
    <x v="0"/>
    <x v="0"/>
    <x v="0"/>
    <x v="0"/>
    <x v="0"/>
    <x v="0"/>
  </r>
  <r>
    <x v="125"/>
    <x v="0"/>
    <x v="1"/>
    <x v="0"/>
    <x v="0"/>
    <x v="1"/>
    <x v="123"/>
    <x v="97"/>
    <x v="0"/>
    <x v="2"/>
    <x v="1"/>
    <x v="1"/>
    <x v="9"/>
    <x v="0"/>
    <x v="0"/>
    <x v="0"/>
    <x v="15"/>
    <x v="10"/>
    <x v="0"/>
    <x v="26"/>
    <x v="0"/>
    <x v="0"/>
    <x v="0"/>
    <x v="29"/>
    <x v="29"/>
    <x v="1"/>
    <x v="14"/>
    <x v="29"/>
    <x v="29"/>
    <x v="0"/>
    <x v="0"/>
    <x v="30"/>
    <x v="0"/>
    <x v="25"/>
    <x v="0"/>
    <x v="0"/>
    <x v="0"/>
    <x v="0"/>
    <x v="0"/>
    <x v="0"/>
    <x v="0"/>
    <x v="0"/>
  </r>
  <r>
    <x v="126"/>
    <x v="0"/>
    <x v="1"/>
    <x v="0"/>
    <x v="0"/>
    <x v="1"/>
    <x v="124"/>
    <x v="98"/>
    <x v="0"/>
    <x v="2"/>
    <x v="1"/>
    <x v="1"/>
    <x v="9"/>
    <x v="0"/>
    <x v="0"/>
    <x v="0"/>
    <x v="15"/>
    <x v="10"/>
    <x v="0"/>
    <x v="71"/>
    <x v="0"/>
    <x v="0"/>
    <x v="0"/>
    <x v="67"/>
    <x v="68"/>
    <x v="6"/>
    <x v="52"/>
    <x v="65"/>
    <x v="70"/>
    <x v="0"/>
    <x v="0"/>
    <x v="68"/>
    <x v="1"/>
    <x v="55"/>
    <x v="0"/>
    <x v="1"/>
    <x v="0"/>
    <x v="0"/>
    <x v="0"/>
    <x v="0"/>
    <x v="0"/>
    <x v="0"/>
  </r>
  <r>
    <x v="127"/>
    <x v="0"/>
    <x v="1"/>
    <x v="0"/>
    <x v="0"/>
    <x v="1"/>
    <x v="125"/>
    <x v="99"/>
    <x v="0"/>
    <x v="2"/>
    <x v="1"/>
    <x v="1"/>
    <x v="9"/>
    <x v="0"/>
    <x v="0"/>
    <x v="0"/>
    <x v="15"/>
    <x v="10"/>
    <x v="0"/>
    <x v="24"/>
    <x v="0"/>
    <x v="0"/>
    <x v="0"/>
    <x v="44"/>
    <x v="44"/>
    <x v="4"/>
    <x v="8"/>
    <x v="42"/>
    <x v="45"/>
    <x v="0"/>
    <x v="0"/>
    <x v="45"/>
    <x v="0"/>
    <x v="37"/>
    <x v="0"/>
    <x v="0"/>
    <x v="0"/>
    <x v="0"/>
    <x v="0"/>
    <x v="0"/>
    <x v="0"/>
    <x v="0"/>
  </r>
  <r>
    <x v="128"/>
    <x v="0"/>
    <x v="1"/>
    <x v="0"/>
    <x v="0"/>
    <x v="1"/>
    <x v="126"/>
    <x v="100"/>
    <x v="0"/>
    <x v="2"/>
    <x v="1"/>
    <x v="1"/>
    <x v="9"/>
    <x v="0"/>
    <x v="0"/>
    <x v="0"/>
    <x v="15"/>
    <x v="10"/>
    <x v="0"/>
    <x v="71"/>
    <x v="0"/>
    <x v="0"/>
    <x v="0"/>
    <x v="68"/>
    <x v="69"/>
    <x v="13"/>
    <x v="53"/>
    <x v="66"/>
    <x v="71"/>
    <x v="0"/>
    <x v="0"/>
    <x v="69"/>
    <x v="1"/>
    <x v="56"/>
    <x v="0"/>
    <x v="0"/>
    <x v="0"/>
    <x v="0"/>
    <x v="0"/>
    <x v="0"/>
    <x v="0"/>
    <x v="0"/>
  </r>
  <r>
    <x v="129"/>
    <x v="0"/>
    <x v="1"/>
    <x v="0"/>
    <x v="0"/>
    <x v="1"/>
    <x v="127"/>
    <x v="101"/>
    <x v="0"/>
    <x v="2"/>
    <x v="1"/>
    <x v="1"/>
    <x v="6"/>
    <x v="0"/>
    <x v="4"/>
    <x v="0"/>
    <x v="37"/>
    <x v="32"/>
    <x v="4"/>
    <x v="86"/>
    <x v="0"/>
    <x v="0"/>
    <x v="0"/>
    <x v="44"/>
    <x v="44"/>
    <x v="4"/>
    <x v="8"/>
    <x v="42"/>
    <x v="45"/>
    <x v="0"/>
    <x v="0"/>
    <x v="45"/>
    <x v="0"/>
    <x v="37"/>
    <x v="0"/>
    <x v="0"/>
    <x v="0"/>
    <x v="0"/>
    <x v="0"/>
    <x v="0"/>
    <x v="0"/>
    <x v="0"/>
  </r>
  <r>
    <x v="130"/>
    <x v="0"/>
    <x v="1"/>
    <x v="0"/>
    <x v="0"/>
    <x v="1"/>
    <x v="128"/>
    <x v="102"/>
    <x v="0"/>
    <x v="2"/>
    <x v="1"/>
    <x v="1"/>
    <x v="6"/>
    <x v="0"/>
    <x v="0"/>
    <x v="0"/>
    <x v="10"/>
    <x v="6"/>
    <x v="0"/>
    <x v="87"/>
    <x v="0"/>
    <x v="0"/>
    <x v="0"/>
    <x v="69"/>
    <x v="70"/>
    <x v="18"/>
    <x v="54"/>
    <x v="67"/>
    <x v="72"/>
    <x v="0"/>
    <x v="0"/>
    <x v="70"/>
    <x v="0"/>
    <x v="12"/>
    <x v="0"/>
    <x v="0"/>
    <x v="0"/>
    <x v="0"/>
    <x v="0"/>
    <x v="0"/>
    <x v="0"/>
    <x v="0"/>
  </r>
  <r>
    <x v="131"/>
    <x v="0"/>
    <x v="1"/>
    <x v="0"/>
    <x v="0"/>
    <x v="0"/>
    <x v="129"/>
    <x v="103"/>
    <x v="0"/>
    <x v="0"/>
    <x v="12"/>
    <x v="12"/>
    <x v="17"/>
    <x v="0"/>
    <x v="2"/>
    <x v="0"/>
    <x v="38"/>
    <x v="33"/>
    <x v="2"/>
    <x v="88"/>
    <x v="0"/>
    <x v="0"/>
    <x v="0"/>
    <x v="70"/>
    <x v="71"/>
    <x v="5"/>
    <x v="48"/>
    <x v="68"/>
    <x v="73"/>
    <x v="0"/>
    <x v="0"/>
    <x v="71"/>
    <x v="1"/>
    <x v="57"/>
    <x v="0"/>
    <x v="0"/>
    <x v="0"/>
    <x v="0"/>
    <x v="0"/>
    <x v="0"/>
    <x v="0"/>
    <x v="0"/>
  </r>
  <r>
    <x v="132"/>
    <x v="0"/>
    <x v="0"/>
    <x v="0"/>
    <x v="0"/>
    <x v="0"/>
    <x v="130"/>
    <x v="104"/>
    <x v="0"/>
    <x v="0"/>
    <x v="13"/>
    <x v="13"/>
    <x v="18"/>
    <x v="0"/>
    <x v="0"/>
    <x v="0"/>
    <x v="39"/>
    <x v="34"/>
    <x v="0"/>
    <x v="89"/>
    <x v="0"/>
    <x v="0"/>
    <x v="0"/>
    <x v="71"/>
    <x v="72"/>
    <x v="13"/>
    <x v="55"/>
    <x v="69"/>
    <x v="74"/>
    <x v="0"/>
    <x v="0"/>
    <x v="72"/>
    <x v="0"/>
    <x v="58"/>
    <x v="0"/>
    <x v="0"/>
    <x v="0"/>
    <x v="0"/>
    <x v="0"/>
    <x v="0"/>
    <x v="0"/>
    <x v="0"/>
  </r>
  <r>
    <x v="133"/>
    <x v="0"/>
    <x v="1"/>
    <x v="0"/>
    <x v="0"/>
    <x v="1"/>
    <x v="131"/>
    <x v="105"/>
    <x v="0"/>
    <x v="2"/>
    <x v="1"/>
    <x v="1"/>
    <x v="2"/>
    <x v="0"/>
    <x v="5"/>
    <x v="0"/>
    <x v="7"/>
    <x v="4"/>
    <x v="5"/>
    <x v="90"/>
    <x v="0"/>
    <x v="0"/>
    <x v="0"/>
    <x v="72"/>
    <x v="73"/>
    <x v="5"/>
    <x v="41"/>
    <x v="49"/>
    <x v="75"/>
    <x v="0"/>
    <x v="0"/>
    <x v="73"/>
    <x v="0"/>
    <x v="59"/>
    <x v="0"/>
    <x v="0"/>
    <x v="0"/>
    <x v="0"/>
    <x v="0"/>
    <x v="0"/>
    <x v="0"/>
    <x v="0"/>
  </r>
  <r>
    <x v="134"/>
    <x v="0"/>
    <x v="1"/>
    <x v="0"/>
    <x v="0"/>
    <x v="0"/>
    <x v="132"/>
    <x v="106"/>
    <x v="0"/>
    <x v="0"/>
    <x v="14"/>
    <x v="14"/>
    <x v="9"/>
    <x v="0"/>
    <x v="0"/>
    <x v="0"/>
    <x v="15"/>
    <x v="10"/>
    <x v="0"/>
    <x v="31"/>
    <x v="0"/>
    <x v="0"/>
    <x v="0"/>
    <x v="73"/>
    <x v="74"/>
    <x v="0"/>
    <x v="47"/>
    <x v="70"/>
    <x v="76"/>
    <x v="0"/>
    <x v="0"/>
    <x v="74"/>
    <x v="0"/>
    <x v="60"/>
    <x v="0"/>
    <x v="0"/>
    <x v="0"/>
    <x v="0"/>
    <x v="0"/>
    <x v="0"/>
    <x v="0"/>
    <x v="0"/>
  </r>
  <r>
    <x v="135"/>
    <x v="0"/>
    <x v="1"/>
    <x v="1"/>
    <x v="0"/>
    <x v="1"/>
    <x v="133"/>
    <x v="1"/>
    <x v="0"/>
    <x v="1"/>
    <x v="1"/>
    <x v="1"/>
    <x v="2"/>
    <x v="0"/>
    <x v="0"/>
    <x v="0"/>
    <x v="5"/>
    <x v="1"/>
    <x v="0"/>
    <x v="44"/>
    <x v="0"/>
    <x v="0"/>
    <x v="0"/>
    <x v="74"/>
    <x v="75"/>
    <x v="21"/>
    <x v="56"/>
    <x v="71"/>
    <x v="77"/>
    <x v="0"/>
    <x v="0"/>
    <x v="75"/>
    <x v="0"/>
    <x v="12"/>
    <x v="0"/>
    <x v="0"/>
    <x v="0"/>
    <x v="0"/>
    <x v="0"/>
    <x v="0"/>
    <x v="0"/>
    <x v="0"/>
  </r>
  <r>
    <x v="136"/>
    <x v="0"/>
    <x v="1"/>
    <x v="0"/>
    <x v="0"/>
    <x v="1"/>
    <x v="134"/>
    <x v="107"/>
    <x v="0"/>
    <x v="2"/>
    <x v="1"/>
    <x v="1"/>
    <x v="2"/>
    <x v="0"/>
    <x v="5"/>
    <x v="0"/>
    <x v="7"/>
    <x v="4"/>
    <x v="5"/>
    <x v="91"/>
    <x v="0"/>
    <x v="0"/>
    <x v="0"/>
    <x v="75"/>
    <x v="76"/>
    <x v="0"/>
    <x v="50"/>
    <x v="61"/>
    <x v="78"/>
    <x v="0"/>
    <x v="0"/>
    <x v="76"/>
    <x v="0"/>
    <x v="61"/>
    <x v="0"/>
    <x v="0"/>
    <x v="0"/>
    <x v="0"/>
    <x v="0"/>
    <x v="0"/>
    <x v="0"/>
    <x v="0"/>
  </r>
  <r>
    <x v="137"/>
    <x v="0"/>
    <x v="1"/>
    <x v="1"/>
    <x v="0"/>
    <x v="1"/>
    <x v="135"/>
    <x v="1"/>
    <x v="0"/>
    <x v="1"/>
    <x v="1"/>
    <x v="1"/>
    <x v="2"/>
    <x v="0"/>
    <x v="4"/>
    <x v="0"/>
    <x v="29"/>
    <x v="1"/>
    <x v="4"/>
    <x v="91"/>
    <x v="0"/>
    <x v="0"/>
    <x v="0"/>
    <x v="76"/>
    <x v="77"/>
    <x v="0"/>
    <x v="50"/>
    <x v="72"/>
    <x v="79"/>
    <x v="0"/>
    <x v="0"/>
    <x v="77"/>
    <x v="1"/>
    <x v="62"/>
    <x v="0"/>
    <x v="0"/>
    <x v="0"/>
    <x v="0"/>
    <x v="0"/>
    <x v="0"/>
    <x v="0"/>
    <x v="0"/>
  </r>
  <r>
    <x v="138"/>
    <x v="0"/>
    <x v="1"/>
    <x v="0"/>
    <x v="0"/>
    <x v="1"/>
    <x v="136"/>
    <x v="108"/>
    <x v="0"/>
    <x v="2"/>
    <x v="1"/>
    <x v="1"/>
    <x v="2"/>
    <x v="0"/>
    <x v="0"/>
    <x v="0"/>
    <x v="5"/>
    <x v="3"/>
    <x v="0"/>
    <x v="92"/>
    <x v="0"/>
    <x v="0"/>
    <x v="0"/>
    <x v="77"/>
    <x v="78"/>
    <x v="0"/>
    <x v="24"/>
    <x v="73"/>
    <x v="80"/>
    <x v="0"/>
    <x v="0"/>
    <x v="78"/>
    <x v="0"/>
    <x v="63"/>
    <x v="0"/>
    <x v="0"/>
    <x v="0"/>
    <x v="0"/>
    <x v="0"/>
    <x v="0"/>
    <x v="0"/>
    <x v="0"/>
  </r>
  <r>
    <x v="139"/>
    <x v="0"/>
    <x v="1"/>
    <x v="0"/>
    <x v="0"/>
    <x v="1"/>
    <x v="137"/>
    <x v="109"/>
    <x v="0"/>
    <x v="2"/>
    <x v="1"/>
    <x v="1"/>
    <x v="2"/>
    <x v="0"/>
    <x v="3"/>
    <x v="0"/>
    <x v="40"/>
    <x v="35"/>
    <x v="3"/>
    <x v="93"/>
    <x v="0"/>
    <x v="0"/>
    <x v="0"/>
    <x v="8"/>
    <x v="8"/>
    <x v="4"/>
    <x v="8"/>
    <x v="8"/>
    <x v="8"/>
    <x v="0"/>
    <x v="0"/>
    <x v="8"/>
    <x v="1"/>
    <x v="8"/>
    <x v="0"/>
    <x v="0"/>
    <x v="0"/>
    <x v="0"/>
    <x v="0"/>
    <x v="0"/>
    <x v="0"/>
    <x v="0"/>
  </r>
  <r>
    <x v="140"/>
    <x v="0"/>
    <x v="0"/>
    <x v="0"/>
    <x v="0"/>
    <x v="0"/>
    <x v="138"/>
    <x v="110"/>
    <x v="0"/>
    <x v="0"/>
    <x v="15"/>
    <x v="15"/>
    <x v="5"/>
    <x v="0"/>
    <x v="0"/>
    <x v="0"/>
    <x v="32"/>
    <x v="27"/>
    <x v="0"/>
    <x v="46"/>
    <x v="0"/>
    <x v="0"/>
    <x v="0"/>
    <x v="78"/>
    <x v="79"/>
    <x v="13"/>
    <x v="55"/>
    <x v="74"/>
    <x v="81"/>
    <x v="0"/>
    <x v="0"/>
    <x v="79"/>
    <x v="1"/>
    <x v="64"/>
    <x v="0"/>
    <x v="0"/>
    <x v="0"/>
    <x v="0"/>
    <x v="0"/>
    <x v="0"/>
    <x v="0"/>
    <x v="0"/>
  </r>
  <r>
    <x v="141"/>
    <x v="0"/>
    <x v="1"/>
    <x v="0"/>
    <x v="0"/>
    <x v="1"/>
    <x v="139"/>
    <x v="111"/>
    <x v="0"/>
    <x v="2"/>
    <x v="1"/>
    <x v="1"/>
    <x v="10"/>
    <x v="0"/>
    <x v="2"/>
    <x v="0"/>
    <x v="17"/>
    <x v="12"/>
    <x v="2"/>
    <x v="94"/>
    <x v="0"/>
    <x v="0"/>
    <x v="0"/>
    <x v="79"/>
    <x v="80"/>
    <x v="2"/>
    <x v="57"/>
    <x v="75"/>
    <x v="82"/>
    <x v="0"/>
    <x v="0"/>
    <x v="80"/>
    <x v="1"/>
    <x v="65"/>
    <x v="0"/>
    <x v="0"/>
    <x v="0"/>
    <x v="0"/>
    <x v="0"/>
    <x v="0"/>
    <x v="0"/>
    <x v="0"/>
  </r>
  <r>
    <x v="142"/>
    <x v="0"/>
    <x v="1"/>
    <x v="1"/>
    <x v="0"/>
    <x v="1"/>
    <x v="140"/>
    <x v="1"/>
    <x v="0"/>
    <x v="1"/>
    <x v="1"/>
    <x v="1"/>
    <x v="10"/>
    <x v="0"/>
    <x v="2"/>
    <x v="0"/>
    <x v="17"/>
    <x v="1"/>
    <x v="2"/>
    <x v="95"/>
    <x v="0"/>
    <x v="0"/>
    <x v="0"/>
    <x v="79"/>
    <x v="80"/>
    <x v="2"/>
    <x v="57"/>
    <x v="75"/>
    <x v="82"/>
    <x v="0"/>
    <x v="0"/>
    <x v="80"/>
    <x v="1"/>
    <x v="65"/>
    <x v="0"/>
    <x v="0"/>
    <x v="0"/>
    <x v="0"/>
    <x v="0"/>
    <x v="0"/>
    <x v="0"/>
    <x v="0"/>
  </r>
  <r>
    <x v="143"/>
    <x v="0"/>
    <x v="1"/>
    <x v="0"/>
    <x v="0"/>
    <x v="1"/>
    <x v="141"/>
    <x v="112"/>
    <x v="0"/>
    <x v="2"/>
    <x v="1"/>
    <x v="1"/>
    <x v="10"/>
    <x v="0"/>
    <x v="4"/>
    <x v="0"/>
    <x v="18"/>
    <x v="13"/>
    <x v="4"/>
    <x v="96"/>
    <x v="0"/>
    <x v="0"/>
    <x v="0"/>
    <x v="76"/>
    <x v="77"/>
    <x v="0"/>
    <x v="50"/>
    <x v="72"/>
    <x v="79"/>
    <x v="0"/>
    <x v="0"/>
    <x v="77"/>
    <x v="1"/>
    <x v="62"/>
    <x v="0"/>
    <x v="0"/>
    <x v="0"/>
    <x v="0"/>
    <x v="0"/>
    <x v="0"/>
    <x v="0"/>
    <x v="0"/>
  </r>
  <r>
    <x v="144"/>
    <x v="0"/>
    <x v="1"/>
    <x v="0"/>
    <x v="0"/>
    <x v="0"/>
    <x v="142"/>
    <x v="113"/>
    <x v="0"/>
    <x v="2"/>
    <x v="1"/>
    <x v="1"/>
    <x v="10"/>
    <x v="0"/>
    <x v="0"/>
    <x v="0"/>
    <x v="16"/>
    <x v="11"/>
    <x v="0"/>
    <x v="97"/>
    <x v="0"/>
    <x v="0"/>
    <x v="0"/>
    <x v="80"/>
    <x v="81"/>
    <x v="16"/>
    <x v="58"/>
    <x v="76"/>
    <x v="83"/>
    <x v="0"/>
    <x v="0"/>
    <x v="81"/>
    <x v="0"/>
    <x v="12"/>
    <x v="0"/>
    <x v="0"/>
    <x v="0"/>
    <x v="0"/>
    <x v="0"/>
    <x v="0"/>
    <x v="0"/>
    <x v="0"/>
  </r>
  <r>
    <x v="145"/>
    <x v="0"/>
    <x v="1"/>
    <x v="0"/>
    <x v="0"/>
    <x v="0"/>
    <x v="143"/>
    <x v="114"/>
    <x v="0"/>
    <x v="2"/>
    <x v="1"/>
    <x v="1"/>
    <x v="10"/>
    <x v="0"/>
    <x v="3"/>
    <x v="0"/>
    <x v="30"/>
    <x v="25"/>
    <x v="3"/>
    <x v="98"/>
    <x v="0"/>
    <x v="0"/>
    <x v="0"/>
    <x v="68"/>
    <x v="69"/>
    <x v="13"/>
    <x v="53"/>
    <x v="66"/>
    <x v="71"/>
    <x v="0"/>
    <x v="0"/>
    <x v="69"/>
    <x v="1"/>
    <x v="56"/>
    <x v="0"/>
    <x v="0"/>
    <x v="0"/>
    <x v="0"/>
    <x v="0"/>
    <x v="0"/>
    <x v="0"/>
    <x v="0"/>
  </r>
  <r>
    <x v="146"/>
    <x v="0"/>
    <x v="1"/>
    <x v="0"/>
    <x v="0"/>
    <x v="1"/>
    <x v="144"/>
    <x v="115"/>
    <x v="0"/>
    <x v="2"/>
    <x v="1"/>
    <x v="1"/>
    <x v="10"/>
    <x v="0"/>
    <x v="2"/>
    <x v="0"/>
    <x v="17"/>
    <x v="12"/>
    <x v="2"/>
    <x v="82"/>
    <x v="0"/>
    <x v="0"/>
    <x v="0"/>
    <x v="30"/>
    <x v="30"/>
    <x v="0"/>
    <x v="27"/>
    <x v="30"/>
    <x v="31"/>
    <x v="0"/>
    <x v="0"/>
    <x v="31"/>
    <x v="1"/>
    <x v="26"/>
    <x v="0"/>
    <x v="0"/>
    <x v="0"/>
    <x v="0"/>
    <x v="0"/>
    <x v="0"/>
    <x v="0"/>
    <x v="0"/>
  </r>
  <r>
    <x v="147"/>
    <x v="0"/>
    <x v="1"/>
    <x v="0"/>
    <x v="0"/>
    <x v="0"/>
    <x v="145"/>
    <x v="116"/>
    <x v="0"/>
    <x v="2"/>
    <x v="1"/>
    <x v="1"/>
    <x v="10"/>
    <x v="0"/>
    <x v="0"/>
    <x v="0"/>
    <x v="16"/>
    <x v="11"/>
    <x v="0"/>
    <x v="99"/>
    <x v="0"/>
    <x v="0"/>
    <x v="0"/>
    <x v="81"/>
    <x v="82"/>
    <x v="10"/>
    <x v="19"/>
    <x v="20"/>
    <x v="84"/>
    <x v="0"/>
    <x v="0"/>
    <x v="82"/>
    <x v="0"/>
    <x v="12"/>
    <x v="0"/>
    <x v="0"/>
    <x v="0"/>
    <x v="0"/>
    <x v="0"/>
    <x v="0"/>
    <x v="0"/>
    <x v="0"/>
  </r>
  <r>
    <x v="148"/>
    <x v="0"/>
    <x v="1"/>
    <x v="1"/>
    <x v="0"/>
    <x v="1"/>
    <x v="146"/>
    <x v="1"/>
    <x v="0"/>
    <x v="1"/>
    <x v="1"/>
    <x v="1"/>
    <x v="10"/>
    <x v="0"/>
    <x v="0"/>
    <x v="0"/>
    <x v="16"/>
    <x v="1"/>
    <x v="0"/>
    <x v="17"/>
    <x v="0"/>
    <x v="0"/>
    <x v="0"/>
    <x v="35"/>
    <x v="36"/>
    <x v="0"/>
    <x v="31"/>
    <x v="35"/>
    <x v="36"/>
    <x v="0"/>
    <x v="0"/>
    <x v="36"/>
    <x v="0"/>
    <x v="31"/>
    <x v="0"/>
    <x v="0"/>
    <x v="0"/>
    <x v="0"/>
    <x v="0"/>
    <x v="0"/>
    <x v="0"/>
    <x v="0"/>
  </r>
  <r>
    <x v="149"/>
    <x v="0"/>
    <x v="1"/>
    <x v="0"/>
    <x v="0"/>
    <x v="1"/>
    <x v="147"/>
    <x v="117"/>
    <x v="0"/>
    <x v="2"/>
    <x v="1"/>
    <x v="1"/>
    <x v="10"/>
    <x v="0"/>
    <x v="4"/>
    <x v="0"/>
    <x v="18"/>
    <x v="13"/>
    <x v="4"/>
    <x v="100"/>
    <x v="0"/>
    <x v="0"/>
    <x v="0"/>
    <x v="82"/>
    <x v="83"/>
    <x v="3"/>
    <x v="59"/>
    <x v="77"/>
    <x v="85"/>
    <x v="0"/>
    <x v="0"/>
    <x v="83"/>
    <x v="0"/>
    <x v="66"/>
    <x v="0"/>
    <x v="0"/>
    <x v="0"/>
    <x v="0"/>
    <x v="0"/>
    <x v="0"/>
    <x v="0"/>
    <x v="0"/>
  </r>
  <r>
    <x v="150"/>
    <x v="0"/>
    <x v="1"/>
    <x v="0"/>
    <x v="0"/>
    <x v="1"/>
    <x v="148"/>
    <x v="118"/>
    <x v="0"/>
    <x v="2"/>
    <x v="1"/>
    <x v="1"/>
    <x v="10"/>
    <x v="0"/>
    <x v="0"/>
    <x v="0"/>
    <x v="16"/>
    <x v="11"/>
    <x v="0"/>
    <x v="17"/>
    <x v="0"/>
    <x v="0"/>
    <x v="0"/>
    <x v="83"/>
    <x v="84"/>
    <x v="0"/>
    <x v="24"/>
    <x v="25"/>
    <x v="86"/>
    <x v="0"/>
    <x v="0"/>
    <x v="84"/>
    <x v="0"/>
    <x v="12"/>
    <x v="0"/>
    <x v="0"/>
    <x v="0"/>
    <x v="0"/>
    <x v="0"/>
    <x v="0"/>
    <x v="0"/>
    <x v="0"/>
  </r>
  <r>
    <x v="151"/>
    <x v="0"/>
    <x v="1"/>
    <x v="1"/>
    <x v="0"/>
    <x v="1"/>
    <x v="149"/>
    <x v="1"/>
    <x v="0"/>
    <x v="1"/>
    <x v="1"/>
    <x v="1"/>
    <x v="5"/>
    <x v="0"/>
    <x v="0"/>
    <x v="0"/>
    <x v="32"/>
    <x v="1"/>
    <x v="0"/>
    <x v="54"/>
    <x v="0"/>
    <x v="0"/>
    <x v="0"/>
    <x v="66"/>
    <x v="67"/>
    <x v="3"/>
    <x v="51"/>
    <x v="64"/>
    <x v="69"/>
    <x v="0"/>
    <x v="0"/>
    <x v="67"/>
    <x v="0"/>
    <x v="12"/>
    <x v="0"/>
    <x v="0"/>
    <x v="0"/>
    <x v="0"/>
    <x v="0"/>
    <x v="0"/>
    <x v="0"/>
    <x v="0"/>
  </r>
  <r>
    <x v="152"/>
    <x v="0"/>
    <x v="1"/>
    <x v="0"/>
    <x v="0"/>
    <x v="1"/>
    <x v="150"/>
    <x v="119"/>
    <x v="0"/>
    <x v="2"/>
    <x v="1"/>
    <x v="1"/>
    <x v="6"/>
    <x v="0"/>
    <x v="4"/>
    <x v="0"/>
    <x v="37"/>
    <x v="32"/>
    <x v="4"/>
    <x v="101"/>
    <x v="0"/>
    <x v="0"/>
    <x v="0"/>
    <x v="75"/>
    <x v="76"/>
    <x v="0"/>
    <x v="50"/>
    <x v="61"/>
    <x v="78"/>
    <x v="0"/>
    <x v="0"/>
    <x v="76"/>
    <x v="0"/>
    <x v="61"/>
    <x v="0"/>
    <x v="0"/>
    <x v="0"/>
    <x v="0"/>
    <x v="0"/>
    <x v="0"/>
    <x v="0"/>
    <x v="0"/>
  </r>
  <r>
    <x v="153"/>
    <x v="0"/>
    <x v="1"/>
    <x v="0"/>
    <x v="0"/>
    <x v="1"/>
    <x v="151"/>
    <x v="120"/>
    <x v="0"/>
    <x v="2"/>
    <x v="1"/>
    <x v="1"/>
    <x v="9"/>
    <x v="0"/>
    <x v="0"/>
    <x v="0"/>
    <x v="15"/>
    <x v="10"/>
    <x v="0"/>
    <x v="71"/>
    <x v="0"/>
    <x v="0"/>
    <x v="0"/>
    <x v="74"/>
    <x v="75"/>
    <x v="21"/>
    <x v="56"/>
    <x v="71"/>
    <x v="77"/>
    <x v="0"/>
    <x v="0"/>
    <x v="75"/>
    <x v="0"/>
    <x v="12"/>
    <x v="0"/>
    <x v="0"/>
    <x v="0"/>
    <x v="0"/>
    <x v="0"/>
    <x v="0"/>
    <x v="0"/>
    <x v="0"/>
  </r>
  <r>
    <x v="154"/>
    <x v="0"/>
    <x v="1"/>
    <x v="0"/>
    <x v="0"/>
    <x v="0"/>
    <x v="152"/>
    <x v="121"/>
    <x v="0"/>
    <x v="2"/>
    <x v="1"/>
    <x v="1"/>
    <x v="9"/>
    <x v="0"/>
    <x v="0"/>
    <x v="0"/>
    <x v="15"/>
    <x v="10"/>
    <x v="0"/>
    <x v="22"/>
    <x v="0"/>
    <x v="0"/>
    <x v="0"/>
    <x v="30"/>
    <x v="30"/>
    <x v="0"/>
    <x v="27"/>
    <x v="30"/>
    <x v="31"/>
    <x v="0"/>
    <x v="0"/>
    <x v="31"/>
    <x v="1"/>
    <x v="26"/>
    <x v="0"/>
    <x v="0"/>
    <x v="0"/>
    <x v="0"/>
    <x v="0"/>
    <x v="0"/>
    <x v="0"/>
    <x v="0"/>
  </r>
  <r>
    <x v="155"/>
    <x v="0"/>
    <x v="1"/>
    <x v="0"/>
    <x v="0"/>
    <x v="1"/>
    <x v="153"/>
    <x v="122"/>
    <x v="0"/>
    <x v="2"/>
    <x v="1"/>
    <x v="1"/>
    <x v="9"/>
    <x v="0"/>
    <x v="0"/>
    <x v="0"/>
    <x v="15"/>
    <x v="10"/>
    <x v="0"/>
    <x v="102"/>
    <x v="0"/>
    <x v="0"/>
    <x v="0"/>
    <x v="37"/>
    <x v="38"/>
    <x v="8"/>
    <x v="22"/>
    <x v="23"/>
    <x v="38"/>
    <x v="0"/>
    <x v="0"/>
    <x v="38"/>
    <x v="0"/>
    <x v="12"/>
    <x v="0"/>
    <x v="0"/>
    <x v="0"/>
    <x v="0"/>
    <x v="0"/>
    <x v="0"/>
    <x v="0"/>
    <x v="0"/>
  </r>
  <r>
    <x v="156"/>
    <x v="0"/>
    <x v="1"/>
    <x v="0"/>
    <x v="0"/>
    <x v="1"/>
    <x v="154"/>
    <x v="123"/>
    <x v="0"/>
    <x v="2"/>
    <x v="1"/>
    <x v="1"/>
    <x v="9"/>
    <x v="0"/>
    <x v="0"/>
    <x v="0"/>
    <x v="15"/>
    <x v="10"/>
    <x v="0"/>
    <x v="54"/>
    <x v="0"/>
    <x v="0"/>
    <x v="0"/>
    <x v="82"/>
    <x v="83"/>
    <x v="3"/>
    <x v="59"/>
    <x v="77"/>
    <x v="85"/>
    <x v="0"/>
    <x v="0"/>
    <x v="83"/>
    <x v="0"/>
    <x v="66"/>
    <x v="0"/>
    <x v="0"/>
    <x v="0"/>
    <x v="0"/>
    <x v="0"/>
    <x v="0"/>
    <x v="0"/>
    <x v="0"/>
  </r>
  <r>
    <x v="157"/>
    <x v="0"/>
    <x v="1"/>
    <x v="0"/>
    <x v="0"/>
    <x v="1"/>
    <x v="155"/>
    <x v="124"/>
    <x v="0"/>
    <x v="2"/>
    <x v="1"/>
    <x v="1"/>
    <x v="9"/>
    <x v="0"/>
    <x v="0"/>
    <x v="0"/>
    <x v="15"/>
    <x v="10"/>
    <x v="0"/>
    <x v="54"/>
    <x v="0"/>
    <x v="0"/>
    <x v="0"/>
    <x v="37"/>
    <x v="38"/>
    <x v="8"/>
    <x v="22"/>
    <x v="23"/>
    <x v="38"/>
    <x v="0"/>
    <x v="0"/>
    <x v="38"/>
    <x v="0"/>
    <x v="12"/>
    <x v="0"/>
    <x v="0"/>
    <x v="0"/>
    <x v="0"/>
    <x v="0"/>
    <x v="0"/>
    <x v="0"/>
    <x v="0"/>
  </r>
  <r>
    <x v="158"/>
    <x v="0"/>
    <x v="1"/>
    <x v="0"/>
    <x v="0"/>
    <x v="1"/>
    <x v="156"/>
    <x v="125"/>
    <x v="0"/>
    <x v="2"/>
    <x v="1"/>
    <x v="1"/>
    <x v="6"/>
    <x v="0"/>
    <x v="5"/>
    <x v="0"/>
    <x v="41"/>
    <x v="36"/>
    <x v="5"/>
    <x v="103"/>
    <x v="0"/>
    <x v="0"/>
    <x v="0"/>
    <x v="84"/>
    <x v="85"/>
    <x v="0"/>
    <x v="12"/>
    <x v="12"/>
    <x v="87"/>
    <x v="0"/>
    <x v="0"/>
    <x v="85"/>
    <x v="1"/>
    <x v="67"/>
    <x v="0"/>
    <x v="0"/>
    <x v="0"/>
    <x v="0"/>
    <x v="0"/>
    <x v="0"/>
    <x v="0"/>
    <x v="0"/>
  </r>
  <r>
    <x v="159"/>
    <x v="0"/>
    <x v="1"/>
    <x v="0"/>
    <x v="0"/>
    <x v="1"/>
    <x v="157"/>
    <x v="126"/>
    <x v="0"/>
    <x v="2"/>
    <x v="1"/>
    <x v="1"/>
    <x v="6"/>
    <x v="0"/>
    <x v="0"/>
    <x v="0"/>
    <x v="10"/>
    <x v="6"/>
    <x v="0"/>
    <x v="86"/>
    <x v="0"/>
    <x v="0"/>
    <x v="0"/>
    <x v="72"/>
    <x v="73"/>
    <x v="5"/>
    <x v="41"/>
    <x v="49"/>
    <x v="75"/>
    <x v="0"/>
    <x v="0"/>
    <x v="86"/>
    <x v="0"/>
    <x v="12"/>
    <x v="0"/>
    <x v="0"/>
    <x v="0"/>
    <x v="0"/>
    <x v="0"/>
    <x v="0"/>
    <x v="0"/>
    <x v="0"/>
  </r>
  <r>
    <x v="160"/>
    <x v="0"/>
    <x v="1"/>
    <x v="0"/>
    <x v="0"/>
    <x v="1"/>
    <x v="158"/>
    <x v="127"/>
    <x v="0"/>
    <x v="2"/>
    <x v="1"/>
    <x v="1"/>
    <x v="10"/>
    <x v="0"/>
    <x v="2"/>
    <x v="0"/>
    <x v="17"/>
    <x v="12"/>
    <x v="2"/>
    <x v="78"/>
    <x v="0"/>
    <x v="0"/>
    <x v="0"/>
    <x v="2"/>
    <x v="2"/>
    <x v="2"/>
    <x v="2"/>
    <x v="2"/>
    <x v="2"/>
    <x v="0"/>
    <x v="0"/>
    <x v="2"/>
    <x v="1"/>
    <x v="2"/>
    <x v="0"/>
    <x v="0"/>
    <x v="0"/>
    <x v="0"/>
    <x v="0"/>
    <x v="0"/>
    <x v="0"/>
    <x v="0"/>
  </r>
  <r>
    <x v="161"/>
    <x v="0"/>
    <x v="1"/>
    <x v="0"/>
    <x v="0"/>
    <x v="1"/>
    <x v="159"/>
    <x v="128"/>
    <x v="0"/>
    <x v="2"/>
    <x v="1"/>
    <x v="1"/>
    <x v="10"/>
    <x v="0"/>
    <x v="2"/>
    <x v="0"/>
    <x v="17"/>
    <x v="12"/>
    <x v="2"/>
    <x v="47"/>
    <x v="0"/>
    <x v="0"/>
    <x v="0"/>
    <x v="2"/>
    <x v="2"/>
    <x v="2"/>
    <x v="2"/>
    <x v="2"/>
    <x v="2"/>
    <x v="0"/>
    <x v="0"/>
    <x v="2"/>
    <x v="1"/>
    <x v="2"/>
    <x v="0"/>
    <x v="0"/>
    <x v="0"/>
    <x v="0"/>
    <x v="0"/>
    <x v="0"/>
    <x v="0"/>
    <x v="0"/>
  </r>
  <r>
    <x v="162"/>
    <x v="0"/>
    <x v="1"/>
    <x v="0"/>
    <x v="0"/>
    <x v="1"/>
    <x v="160"/>
    <x v="129"/>
    <x v="0"/>
    <x v="2"/>
    <x v="1"/>
    <x v="1"/>
    <x v="10"/>
    <x v="0"/>
    <x v="2"/>
    <x v="0"/>
    <x v="17"/>
    <x v="12"/>
    <x v="2"/>
    <x v="104"/>
    <x v="0"/>
    <x v="0"/>
    <x v="0"/>
    <x v="85"/>
    <x v="86"/>
    <x v="5"/>
    <x v="10"/>
    <x v="78"/>
    <x v="88"/>
    <x v="0"/>
    <x v="0"/>
    <x v="87"/>
    <x v="1"/>
    <x v="68"/>
    <x v="0"/>
    <x v="0"/>
    <x v="0"/>
    <x v="0"/>
    <x v="0"/>
    <x v="0"/>
    <x v="0"/>
    <x v="0"/>
  </r>
  <r>
    <x v="163"/>
    <x v="0"/>
    <x v="1"/>
    <x v="0"/>
    <x v="0"/>
    <x v="0"/>
    <x v="161"/>
    <x v="130"/>
    <x v="0"/>
    <x v="0"/>
    <x v="16"/>
    <x v="16"/>
    <x v="19"/>
    <x v="0"/>
    <x v="1"/>
    <x v="0"/>
    <x v="42"/>
    <x v="37"/>
    <x v="1"/>
    <x v="105"/>
    <x v="0"/>
    <x v="0"/>
    <x v="0"/>
    <x v="86"/>
    <x v="87"/>
    <x v="0"/>
    <x v="60"/>
    <x v="79"/>
    <x v="89"/>
    <x v="0"/>
    <x v="0"/>
    <x v="88"/>
    <x v="1"/>
    <x v="69"/>
    <x v="0"/>
    <x v="0"/>
    <x v="0"/>
    <x v="0"/>
    <x v="0"/>
    <x v="0"/>
    <x v="0"/>
    <x v="0"/>
  </r>
  <r>
    <x v="164"/>
    <x v="0"/>
    <x v="1"/>
    <x v="0"/>
    <x v="0"/>
    <x v="1"/>
    <x v="162"/>
    <x v="131"/>
    <x v="0"/>
    <x v="2"/>
    <x v="1"/>
    <x v="1"/>
    <x v="9"/>
    <x v="0"/>
    <x v="0"/>
    <x v="0"/>
    <x v="15"/>
    <x v="10"/>
    <x v="0"/>
    <x v="15"/>
    <x v="0"/>
    <x v="0"/>
    <x v="0"/>
    <x v="37"/>
    <x v="38"/>
    <x v="8"/>
    <x v="22"/>
    <x v="23"/>
    <x v="38"/>
    <x v="0"/>
    <x v="0"/>
    <x v="89"/>
    <x v="0"/>
    <x v="12"/>
    <x v="0"/>
    <x v="0"/>
    <x v="0"/>
    <x v="0"/>
    <x v="0"/>
    <x v="0"/>
    <x v="0"/>
    <x v="0"/>
  </r>
  <r>
    <x v="165"/>
    <x v="0"/>
    <x v="1"/>
    <x v="0"/>
    <x v="0"/>
    <x v="1"/>
    <x v="163"/>
    <x v="132"/>
    <x v="0"/>
    <x v="2"/>
    <x v="1"/>
    <x v="1"/>
    <x v="9"/>
    <x v="0"/>
    <x v="0"/>
    <x v="0"/>
    <x v="15"/>
    <x v="10"/>
    <x v="0"/>
    <x v="73"/>
    <x v="0"/>
    <x v="0"/>
    <x v="0"/>
    <x v="87"/>
    <x v="88"/>
    <x v="0"/>
    <x v="60"/>
    <x v="80"/>
    <x v="90"/>
    <x v="0"/>
    <x v="0"/>
    <x v="90"/>
    <x v="0"/>
    <x v="12"/>
    <x v="0"/>
    <x v="0"/>
    <x v="0"/>
    <x v="0"/>
    <x v="0"/>
    <x v="0"/>
    <x v="0"/>
    <x v="0"/>
  </r>
  <r>
    <x v="166"/>
    <x v="0"/>
    <x v="1"/>
    <x v="0"/>
    <x v="0"/>
    <x v="1"/>
    <x v="164"/>
    <x v="133"/>
    <x v="0"/>
    <x v="2"/>
    <x v="1"/>
    <x v="1"/>
    <x v="6"/>
    <x v="0"/>
    <x v="0"/>
    <x v="0"/>
    <x v="10"/>
    <x v="6"/>
    <x v="0"/>
    <x v="74"/>
    <x v="0"/>
    <x v="0"/>
    <x v="0"/>
    <x v="43"/>
    <x v="37"/>
    <x v="15"/>
    <x v="32"/>
    <x v="36"/>
    <x v="44"/>
    <x v="0"/>
    <x v="0"/>
    <x v="44"/>
    <x v="0"/>
    <x v="12"/>
    <x v="0"/>
    <x v="1"/>
    <x v="0"/>
    <x v="0"/>
    <x v="0"/>
    <x v="0"/>
    <x v="0"/>
    <x v="0"/>
  </r>
  <r>
    <x v="167"/>
    <x v="0"/>
    <x v="1"/>
    <x v="0"/>
    <x v="0"/>
    <x v="1"/>
    <x v="165"/>
    <x v="134"/>
    <x v="0"/>
    <x v="2"/>
    <x v="1"/>
    <x v="1"/>
    <x v="9"/>
    <x v="0"/>
    <x v="0"/>
    <x v="0"/>
    <x v="15"/>
    <x v="10"/>
    <x v="0"/>
    <x v="73"/>
    <x v="0"/>
    <x v="0"/>
    <x v="0"/>
    <x v="88"/>
    <x v="89"/>
    <x v="8"/>
    <x v="61"/>
    <x v="81"/>
    <x v="91"/>
    <x v="0"/>
    <x v="0"/>
    <x v="91"/>
    <x v="1"/>
    <x v="70"/>
    <x v="0"/>
    <x v="0"/>
    <x v="0"/>
    <x v="0"/>
    <x v="0"/>
    <x v="0"/>
    <x v="0"/>
    <x v="0"/>
  </r>
  <r>
    <x v="168"/>
    <x v="0"/>
    <x v="1"/>
    <x v="0"/>
    <x v="0"/>
    <x v="0"/>
    <x v="166"/>
    <x v="135"/>
    <x v="0"/>
    <x v="2"/>
    <x v="1"/>
    <x v="1"/>
    <x v="9"/>
    <x v="0"/>
    <x v="0"/>
    <x v="0"/>
    <x v="15"/>
    <x v="10"/>
    <x v="0"/>
    <x v="23"/>
    <x v="0"/>
    <x v="0"/>
    <x v="0"/>
    <x v="89"/>
    <x v="90"/>
    <x v="5"/>
    <x v="41"/>
    <x v="82"/>
    <x v="92"/>
    <x v="0"/>
    <x v="0"/>
    <x v="92"/>
    <x v="0"/>
    <x v="12"/>
    <x v="0"/>
    <x v="0"/>
    <x v="0"/>
    <x v="0"/>
    <x v="0"/>
    <x v="0"/>
    <x v="0"/>
    <x v="0"/>
  </r>
  <r>
    <x v="169"/>
    <x v="0"/>
    <x v="1"/>
    <x v="0"/>
    <x v="0"/>
    <x v="1"/>
    <x v="167"/>
    <x v="136"/>
    <x v="0"/>
    <x v="2"/>
    <x v="1"/>
    <x v="1"/>
    <x v="9"/>
    <x v="0"/>
    <x v="0"/>
    <x v="0"/>
    <x v="15"/>
    <x v="10"/>
    <x v="0"/>
    <x v="26"/>
    <x v="0"/>
    <x v="0"/>
    <x v="0"/>
    <x v="90"/>
    <x v="91"/>
    <x v="12"/>
    <x v="62"/>
    <x v="83"/>
    <x v="93"/>
    <x v="0"/>
    <x v="0"/>
    <x v="93"/>
    <x v="1"/>
    <x v="71"/>
    <x v="0"/>
    <x v="1"/>
    <x v="0"/>
    <x v="0"/>
    <x v="0"/>
    <x v="0"/>
    <x v="0"/>
    <x v="0"/>
  </r>
  <r>
    <x v="170"/>
    <x v="0"/>
    <x v="1"/>
    <x v="0"/>
    <x v="0"/>
    <x v="1"/>
    <x v="168"/>
    <x v="137"/>
    <x v="0"/>
    <x v="2"/>
    <x v="1"/>
    <x v="1"/>
    <x v="9"/>
    <x v="0"/>
    <x v="0"/>
    <x v="0"/>
    <x v="15"/>
    <x v="10"/>
    <x v="0"/>
    <x v="23"/>
    <x v="0"/>
    <x v="0"/>
    <x v="0"/>
    <x v="91"/>
    <x v="92"/>
    <x v="1"/>
    <x v="4"/>
    <x v="84"/>
    <x v="94"/>
    <x v="0"/>
    <x v="0"/>
    <x v="94"/>
    <x v="0"/>
    <x v="12"/>
    <x v="0"/>
    <x v="0"/>
    <x v="0"/>
    <x v="0"/>
    <x v="0"/>
    <x v="0"/>
    <x v="0"/>
    <x v="0"/>
  </r>
  <r>
    <x v="171"/>
    <x v="0"/>
    <x v="1"/>
    <x v="0"/>
    <x v="0"/>
    <x v="1"/>
    <x v="169"/>
    <x v="138"/>
    <x v="0"/>
    <x v="2"/>
    <x v="1"/>
    <x v="1"/>
    <x v="9"/>
    <x v="0"/>
    <x v="0"/>
    <x v="0"/>
    <x v="15"/>
    <x v="10"/>
    <x v="0"/>
    <x v="19"/>
    <x v="0"/>
    <x v="0"/>
    <x v="0"/>
    <x v="85"/>
    <x v="86"/>
    <x v="5"/>
    <x v="10"/>
    <x v="78"/>
    <x v="88"/>
    <x v="0"/>
    <x v="0"/>
    <x v="87"/>
    <x v="1"/>
    <x v="68"/>
    <x v="0"/>
    <x v="0"/>
    <x v="0"/>
    <x v="0"/>
    <x v="0"/>
    <x v="0"/>
    <x v="0"/>
    <x v="0"/>
  </r>
  <r>
    <x v="172"/>
    <x v="0"/>
    <x v="1"/>
    <x v="0"/>
    <x v="0"/>
    <x v="1"/>
    <x v="170"/>
    <x v="139"/>
    <x v="0"/>
    <x v="2"/>
    <x v="1"/>
    <x v="1"/>
    <x v="6"/>
    <x v="0"/>
    <x v="4"/>
    <x v="0"/>
    <x v="37"/>
    <x v="32"/>
    <x v="4"/>
    <x v="106"/>
    <x v="0"/>
    <x v="0"/>
    <x v="0"/>
    <x v="92"/>
    <x v="93"/>
    <x v="21"/>
    <x v="63"/>
    <x v="85"/>
    <x v="95"/>
    <x v="0"/>
    <x v="0"/>
    <x v="95"/>
    <x v="1"/>
    <x v="72"/>
    <x v="0"/>
    <x v="0"/>
    <x v="0"/>
    <x v="0"/>
    <x v="0"/>
    <x v="0"/>
    <x v="0"/>
    <x v="0"/>
  </r>
  <r>
    <x v="173"/>
    <x v="0"/>
    <x v="1"/>
    <x v="0"/>
    <x v="0"/>
    <x v="1"/>
    <x v="171"/>
    <x v="140"/>
    <x v="0"/>
    <x v="2"/>
    <x v="1"/>
    <x v="1"/>
    <x v="6"/>
    <x v="0"/>
    <x v="4"/>
    <x v="0"/>
    <x v="37"/>
    <x v="32"/>
    <x v="4"/>
    <x v="107"/>
    <x v="0"/>
    <x v="0"/>
    <x v="0"/>
    <x v="93"/>
    <x v="94"/>
    <x v="1"/>
    <x v="9"/>
    <x v="86"/>
    <x v="96"/>
    <x v="0"/>
    <x v="0"/>
    <x v="96"/>
    <x v="1"/>
    <x v="73"/>
    <x v="0"/>
    <x v="0"/>
    <x v="0"/>
    <x v="0"/>
    <x v="0"/>
    <x v="0"/>
    <x v="0"/>
    <x v="0"/>
  </r>
  <r>
    <x v="174"/>
    <x v="0"/>
    <x v="0"/>
    <x v="0"/>
    <x v="0"/>
    <x v="0"/>
    <x v="172"/>
    <x v="141"/>
    <x v="0"/>
    <x v="0"/>
    <x v="17"/>
    <x v="17"/>
    <x v="5"/>
    <x v="0"/>
    <x v="0"/>
    <x v="0"/>
    <x v="32"/>
    <x v="27"/>
    <x v="0"/>
    <x v="46"/>
    <x v="0"/>
    <x v="0"/>
    <x v="0"/>
    <x v="94"/>
    <x v="95"/>
    <x v="3"/>
    <x v="29"/>
    <x v="87"/>
    <x v="97"/>
    <x v="0"/>
    <x v="0"/>
    <x v="97"/>
    <x v="1"/>
    <x v="74"/>
    <x v="0"/>
    <x v="0"/>
    <x v="0"/>
    <x v="0"/>
    <x v="0"/>
    <x v="0"/>
    <x v="0"/>
    <x v="0"/>
  </r>
  <r>
    <x v="175"/>
    <x v="0"/>
    <x v="1"/>
    <x v="0"/>
    <x v="0"/>
    <x v="1"/>
    <x v="173"/>
    <x v="142"/>
    <x v="0"/>
    <x v="2"/>
    <x v="1"/>
    <x v="1"/>
    <x v="10"/>
    <x v="0"/>
    <x v="0"/>
    <x v="0"/>
    <x v="16"/>
    <x v="11"/>
    <x v="0"/>
    <x v="108"/>
    <x v="0"/>
    <x v="0"/>
    <x v="0"/>
    <x v="75"/>
    <x v="76"/>
    <x v="0"/>
    <x v="50"/>
    <x v="61"/>
    <x v="78"/>
    <x v="0"/>
    <x v="0"/>
    <x v="76"/>
    <x v="0"/>
    <x v="61"/>
    <x v="0"/>
    <x v="0"/>
    <x v="0"/>
    <x v="0"/>
    <x v="0"/>
    <x v="0"/>
    <x v="0"/>
    <x v="0"/>
  </r>
  <r>
    <x v="176"/>
    <x v="0"/>
    <x v="1"/>
    <x v="0"/>
    <x v="0"/>
    <x v="0"/>
    <x v="174"/>
    <x v="143"/>
    <x v="0"/>
    <x v="2"/>
    <x v="1"/>
    <x v="1"/>
    <x v="10"/>
    <x v="0"/>
    <x v="4"/>
    <x v="0"/>
    <x v="18"/>
    <x v="13"/>
    <x v="4"/>
    <x v="109"/>
    <x v="0"/>
    <x v="0"/>
    <x v="0"/>
    <x v="77"/>
    <x v="96"/>
    <x v="12"/>
    <x v="25"/>
    <x v="88"/>
    <x v="98"/>
    <x v="0"/>
    <x v="0"/>
    <x v="98"/>
    <x v="1"/>
    <x v="75"/>
    <x v="0"/>
    <x v="0"/>
    <x v="0"/>
    <x v="0"/>
    <x v="0"/>
    <x v="0"/>
    <x v="0"/>
    <x v="0"/>
  </r>
  <r>
    <x v="177"/>
    <x v="0"/>
    <x v="1"/>
    <x v="0"/>
    <x v="0"/>
    <x v="1"/>
    <x v="175"/>
    <x v="144"/>
    <x v="0"/>
    <x v="2"/>
    <x v="1"/>
    <x v="1"/>
    <x v="10"/>
    <x v="0"/>
    <x v="0"/>
    <x v="0"/>
    <x v="16"/>
    <x v="11"/>
    <x v="0"/>
    <x v="94"/>
    <x v="0"/>
    <x v="0"/>
    <x v="0"/>
    <x v="91"/>
    <x v="92"/>
    <x v="1"/>
    <x v="4"/>
    <x v="84"/>
    <x v="94"/>
    <x v="0"/>
    <x v="0"/>
    <x v="94"/>
    <x v="0"/>
    <x v="12"/>
    <x v="0"/>
    <x v="0"/>
    <x v="0"/>
    <x v="0"/>
    <x v="0"/>
    <x v="0"/>
    <x v="0"/>
    <x v="0"/>
  </r>
  <r>
    <x v="178"/>
    <x v="0"/>
    <x v="1"/>
    <x v="0"/>
    <x v="0"/>
    <x v="0"/>
    <x v="176"/>
    <x v="145"/>
    <x v="0"/>
    <x v="2"/>
    <x v="1"/>
    <x v="1"/>
    <x v="10"/>
    <x v="0"/>
    <x v="0"/>
    <x v="0"/>
    <x v="16"/>
    <x v="11"/>
    <x v="0"/>
    <x v="110"/>
    <x v="0"/>
    <x v="0"/>
    <x v="0"/>
    <x v="95"/>
    <x v="97"/>
    <x v="5"/>
    <x v="41"/>
    <x v="89"/>
    <x v="99"/>
    <x v="0"/>
    <x v="0"/>
    <x v="99"/>
    <x v="0"/>
    <x v="12"/>
    <x v="0"/>
    <x v="0"/>
    <x v="0"/>
    <x v="0"/>
    <x v="0"/>
    <x v="0"/>
    <x v="0"/>
    <x v="0"/>
  </r>
  <r>
    <x v="179"/>
    <x v="0"/>
    <x v="1"/>
    <x v="0"/>
    <x v="0"/>
    <x v="1"/>
    <x v="177"/>
    <x v="146"/>
    <x v="0"/>
    <x v="2"/>
    <x v="1"/>
    <x v="1"/>
    <x v="10"/>
    <x v="0"/>
    <x v="4"/>
    <x v="0"/>
    <x v="18"/>
    <x v="13"/>
    <x v="4"/>
    <x v="111"/>
    <x v="0"/>
    <x v="0"/>
    <x v="0"/>
    <x v="96"/>
    <x v="98"/>
    <x v="7"/>
    <x v="64"/>
    <x v="90"/>
    <x v="100"/>
    <x v="0"/>
    <x v="0"/>
    <x v="100"/>
    <x v="0"/>
    <x v="76"/>
    <x v="0"/>
    <x v="0"/>
    <x v="0"/>
    <x v="0"/>
    <x v="0"/>
    <x v="0"/>
    <x v="0"/>
    <x v="0"/>
  </r>
  <r>
    <x v="180"/>
    <x v="0"/>
    <x v="1"/>
    <x v="0"/>
    <x v="0"/>
    <x v="1"/>
    <x v="178"/>
    <x v="147"/>
    <x v="0"/>
    <x v="2"/>
    <x v="1"/>
    <x v="1"/>
    <x v="10"/>
    <x v="0"/>
    <x v="2"/>
    <x v="0"/>
    <x v="17"/>
    <x v="12"/>
    <x v="2"/>
    <x v="96"/>
    <x v="0"/>
    <x v="0"/>
    <x v="0"/>
    <x v="93"/>
    <x v="94"/>
    <x v="1"/>
    <x v="9"/>
    <x v="86"/>
    <x v="96"/>
    <x v="0"/>
    <x v="0"/>
    <x v="96"/>
    <x v="1"/>
    <x v="73"/>
    <x v="0"/>
    <x v="1"/>
    <x v="0"/>
    <x v="0"/>
    <x v="0"/>
    <x v="0"/>
    <x v="0"/>
    <x v="0"/>
  </r>
  <r>
    <x v="181"/>
    <x v="0"/>
    <x v="1"/>
    <x v="0"/>
    <x v="0"/>
    <x v="1"/>
    <x v="179"/>
    <x v="148"/>
    <x v="0"/>
    <x v="2"/>
    <x v="1"/>
    <x v="1"/>
    <x v="9"/>
    <x v="0"/>
    <x v="0"/>
    <x v="0"/>
    <x v="15"/>
    <x v="10"/>
    <x v="0"/>
    <x v="15"/>
    <x v="0"/>
    <x v="0"/>
    <x v="0"/>
    <x v="66"/>
    <x v="67"/>
    <x v="3"/>
    <x v="51"/>
    <x v="64"/>
    <x v="69"/>
    <x v="0"/>
    <x v="0"/>
    <x v="67"/>
    <x v="0"/>
    <x v="12"/>
    <x v="0"/>
    <x v="0"/>
    <x v="0"/>
    <x v="0"/>
    <x v="0"/>
    <x v="0"/>
    <x v="0"/>
    <x v="0"/>
  </r>
  <r>
    <x v="182"/>
    <x v="0"/>
    <x v="1"/>
    <x v="0"/>
    <x v="0"/>
    <x v="1"/>
    <x v="180"/>
    <x v="149"/>
    <x v="0"/>
    <x v="2"/>
    <x v="1"/>
    <x v="1"/>
    <x v="10"/>
    <x v="0"/>
    <x v="4"/>
    <x v="0"/>
    <x v="18"/>
    <x v="13"/>
    <x v="4"/>
    <x v="81"/>
    <x v="0"/>
    <x v="0"/>
    <x v="0"/>
    <x v="97"/>
    <x v="99"/>
    <x v="11"/>
    <x v="65"/>
    <x v="91"/>
    <x v="101"/>
    <x v="0"/>
    <x v="0"/>
    <x v="101"/>
    <x v="0"/>
    <x v="77"/>
    <x v="0"/>
    <x v="0"/>
    <x v="0"/>
    <x v="0"/>
    <x v="0"/>
    <x v="0"/>
    <x v="0"/>
    <x v="0"/>
  </r>
  <r>
    <x v="183"/>
    <x v="0"/>
    <x v="1"/>
    <x v="0"/>
    <x v="0"/>
    <x v="1"/>
    <x v="181"/>
    <x v="150"/>
    <x v="0"/>
    <x v="2"/>
    <x v="1"/>
    <x v="1"/>
    <x v="10"/>
    <x v="0"/>
    <x v="0"/>
    <x v="0"/>
    <x v="16"/>
    <x v="11"/>
    <x v="0"/>
    <x v="95"/>
    <x v="0"/>
    <x v="0"/>
    <x v="0"/>
    <x v="98"/>
    <x v="100"/>
    <x v="3"/>
    <x v="66"/>
    <x v="92"/>
    <x v="102"/>
    <x v="0"/>
    <x v="0"/>
    <x v="102"/>
    <x v="0"/>
    <x v="12"/>
    <x v="0"/>
    <x v="0"/>
    <x v="0"/>
    <x v="0"/>
    <x v="0"/>
    <x v="0"/>
    <x v="0"/>
    <x v="0"/>
  </r>
  <r>
    <x v="184"/>
    <x v="0"/>
    <x v="1"/>
    <x v="0"/>
    <x v="0"/>
    <x v="1"/>
    <x v="182"/>
    <x v="151"/>
    <x v="0"/>
    <x v="2"/>
    <x v="1"/>
    <x v="1"/>
    <x v="10"/>
    <x v="0"/>
    <x v="2"/>
    <x v="0"/>
    <x v="17"/>
    <x v="12"/>
    <x v="2"/>
    <x v="112"/>
    <x v="0"/>
    <x v="0"/>
    <x v="0"/>
    <x v="93"/>
    <x v="94"/>
    <x v="1"/>
    <x v="9"/>
    <x v="86"/>
    <x v="96"/>
    <x v="0"/>
    <x v="0"/>
    <x v="96"/>
    <x v="1"/>
    <x v="73"/>
    <x v="0"/>
    <x v="0"/>
    <x v="0"/>
    <x v="0"/>
    <x v="0"/>
    <x v="0"/>
    <x v="0"/>
    <x v="0"/>
  </r>
  <r>
    <x v="185"/>
    <x v="0"/>
    <x v="1"/>
    <x v="0"/>
    <x v="0"/>
    <x v="1"/>
    <x v="182"/>
    <x v="152"/>
    <x v="0"/>
    <x v="2"/>
    <x v="1"/>
    <x v="1"/>
    <x v="10"/>
    <x v="0"/>
    <x v="4"/>
    <x v="0"/>
    <x v="18"/>
    <x v="13"/>
    <x v="4"/>
    <x v="94"/>
    <x v="0"/>
    <x v="0"/>
    <x v="0"/>
    <x v="99"/>
    <x v="101"/>
    <x v="0"/>
    <x v="50"/>
    <x v="72"/>
    <x v="103"/>
    <x v="0"/>
    <x v="0"/>
    <x v="103"/>
    <x v="0"/>
    <x v="78"/>
    <x v="0"/>
    <x v="0"/>
    <x v="0"/>
    <x v="0"/>
    <x v="0"/>
    <x v="0"/>
    <x v="0"/>
    <x v="0"/>
  </r>
  <r>
    <x v="186"/>
    <x v="0"/>
    <x v="1"/>
    <x v="0"/>
    <x v="0"/>
    <x v="1"/>
    <x v="183"/>
    <x v="153"/>
    <x v="0"/>
    <x v="2"/>
    <x v="1"/>
    <x v="1"/>
    <x v="9"/>
    <x v="0"/>
    <x v="0"/>
    <x v="0"/>
    <x v="15"/>
    <x v="10"/>
    <x v="0"/>
    <x v="31"/>
    <x v="0"/>
    <x v="0"/>
    <x v="0"/>
    <x v="37"/>
    <x v="38"/>
    <x v="8"/>
    <x v="22"/>
    <x v="23"/>
    <x v="38"/>
    <x v="0"/>
    <x v="0"/>
    <x v="89"/>
    <x v="0"/>
    <x v="12"/>
    <x v="0"/>
    <x v="0"/>
    <x v="0"/>
    <x v="0"/>
    <x v="0"/>
    <x v="0"/>
    <x v="0"/>
    <x v="0"/>
  </r>
  <r>
    <x v="187"/>
    <x v="0"/>
    <x v="1"/>
    <x v="0"/>
    <x v="0"/>
    <x v="0"/>
    <x v="184"/>
    <x v="154"/>
    <x v="0"/>
    <x v="2"/>
    <x v="1"/>
    <x v="1"/>
    <x v="10"/>
    <x v="0"/>
    <x v="2"/>
    <x v="0"/>
    <x v="17"/>
    <x v="12"/>
    <x v="2"/>
    <x v="82"/>
    <x v="0"/>
    <x v="0"/>
    <x v="0"/>
    <x v="100"/>
    <x v="102"/>
    <x v="0"/>
    <x v="0"/>
    <x v="93"/>
    <x v="104"/>
    <x v="0"/>
    <x v="0"/>
    <x v="104"/>
    <x v="1"/>
    <x v="79"/>
    <x v="0"/>
    <x v="0"/>
    <x v="0"/>
    <x v="0"/>
    <x v="0"/>
    <x v="0"/>
    <x v="0"/>
    <x v="0"/>
  </r>
  <r>
    <x v="188"/>
    <x v="0"/>
    <x v="1"/>
    <x v="0"/>
    <x v="0"/>
    <x v="1"/>
    <x v="185"/>
    <x v="155"/>
    <x v="0"/>
    <x v="2"/>
    <x v="1"/>
    <x v="1"/>
    <x v="10"/>
    <x v="0"/>
    <x v="0"/>
    <x v="0"/>
    <x v="16"/>
    <x v="11"/>
    <x v="0"/>
    <x v="82"/>
    <x v="0"/>
    <x v="0"/>
    <x v="0"/>
    <x v="101"/>
    <x v="103"/>
    <x v="0"/>
    <x v="24"/>
    <x v="59"/>
    <x v="105"/>
    <x v="0"/>
    <x v="0"/>
    <x v="105"/>
    <x v="0"/>
    <x v="12"/>
    <x v="0"/>
    <x v="0"/>
    <x v="0"/>
    <x v="0"/>
    <x v="0"/>
    <x v="0"/>
    <x v="0"/>
    <x v="0"/>
  </r>
  <r>
    <x v="189"/>
    <x v="0"/>
    <x v="1"/>
    <x v="0"/>
    <x v="0"/>
    <x v="1"/>
    <x v="186"/>
    <x v="156"/>
    <x v="0"/>
    <x v="2"/>
    <x v="1"/>
    <x v="1"/>
    <x v="10"/>
    <x v="0"/>
    <x v="4"/>
    <x v="0"/>
    <x v="18"/>
    <x v="13"/>
    <x v="4"/>
    <x v="113"/>
    <x v="0"/>
    <x v="0"/>
    <x v="0"/>
    <x v="102"/>
    <x v="104"/>
    <x v="0"/>
    <x v="47"/>
    <x v="56"/>
    <x v="106"/>
    <x v="0"/>
    <x v="0"/>
    <x v="106"/>
    <x v="1"/>
    <x v="80"/>
    <x v="0"/>
    <x v="0"/>
    <x v="0"/>
    <x v="0"/>
    <x v="0"/>
    <x v="0"/>
    <x v="0"/>
    <x v="0"/>
  </r>
  <r>
    <x v="190"/>
    <x v="0"/>
    <x v="1"/>
    <x v="0"/>
    <x v="0"/>
    <x v="1"/>
    <x v="187"/>
    <x v="157"/>
    <x v="0"/>
    <x v="2"/>
    <x v="1"/>
    <x v="1"/>
    <x v="10"/>
    <x v="0"/>
    <x v="2"/>
    <x v="0"/>
    <x v="17"/>
    <x v="12"/>
    <x v="2"/>
    <x v="16"/>
    <x v="0"/>
    <x v="0"/>
    <x v="0"/>
    <x v="103"/>
    <x v="105"/>
    <x v="21"/>
    <x v="67"/>
    <x v="94"/>
    <x v="107"/>
    <x v="0"/>
    <x v="0"/>
    <x v="107"/>
    <x v="0"/>
    <x v="81"/>
    <x v="0"/>
    <x v="0"/>
    <x v="0"/>
    <x v="0"/>
    <x v="0"/>
    <x v="0"/>
    <x v="0"/>
    <x v="0"/>
  </r>
  <r>
    <x v="191"/>
    <x v="0"/>
    <x v="1"/>
    <x v="0"/>
    <x v="0"/>
    <x v="1"/>
    <x v="188"/>
    <x v="158"/>
    <x v="0"/>
    <x v="2"/>
    <x v="1"/>
    <x v="1"/>
    <x v="10"/>
    <x v="0"/>
    <x v="0"/>
    <x v="0"/>
    <x v="16"/>
    <x v="11"/>
    <x v="0"/>
    <x v="114"/>
    <x v="0"/>
    <x v="0"/>
    <x v="0"/>
    <x v="96"/>
    <x v="98"/>
    <x v="7"/>
    <x v="64"/>
    <x v="90"/>
    <x v="100"/>
    <x v="0"/>
    <x v="0"/>
    <x v="100"/>
    <x v="0"/>
    <x v="76"/>
    <x v="0"/>
    <x v="0"/>
    <x v="0"/>
    <x v="0"/>
    <x v="0"/>
    <x v="0"/>
    <x v="0"/>
    <x v="0"/>
  </r>
  <r>
    <x v="192"/>
    <x v="0"/>
    <x v="1"/>
    <x v="0"/>
    <x v="0"/>
    <x v="1"/>
    <x v="189"/>
    <x v="159"/>
    <x v="0"/>
    <x v="2"/>
    <x v="1"/>
    <x v="1"/>
    <x v="10"/>
    <x v="0"/>
    <x v="0"/>
    <x v="0"/>
    <x v="16"/>
    <x v="11"/>
    <x v="0"/>
    <x v="47"/>
    <x v="0"/>
    <x v="0"/>
    <x v="0"/>
    <x v="104"/>
    <x v="106"/>
    <x v="14"/>
    <x v="68"/>
    <x v="95"/>
    <x v="108"/>
    <x v="0"/>
    <x v="0"/>
    <x v="108"/>
    <x v="0"/>
    <x v="82"/>
    <x v="0"/>
    <x v="0"/>
    <x v="0"/>
    <x v="0"/>
    <x v="0"/>
    <x v="0"/>
    <x v="0"/>
    <x v="0"/>
  </r>
  <r>
    <x v="193"/>
    <x v="0"/>
    <x v="1"/>
    <x v="0"/>
    <x v="0"/>
    <x v="0"/>
    <x v="190"/>
    <x v="160"/>
    <x v="0"/>
    <x v="2"/>
    <x v="1"/>
    <x v="1"/>
    <x v="10"/>
    <x v="0"/>
    <x v="2"/>
    <x v="0"/>
    <x v="17"/>
    <x v="12"/>
    <x v="2"/>
    <x v="115"/>
    <x v="0"/>
    <x v="0"/>
    <x v="0"/>
    <x v="105"/>
    <x v="107"/>
    <x v="17"/>
    <x v="69"/>
    <x v="96"/>
    <x v="109"/>
    <x v="0"/>
    <x v="0"/>
    <x v="109"/>
    <x v="1"/>
    <x v="83"/>
    <x v="0"/>
    <x v="0"/>
    <x v="0"/>
    <x v="0"/>
    <x v="0"/>
    <x v="0"/>
    <x v="0"/>
    <x v="0"/>
  </r>
  <r>
    <x v="194"/>
    <x v="0"/>
    <x v="1"/>
    <x v="0"/>
    <x v="0"/>
    <x v="1"/>
    <x v="191"/>
    <x v="161"/>
    <x v="0"/>
    <x v="2"/>
    <x v="1"/>
    <x v="1"/>
    <x v="10"/>
    <x v="0"/>
    <x v="4"/>
    <x v="0"/>
    <x v="18"/>
    <x v="13"/>
    <x v="4"/>
    <x v="100"/>
    <x v="0"/>
    <x v="0"/>
    <x v="0"/>
    <x v="106"/>
    <x v="108"/>
    <x v="0"/>
    <x v="12"/>
    <x v="12"/>
    <x v="110"/>
    <x v="0"/>
    <x v="0"/>
    <x v="110"/>
    <x v="1"/>
    <x v="84"/>
    <x v="0"/>
    <x v="0"/>
    <x v="0"/>
    <x v="0"/>
    <x v="0"/>
    <x v="0"/>
    <x v="0"/>
    <x v="0"/>
  </r>
  <r>
    <x v="195"/>
    <x v="0"/>
    <x v="1"/>
    <x v="0"/>
    <x v="0"/>
    <x v="1"/>
    <x v="192"/>
    <x v="162"/>
    <x v="0"/>
    <x v="2"/>
    <x v="1"/>
    <x v="1"/>
    <x v="10"/>
    <x v="0"/>
    <x v="2"/>
    <x v="0"/>
    <x v="17"/>
    <x v="12"/>
    <x v="2"/>
    <x v="66"/>
    <x v="0"/>
    <x v="0"/>
    <x v="0"/>
    <x v="107"/>
    <x v="109"/>
    <x v="1"/>
    <x v="1"/>
    <x v="1"/>
    <x v="111"/>
    <x v="0"/>
    <x v="0"/>
    <x v="111"/>
    <x v="1"/>
    <x v="85"/>
    <x v="0"/>
    <x v="0"/>
    <x v="0"/>
    <x v="0"/>
    <x v="0"/>
    <x v="0"/>
    <x v="0"/>
    <x v="0"/>
  </r>
  <r>
    <x v="196"/>
    <x v="0"/>
    <x v="1"/>
    <x v="1"/>
    <x v="0"/>
    <x v="1"/>
    <x v="193"/>
    <x v="1"/>
    <x v="0"/>
    <x v="1"/>
    <x v="1"/>
    <x v="1"/>
    <x v="10"/>
    <x v="0"/>
    <x v="2"/>
    <x v="0"/>
    <x v="17"/>
    <x v="1"/>
    <x v="2"/>
    <x v="99"/>
    <x v="0"/>
    <x v="0"/>
    <x v="0"/>
    <x v="108"/>
    <x v="110"/>
    <x v="5"/>
    <x v="70"/>
    <x v="97"/>
    <x v="112"/>
    <x v="0"/>
    <x v="0"/>
    <x v="112"/>
    <x v="1"/>
    <x v="86"/>
    <x v="0"/>
    <x v="0"/>
    <x v="0"/>
    <x v="0"/>
    <x v="0"/>
    <x v="0"/>
    <x v="0"/>
    <x v="0"/>
  </r>
  <r>
    <x v="197"/>
    <x v="0"/>
    <x v="1"/>
    <x v="0"/>
    <x v="0"/>
    <x v="1"/>
    <x v="194"/>
    <x v="163"/>
    <x v="0"/>
    <x v="2"/>
    <x v="1"/>
    <x v="1"/>
    <x v="10"/>
    <x v="0"/>
    <x v="3"/>
    <x v="0"/>
    <x v="30"/>
    <x v="25"/>
    <x v="3"/>
    <x v="47"/>
    <x v="0"/>
    <x v="0"/>
    <x v="0"/>
    <x v="109"/>
    <x v="111"/>
    <x v="3"/>
    <x v="51"/>
    <x v="64"/>
    <x v="113"/>
    <x v="0"/>
    <x v="0"/>
    <x v="113"/>
    <x v="1"/>
    <x v="87"/>
    <x v="0"/>
    <x v="0"/>
    <x v="0"/>
    <x v="0"/>
    <x v="0"/>
    <x v="0"/>
    <x v="0"/>
    <x v="0"/>
  </r>
  <r>
    <x v="198"/>
    <x v="0"/>
    <x v="1"/>
    <x v="0"/>
    <x v="0"/>
    <x v="1"/>
    <x v="195"/>
    <x v="164"/>
    <x v="0"/>
    <x v="2"/>
    <x v="1"/>
    <x v="1"/>
    <x v="10"/>
    <x v="0"/>
    <x v="0"/>
    <x v="0"/>
    <x v="16"/>
    <x v="11"/>
    <x v="0"/>
    <x v="100"/>
    <x v="0"/>
    <x v="0"/>
    <x v="0"/>
    <x v="110"/>
    <x v="112"/>
    <x v="17"/>
    <x v="71"/>
    <x v="98"/>
    <x v="114"/>
    <x v="0"/>
    <x v="0"/>
    <x v="114"/>
    <x v="0"/>
    <x v="12"/>
    <x v="0"/>
    <x v="0"/>
    <x v="0"/>
    <x v="0"/>
    <x v="0"/>
    <x v="0"/>
    <x v="0"/>
    <x v="0"/>
  </r>
  <r>
    <x v="199"/>
    <x v="0"/>
    <x v="1"/>
    <x v="0"/>
    <x v="0"/>
    <x v="1"/>
    <x v="196"/>
    <x v="165"/>
    <x v="0"/>
    <x v="2"/>
    <x v="1"/>
    <x v="1"/>
    <x v="9"/>
    <x v="0"/>
    <x v="0"/>
    <x v="0"/>
    <x v="15"/>
    <x v="10"/>
    <x v="0"/>
    <x v="21"/>
    <x v="0"/>
    <x v="0"/>
    <x v="0"/>
    <x v="111"/>
    <x v="113"/>
    <x v="3"/>
    <x v="59"/>
    <x v="99"/>
    <x v="115"/>
    <x v="0"/>
    <x v="0"/>
    <x v="115"/>
    <x v="1"/>
    <x v="88"/>
    <x v="0"/>
    <x v="0"/>
    <x v="0"/>
    <x v="0"/>
    <x v="0"/>
    <x v="0"/>
    <x v="0"/>
    <x v="0"/>
  </r>
  <r>
    <x v="200"/>
    <x v="0"/>
    <x v="1"/>
    <x v="0"/>
    <x v="0"/>
    <x v="1"/>
    <x v="197"/>
    <x v="166"/>
    <x v="0"/>
    <x v="2"/>
    <x v="1"/>
    <x v="1"/>
    <x v="9"/>
    <x v="0"/>
    <x v="0"/>
    <x v="0"/>
    <x v="15"/>
    <x v="10"/>
    <x v="0"/>
    <x v="73"/>
    <x v="0"/>
    <x v="0"/>
    <x v="0"/>
    <x v="112"/>
    <x v="114"/>
    <x v="21"/>
    <x v="72"/>
    <x v="100"/>
    <x v="116"/>
    <x v="0"/>
    <x v="0"/>
    <x v="116"/>
    <x v="1"/>
    <x v="89"/>
    <x v="0"/>
    <x v="0"/>
    <x v="0"/>
    <x v="0"/>
    <x v="0"/>
    <x v="0"/>
    <x v="0"/>
    <x v="0"/>
  </r>
  <r>
    <x v="201"/>
    <x v="0"/>
    <x v="1"/>
    <x v="0"/>
    <x v="0"/>
    <x v="1"/>
    <x v="198"/>
    <x v="167"/>
    <x v="0"/>
    <x v="2"/>
    <x v="1"/>
    <x v="1"/>
    <x v="9"/>
    <x v="0"/>
    <x v="0"/>
    <x v="0"/>
    <x v="15"/>
    <x v="10"/>
    <x v="0"/>
    <x v="54"/>
    <x v="0"/>
    <x v="0"/>
    <x v="0"/>
    <x v="110"/>
    <x v="112"/>
    <x v="17"/>
    <x v="71"/>
    <x v="98"/>
    <x v="114"/>
    <x v="0"/>
    <x v="0"/>
    <x v="114"/>
    <x v="0"/>
    <x v="12"/>
    <x v="0"/>
    <x v="0"/>
    <x v="0"/>
    <x v="0"/>
    <x v="0"/>
    <x v="0"/>
    <x v="0"/>
    <x v="0"/>
  </r>
  <r>
    <x v="202"/>
    <x v="0"/>
    <x v="1"/>
    <x v="0"/>
    <x v="0"/>
    <x v="1"/>
    <x v="199"/>
    <x v="168"/>
    <x v="0"/>
    <x v="2"/>
    <x v="1"/>
    <x v="1"/>
    <x v="9"/>
    <x v="0"/>
    <x v="0"/>
    <x v="0"/>
    <x v="15"/>
    <x v="10"/>
    <x v="0"/>
    <x v="24"/>
    <x v="0"/>
    <x v="0"/>
    <x v="0"/>
    <x v="75"/>
    <x v="76"/>
    <x v="0"/>
    <x v="50"/>
    <x v="61"/>
    <x v="78"/>
    <x v="0"/>
    <x v="0"/>
    <x v="76"/>
    <x v="0"/>
    <x v="61"/>
    <x v="0"/>
    <x v="0"/>
    <x v="0"/>
    <x v="0"/>
    <x v="0"/>
    <x v="0"/>
    <x v="0"/>
    <x v="0"/>
  </r>
  <r>
    <x v="203"/>
    <x v="0"/>
    <x v="1"/>
    <x v="0"/>
    <x v="0"/>
    <x v="1"/>
    <x v="200"/>
    <x v="169"/>
    <x v="0"/>
    <x v="2"/>
    <x v="1"/>
    <x v="1"/>
    <x v="9"/>
    <x v="0"/>
    <x v="0"/>
    <x v="0"/>
    <x v="15"/>
    <x v="10"/>
    <x v="0"/>
    <x v="26"/>
    <x v="0"/>
    <x v="0"/>
    <x v="0"/>
    <x v="96"/>
    <x v="98"/>
    <x v="7"/>
    <x v="64"/>
    <x v="90"/>
    <x v="100"/>
    <x v="0"/>
    <x v="0"/>
    <x v="100"/>
    <x v="0"/>
    <x v="76"/>
    <x v="0"/>
    <x v="0"/>
    <x v="0"/>
    <x v="3"/>
    <x v="0"/>
    <x v="0"/>
    <x v="0"/>
    <x v="0"/>
  </r>
  <r>
    <x v="204"/>
    <x v="0"/>
    <x v="1"/>
    <x v="0"/>
    <x v="0"/>
    <x v="1"/>
    <x v="201"/>
    <x v="170"/>
    <x v="0"/>
    <x v="2"/>
    <x v="1"/>
    <x v="1"/>
    <x v="9"/>
    <x v="1"/>
    <x v="0"/>
    <x v="0"/>
    <x v="43"/>
    <x v="38"/>
    <x v="0"/>
    <x v="26"/>
    <x v="0"/>
    <x v="0"/>
    <x v="0"/>
    <x v="113"/>
    <x v="115"/>
    <x v="22"/>
    <x v="73"/>
    <x v="101"/>
    <x v="117"/>
    <x v="0"/>
    <x v="0"/>
    <x v="117"/>
    <x v="0"/>
    <x v="90"/>
    <x v="0"/>
    <x v="0"/>
    <x v="0"/>
    <x v="0"/>
    <x v="0"/>
    <x v="0"/>
    <x v="0"/>
    <x v="0"/>
  </r>
  <r>
    <x v="205"/>
    <x v="0"/>
    <x v="1"/>
    <x v="0"/>
    <x v="0"/>
    <x v="1"/>
    <x v="202"/>
    <x v="171"/>
    <x v="0"/>
    <x v="2"/>
    <x v="1"/>
    <x v="1"/>
    <x v="9"/>
    <x v="0"/>
    <x v="0"/>
    <x v="0"/>
    <x v="15"/>
    <x v="10"/>
    <x v="0"/>
    <x v="24"/>
    <x v="0"/>
    <x v="0"/>
    <x v="0"/>
    <x v="97"/>
    <x v="99"/>
    <x v="11"/>
    <x v="65"/>
    <x v="91"/>
    <x v="101"/>
    <x v="0"/>
    <x v="0"/>
    <x v="101"/>
    <x v="0"/>
    <x v="77"/>
    <x v="0"/>
    <x v="0"/>
    <x v="0"/>
    <x v="0"/>
    <x v="0"/>
    <x v="0"/>
    <x v="0"/>
    <x v="0"/>
  </r>
  <r>
    <x v="206"/>
    <x v="0"/>
    <x v="1"/>
    <x v="0"/>
    <x v="0"/>
    <x v="1"/>
    <x v="203"/>
    <x v="172"/>
    <x v="0"/>
    <x v="2"/>
    <x v="1"/>
    <x v="1"/>
    <x v="9"/>
    <x v="0"/>
    <x v="0"/>
    <x v="0"/>
    <x v="15"/>
    <x v="10"/>
    <x v="0"/>
    <x v="69"/>
    <x v="0"/>
    <x v="0"/>
    <x v="0"/>
    <x v="114"/>
    <x v="116"/>
    <x v="13"/>
    <x v="46"/>
    <x v="102"/>
    <x v="118"/>
    <x v="0"/>
    <x v="0"/>
    <x v="118"/>
    <x v="1"/>
    <x v="91"/>
    <x v="0"/>
    <x v="0"/>
    <x v="0"/>
    <x v="0"/>
    <x v="0"/>
    <x v="0"/>
    <x v="0"/>
    <x v="0"/>
  </r>
  <r>
    <x v="207"/>
    <x v="0"/>
    <x v="0"/>
    <x v="0"/>
    <x v="0"/>
    <x v="0"/>
    <x v="204"/>
    <x v="173"/>
    <x v="0"/>
    <x v="0"/>
    <x v="18"/>
    <x v="18"/>
    <x v="5"/>
    <x v="0"/>
    <x v="0"/>
    <x v="0"/>
    <x v="32"/>
    <x v="27"/>
    <x v="0"/>
    <x v="46"/>
    <x v="0"/>
    <x v="0"/>
    <x v="0"/>
    <x v="115"/>
    <x v="117"/>
    <x v="13"/>
    <x v="53"/>
    <x v="103"/>
    <x v="119"/>
    <x v="0"/>
    <x v="0"/>
    <x v="119"/>
    <x v="1"/>
    <x v="92"/>
    <x v="0"/>
    <x v="0"/>
    <x v="0"/>
    <x v="0"/>
    <x v="0"/>
    <x v="0"/>
    <x v="0"/>
    <x v="0"/>
  </r>
  <r>
    <x v="208"/>
    <x v="0"/>
    <x v="1"/>
    <x v="1"/>
    <x v="0"/>
    <x v="1"/>
    <x v="205"/>
    <x v="1"/>
    <x v="0"/>
    <x v="1"/>
    <x v="1"/>
    <x v="1"/>
    <x v="12"/>
    <x v="0"/>
    <x v="0"/>
    <x v="0"/>
    <x v="24"/>
    <x v="1"/>
    <x v="0"/>
    <x v="29"/>
    <x v="0"/>
    <x v="0"/>
    <x v="0"/>
    <x v="43"/>
    <x v="37"/>
    <x v="15"/>
    <x v="32"/>
    <x v="36"/>
    <x v="44"/>
    <x v="0"/>
    <x v="0"/>
    <x v="44"/>
    <x v="0"/>
    <x v="12"/>
    <x v="0"/>
    <x v="0"/>
    <x v="0"/>
    <x v="0"/>
    <x v="0"/>
    <x v="0"/>
    <x v="0"/>
    <x v="0"/>
  </r>
  <r>
    <x v="209"/>
    <x v="0"/>
    <x v="1"/>
    <x v="0"/>
    <x v="0"/>
    <x v="0"/>
    <x v="206"/>
    <x v="174"/>
    <x v="0"/>
    <x v="2"/>
    <x v="1"/>
    <x v="1"/>
    <x v="12"/>
    <x v="0"/>
    <x v="0"/>
    <x v="0"/>
    <x v="24"/>
    <x v="19"/>
    <x v="0"/>
    <x v="29"/>
    <x v="0"/>
    <x v="0"/>
    <x v="0"/>
    <x v="116"/>
    <x v="118"/>
    <x v="0"/>
    <x v="24"/>
    <x v="104"/>
    <x v="120"/>
    <x v="0"/>
    <x v="0"/>
    <x v="120"/>
    <x v="0"/>
    <x v="12"/>
    <x v="0"/>
    <x v="0"/>
    <x v="0"/>
    <x v="0"/>
    <x v="0"/>
    <x v="0"/>
    <x v="0"/>
    <x v="0"/>
  </r>
  <r>
    <x v="210"/>
    <x v="0"/>
    <x v="1"/>
    <x v="1"/>
    <x v="0"/>
    <x v="1"/>
    <x v="207"/>
    <x v="1"/>
    <x v="0"/>
    <x v="1"/>
    <x v="1"/>
    <x v="1"/>
    <x v="12"/>
    <x v="0"/>
    <x v="0"/>
    <x v="0"/>
    <x v="24"/>
    <x v="1"/>
    <x v="0"/>
    <x v="29"/>
    <x v="0"/>
    <x v="0"/>
    <x v="0"/>
    <x v="43"/>
    <x v="37"/>
    <x v="15"/>
    <x v="32"/>
    <x v="36"/>
    <x v="44"/>
    <x v="0"/>
    <x v="0"/>
    <x v="44"/>
    <x v="0"/>
    <x v="12"/>
    <x v="0"/>
    <x v="0"/>
    <x v="0"/>
    <x v="0"/>
    <x v="0"/>
    <x v="0"/>
    <x v="0"/>
    <x v="0"/>
  </r>
  <r>
    <x v="211"/>
    <x v="0"/>
    <x v="1"/>
    <x v="0"/>
    <x v="0"/>
    <x v="0"/>
    <x v="208"/>
    <x v="175"/>
    <x v="0"/>
    <x v="0"/>
    <x v="19"/>
    <x v="19"/>
    <x v="13"/>
    <x v="0"/>
    <x v="0"/>
    <x v="0"/>
    <x v="23"/>
    <x v="18"/>
    <x v="0"/>
    <x v="116"/>
    <x v="0"/>
    <x v="0"/>
    <x v="0"/>
    <x v="117"/>
    <x v="119"/>
    <x v="6"/>
    <x v="74"/>
    <x v="105"/>
    <x v="121"/>
    <x v="0"/>
    <x v="0"/>
    <x v="121"/>
    <x v="0"/>
    <x v="93"/>
    <x v="0"/>
    <x v="0"/>
    <x v="0"/>
    <x v="0"/>
    <x v="0"/>
    <x v="0"/>
    <x v="0"/>
    <x v="0"/>
  </r>
  <r>
    <x v="212"/>
    <x v="0"/>
    <x v="1"/>
    <x v="0"/>
    <x v="0"/>
    <x v="1"/>
    <x v="209"/>
    <x v="176"/>
    <x v="0"/>
    <x v="2"/>
    <x v="1"/>
    <x v="1"/>
    <x v="2"/>
    <x v="0"/>
    <x v="3"/>
    <x v="0"/>
    <x v="40"/>
    <x v="35"/>
    <x v="3"/>
    <x v="6"/>
    <x v="0"/>
    <x v="0"/>
    <x v="0"/>
    <x v="118"/>
    <x v="120"/>
    <x v="23"/>
    <x v="75"/>
    <x v="106"/>
    <x v="122"/>
    <x v="0"/>
    <x v="0"/>
    <x v="122"/>
    <x v="1"/>
    <x v="94"/>
    <x v="0"/>
    <x v="0"/>
    <x v="0"/>
    <x v="0"/>
    <x v="0"/>
    <x v="0"/>
    <x v="0"/>
    <x v="0"/>
  </r>
  <r>
    <x v="213"/>
    <x v="0"/>
    <x v="1"/>
    <x v="0"/>
    <x v="0"/>
    <x v="1"/>
    <x v="210"/>
    <x v="177"/>
    <x v="0"/>
    <x v="2"/>
    <x v="1"/>
    <x v="1"/>
    <x v="2"/>
    <x v="0"/>
    <x v="8"/>
    <x v="0"/>
    <x v="44"/>
    <x v="39"/>
    <x v="8"/>
    <x v="6"/>
    <x v="0"/>
    <x v="0"/>
    <x v="0"/>
    <x v="1"/>
    <x v="1"/>
    <x v="1"/>
    <x v="1"/>
    <x v="1"/>
    <x v="1"/>
    <x v="0"/>
    <x v="0"/>
    <x v="1"/>
    <x v="1"/>
    <x v="1"/>
    <x v="0"/>
    <x v="0"/>
    <x v="0"/>
    <x v="0"/>
    <x v="0"/>
    <x v="0"/>
    <x v="0"/>
    <x v="0"/>
  </r>
  <r>
    <x v="214"/>
    <x v="0"/>
    <x v="1"/>
    <x v="0"/>
    <x v="0"/>
    <x v="1"/>
    <x v="211"/>
    <x v="178"/>
    <x v="0"/>
    <x v="2"/>
    <x v="1"/>
    <x v="1"/>
    <x v="2"/>
    <x v="0"/>
    <x v="4"/>
    <x v="0"/>
    <x v="29"/>
    <x v="24"/>
    <x v="4"/>
    <x v="6"/>
    <x v="0"/>
    <x v="0"/>
    <x v="0"/>
    <x v="119"/>
    <x v="121"/>
    <x v="11"/>
    <x v="65"/>
    <x v="107"/>
    <x v="123"/>
    <x v="0"/>
    <x v="0"/>
    <x v="123"/>
    <x v="0"/>
    <x v="12"/>
    <x v="0"/>
    <x v="0"/>
    <x v="0"/>
    <x v="0"/>
    <x v="0"/>
    <x v="0"/>
    <x v="0"/>
    <x v="0"/>
  </r>
  <r>
    <x v="215"/>
    <x v="0"/>
    <x v="1"/>
    <x v="0"/>
    <x v="0"/>
    <x v="1"/>
    <x v="212"/>
    <x v="179"/>
    <x v="0"/>
    <x v="2"/>
    <x v="1"/>
    <x v="1"/>
    <x v="2"/>
    <x v="0"/>
    <x v="4"/>
    <x v="0"/>
    <x v="29"/>
    <x v="24"/>
    <x v="4"/>
    <x v="117"/>
    <x v="0"/>
    <x v="0"/>
    <x v="0"/>
    <x v="120"/>
    <x v="122"/>
    <x v="13"/>
    <x v="53"/>
    <x v="108"/>
    <x v="124"/>
    <x v="0"/>
    <x v="0"/>
    <x v="124"/>
    <x v="1"/>
    <x v="95"/>
    <x v="0"/>
    <x v="0"/>
    <x v="0"/>
    <x v="0"/>
    <x v="0"/>
    <x v="0"/>
    <x v="0"/>
    <x v="0"/>
  </r>
  <r>
    <x v="216"/>
    <x v="0"/>
    <x v="1"/>
    <x v="0"/>
    <x v="0"/>
    <x v="1"/>
    <x v="213"/>
    <x v="180"/>
    <x v="0"/>
    <x v="2"/>
    <x v="1"/>
    <x v="1"/>
    <x v="2"/>
    <x v="0"/>
    <x v="4"/>
    <x v="0"/>
    <x v="29"/>
    <x v="24"/>
    <x v="4"/>
    <x v="117"/>
    <x v="0"/>
    <x v="0"/>
    <x v="0"/>
    <x v="121"/>
    <x v="123"/>
    <x v="7"/>
    <x v="76"/>
    <x v="109"/>
    <x v="125"/>
    <x v="0"/>
    <x v="0"/>
    <x v="125"/>
    <x v="0"/>
    <x v="12"/>
    <x v="0"/>
    <x v="0"/>
    <x v="0"/>
    <x v="0"/>
    <x v="0"/>
    <x v="0"/>
    <x v="0"/>
    <x v="0"/>
  </r>
  <r>
    <x v="217"/>
    <x v="0"/>
    <x v="1"/>
    <x v="0"/>
    <x v="0"/>
    <x v="1"/>
    <x v="214"/>
    <x v="181"/>
    <x v="0"/>
    <x v="2"/>
    <x v="1"/>
    <x v="1"/>
    <x v="2"/>
    <x v="0"/>
    <x v="3"/>
    <x v="0"/>
    <x v="40"/>
    <x v="35"/>
    <x v="3"/>
    <x v="39"/>
    <x v="0"/>
    <x v="0"/>
    <x v="0"/>
    <x v="122"/>
    <x v="124"/>
    <x v="1"/>
    <x v="77"/>
    <x v="110"/>
    <x v="126"/>
    <x v="0"/>
    <x v="0"/>
    <x v="126"/>
    <x v="1"/>
    <x v="96"/>
    <x v="0"/>
    <x v="0"/>
    <x v="0"/>
    <x v="0"/>
    <x v="0"/>
    <x v="0"/>
    <x v="0"/>
    <x v="0"/>
  </r>
  <r>
    <x v="218"/>
    <x v="0"/>
    <x v="1"/>
    <x v="0"/>
    <x v="0"/>
    <x v="1"/>
    <x v="215"/>
    <x v="182"/>
    <x v="0"/>
    <x v="2"/>
    <x v="1"/>
    <x v="1"/>
    <x v="2"/>
    <x v="1"/>
    <x v="3"/>
    <x v="0"/>
    <x v="4"/>
    <x v="2"/>
    <x v="3"/>
    <x v="117"/>
    <x v="0"/>
    <x v="0"/>
    <x v="0"/>
    <x v="113"/>
    <x v="115"/>
    <x v="22"/>
    <x v="73"/>
    <x v="101"/>
    <x v="117"/>
    <x v="0"/>
    <x v="0"/>
    <x v="117"/>
    <x v="0"/>
    <x v="90"/>
    <x v="0"/>
    <x v="0"/>
    <x v="0"/>
    <x v="0"/>
    <x v="0"/>
    <x v="0"/>
    <x v="0"/>
    <x v="0"/>
  </r>
  <r>
    <x v="219"/>
    <x v="0"/>
    <x v="1"/>
    <x v="0"/>
    <x v="0"/>
    <x v="1"/>
    <x v="216"/>
    <x v="183"/>
    <x v="0"/>
    <x v="2"/>
    <x v="1"/>
    <x v="1"/>
    <x v="2"/>
    <x v="0"/>
    <x v="0"/>
    <x v="0"/>
    <x v="5"/>
    <x v="3"/>
    <x v="0"/>
    <x v="118"/>
    <x v="0"/>
    <x v="0"/>
    <x v="0"/>
    <x v="123"/>
    <x v="125"/>
    <x v="14"/>
    <x v="78"/>
    <x v="111"/>
    <x v="127"/>
    <x v="0"/>
    <x v="0"/>
    <x v="127"/>
    <x v="0"/>
    <x v="97"/>
    <x v="0"/>
    <x v="0"/>
    <x v="0"/>
    <x v="0"/>
    <x v="0"/>
    <x v="0"/>
    <x v="0"/>
    <x v="0"/>
  </r>
  <r>
    <x v="220"/>
    <x v="0"/>
    <x v="1"/>
    <x v="0"/>
    <x v="0"/>
    <x v="1"/>
    <x v="217"/>
    <x v="184"/>
    <x v="0"/>
    <x v="2"/>
    <x v="1"/>
    <x v="1"/>
    <x v="4"/>
    <x v="1"/>
    <x v="3"/>
    <x v="0"/>
    <x v="40"/>
    <x v="35"/>
    <x v="3"/>
    <x v="119"/>
    <x v="0"/>
    <x v="0"/>
    <x v="0"/>
    <x v="113"/>
    <x v="115"/>
    <x v="22"/>
    <x v="73"/>
    <x v="101"/>
    <x v="117"/>
    <x v="0"/>
    <x v="0"/>
    <x v="117"/>
    <x v="0"/>
    <x v="90"/>
    <x v="0"/>
    <x v="0"/>
    <x v="0"/>
    <x v="0"/>
    <x v="0"/>
    <x v="0"/>
    <x v="0"/>
    <x v="0"/>
  </r>
  <r>
    <x v="221"/>
    <x v="0"/>
    <x v="1"/>
    <x v="0"/>
    <x v="0"/>
    <x v="0"/>
    <x v="218"/>
    <x v="185"/>
    <x v="0"/>
    <x v="0"/>
    <x v="20"/>
    <x v="20"/>
    <x v="14"/>
    <x v="0"/>
    <x v="0"/>
    <x v="0"/>
    <x v="25"/>
    <x v="20"/>
    <x v="0"/>
    <x v="33"/>
    <x v="0"/>
    <x v="0"/>
    <x v="0"/>
    <x v="124"/>
    <x v="126"/>
    <x v="1"/>
    <x v="4"/>
    <x v="112"/>
    <x v="128"/>
    <x v="0"/>
    <x v="0"/>
    <x v="128"/>
    <x v="0"/>
    <x v="98"/>
    <x v="0"/>
    <x v="0"/>
    <x v="0"/>
    <x v="0"/>
    <x v="0"/>
    <x v="0"/>
    <x v="0"/>
    <x v="0"/>
  </r>
  <r>
    <x v="222"/>
    <x v="0"/>
    <x v="1"/>
    <x v="0"/>
    <x v="0"/>
    <x v="1"/>
    <x v="219"/>
    <x v="186"/>
    <x v="0"/>
    <x v="2"/>
    <x v="1"/>
    <x v="1"/>
    <x v="2"/>
    <x v="0"/>
    <x v="0"/>
    <x v="0"/>
    <x v="5"/>
    <x v="3"/>
    <x v="0"/>
    <x v="90"/>
    <x v="0"/>
    <x v="0"/>
    <x v="0"/>
    <x v="125"/>
    <x v="127"/>
    <x v="24"/>
    <x v="79"/>
    <x v="113"/>
    <x v="129"/>
    <x v="0"/>
    <x v="0"/>
    <x v="129"/>
    <x v="0"/>
    <x v="99"/>
    <x v="0"/>
    <x v="0"/>
    <x v="0"/>
    <x v="0"/>
    <x v="0"/>
    <x v="0"/>
    <x v="0"/>
    <x v="0"/>
  </r>
  <r>
    <x v="223"/>
    <x v="0"/>
    <x v="1"/>
    <x v="0"/>
    <x v="0"/>
    <x v="1"/>
    <x v="220"/>
    <x v="187"/>
    <x v="0"/>
    <x v="2"/>
    <x v="1"/>
    <x v="1"/>
    <x v="10"/>
    <x v="0"/>
    <x v="0"/>
    <x v="0"/>
    <x v="16"/>
    <x v="11"/>
    <x v="0"/>
    <x v="114"/>
    <x v="0"/>
    <x v="0"/>
    <x v="0"/>
    <x v="47"/>
    <x v="47"/>
    <x v="17"/>
    <x v="37"/>
    <x v="45"/>
    <x v="56"/>
    <x v="0"/>
    <x v="0"/>
    <x v="47"/>
    <x v="0"/>
    <x v="12"/>
    <x v="0"/>
    <x v="0"/>
    <x v="0"/>
    <x v="0"/>
    <x v="0"/>
    <x v="0"/>
    <x v="0"/>
    <x v="0"/>
  </r>
  <r>
    <x v="224"/>
    <x v="0"/>
    <x v="1"/>
    <x v="1"/>
    <x v="0"/>
    <x v="1"/>
    <x v="221"/>
    <x v="1"/>
    <x v="0"/>
    <x v="1"/>
    <x v="1"/>
    <x v="1"/>
    <x v="2"/>
    <x v="0"/>
    <x v="0"/>
    <x v="0"/>
    <x v="5"/>
    <x v="1"/>
    <x v="0"/>
    <x v="90"/>
    <x v="0"/>
    <x v="0"/>
    <x v="0"/>
    <x v="75"/>
    <x v="76"/>
    <x v="0"/>
    <x v="50"/>
    <x v="61"/>
    <x v="78"/>
    <x v="0"/>
    <x v="0"/>
    <x v="76"/>
    <x v="0"/>
    <x v="61"/>
    <x v="0"/>
    <x v="0"/>
    <x v="0"/>
    <x v="0"/>
    <x v="0"/>
    <x v="0"/>
    <x v="0"/>
    <x v="0"/>
  </r>
  <r>
    <x v="225"/>
    <x v="0"/>
    <x v="1"/>
    <x v="0"/>
    <x v="0"/>
    <x v="1"/>
    <x v="222"/>
    <x v="188"/>
    <x v="0"/>
    <x v="2"/>
    <x v="1"/>
    <x v="1"/>
    <x v="10"/>
    <x v="0"/>
    <x v="4"/>
    <x v="0"/>
    <x v="18"/>
    <x v="13"/>
    <x v="4"/>
    <x v="99"/>
    <x v="0"/>
    <x v="0"/>
    <x v="0"/>
    <x v="99"/>
    <x v="101"/>
    <x v="0"/>
    <x v="50"/>
    <x v="72"/>
    <x v="103"/>
    <x v="0"/>
    <x v="0"/>
    <x v="103"/>
    <x v="0"/>
    <x v="78"/>
    <x v="0"/>
    <x v="0"/>
    <x v="0"/>
    <x v="0"/>
    <x v="0"/>
    <x v="0"/>
    <x v="0"/>
    <x v="0"/>
  </r>
  <r>
    <x v="226"/>
    <x v="0"/>
    <x v="1"/>
    <x v="0"/>
    <x v="0"/>
    <x v="1"/>
    <x v="223"/>
    <x v="189"/>
    <x v="0"/>
    <x v="2"/>
    <x v="1"/>
    <x v="1"/>
    <x v="16"/>
    <x v="0"/>
    <x v="0"/>
    <x v="0"/>
    <x v="45"/>
    <x v="40"/>
    <x v="0"/>
    <x v="120"/>
    <x v="0"/>
    <x v="0"/>
    <x v="0"/>
    <x v="121"/>
    <x v="123"/>
    <x v="7"/>
    <x v="76"/>
    <x v="109"/>
    <x v="125"/>
    <x v="0"/>
    <x v="0"/>
    <x v="125"/>
    <x v="0"/>
    <x v="12"/>
    <x v="0"/>
    <x v="0"/>
    <x v="0"/>
    <x v="0"/>
    <x v="0"/>
    <x v="0"/>
    <x v="0"/>
    <x v="0"/>
  </r>
  <r>
    <x v="227"/>
    <x v="0"/>
    <x v="1"/>
    <x v="0"/>
    <x v="0"/>
    <x v="1"/>
    <x v="224"/>
    <x v="190"/>
    <x v="0"/>
    <x v="2"/>
    <x v="1"/>
    <x v="1"/>
    <x v="10"/>
    <x v="0"/>
    <x v="2"/>
    <x v="0"/>
    <x v="17"/>
    <x v="12"/>
    <x v="2"/>
    <x v="82"/>
    <x v="0"/>
    <x v="0"/>
    <x v="0"/>
    <x v="126"/>
    <x v="128"/>
    <x v="0"/>
    <x v="50"/>
    <x v="72"/>
    <x v="130"/>
    <x v="0"/>
    <x v="0"/>
    <x v="130"/>
    <x v="1"/>
    <x v="100"/>
    <x v="0"/>
    <x v="0"/>
    <x v="0"/>
    <x v="0"/>
    <x v="0"/>
    <x v="0"/>
    <x v="0"/>
    <x v="0"/>
  </r>
  <r>
    <x v="228"/>
    <x v="0"/>
    <x v="1"/>
    <x v="0"/>
    <x v="0"/>
    <x v="1"/>
    <x v="225"/>
    <x v="191"/>
    <x v="0"/>
    <x v="2"/>
    <x v="1"/>
    <x v="1"/>
    <x v="10"/>
    <x v="0"/>
    <x v="0"/>
    <x v="0"/>
    <x v="16"/>
    <x v="11"/>
    <x v="0"/>
    <x v="16"/>
    <x v="0"/>
    <x v="0"/>
    <x v="0"/>
    <x v="125"/>
    <x v="127"/>
    <x v="24"/>
    <x v="79"/>
    <x v="113"/>
    <x v="129"/>
    <x v="0"/>
    <x v="0"/>
    <x v="131"/>
    <x v="0"/>
    <x v="99"/>
    <x v="0"/>
    <x v="0"/>
    <x v="0"/>
    <x v="0"/>
    <x v="0"/>
    <x v="0"/>
    <x v="0"/>
    <x v="0"/>
  </r>
  <r>
    <x v="229"/>
    <x v="0"/>
    <x v="1"/>
    <x v="0"/>
    <x v="0"/>
    <x v="3"/>
    <x v="226"/>
    <x v="192"/>
    <x v="0"/>
    <x v="0"/>
    <x v="21"/>
    <x v="21"/>
    <x v="20"/>
    <x v="0"/>
    <x v="0"/>
    <x v="0"/>
    <x v="46"/>
    <x v="41"/>
    <x v="0"/>
    <x v="121"/>
    <x v="0"/>
    <x v="0"/>
    <x v="0"/>
    <x v="127"/>
    <x v="129"/>
    <x v="16"/>
    <x v="80"/>
    <x v="114"/>
    <x v="131"/>
    <x v="0"/>
    <x v="0"/>
    <x v="132"/>
    <x v="1"/>
    <x v="101"/>
    <x v="0"/>
    <x v="0"/>
    <x v="0"/>
    <x v="0"/>
    <x v="0"/>
    <x v="0"/>
    <x v="0"/>
    <x v="0"/>
  </r>
  <r>
    <x v="230"/>
    <x v="0"/>
    <x v="1"/>
    <x v="0"/>
    <x v="0"/>
    <x v="1"/>
    <x v="227"/>
    <x v="193"/>
    <x v="0"/>
    <x v="2"/>
    <x v="1"/>
    <x v="1"/>
    <x v="10"/>
    <x v="0"/>
    <x v="4"/>
    <x v="0"/>
    <x v="18"/>
    <x v="13"/>
    <x v="4"/>
    <x v="47"/>
    <x v="0"/>
    <x v="0"/>
    <x v="0"/>
    <x v="119"/>
    <x v="121"/>
    <x v="11"/>
    <x v="65"/>
    <x v="107"/>
    <x v="123"/>
    <x v="0"/>
    <x v="0"/>
    <x v="123"/>
    <x v="0"/>
    <x v="12"/>
    <x v="0"/>
    <x v="0"/>
    <x v="0"/>
    <x v="0"/>
    <x v="0"/>
    <x v="0"/>
    <x v="0"/>
    <x v="0"/>
  </r>
  <r>
    <x v="231"/>
    <x v="0"/>
    <x v="1"/>
    <x v="0"/>
    <x v="0"/>
    <x v="1"/>
    <x v="228"/>
    <x v="194"/>
    <x v="0"/>
    <x v="2"/>
    <x v="1"/>
    <x v="1"/>
    <x v="10"/>
    <x v="0"/>
    <x v="3"/>
    <x v="0"/>
    <x v="30"/>
    <x v="25"/>
    <x v="3"/>
    <x v="115"/>
    <x v="0"/>
    <x v="0"/>
    <x v="0"/>
    <x v="120"/>
    <x v="122"/>
    <x v="13"/>
    <x v="53"/>
    <x v="108"/>
    <x v="132"/>
    <x v="0"/>
    <x v="0"/>
    <x v="124"/>
    <x v="1"/>
    <x v="95"/>
    <x v="0"/>
    <x v="0"/>
    <x v="0"/>
    <x v="0"/>
    <x v="0"/>
    <x v="0"/>
    <x v="0"/>
    <x v="0"/>
  </r>
  <r>
    <x v="232"/>
    <x v="0"/>
    <x v="0"/>
    <x v="0"/>
    <x v="0"/>
    <x v="0"/>
    <x v="229"/>
    <x v="195"/>
    <x v="0"/>
    <x v="0"/>
    <x v="22"/>
    <x v="22"/>
    <x v="5"/>
    <x v="0"/>
    <x v="0"/>
    <x v="0"/>
    <x v="32"/>
    <x v="27"/>
    <x v="0"/>
    <x v="46"/>
    <x v="0"/>
    <x v="0"/>
    <x v="0"/>
    <x v="128"/>
    <x v="130"/>
    <x v="5"/>
    <x v="20"/>
    <x v="115"/>
    <x v="133"/>
    <x v="0"/>
    <x v="0"/>
    <x v="133"/>
    <x v="0"/>
    <x v="102"/>
    <x v="0"/>
    <x v="0"/>
    <x v="0"/>
    <x v="0"/>
    <x v="0"/>
    <x v="0"/>
    <x v="0"/>
    <x v="0"/>
  </r>
  <r>
    <x v="233"/>
    <x v="0"/>
    <x v="1"/>
    <x v="0"/>
    <x v="0"/>
    <x v="1"/>
    <x v="230"/>
    <x v="196"/>
    <x v="0"/>
    <x v="2"/>
    <x v="1"/>
    <x v="1"/>
    <x v="21"/>
    <x v="0"/>
    <x v="0"/>
    <x v="0"/>
    <x v="47"/>
    <x v="42"/>
    <x v="0"/>
    <x v="122"/>
    <x v="0"/>
    <x v="0"/>
    <x v="0"/>
    <x v="129"/>
    <x v="131"/>
    <x v="0"/>
    <x v="24"/>
    <x v="116"/>
    <x v="134"/>
    <x v="3"/>
    <x v="0"/>
    <x v="134"/>
    <x v="0"/>
    <x v="12"/>
    <x v="0"/>
    <x v="0"/>
    <x v="0"/>
    <x v="0"/>
    <x v="0"/>
    <x v="0"/>
    <x v="0"/>
    <x v="0"/>
  </r>
  <r>
    <x v="234"/>
    <x v="0"/>
    <x v="1"/>
    <x v="0"/>
    <x v="0"/>
    <x v="1"/>
    <x v="231"/>
    <x v="197"/>
    <x v="0"/>
    <x v="2"/>
    <x v="1"/>
    <x v="1"/>
    <x v="2"/>
    <x v="0"/>
    <x v="0"/>
    <x v="0"/>
    <x v="5"/>
    <x v="3"/>
    <x v="0"/>
    <x v="118"/>
    <x v="0"/>
    <x v="0"/>
    <x v="0"/>
    <x v="130"/>
    <x v="132"/>
    <x v="0"/>
    <x v="18"/>
    <x v="117"/>
    <x v="135"/>
    <x v="0"/>
    <x v="0"/>
    <x v="135"/>
    <x v="1"/>
    <x v="103"/>
    <x v="0"/>
    <x v="0"/>
    <x v="0"/>
    <x v="0"/>
    <x v="0"/>
    <x v="0"/>
    <x v="0"/>
    <x v="0"/>
  </r>
  <r>
    <x v="235"/>
    <x v="0"/>
    <x v="1"/>
    <x v="0"/>
    <x v="0"/>
    <x v="1"/>
    <x v="232"/>
    <x v="198"/>
    <x v="0"/>
    <x v="2"/>
    <x v="1"/>
    <x v="1"/>
    <x v="9"/>
    <x v="0"/>
    <x v="0"/>
    <x v="0"/>
    <x v="15"/>
    <x v="10"/>
    <x v="0"/>
    <x v="72"/>
    <x v="0"/>
    <x v="0"/>
    <x v="0"/>
    <x v="120"/>
    <x v="122"/>
    <x v="13"/>
    <x v="53"/>
    <x v="108"/>
    <x v="124"/>
    <x v="4"/>
    <x v="0"/>
    <x v="124"/>
    <x v="1"/>
    <x v="95"/>
    <x v="0"/>
    <x v="0"/>
    <x v="0"/>
    <x v="0"/>
    <x v="0"/>
    <x v="0"/>
    <x v="0"/>
    <x v="0"/>
  </r>
  <r>
    <x v="236"/>
    <x v="0"/>
    <x v="1"/>
    <x v="0"/>
    <x v="0"/>
    <x v="0"/>
    <x v="233"/>
    <x v="199"/>
    <x v="0"/>
    <x v="2"/>
    <x v="1"/>
    <x v="1"/>
    <x v="9"/>
    <x v="0"/>
    <x v="0"/>
    <x v="0"/>
    <x v="15"/>
    <x v="10"/>
    <x v="0"/>
    <x v="123"/>
    <x v="0"/>
    <x v="0"/>
    <x v="0"/>
    <x v="131"/>
    <x v="133"/>
    <x v="0"/>
    <x v="12"/>
    <x v="118"/>
    <x v="136"/>
    <x v="0"/>
    <x v="0"/>
    <x v="136"/>
    <x v="0"/>
    <x v="12"/>
    <x v="0"/>
    <x v="0"/>
    <x v="0"/>
    <x v="0"/>
    <x v="0"/>
    <x v="0"/>
    <x v="0"/>
    <x v="0"/>
  </r>
  <r>
    <x v="237"/>
    <x v="0"/>
    <x v="1"/>
    <x v="0"/>
    <x v="0"/>
    <x v="1"/>
    <x v="234"/>
    <x v="200"/>
    <x v="0"/>
    <x v="2"/>
    <x v="1"/>
    <x v="1"/>
    <x v="9"/>
    <x v="1"/>
    <x v="0"/>
    <x v="0"/>
    <x v="43"/>
    <x v="38"/>
    <x v="0"/>
    <x v="84"/>
    <x v="0"/>
    <x v="0"/>
    <x v="0"/>
    <x v="113"/>
    <x v="115"/>
    <x v="22"/>
    <x v="73"/>
    <x v="101"/>
    <x v="117"/>
    <x v="0"/>
    <x v="0"/>
    <x v="117"/>
    <x v="0"/>
    <x v="90"/>
    <x v="0"/>
    <x v="0"/>
    <x v="0"/>
    <x v="0"/>
    <x v="0"/>
    <x v="0"/>
    <x v="0"/>
    <x v="0"/>
  </r>
  <r>
    <x v="238"/>
    <x v="0"/>
    <x v="1"/>
    <x v="0"/>
    <x v="0"/>
    <x v="1"/>
    <x v="235"/>
    <x v="201"/>
    <x v="0"/>
    <x v="2"/>
    <x v="1"/>
    <x v="1"/>
    <x v="9"/>
    <x v="0"/>
    <x v="0"/>
    <x v="0"/>
    <x v="15"/>
    <x v="10"/>
    <x v="0"/>
    <x v="124"/>
    <x v="0"/>
    <x v="0"/>
    <x v="0"/>
    <x v="98"/>
    <x v="100"/>
    <x v="3"/>
    <x v="66"/>
    <x v="92"/>
    <x v="102"/>
    <x v="0"/>
    <x v="0"/>
    <x v="102"/>
    <x v="0"/>
    <x v="12"/>
    <x v="0"/>
    <x v="0"/>
    <x v="0"/>
    <x v="0"/>
    <x v="0"/>
    <x v="0"/>
    <x v="0"/>
    <x v="0"/>
  </r>
  <r>
    <x v="239"/>
    <x v="0"/>
    <x v="1"/>
    <x v="0"/>
    <x v="0"/>
    <x v="1"/>
    <x v="236"/>
    <x v="202"/>
    <x v="0"/>
    <x v="2"/>
    <x v="1"/>
    <x v="1"/>
    <x v="9"/>
    <x v="0"/>
    <x v="0"/>
    <x v="0"/>
    <x v="15"/>
    <x v="10"/>
    <x v="0"/>
    <x v="19"/>
    <x v="0"/>
    <x v="0"/>
    <x v="0"/>
    <x v="132"/>
    <x v="134"/>
    <x v="13"/>
    <x v="49"/>
    <x v="60"/>
    <x v="137"/>
    <x v="0"/>
    <x v="0"/>
    <x v="137"/>
    <x v="0"/>
    <x v="12"/>
    <x v="0"/>
    <x v="0"/>
    <x v="0"/>
    <x v="0"/>
    <x v="0"/>
    <x v="0"/>
    <x v="0"/>
    <x v="0"/>
  </r>
  <r>
    <x v="240"/>
    <x v="0"/>
    <x v="1"/>
    <x v="0"/>
    <x v="0"/>
    <x v="1"/>
    <x v="237"/>
    <x v="203"/>
    <x v="0"/>
    <x v="2"/>
    <x v="1"/>
    <x v="1"/>
    <x v="9"/>
    <x v="0"/>
    <x v="0"/>
    <x v="0"/>
    <x v="15"/>
    <x v="10"/>
    <x v="0"/>
    <x v="24"/>
    <x v="0"/>
    <x v="0"/>
    <x v="0"/>
    <x v="99"/>
    <x v="101"/>
    <x v="0"/>
    <x v="50"/>
    <x v="72"/>
    <x v="103"/>
    <x v="0"/>
    <x v="0"/>
    <x v="103"/>
    <x v="0"/>
    <x v="78"/>
    <x v="0"/>
    <x v="0"/>
    <x v="0"/>
    <x v="0"/>
    <x v="0"/>
    <x v="0"/>
    <x v="0"/>
    <x v="0"/>
  </r>
  <r>
    <x v="241"/>
    <x v="0"/>
    <x v="1"/>
    <x v="0"/>
    <x v="0"/>
    <x v="2"/>
    <x v="238"/>
    <x v="204"/>
    <x v="0"/>
    <x v="2"/>
    <x v="1"/>
    <x v="1"/>
    <x v="9"/>
    <x v="0"/>
    <x v="0"/>
    <x v="0"/>
    <x v="15"/>
    <x v="10"/>
    <x v="0"/>
    <x v="24"/>
    <x v="0"/>
    <x v="0"/>
    <x v="0"/>
    <x v="109"/>
    <x v="111"/>
    <x v="3"/>
    <x v="51"/>
    <x v="64"/>
    <x v="113"/>
    <x v="0"/>
    <x v="0"/>
    <x v="113"/>
    <x v="1"/>
    <x v="87"/>
    <x v="0"/>
    <x v="1"/>
    <x v="0"/>
    <x v="0"/>
    <x v="0"/>
    <x v="0"/>
    <x v="0"/>
    <x v="0"/>
  </r>
  <r>
    <x v="242"/>
    <x v="0"/>
    <x v="1"/>
    <x v="0"/>
    <x v="0"/>
    <x v="1"/>
    <x v="239"/>
    <x v="205"/>
    <x v="0"/>
    <x v="2"/>
    <x v="1"/>
    <x v="1"/>
    <x v="9"/>
    <x v="0"/>
    <x v="0"/>
    <x v="0"/>
    <x v="15"/>
    <x v="10"/>
    <x v="0"/>
    <x v="24"/>
    <x v="0"/>
    <x v="0"/>
    <x v="0"/>
    <x v="133"/>
    <x v="135"/>
    <x v="13"/>
    <x v="55"/>
    <x v="119"/>
    <x v="138"/>
    <x v="0"/>
    <x v="0"/>
    <x v="138"/>
    <x v="1"/>
    <x v="104"/>
    <x v="0"/>
    <x v="0"/>
    <x v="0"/>
    <x v="0"/>
    <x v="0"/>
    <x v="0"/>
    <x v="0"/>
    <x v="0"/>
  </r>
  <r>
    <x v="243"/>
    <x v="0"/>
    <x v="1"/>
    <x v="1"/>
    <x v="0"/>
    <x v="1"/>
    <x v="240"/>
    <x v="1"/>
    <x v="0"/>
    <x v="1"/>
    <x v="1"/>
    <x v="1"/>
    <x v="9"/>
    <x v="1"/>
    <x v="0"/>
    <x v="0"/>
    <x v="43"/>
    <x v="1"/>
    <x v="0"/>
    <x v="26"/>
    <x v="0"/>
    <x v="0"/>
    <x v="0"/>
    <x v="113"/>
    <x v="115"/>
    <x v="22"/>
    <x v="73"/>
    <x v="101"/>
    <x v="117"/>
    <x v="0"/>
    <x v="0"/>
    <x v="117"/>
    <x v="0"/>
    <x v="90"/>
    <x v="0"/>
    <x v="0"/>
    <x v="0"/>
    <x v="0"/>
    <x v="0"/>
    <x v="0"/>
    <x v="0"/>
    <x v="0"/>
  </r>
  <r>
    <x v="244"/>
    <x v="0"/>
    <x v="1"/>
    <x v="0"/>
    <x v="0"/>
    <x v="1"/>
    <x v="241"/>
    <x v="206"/>
    <x v="0"/>
    <x v="2"/>
    <x v="1"/>
    <x v="1"/>
    <x v="9"/>
    <x v="0"/>
    <x v="0"/>
    <x v="0"/>
    <x v="15"/>
    <x v="10"/>
    <x v="0"/>
    <x v="84"/>
    <x v="0"/>
    <x v="0"/>
    <x v="0"/>
    <x v="103"/>
    <x v="105"/>
    <x v="21"/>
    <x v="67"/>
    <x v="94"/>
    <x v="107"/>
    <x v="0"/>
    <x v="0"/>
    <x v="139"/>
    <x v="0"/>
    <x v="12"/>
    <x v="0"/>
    <x v="0"/>
    <x v="0"/>
    <x v="0"/>
    <x v="0"/>
    <x v="0"/>
    <x v="0"/>
    <x v="0"/>
  </r>
  <r>
    <x v="245"/>
    <x v="0"/>
    <x v="1"/>
    <x v="0"/>
    <x v="0"/>
    <x v="1"/>
    <x v="242"/>
    <x v="207"/>
    <x v="0"/>
    <x v="2"/>
    <x v="1"/>
    <x v="1"/>
    <x v="9"/>
    <x v="0"/>
    <x v="0"/>
    <x v="0"/>
    <x v="15"/>
    <x v="10"/>
    <x v="0"/>
    <x v="69"/>
    <x v="0"/>
    <x v="0"/>
    <x v="0"/>
    <x v="134"/>
    <x v="136"/>
    <x v="14"/>
    <x v="81"/>
    <x v="120"/>
    <x v="139"/>
    <x v="0"/>
    <x v="0"/>
    <x v="140"/>
    <x v="0"/>
    <x v="12"/>
    <x v="0"/>
    <x v="0"/>
    <x v="0"/>
    <x v="0"/>
    <x v="0"/>
    <x v="0"/>
    <x v="0"/>
    <x v="0"/>
  </r>
  <r>
    <x v="246"/>
    <x v="0"/>
    <x v="1"/>
    <x v="0"/>
    <x v="0"/>
    <x v="1"/>
    <x v="243"/>
    <x v="208"/>
    <x v="0"/>
    <x v="2"/>
    <x v="1"/>
    <x v="1"/>
    <x v="9"/>
    <x v="0"/>
    <x v="0"/>
    <x v="0"/>
    <x v="15"/>
    <x v="10"/>
    <x v="0"/>
    <x v="71"/>
    <x v="0"/>
    <x v="0"/>
    <x v="0"/>
    <x v="120"/>
    <x v="122"/>
    <x v="13"/>
    <x v="53"/>
    <x v="108"/>
    <x v="132"/>
    <x v="0"/>
    <x v="0"/>
    <x v="124"/>
    <x v="1"/>
    <x v="95"/>
    <x v="0"/>
    <x v="0"/>
    <x v="0"/>
    <x v="0"/>
    <x v="0"/>
    <x v="0"/>
    <x v="0"/>
    <x v="0"/>
  </r>
  <r>
    <x v="247"/>
    <x v="0"/>
    <x v="1"/>
    <x v="0"/>
    <x v="0"/>
    <x v="1"/>
    <x v="244"/>
    <x v="208"/>
    <x v="0"/>
    <x v="2"/>
    <x v="1"/>
    <x v="1"/>
    <x v="9"/>
    <x v="0"/>
    <x v="0"/>
    <x v="0"/>
    <x v="15"/>
    <x v="10"/>
    <x v="0"/>
    <x v="24"/>
    <x v="0"/>
    <x v="0"/>
    <x v="0"/>
    <x v="135"/>
    <x v="137"/>
    <x v="9"/>
    <x v="82"/>
    <x v="121"/>
    <x v="140"/>
    <x v="0"/>
    <x v="0"/>
    <x v="141"/>
    <x v="1"/>
    <x v="105"/>
    <x v="0"/>
    <x v="0"/>
    <x v="0"/>
    <x v="0"/>
    <x v="0"/>
    <x v="0"/>
    <x v="0"/>
    <x v="0"/>
  </r>
  <r>
    <x v="248"/>
    <x v="0"/>
    <x v="1"/>
    <x v="0"/>
    <x v="0"/>
    <x v="1"/>
    <x v="245"/>
    <x v="209"/>
    <x v="0"/>
    <x v="2"/>
    <x v="1"/>
    <x v="1"/>
    <x v="9"/>
    <x v="0"/>
    <x v="0"/>
    <x v="0"/>
    <x v="15"/>
    <x v="10"/>
    <x v="0"/>
    <x v="26"/>
    <x v="0"/>
    <x v="0"/>
    <x v="0"/>
    <x v="103"/>
    <x v="105"/>
    <x v="21"/>
    <x v="67"/>
    <x v="94"/>
    <x v="107"/>
    <x v="0"/>
    <x v="0"/>
    <x v="139"/>
    <x v="0"/>
    <x v="12"/>
    <x v="0"/>
    <x v="0"/>
    <x v="0"/>
    <x v="0"/>
    <x v="0"/>
    <x v="0"/>
    <x v="0"/>
    <x v="0"/>
  </r>
  <r>
    <x v="249"/>
    <x v="0"/>
    <x v="1"/>
    <x v="1"/>
    <x v="0"/>
    <x v="1"/>
    <x v="246"/>
    <x v="1"/>
    <x v="0"/>
    <x v="1"/>
    <x v="1"/>
    <x v="1"/>
    <x v="2"/>
    <x v="0"/>
    <x v="3"/>
    <x v="0"/>
    <x v="40"/>
    <x v="1"/>
    <x v="3"/>
    <x v="118"/>
    <x v="0"/>
    <x v="0"/>
    <x v="0"/>
    <x v="130"/>
    <x v="132"/>
    <x v="0"/>
    <x v="18"/>
    <x v="117"/>
    <x v="135"/>
    <x v="0"/>
    <x v="0"/>
    <x v="135"/>
    <x v="1"/>
    <x v="103"/>
    <x v="0"/>
    <x v="0"/>
    <x v="0"/>
    <x v="0"/>
    <x v="0"/>
    <x v="0"/>
    <x v="0"/>
    <x v="0"/>
  </r>
  <r>
    <x v="250"/>
    <x v="0"/>
    <x v="1"/>
    <x v="0"/>
    <x v="0"/>
    <x v="0"/>
    <x v="247"/>
    <x v="210"/>
    <x v="0"/>
    <x v="0"/>
    <x v="23"/>
    <x v="23"/>
    <x v="14"/>
    <x v="0"/>
    <x v="0"/>
    <x v="0"/>
    <x v="25"/>
    <x v="20"/>
    <x v="0"/>
    <x v="33"/>
    <x v="0"/>
    <x v="0"/>
    <x v="0"/>
    <x v="136"/>
    <x v="138"/>
    <x v="0"/>
    <x v="24"/>
    <x v="116"/>
    <x v="141"/>
    <x v="0"/>
    <x v="0"/>
    <x v="142"/>
    <x v="0"/>
    <x v="106"/>
    <x v="0"/>
    <x v="0"/>
    <x v="0"/>
    <x v="0"/>
    <x v="0"/>
    <x v="0"/>
    <x v="0"/>
    <x v="0"/>
  </r>
  <r>
    <x v="251"/>
    <x v="0"/>
    <x v="1"/>
    <x v="0"/>
    <x v="0"/>
    <x v="1"/>
    <x v="248"/>
    <x v="211"/>
    <x v="0"/>
    <x v="2"/>
    <x v="1"/>
    <x v="1"/>
    <x v="2"/>
    <x v="0"/>
    <x v="0"/>
    <x v="0"/>
    <x v="5"/>
    <x v="3"/>
    <x v="0"/>
    <x v="44"/>
    <x v="0"/>
    <x v="0"/>
    <x v="0"/>
    <x v="137"/>
    <x v="139"/>
    <x v="5"/>
    <x v="83"/>
    <x v="122"/>
    <x v="142"/>
    <x v="0"/>
    <x v="0"/>
    <x v="143"/>
    <x v="0"/>
    <x v="107"/>
    <x v="0"/>
    <x v="1"/>
    <x v="0"/>
    <x v="0"/>
    <x v="0"/>
    <x v="0"/>
    <x v="0"/>
    <x v="0"/>
  </r>
  <r>
    <x v="252"/>
    <x v="0"/>
    <x v="1"/>
    <x v="0"/>
    <x v="0"/>
    <x v="1"/>
    <x v="249"/>
    <x v="212"/>
    <x v="0"/>
    <x v="2"/>
    <x v="1"/>
    <x v="1"/>
    <x v="2"/>
    <x v="0"/>
    <x v="3"/>
    <x v="0"/>
    <x v="40"/>
    <x v="35"/>
    <x v="3"/>
    <x v="44"/>
    <x v="0"/>
    <x v="0"/>
    <x v="0"/>
    <x v="86"/>
    <x v="140"/>
    <x v="0"/>
    <x v="12"/>
    <x v="123"/>
    <x v="143"/>
    <x v="0"/>
    <x v="0"/>
    <x v="144"/>
    <x v="1"/>
    <x v="108"/>
    <x v="0"/>
    <x v="0"/>
    <x v="0"/>
    <x v="0"/>
    <x v="0"/>
    <x v="0"/>
    <x v="0"/>
    <x v="0"/>
  </r>
  <r>
    <x v="253"/>
    <x v="0"/>
    <x v="1"/>
    <x v="0"/>
    <x v="0"/>
    <x v="1"/>
    <x v="250"/>
    <x v="213"/>
    <x v="0"/>
    <x v="2"/>
    <x v="1"/>
    <x v="1"/>
    <x v="2"/>
    <x v="1"/>
    <x v="2"/>
    <x v="0"/>
    <x v="3"/>
    <x v="43"/>
    <x v="2"/>
    <x v="90"/>
    <x v="0"/>
    <x v="0"/>
    <x v="0"/>
    <x v="113"/>
    <x v="115"/>
    <x v="22"/>
    <x v="73"/>
    <x v="101"/>
    <x v="117"/>
    <x v="0"/>
    <x v="0"/>
    <x v="117"/>
    <x v="0"/>
    <x v="90"/>
    <x v="0"/>
    <x v="0"/>
    <x v="0"/>
    <x v="0"/>
    <x v="0"/>
    <x v="0"/>
    <x v="0"/>
    <x v="0"/>
  </r>
  <r>
    <x v="254"/>
    <x v="0"/>
    <x v="1"/>
    <x v="0"/>
    <x v="0"/>
    <x v="1"/>
    <x v="251"/>
    <x v="214"/>
    <x v="0"/>
    <x v="2"/>
    <x v="1"/>
    <x v="1"/>
    <x v="2"/>
    <x v="0"/>
    <x v="0"/>
    <x v="0"/>
    <x v="5"/>
    <x v="3"/>
    <x v="0"/>
    <x v="91"/>
    <x v="0"/>
    <x v="0"/>
    <x v="0"/>
    <x v="119"/>
    <x v="121"/>
    <x v="11"/>
    <x v="65"/>
    <x v="107"/>
    <x v="123"/>
    <x v="0"/>
    <x v="0"/>
    <x v="123"/>
    <x v="0"/>
    <x v="12"/>
    <x v="0"/>
    <x v="0"/>
    <x v="0"/>
    <x v="0"/>
    <x v="0"/>
    <x v="0"/>
    <x v="0"/>
    <x v="0"/>
  </r>
  <r>
    <x v="255"/>
    <x v="0"/>
    <x v="1"/>
    <x v="1"/>
    <x v="0"/>
    <x v="0"/>
    <x v="252"/>
    <x v="1"/>
    <x v="0"/>
    <x v="1"/>
    <x v="1"/>
    <x v="1"/>
    <x v="22"/>
    <x v="0"/>
    <x v="0"/>
    <x v="0"/>
    <x v="48"/>
    <x v="1"/>
    <x v="0"/>
    <x v="125"/>
    <x v="0"/>
    <x v="0"/>
    <x v="0"/>
    <x v="138"/>
    <x v="141"/>
    <x v="13"/>
    <x v="84"/>
    <x v="124"/>
    <x v="144"/>
    <x v="0"/>
    <x v="0"/>
    <x v="145"/>
    <x v="0"/>
    <x v="109"/>
    <x v="0"/>
    <x v="0"/>
    <x v="0"/>
    <x v="0"/>
    <x v="0"/>
    <x v="0"/>
    <x v="0"/>
    <x v="0"/>
  </r>
  <r>
    <x v="256"/>
    <x v="0"/>
    <x v="1"/>
    <x v="1"/>
    <x v="0"/>
    <x v="1"/>
    <x v="253"/>
    <x v="1"/>
    <x v="0"/>
    <x v="1"/>
    <x v="1"/>
    <x v="1"/>
    <x v="2"/>
    <x v="0"/>
    <x v="0"/>
    <x v="0"/>
    <x v="5"/>
    <x v="1"/>
    <x v="0"/>
    <x v="90"/>
    <x v="0"/>
    <x v="0"/>
    <x v="0"/>
    <x v="75"/>
    <x v="76"/>
    <x v="0"/>
    <x v="50"/>
    <x v="61"/>
    <x v="78"/>
    <x v="0"/>
    <x v="0"/>
    <x v="76"/>
    <x v="0"/>
    <x v="61"/>
    <x v="0"/>
    <x v="0"/>
    <x v="0"/>
    <x v="0"/>
    <x v="0"/>
    <x v="0"/>
    <x v="0"/>
    <x v="0"/>
  </r>
  <r>
    <x v="257"/>
    <x v="0"/>
    <x v="1"/>
    <x v="0"/>
    <x v="0"/>
    <x v="1"/>
    <x v="254"/>
    <x v="215"/>
    <x v="0"/>
    <x v="2"/>
    <x v="1"/>
    <x v="1"/>
    <x v="9"/>
    <x v="0"/>
    <x v="0"/>
    <x v="0"/>
    <x v="15"/>
    <x v="10"/>
    <x v="0"/>
    <x v="65"/>
    <x v="0"/>
    <x v="0"/>
    <x v="0"/>
    <x v="139"/>
    <x v="142"/>
    <x v="9"/>
    <x v="85"/>
    <x v="125"/>
    <x v="145"/>
    <x v="0"/>
    <x v="0"/>
    <x v="146"/>
    <x v="1"/>
    <x v="110"/>
    <x v="0"/>
    <x v="0"/>
    <x v="0"/>
    <x v="0"/>
    <x v="0"/>
    <x v="0"/>
    <x v="0"/>
    <x v="0"/>
  </r>
  <r>
    <x v="258"/>
    <x v="0"/>
    <x v="1"/>
    <x v="0"/>
    <x v="0"/>
    <x v="1"/>
    <x v="255"/>
    <x v="216"/>
    <x v="0"/>
    <x v="2"/>
    <x v="1"/>
    <x v="1"/>
    <x v="2"/>
    <x v="0"/>
    <x v="0"/>
    <x v="0"/>
    <x v="5"/>
    <x v="3"/>
    <x v="0"/>
    <x v="92"/>
    <x v="0"/>
    <x v="0"/>
    <x v="0"/>
    <x v="140"/>
    <x v="143"/>
    <x v="25"/>
    <x v="86"/>
    <x v="126"/>
    <x v="146"/>
    <x v="0"/>
    <x v="0"/>
    <x v="147"/>
    <x v="1"/>
    <x v="111"/>
    <x v="0"/>
    <x v="0"/>
    <x v="0"/>
    <x v="0"/>
    <x v="0"/>
    <x v="0"/>
    <x v="0"/>
    <x v="0"/>
  </r>
  <r>
    <x v="259"/>
    <x v="0"/>
    <x v="1"/>
    <x v="0"/>
    <x v="0"/>
    <x v="1"/>
    <x v="256"/>
    <x v="217"/>
    <x v="0"/>
    <x v="2"/>
    <x v="1"/>
    <x v="1"/>
    <x v="2"/>
    <x v="0"/>
    <x v="1"/>
    <x v="0"/>
    <x v="35"/>
    <x v="28"/>
    <x v="1"/>
    <x v="90"/>
    <x v="0"/>
    <x v="0"/>
    <x v="0"/>
    <x v="103"/>
    <x v="105"/>
    <x v="21"/>
    <x v="67"/>
    <x v="94"/>
    <x v="107"/>
    <x v="0"/>
    <x v="0"/>
    <x v="139"/>
    <x v="0"/>
    <x v="12"/>
    <x v="0"/>
    <x v="0"/>
    <x v="0"/>
    <x v="0"/>
    <x v="0"/>
    <x v="0"/>
    <x v="0"/>
    <x v="0"/>
  </r>
  <r>
    <x v="260"/>
    <x v="0"/>
    <x v="0"/>
    <x v="0"/>
    <x v="0"/>
    <x v="0"/>
    <x v="257"/>
    <x v="218"/>
    <x v="0"/>
    <x v="0"/>
    <x v="24"/>
    <x v="24"/>
    <x v="5"/>
    <x v="0"/>
    <x v="0"/>
    <x v="0"/>
    <x v="32"/>
    <x v="27"/>
    <x v="0"/>
    <x v="46"/>
    <x v="0"/>
    <x v="0"/>
    <x v="0"/>
    <x v="141"/>
    <x v="144"/>
    <x v="0"/>
    <x v="31"/>
    <x v="127"/>
    <x v="147"/>
    <x v="0"/>
    <x v="0"/>
    <x v="148"/>
    <x v="1"/>
    <x v="112"/>
    <x v="0"/>
    <x v="0"/>
    <x v="0"/>
    <x v="0"/>
    <x v="0"/>
    <x v="0"/>
    <x v="0"/>
    <x v="0"/>
  </r>
  <r>
    <x v="261"/>
    <x v="0"/>
    <x v="1"/>
    <x v="1"/>
    <x v="0"/>
    <x v="1"/>
    <x v="258"/>
    <x v="1"/>
    <x v="0"/>
    <x v="1"/>
    <x v="1"/>
    <x v="1"/>
    <x v="5"/>
    <x v="1"/>
    <x v="4"/>
    <x v="0"/>
    <x v="49"/>
    <x v="1"/>
    <x v="4"/>
    <x v="126"/>
    <x v="0"/>
    <x v="0"/>
    <x v="0"/>
    <x v="142"/>
    <x v="145"/>
    <x v="22"/>
    <x v="87"/>
    <x v="128"/>
    <x v="148"/>
    <x v="0"/>
    <x v="0"/>
    <x v="149"/>
    <x v="0"/>
    <x v="113"/>
    <x v="0"/>
    <x v="0"/>
    <x v="0"/>
    <x v="0"/>
    <x v="0"/>
    <x v="0"/>
    <x v="0"/>
    <x v="0"/>
  </r>
  <r>
    <x v="262"/>
    <x v="0"/>
    <x v="0"/>
    <x v="0"/>
    <x v="0"/>
    <x v="0"/>
    <x v="259"/>
    <x v="219"/>
    <x v="0"/>
    <x v="0"/>
    <x v="25"/>
    <x v="25"/>
    <x v="5"/>
    <x v="0"/>
    <x v="0"/>
    <x v="0"/>
    <x v="32"/>
    <x v="27"/>
    <x v="0"/>
    <x v="46"/>
    <x v="0"/>
    <x v="0"/>
    <x v="0"/>
    <x v="133"/>
    <x v="135"/>
    <x v="13"/>
    <x v="55"/>
    <x v="119"/>
    <x v="138"/>
    <x v="0"/>
    <x v="0"/>
    <x v="138"/>
    <x v="1"/>
    <x v="104"/>
    <x v="0"/>
    <x v="0"/>
    <x v="0"/>
    <x v="0"/>
    <x v="0"/>
    <x v="0"/>
    <x v="0"/>
    <x v="0"/>
  </r>
  <r>
    <x v="263"/>
    <x v="0"/>
    <x v="0"/>
    <x v="0"/>
    <x v="0"/>
    <x v="0"/>
    <x v="260"/>
    <x v="220"/>
    <x v="0"/>
    <x v="0"/>
    <x v="26"/>
    <x v="26"/>
    <x v="5"/>
    <x v="0"/>
    <x v="0"/>
    <x v="0"/>
    <x v="32"/>
    <x v="27"/>
    <x v="0"/>
    <x v="46"/>
    <x v="0"/>
    <x v="0"/>
    <x v="0"/>
    <x v="143"/>
    <x v="146"/>
    <x v="0"/>
    <x v="24"/>
    <x v="129"/>
    <x v="149"/>
    <x v="0"/>
    <x v="0"/>
    <x v="150"/>
    <x v="0"/>
    <x v="114"/>
    <x v="0"/>
    <x v="0"/>
    <x v="0"/>
    <x v="0"/>
    <x v="0"/>
    <x v="0"/>
    <x v="0"/>
    <x v="0"/>
  </r>
  <r>
    <x v="264"/>
    <x v="0"/>
    <x v="1"/>
    <x v="0"/>
    <x v="0"/>
    <x v="1"/>
    <x v="261"/>
    <x v="221"/>
    <x v="0"/>
    <x v="2"/>
    <x v="1"/>
    <x v="1"/>
    <x v="5"/>
    <x v="0"/>
    <x v="1"/>
    <x v="0"/>
    <x v="50"/>
    <x v="44"/>
    <x v="1"/>
    <x v="126"/>
    <x v="0"/>
    <x v="0"/>
    <x v="0"/>
    <x v="144"/>
    <x v="147"/>
    <x v="18"/>
    <x v="88"/>
    <x v="130"/>
    <x v="150"/>
    <x v="0"/>
    <x v="0"/>
    <x v="151"/>
    <x v="0"/>
    <x v="12"/>
    <x v="0"/>
    <x v="0"/>
    <x v="0"/>
    <x v="0"/>
    <x v="0"/>
    <x v="0"/>
    <x v="0"/>
    <x v="0"/>
  </r>
  <r>
    <x v="265"/>
    <x v="0"/>
    <x v="1"/>
    <x v="0"/>
    <x v="0"/>
    <x v="1"/>
    <x v="262"/>
    <x v="222"/>
    <x v="0"/>
    <x v="2"/>
    <x v="1"/>
    <x v="1"/>
    <x v="6"/>
    <x v="0"/>
    <x v="9"/>
    <x v="0"/>
    <x v="51"/>
    <x v="45"/>
    <x v="9"/>
    <x v="76"/>
    <x v="0"/>
    <x v="0"/>
    <x v="0"/>
    <x v="145"/>
    <x v="148"/>
    <x v="0"/>
    <x v="50"/>
    <x v="61"/>
    <x v="151"/>
    <x v="0"/>
    <x v="0"/>
    <x v="152"/>
    <x v="0"/>
    <x v="115"/>
    <x v="0"/>
    <x v="0"/>
    <x v="0"/>
    <x v="0"/>
    <x v="0"/>
    <x v="0"/>
    <x v="0"/>
    <x v="0"/>
  </r>
  <r>
    <x v="266"/>
    <x v="0"/>
    <x v="0"/>
    <x v="0"/>
    <x v="0"/>
    <x v="0"/>
    <x v="263"/>
    <x v="223"/>
    <x v="0"/>
    <x v="0"/>
    <x v="27"/>
    <x v="27"/>
    <x v="13"/>
    <x v="0"/>
    <x v="0"/>
    <x v="0"/>
    <x v="23"/>
    <x v="18"/>
    <x v="0"/>
    <x v="127"/>
    <x v="0"/>
    <x v="0"/>
    <x v="0"/>
    <x v="146"/>
    <x v="149"/>
    <x v="0"/>
    <x v="24"/>
    <x v="59"/>
    <x v="152"/>
    <x v="0"/>
    <x v="0"/>
    <x v="153"/>
    <x v="0"/>
    <x v="116"/>
    <x v="0"/>
    <x v="0"/>
    <x v="0"/>
    <x v="0"/>
    <x v="0"/>
    <x v="0"/>
    <x v="0"/>
    <x v="0"/>
  </r>
  <r>
    <x v="267"/>
    <x v="0"/>
    <x v="1"/>
    <x v="0"/>
    <x v="0"/>
    <x v="1"/>
    <x v="264"/>
    <x v="224"/>
    <x v="0"/>
    <x v="2"/>
    <x v="1"/>
    <x v="1"/>
    <x v="5"/>
    <x v="0"/>
    <x v="5"/>
    <x v="0"/>
    <x v="52"/>
    <x v="46"/>
    <x v="5"/>
    <x v="128"/>
    <x v="0"/>
    <x v="0"/>
    <x v="0"/>
    <x v="82"/>
    <x v="83"/>
    <x v="3"/>
    <x v="59"/>
    <x v="77"/>
    <x v="85"/>
    <x v="0"/>
    <x v="0"/>
    <x v="83"/>
    <x v="0"/>
    <x v="66"/>
    <x v="0"/>
    <x v="0"/>
    <x v="0"/>
    <x v="0"/>
    <x v="0"/>
    <x v="0"/>
    <x v="0"/>
    <x v="0"/>
  </r>
  <r>
    <x v="268"/>
    <x v="0"/>
    <x v="1"/>
    <x v="0"/>
    <x v="0"/>
    <x v="0"/>
    <x v="265"/>
    <x v="225"/>
    <x v="0"/>
    <x v="2"/>
    <x v="1"/>
    <x v="1"/>
    <x v="6"/>
    <x v="0"/>
    <x v="1"/>
    <x v="0"/>
    <x v="53"/>
    <x v="47"/>
    <x v="1"/>
    <x v="129"/>
    <x v="0"/>
    <x v="0"/>
    <x v="0"/>
    <x v="147"/>
    <x v="150"/>
    <x v="0"/>
    <x v="3"/>
    <x v="131"/>
    <x v="153"/>
    <x v="0"/>
    <x v="0"/>
    <x v="154"/>
    <x v="1"/>
    <x v="117"/>
    <x v="0"/>
    <x v="0"/>
    <x v="0"/>
    <x v="0"/>
    <x v="0"/>
    <x v="0"/>
    <x v="0"/>
    <x v="0"/>
  </r>
  <r>
    <x v="269"/>
    <x v="0"/>
    <x v="1"/>
    <x v="0"/>
    <x v="0"/>
    <x v="1"/>
    <x v="266"/>
    <x v="226"/>
    <x v="0"/>
    <x v="2"/>
    <x v="1"/>
    <x v="1"/>
    <x v="6"/>
    <x v="0"/>
    <x v="3"/>
    <x v="0"/>
    <x v="33"/>
    <x v="31"/>
    <x v="3"/>
    <x v="130"/>
    <x v="0"/>
    <x v="0"/>
    <x v="0"/>
    <x v="82"/>
    <x v="83"/>
    <x v="3"/>
    <x v="59"/>
    <x v="77"/>
    <x v="85"/>
    <x v="0"/>
    <x v="0"/>
    <x v="83"/>
    <x v="0"/>
    <x v="66"/>
    <x v="0"/>
    <x v="0"/>
    <x v="0"/>
    <x v="0"/>
    <x v="0"/>
    <x v="0"/>
    <x v="0"/>
    <x v="0"/>
  </r>
  <r>
    <x v="270"/>
    <x v="0"/>
    <x v="0"/>
    <x v="0"/>
    <x v="0"/>
    <x v="0"/>
    <x v="267"/>
    <x v="227"/>
    <x v="0"/>
    <x v="0"/>
    <x v="28"/>
    <x v="28"/>
    <x v="13"/>
    <x v="0"/>
    <x v="0"/>
    <x v="0"/>
    <x v="23"/>
    <x v="18"/>
    <x v="0"/>
    <x v="127"/>
    <x v="0"/>
    <x v="0"/>
    <x v="0"/>
    <x v="148"/>
    <x v="151"/>
    <x v="2"/>
    <x v="89"/>
    <x v="132"/>
    <x v="154"/>
    <x v="0"/>
    <x v="0"/>
    <x v="155"/>
    <x v="0"/>
    <x v="118"/>
    <x v="0"/>
    <x v="0"/>
    <x v="0"/>
    <x v="0"/>
    <x v="0"/>
    <x v="0"/>
    <x v="0"/>
    <x v="0"/>
  </r>
  <r>
    <x v="271"/>
    <x v="0"/>
    <x v="1"/>
    <x v="0"/>
    <x v="0"/>
    <x v="1"/>
    <x v="268"/>
    <x v="228"/>
    <x v="0"/>
    <x v="2"/>
    <x v="1"/>
    <x v="1"/>
    <x v="6"/>
    <x v="0"/>
    <x v="0"/>
    <x v="0"/>
    <x v="10"/>
    <x v="6"/>
    <x v="0"/>
    <x v="50"/>
    <x v="0"/>
    <x v="0"/>
    <x v="0"/>
    <x v="144"/>
    <x v="147"/>
    <x v="18"/>
    <x v="88"/>
    <x v="130"/>
    <x v="150"/>
    <x v="0"/>
    <x v="0"/>
    <x v="151"/>
    <x v="0"/>
    <x v="12"/>
    <x v="0"/>
    <x v="0"/>
    <x v="0"/>
    <x v="0"/>
    <x v="0"/>
    <x v="0"/>
    <x v="0"/>
    <x v="0"/>
  </r>
  <r>
    <x v="272"/>
    <x v="0"/>
    <x v="1"/>
    <x v="0"/>
    <x v="0"/>
    <x v="1"/>
    <x v="269"/>
    <x v="229"/>
    <x v="0"/>
    <x v="2"/>
    <x v="1"/>
    <x v="1"/>
    <x v="6"/>
    <x v="0"/>
    <x v="4"/>
    <x v="0"/>
    <x v="37"/>
    <x v="32"/>
    <x v="4"/>
    <x v="77"/>
    <x v="0"/>
    <x v="0"/>
    <x v="0"/>
    <x v="149"/>
    <x v="152"/>
    <x v="18"/>
    <x v="90"/>
    <x v="133"/>
    <x v="155"/>
    <x v="0"/>
    <x v="0"/>
    <x v="156"/>
    <x v="0"/>
    <x v="119"/>
    <x v="0"/>
    <x v="0"/>
    <x v="0"/>
    <x v="0"/>
    <x v="0"/>
    <x v="0"/>
    <x v="0"/>
    <x v="0"/>
  </r>
  <r>
    <x v="273"/>
    <x v="0"/>
    <x v="1"/>
    <x v="0"/>
    <x v="0"/>
    <x v="1"/>
    <x v="270"/>
    <x v="230"/>
    <x v="0"/>
    <x v="2"/>
    <x v="1"/>
    <x v="1"/>
    <x v="6"/>
    <x v="0"/>
    <x v="0"/>
    <x v="0"/>
    <x v="10"/>
    <x v="6"/>
    <x v="0"/>
    <x v="75"/>
    <x v="0"/>
    <x v="0"/>
    <x v="0"/>
    <x v="103"/>
    <x v="105"/>
    <x v="21"/>
    <x v="67"/>
    <x v="94"/>
    <x v="107"/>
    <x v="0"/>
    <x v="0"/>
    <x v="139"/>
    <x v="0"/>
    <x v="12"/>
    <x v="0"/>
    <x v="0"/>
    <x v="0"/>
    <x v="0"/>
    <x v="0"/>
    <x v="0"/>
    <x v="0"/>
    <x v="0"/>
  </r>
  <r>
    <x v="274"/>
    <x v="0"/>
    <x v="0"/>
    <x v="0"/>
    <x v="0"/>
    <x v="0"/>
    <x v="271"/>
    <x v="231"/>
    <x v="0"/>
    <x v="0"/>
    <x v="29"/>
    <x v="29"/>
    <x v="13"/>
    <x v="0"/>
    <x v="0"/>
    <x v="0"/>
    <x v="23"/>
    <x v="18"/>
    <x v="0"/>
    <x v="127"/>
    <x v="0"/>
    <x v="0"/>
    <x v="0"/>
    <x v="150"/>
    <x v="153"/>
    <x v="9"/>
    <x v="82"/>
    <x v="134"/>
    <x v="156"/>
    <x v="0"/>
    <x v="0"/>
    <x v="157"/>
    <x v="0"/>
    <x v="120"/>
    <x v="0"/>
    <x v="0"/>
    <x v="0"/>
    <x v="0"/>
    <x v="0"/>
    <x v="0"/>
    <x v="0"/>
    <x v="0"/>
  </r>
  <r>
    <x v="275"/>
    <x v="0"/>
    <x v="1"/>
    <x v="0"/>
    <x v="0"/>
    <x v="1"/>
    <x v="272"/>
    <x v="232"/>
    <x v="0"/>
    <x v="2"/>
    <x v="1"/>
    <x v="1"/>
    <x v="10"/>
    <x v="0"/>
    <x v="0"/>
    <x v="0"/>
    <x v="16"/>
    <x v="11"/>
    <x v="0"/>
    <x v="131"/>
    <x v="0"/>
    <x v="0"/>
    <x v="0"/>
    <x v="151"/>
    <x v="154"/>
    <x v="3"/>
    <x v="59"/>
    <x v="99"/>
    <x v="157"/>
    <x v="0"/>
    <x v="0"/>
    <x v="158"/>
    <x v="0"/>
    <x v="12"/>
    <x v="0"/>
    <x v="0"/>
    <x v="0"/>
    <x v="0"/>
    <x v="0"/>
    <x v="0"/>
    <x v="0"/>
    <x v="0"/>
  </r>
  <r>
    <x v="276"/>
    <x v="0"/>
    <x v="0"/>
    <x v="0"/>
    <x v="0"/>
    <x v="0"/>
    <x v="273"/>
    <x v="233"/>
    <x v="0"/>
    <x v="0"/>
    <x v="30"/>
    <x v="30"/>
    <x v="5"/>
    <x v="0"/>
    <x v="0"/>
    <x v="0"/>
    <x v="32"/>
    <x v="27"/>
    <x v="0"/>
    <x v="46"/>
    <x v="0"/>
    <x v="0"/>
    <x v="0"/>
    <x v="152"/>
    <x v="155"/>
    <x v="0"/>
    <x v="50"/>
    <x v="135"/>
    <x v="158"/>
    <x v="0"/>
    <x v="0"/>
    <x v="159"/>
    <x v="0"/>
    <x v="121"/>
    <x v="0"/>
    <x v="0"/>
    <x v="0"/>
    <x v="0"/>
    <x v="0"/>
    <x v="0"/>
    <x v="0"/>
    <x v="0"/>
  </r>
  <r>
    <x v="277"/>
    <x v="0"/>
    <x v="1"/>
    <x v="0"/>
    <x v="0"/>
    <x v="1"/>
    <x v="274"/>
    <x v="234"/>
    <x v="0"/>
    <x v="2"/>
    <x v="1"/>
    <x v="1"/>
    <x v="10"/>
    <x v="0"/>
    <x v="0"/>
    <x v="0"/>
    <x v="16"/>
    <x v="11"/>
    <x v="0"/>
    <x v="63"/>
    <x v="0"/>
    <x v="0"/>
    <x v="0"/>
    <x v="149"/>
    <x v="152"/>
    <x v="18"/>
    <x v="90"/>
    <x v="133"/>
    <x v="155"/>
    <x v="5"/>
    <x v="0"/>
    <x v="156"/>
    <x v="0"/>
    <x v="119"/>
    <x v="0"/>
    <x v="0"/>
    <x v="0"/>
    <x v="0"/>
    <x v="0"/>
    <x v="0"/>
    <x v="0"/>
    <x v="0"/>
  </r>
  <r>
    <x v="278"/>
    <x v="0"/>
    <x v="1"/>
    <x v="0"/>
    <x v="0"/>
    <x v="1"/>
    <x v="275"/>
    <x v="235"/>
    <x v="0"/>
    <x v="2"/>
    <x v="1"/>
    <x v="1"/>
    <x v="10"/>
    <x v="0"/>
    <x v="4"/>
    <x v="0"/>
    <x v="18"/>
    <x v="13"/>
    <x v="4"/>
    <x v="94"/>
    <x v="0"/>
    <x v="0"/>
    <x v="0"/>
    <x v="153"/>
    <x v="156"/>
    <x v="16"/>
    <x v="35"/>
    <x v="40"/>
    <x v="159"/>
    <x v="0"/>
    <x v="0"/>
    <x v="160"/>
    <x v="1"/>
    <x v="122"/>
    <x v="0"/>
    <x v="0"/>
    <x v="0"/>
    <x v="0"/>
    <x v="0"/>
    <x v="0"/>
    <x v="0"/>
    <x v="0"/>
  </r>
  <r>
    <x v="279"/>
    <x v="0"/>
    <x v="1"/>
    <x v="1"/>
    <x v="0"/>
    <x v="1"/>
    <x v="276"/>
    <x v="1"/>
    <x v="0"/>
    <x v="1"/>
    <x v="1"/>
    <x v="1"/>
    <x v="10"/>
    <x v="0"/>
    <x v="0"/>
    <x v="0"/>
    <x v="16"/>
    <x v="1"/>
    <x v="0"/>
    <x v="132"/>
    <x v="0"/>
    <x v="0"/>
    <x v="0"/>
    <x v="154"/>
    <x v="157"/>
    <x v="5"/>
    <x v="91"/>
    <x v="136"/>
    <x v="160"/>
    <x v="0"/>
    <x v="0"/>
    <x v="161"/>
    <x v="0"/>
    <x v="12"/>
    <x v="0"/>
    <x v="0"/>
    <x v="0"/>
    <x v="0"/>
    <x v="0"/>
    <x v="0"/>
    <x v="0"/>
    <x v="0"/>
  </r>
  <r>
    <x v="280"/>
    <x v="0"/>
    <x v="0"/>
    <x v="0"/>
    <x v="0"/>
    <x v="0"/>
    <x v="276"/>
    <x v="236"/>
    <x v="0"/>
    <x v="0"/>
    <x v="31"/>
    <x v="31"/>
    <x v="13"/>
    <x v="0"/>
    <x v="0"/>
    <x v="0"/>
    <x v="23"/>
    <x v="18"/>
    <x v="0"/>
    <x v="127"/>
    <x v="0"/>
    <x v="0"/>
    <x v="0"/>
    <x v="155"/>
    <x v="158"/>
    <x v="0"/>
    <x v="92"/>
    <x v="137"/>
    <x v="161"/>
    <x v="0"/>
    <x v="0"/>
    <x v="162"/>
    <x v="1"/>
    <x v="123"/>
    <x v="0"/>
    <x v="0"/>
    <x v="0"/>
    <x v="0"/>
    <x v="0"/>
    <x v="0"/>
    <x v="0"/>
    <x v="0"/>
  </r>
  <r>
    <x v="281"/>
    <x v="0"/>
    <x v="1"/>
    <x v="0"/>
    <x v="0"/>
    <x v="1"/>
    <x v="277"/>
    <x v="237"/>
    <x v="0"/>
    <x v="2"/>
    <x v="1"/>
    <x v="1"/>
    <x v="10"/>
    <x v="0"/>
    <x v="0"/>
    <x v="0"/>
    <x v="16"/>
    <x v="11"/>
    <x v="0"/>
    <x v="81"/>
    <x v="0"/>
    <x v="0"/>
    <x v="0"/>
    <x v="156"/>
    <x v="159"/>
    <x v="1"/>
    <x v="93"/>
    <x v="138"/>
    <x v="162"/>
    <x v="0"/>
    <x v="0"/>
    <x v="163"/>
    <x v="1"/>
    <x v="124"/>
    <x v="0"/>
    <x v="0"/>
    <x v="0"/>
    <x v="0"/>
    <x v="0"/>
    <x v="0"/>
    <x v="0"/>
    <x v="0"/>
  </r>
  <r>
    <x v="282"/>
    <x v="0"/>
    <x v="0"/>
    <x v="0"/>
    <x v="0"/>
    <x v="0"/>
    <x v="278"/>
    <x v="238"/>
    <x v="0"/>
    <x v="0"/>
    <x v="32"/>
    <x v="32"/>
    <x v="13"/>
    <x v="0"/>
    <x v="0"/>
    <x v="0"/>
    <x v="23"/>
    <x v="18"/>
    <x v="0"/>
    <x v="127"/>
    <x v="0"/>
    <x v="0"/>
    <x v="0"/>
    <x v="157"/>
    <x v="160"/>
    <x v="1"/>
    <x v="26"/>
    <x v="139"/>
    <x v="163"/>
    <x v="0"/>
    <x v="0"/>
    <x v="164"/>
    <x v="0"/>
    <x v="12"/>
    <x v="0"/>
    <x v="0"/>
    <x v="0"/>
    <x v="0"/>
    <x v="0"/>
    <x v="0"/>
    <x v="0"/>
    <x v="0"/>
  </r>
  <r>
    <x v="283"/>
    <x v="0"/>
    <x v="1"/>
    <x v="0"/>
    <x v="0"/>
    <x v="1"/>
    <x v="279"/>
    <x v="239"/>
    <x v="0"/>
    <x v="2"/>
    <x v="1"/>
    <x v="1"/>
    <x v="10"/>
    <x v="0"/>
    <x v="0"/>
    <x v="0"/>
    <x v="16"/>
    <x v="11"/>
    <x v="0"/>
    <x v="133"/>
    <x v="0"/>
    <x v="0"/>
    <x v="0"/>
    <x v="158"/>
    <x v="161"/>
    <x v="26"/>
    <x v="94"/>
    <x v="140"/>
    <x v="164"/>
    <x v="0"/>
    <x v="0"/>
    <x v="165"/>
    <x v="1"/>
    <x v="125"/>
    <x v="0"/>
    <x v="0"/>
    <x v="0"/>
    <x v="0"/>
    <x v="0"/>
    <x v="0"/>
    <x v="0"/>
    <x v="0"/>
  </r>
  <r>
    <x v="284"/>
    <x v="0"/>
    <x v="1"/>
    <x v="0"/>
    <x v="0"/>
    <x v="1"/>
    <x v="280"/>
    <x v="240"/>
    <x v="0"/>
    <x v="2"/>
    <x v="1"/>
    <x v="1"/>
    <x v="10"/>
    <x v="0"/>
    <x v="3"/>
    <x v="0"/>
    <x v="30"/>
    <x v="25"/>
    <x v="3"/>
    <x v="134"/>
    <x v="0"/>
    <x v="0"/>
    <x v="0"/>
    <x v="120"/>
    <x v="122"/>
    <x v="13"/>
    <x v="53"/>
    <x v="108"/>
    <x v="132"/>
    <x v="0"/>
    <x v="0"/>
    <x v="124"/>
    <x v="1"/>
    <x v="95"/>
    <x v="0"/>
    <x v="0"/>
    <x v="0"/>
    <x v="0"/>
    <x v="0"/>
    <x v="0"/>
    <x v="0"/>
    <x v="0"/>
  </r>
  <r>
    <x v="285"/>
    <x v="0"/>
    <x v="1"/>
    <x v="0"/>
    <x v="0"/>
    <x v="1"/>
    <x v="281"/>
    <x v="241"/>
    <x v="0"/>
    <x v="2"/>
    <x v="1"/>
    <x v="1"/>
    <x v="10"/>
    <x v="0"/>
    <x v="4"/>
    <x v="0"/>
    <x v="18"/>
    <x v="13"/>
    <x v="4"/>
    <x v="135"/>
    <x v="0"/>
    <x v="0"/>
    <x v="0"/>
    <x v="159"/>
    <x v="162"/>
    <x v="3"/>
    <x v="29"/>
    <x v="141"/>
    <x v="165"/>
    <x v="0"/>
    <x v="0"/>
    <x v="166"/>
    <x v="1"/>
    <x v="126"/>
    <x v="0"/>
    <x v="0"/>
    <x v="0"/>
    <x v="0"/>
    <x v="0"/>
    <x v="0"/>
    <x v="0"/>
    <x v="0"/>
  </r>
  <r>
    <x v="286"/>
    <x v="0"/>
    <x v="1"/>
    <x v="0"/>
    <x v="0"/>
    <x v="1"/>
    <x v="282"/>
    <x v="242"/>
    <x v="0"/>
    <x v="2"/>
    <x v="1"/>
    <x v="1"/>
    <x v="10"/>
    <x v="0"/>
    <x v="2"/>
    <x v="0"/>
    <x v="17"/>
    <x v="12"/>
    <x v="2"/>
    <x v="100"/>
    <x v="0"/>
    <x v="0"/>
    <x v="0"/>
    <x v="159"/>
    <x v="162"/>
    <x v="3"/>
    <x v="29"/>
    <x v="141"/>
    <x v="165"/>
    <x v="0"/>
    <x v="0"/>
    <x v="166"/>
    <x v="1"/>
    <x v="126"/>
    <x v="0"/>
    <x v="0"/>
    <x v="0"/>
    <x v="0"/>
    <x v="0"/>
    <x v="0"/>
    <x v="0"/>
    <x v="0"/>
  </r>
  <r>
    <x v="287"/>
    <x v="0"/>
    <x v="1"/>
    <x v="0"/>
    <x v="0"/>
    <x v="1"/>
    <x v="283"/>
    <x v="243"/>
    <x v="0"/>
    <x v="2"/>
    <x v="1"/>
    <x v="1"/>
    <x v="9"/>
    <x v="0"/>
    <x v="0"/>
    <x v="0"/>
    <x v="15"/>
    <x v="10"/>
    <x v="0"/>
    <x v="136"/>
    <x v="0"/>
    <x v="0"/>
    <x v="0"/>
    <x v="159"/>
    <x v="162"/>
    <x v="3"/>
    <x v="29"/>
    <x v="141"/>
    <x v="165"/>
    <x v="0"/>
    <x v="0"/>
    <x v="166"/>
    <x v="1"/>
    <x v="126"/>
    <x v="0"/>
    <x v="0"/>
    <x v="0"/>
    <x v="0"/>
    <x v="0"/>
    <x v="0"/>
    <x v="0"/>
    <x v="0"/>
  </r>
  <r>
    <x v="288"/>
    <x v="0"/>
    <x v="1"/>
    <x v="0"/>
    <x v="0"/>
    <x v="1"/>
    <x v="284"/>
    <x v="244"/>
    <x v="0"/>
    <x v="2"/>
    <x v="1"/>
    <x v="1"/>
    <x v="9"/>
    <x v="0"/>
    <x v="0"/>
    <x v="0"/>
    <x v="15"/>
    <x v="10"/>
    <x v="0"/>
    <x v="15"/>
    <x v="0"/>
    <x v="0"/>
    <x v="0"/>
    <x v="160"/>
    <x v="163"/>
    <x v="0"/>
    <x v="50"/>
    <x v="142"/>
    <x v="166"/>
    <x v="0"/>
    <x v="0"/>
    <x v="167"/>
    <x v="0"/>
    <x v="12"/>
    <x v="0"/>
    <x v="0"/>
    <x v="0"/>
    <x v="0"/>
    <x v="0"/>
    <x v="0"/>
    <x v="0"/>
    <x v="0"/>
  </r>
  <r>
    <x v="289"/>
    <x v="0"/>
    <x v="1"/>
    <x v="0"/>
    <x v="0"/>
    <x v="1"/>
    <x v="285"/>
    <x v="245"/>
    <x v="0"/>
    <x v="2"/>
    <x v="1"/>
    <x v="1"/>
    <x v="10"/>
    <x v="0"/>
    <x v="0"/>
    <x v="0"/>
    <x v="16"/>
    <x v="11"/>
    <x v="0"/>
    <x v="16"/>
    <x v="0"/>
    <x v="0"/>
    <x v="0"/>
    <x v="161"/>
    <x v="164"/>
    <x v="13"/>
    <x v="95"/>
    <x v="143"/>
    <x v="167"/>
    <x v="0"/>
    <x v="0"/>
    <x v="168"/>
    <x v="0"/>
    <x v="127"/>
    <x v="0"/>
    <x v="0"/>
    <x v="0"/>
    <x v="0"/>
    <x v="0"/>
    <x v="0"/>
    <x v="0"/>
    <x v="0"/>
  </r>
  <r>
    <x v="290"/>
    <x v="0"/>
    <x v="1"/>
    <x v="0"/>
    <x v="0"/>
    <x v="1"/>
    <x v="286"/>
    <x v="246"/>
    <x v="0"/>
    <x v="2"/>
    <x v="1"/>
    <x v="1"/>
    <x v="10"/>
    <x v="0"/>
    <x v="0"/>
    <x v="0"/>
    <x v="16"/>
    <x v="11"/>
    <x v="0"/>
    <x v="17"/>
    <x v="0"/>
    <x v="0"/>
    <x v="0"/>
    <x v="162"/>
    <x v="165"/>
    <x v="5"/>
    <x v="96"/>
    <x v="144"/>
    <x v="168"/>
    <x v="0"/>
    <x v="0"/>
    <x v="169"/>
    <x v="0"/>
    <x v="12"/>
    <x v="0"/>
    <x v="0"/>
    <x v="0"/>
    <x v="0"/>
    <x v="0"/>
    <x v="0"/>
    <x v="0"/>
    <x v="0"/>
  </r>
  <r>
    <x v="291"/>
    <x v="0"/>
    <x v="1"/>
    <x v="1"/>
    <x v="0"/>
    <x v="0"/>
    <x v="287"/>
    <x v="1"/>
    <x v="0"/>
    <x v="1"/>
    <x v="1"/>
    <x v="1"/>
    <x v="16"/>
    <x v="0"/>
    <x v="3"/>
    <x v="0"/>
    <x v="36"/>
    <x v="1"/>
    <x v="3"/>
    <x v="120"/>
    <x v="0"/>
    <x v="0"/>
    <x v="0"/>
    <x v="149"/>
    <x v="152"/>
    <x v="18"/>
    <x v="90"/>
    <x v="133"/>
    <x v="155"/>
    <x v="6"/>
    <x v="0"/>
    <x v="156"/>
    <x v="0"/>
    <x v="119"/>
    <x v="0"/>
    <x v="0"/>
    <x v="0"/>
    <x v="0"/>
    <x v="0"/>
    <x v="0"/>
    <x v="0"/>
    <x v="0"/>
  </r>
  <r>
    <x v="292"/>
    <x v="0"/>
    <x v="1"/>
    <x v="0"/>
    <x v="0"/>
    <x v="1"/>
    <x v="288"/>
    <x v="247"/>
    <x v="0"/>
    <x v="2"/>
    <x v="1"/>
    <x v="1"/>
    <x v="10"/>
    <x v="0"/>
    <x v="3"/>
    <x v="0"/>
    <x v="30"/>
    <x v="25"/>
    <x v="3"/>
    <x v="82"/>
    <x v="0"/>
    <x v="0"/>
    <x v="0"/>
    <x v="156"/>
    <x v="159"/>
    <x v="1"/>
    <x v="93"/>
    <x v="138"/>
    <x v="162"/>
    <x v="0"/>
    <x v="0"/>
    <x v="163"/>
    <x v="1"/>
    <x v="124"/>
    <x v="0"/>
    <x v="0"/>
    <x v="0"/>
    <x v="0"/>
    <x v="0"/>
    <x v="0"/>
    <x v="0"/>
    <x v="0"/>
  </r>
  <r>
    <x v="293"/>
    <x v="0"/>
    <x v="1"/>
    <x v="0"/>
    <x v="0"/>
    <x v="0"/>
    <x v="289"/>
    <x v="248"/>
    <x v="0"/>
    <x v="2"/>
    <x v="1"/>
    <x v="1"/>
    <x v="9"/>
    <x v="0"/>
    <x v="0"/>
    <x v="0"/>
    <x v="15"/>
    <x v="10"/>
    <x v="0"/>
    <x v="136"/>
    <x v="0"/>
    <x v="0"/>
    <x v="0"/>
    <x v="163"/>
    <x v="166"/>
    <x v="5"/>
    <x v="41"/>
    <x v="145"/>
    <x v="169"/>
    <x v="0"/>
    <x v="0"/>
    <x v="170"/>
    <x v="0"/>
    <x v="128"/>
    <x v="0"/>
    <x v="0"/>
    <x v="0"/>
    <x v="0"/>
    <x v="0"/>
    <x v="0"/>
    <x v="0"/>
    <x v="0"/>
  </r>
  <r>
    <x v="294"/>
    <x v="0"/>
    <x v="0"/>
    <x v="0"/>
    <x v="0"/>
    <x v="0"/>
    <x v="290"/>
    <x v="249"/>
    <x v="0"/>
    <x v="0"/>
    <x v="33"/>
    <x v="33"/>
    <x v="0"/>
    <x v="0"/>
    <x v="0"/>
    <x v="0"/>
    <x v="0"/>
    <x v="0"/>
    <x v="0"/>
    <x v="0"/>
    <x v="0"/>
    <x v="0"/>
    <x v="0"/>
    <x v="164"/>
    <x v="167"/>
    <x v="1"/>
    <x v="1"/>
    <x v="146"/>
    <x v="170"/>
    <x v="0"/>
    <x v="0"/>
    <x v="171"/>
    <x v="1"/>
    <x v="129"/>
    <x v="0"/>
    <x v="0"/>
    <x v="0"/>
    <x v="0"/>
    <x v="0"/>
    <x v="0"/>
    <x v="0"/>
    <x v="0"/>
  </r>
  <r>
    <x v="295"/>
    <x v="0"/>
    <x v="0"/>
    <x v="0"/>
    <x v="0"/>
    <x v="0"/>
    <x v="291"/>
    <x v="250"/>
    <x v="0"/>
    <x v="0"/>
    <x v="34"/>
    <x v="34"/>
    <x v="13"/>
    <x v="0"/>
    <x v="0"/>
    <x v="0"/>
    <x v="23"/>
    <x v="18"/>
    <x v="0"/>
    <x v="127"/>
    <x v="0"/>
    <x v="0"/>
    <x v="0"/>
    <x v="76"/>
    <x v="168"/>
    <x v="3"/>
    <x v="59"/>
    <x v="99"/>
    <x v="171"/>
    <x v="7"/>
    <x v="0"/>
    <x v="172"/>
    <x v="0"/>
    <x v="130"/>
    <x v="0"/>
    <x v="0"/>
    <x v="0"/>
    <x v="0"/>
    <x v="0"/>
    <x v="0"/>
    <x v="0"/>
    <x v="0"/>
  </r>
  <r>
    <x v="296"/>
    <x v="0"/>
    <x v="1"/>
    <x v="0"/>
    <x v="0"/>
    <x v="1"/>
    <x v="292"/>
    <x v="251"/>
    <x v="0"/>
    <x v="2"/>
    <x v="1"/>
    <x v="1"/>
    <x v="10"/>
    <x v="0"/>
    <x v="3"/>
    <x v="0"/>
    <x v="30"/>
    <x v="25"/>
    <x v="3"/>
    <x v="115"/>
    <x v="0"/>
    <x v="0"/>
    <x v="0"/>
    <x v="158"/>
    <x v="161"/>
    <x v="26"/>
    <x v="94"/>
    <x v="140"/>
    <x v="164"/>
    <x v="0"/>
    <x v="0"/>
    <x v="165"/>
    <x v="1"/>
    <x v="125"/>
    <x v="0"/>
    <x v="0"/>
    <x v="0"/>
    <x v="0"/>
    <x v="0"/>
    <x v="0"/>
    <x v="0"/>
    <x v="0"/>
  </r>
  <r>
    <x v="297"/>
    <x v="0"/>
    <x v="0"/>
    <x v="0"/>
    <x v="0"/>
    <x v="0"/>
    <x v="293"/>
    <x v="252"/>
    <x v="0"/>
    <x v="0"/>
    <x v="35"/>
    <x v="35"/>
    <x v="5"/>
    <x v="0"/>
    <x v="0"/>
    <x v="0"/>
    <x v="32"/>
    <x v="27"/>
    <x v="0"/>
    <x v="46"/>
    <x v="0"/>
    <x v="0"/>
    <x v="0"/>
    <x v="165"/>
    <x v="169"/>
    <x v="0"/>
    <x v="47"/>
    <x v="70"/>
    <x v="172"/>
    <x v="0"/>
    <x v="0"/>
    <x v="173"/>
    <x v="1"/>
    <x v="131"/>
    <x v="0"/>
    <x v="0"/>
    <x v="0"/>
    <x v="0"/>
    <x v="0"/>
    <x v="0"/>
    <x v="0"/>
    <x v="0"/>
  </r>
  <r>
    <x v="298"/>
    <x v="0"/>
    <x v="0"/>
    <x v="0"/>
    <x v="0"/>
    <x v="0"/>
    <x v="294"/>
    <x v="253"/>
    <x v="0"/>
    <x v="0"/>
    <x v="36"/>
    <x v="36"/>
    <x v="5"/>
    <x v="0"/>
    <x v="0"/>
    <x v="0"/>
    <x v="32"/>
    <x v="27"/>
    <x v="0"/>
    <x v="46"/>
    <x v="0"/>
    <x v="0"/>
    <x v="0"/>
    <x v="166"/>
    <x v="170"/>
    <x v="17"/>
    <x v="97"/>
    <x v="147"/>
    <x v="173"/>
    <x v="0"/>
    <x v="0"/>
    <x v="174"/>
    <x v="0"/>
    <x v="132"/>
    <x v="0"/>
    <x v="0"/>
    <x v="0"/>
    <x v="0"/>
    <x v="0"/>
    <x v="0"/>
    <x v="0"/>
    <x v="0"/>
  </r>
  <r>
    <x v="299"/>
    <x v="0"/>
    <x v="1"/>
    <x v="0"/>
    <x v="0"/>
    <x v="1"/>
    <x v="295"/>
    <x v="254"/>
    <x v="0"/>
    <x v="2"/>
    <x v="1"/>
    <x v="1"/>
    <x v="9"/>
    <x v="0"/>
    <x v="0"/>
    <x v="0"/>
    <x v="15"/>
    <x v="10"/>
    <x v="0"/>
    <x v="15"/>
    <x v="0"/>
    <x v="0"/>
    <x v="0"/>
    <x v="167"/>
    <x v="171"/>
    <x v="13"/>
    <x v="98"/>
    <x v="148"/>
    <x v="174"/>
    <x v="0"/>
    <x v="0"/>
    <x v="175"/>
    <x v="0"/>
    <x v="133"/>
    <x v="0"/>
    <x v="0"/>
    <x v="0"/>
    <x v="0"/>
    <x v="0"/>
    <x v="0"/>
    <x v="0"/>
    <x v="0"/>
  </r>
  <r>
    <x v="300"/>
    <x v="0"/>
    <x v="0"/>
    <x v="0"/>
    <x v="0"/>
    <x v="0"/>
    <x v="296"/>
    <x v="255"/>
    <x v="0"/>
    <x v="0"/>
    <x v="37"/>
    <x v="37"/>
    <x v="0"/>
    <x v="0"/>
    <x v="0"/>
    <x v="0"/>
    <x v="0"/>
    <x v="0"/>
    <x v="0"/>
    <x v="48"/>
    <x v="0"/>
    <x v="0"/>
    <x v="0"/>
    <x v="168"/>
    <x v="172"/>
    <x v="7"/>
    <x v="99"/>
    <x v="149"/>
    <x v="175"/>
    <x v="0"/>
    <x v="0"/>
    <x v="176"/>
    <x v="1"/>
    <x v="134"/>
    <x v="0"/>
    <x v="0"/>
    <x v="0"/>
    <x v="0"/>
    <x v="0"/>
    <x v="0"/>
    <x v="0"/>
    <x v="0"/>
  </r>
  <r>
    <x v="301"/>
    <x v="0"/>
    <x v="1"/>
    <x v="0"/>
    <x v="0"/>
    <x v="1"/>
    <x v="297"/>
    <x v="256"/>
    <x v="0"/>
    <x v="2"/>
    <x v="1"/>
    <x v="1"/>
    <x v="9"/>
    <x v="0"/>
    <x v="0"/>
    <x v="0"/>
    <x v="15"/>
    <x v="10"/>
    <x v="0"/>
    <x v="137"/>
    <x v="0"/>
    <x v="0"/>
    <x v="0"/>
    <x v="169"/>
    <x v="173"/>
    <x v="12"/>
    <x v="100"/>
    <x v="150"/>
    <x v="176"/>
    <x v="0"/>
    <x v="0"/>
    <x v="177"/>
    <x v="1"/>
    <x v="135"/>
    <x v="0"/>
    <x v="0"/>
    <x v="0"/>
    <x v="0"/>
    <x v="0"/>
    <x v="0"/>
    <x v="0"/>
    <x v="0"/>
  </r>
  <r>
    <x v="302"/>
    <x v="0"/>
    <x v="1"/>
    <x v="0"/>
    <x v="0"/>
    <x v="1"/>
    <x v="298"/>
    <x v="257"/>
    <x v="0"/>
    <x v="2"/>
    <x v="1"/>
    <x v="1"/>
    <x v="9"/>
    <x v="0"/>
    <x v="0"/>
    <x v="0"/>
    <x v="15"/>
    <x v="10"/>
    <x v="0"/>
    <x v="138"/>
    <x v="0"/>
    <x v="0"/>
    <x v="0"/>
    <x v="164"/>
    <x v="167"/>
    <x v="1"/>
    <x v="1"/>
    <x v="146"/>
    <x v="170"/>
    <x v="0"/>
    <x v="0"/>
    <x v="171"/>
    <x v="1"/>
    <x v="129"/>
    <x v="0"/>
    <x v="0"/>
    <x v="0"/>
    <x v="0"/>
    <x v="0"/>
    <x v="0"/>
    <x v="0"/>
    <x v="0"/>
  </r>
  <r>
    <x v="303"/>
    <x v="0"/>
    <x v="0"/>
    <x v="0"/>
    <x v="0"/>
    <x v="0"/>
    <x v="299"/>
    <x v="258"/>
    <x v="0"/>
    <x v="0"/>
    <x v="38"/>
    <x v="38"/>
    <x v="13"/>
    <x v="0"/>
    <x v="0"/>
    <x v="0"/>
    <x v="23"/>
    <x v="18"/>
    <x v="0"/>
    <x v="127"/>
    <x v="0"/>
    <x v="0"/>
    <x v="0"/>
    <x v="170"/>
    <x v="174"/>
    <x v="18"/>
    <x v="101"/>
    <x v="151"/>
    <x v="177"/>
    <x v="0"/>
    <x v="0"/>
    <x v="178"/>
    <x v="1"/>
    <x v="136"/>
    <x v="0"/>
    <x v="0"/>
    <x v="0"/>
    <x v="0"/>
    <x v="0"/>
    <x v="0"/>
    <x v="0"/>
    <x v="0"/>
  </r>
  <r>
    <x v="304"/>
    <x v="0"/>
    <x v="1"/>
    <x v="0"/>
    <x v="0"/>
    <x v="1"/>
    <x v="300"/>
    <x v="259"/>
    <x v="0"/>
    <x v="2"/>
    <x v="1"/>
    <x v="1"/>
    <x v="9"/>
    <x v="0"/>
    <x v="0"/>
    <x v="0"/>
    <x v="15"/>
    <x v="10"/>
    <x v="0"/>
    <x v="139"/>
    <x v="0"/>
    <x v="0"/>
    <x v="0"/>
    <x v="171"/>
    <x v="175"/>
    <x v="16"/>
    <x v="58"/>
    <x v="152"/>
    <x v="178"/>
    <x v="0"/>
    <x v="0"/>
    <x v="179"/>
    <x v="0"/>
    <x v="12"/>
    <x v="0"/>
    <x v="0"/>
    <x v="0"/>
    <x v="0"/>
    <x v="0"/>
    <x v="0"/>
    <x v="0"/>
    <x v="0"/>
  </r>
  <r>
    <x v="305"/>
    <x v="0"/>
    <x v="1"/>
    <x v="0"/>
    <x v="0"/>
    <x v="0"/>
    <x v="301"/>
    <x v="260"/>
    <x v="0"/>
    <x v="2"/>
    <x v="1"/>
    <x v="1"/>
    <x v="9"/>
    <x v="0"/>
    <x v="0"/>
    <x v="0"/>
    <x v="15"/>
    <x v="10"/>
    <x v="0"/>
    <x v="25"/>
    <x v="0"/>
    <x v="0"/>
    <x v="0"/>
    <x v="172"/>
    <x v="176"/>
    <x v="21"/>
    <x v="102"/>
    <x v="153"/>
    <x v="179"/>
    <x v="0"/>
    <x v="0"/>
    <x v="180"/>
    <x v="0"/>
    <x v="137"/>
    <x v="0"/>
    <x v="0"/>
    <x v="0"/>
    <x v="0"/>
    <x v="0"/>
    <x v="0"/>
    <x v="0"/>
    <x v="0"/>
  </r>
  <r>
    <x v="306"/>
    <x v="0"/>
    <x v="1"/>
    <x v="0"/>
    <x v="0"/>
    <x v="1"/>
    <x v="302"/>
    <x v="261"/>
    <x v="0"/>
    <x v="2"/>
    <x v="1"/>
    <x v="1"/>
    <x v="9"/>
    <x v="0"/>
    <x v="0"/>
    <x v="0"/>
    <x v="15"/>
    <x v="10"/>
    <x v="0"/>
    <x v="26"/>
    <x v="0"/>
    <x v="0"/>
    <x v="0"/>
    <x v="173"/>
    <x v="177"/>
    <x v="5"/>
    <x v="41"/>
    <x v="154"/>
    <x v="180"/>
    <x v="0"/>
    <x v="0"/>
    <x v="181"/>
    <x v="1"/>
    <x v="138"/>
    <x v="0"/>
    <x v="0"/>
    <x v="0"/>
    <x v="0"/>
    <x v="0"/>
    <x v="0"/>
    <x v="0"/>
    <x v="0"/>
  </r>
  <r>
    <x v="307"/>
    <x v="0"/>
    <x v="1"/>
    <x v="0"/>
    <x v="0"/>
    <x v="1"/>
    <x v="303"/>
    <x v="262"/>
    <x v="0"/>
    <x v="2"/>
    <x v="1"/>
    <x v="1"/>
    <x v="9"/>
    <x v="0"/>
    <x v="0"/>
    <x v="0"/>
    <x v="15"/>
    <x v="10"/>
    <x v="0"/>
    <x v="24"/>
    <x v="0"/>
    <x v="0"/>
    <x v="0"/>
    <x v="174"/>
    <x v="178"/>
    <x v="17"/>
    <x v="97"/>
    <x v="147"/>
    <x v="181"/>
    <x v="0"/>
    <x v="0"/>
    <x v="182"/>
    <x v="0"/>
    <x v="139"/>
    <x v="0"/>
    <x v="0"/>
    <x v="0"/>
    <x v="0"/>
    <x v="0"/>
    <x v="0"/>
    <x v="0"/>
    <x v="0"/>
  </r>
  <r>
    <x v="308"/>
    <x v="0"/>
    <x v="1"/>
    <x v="0"/>
    <x v="0"/>
    <x v="0"/>
    <x v="304"/>
    <x v="263"/>
    <x v="0"/>
    <x v="2"/>
    <x v="1"/>
    <x v="1"/>
    <x v="9"/>
    <x v="0"/>
    <x v="0"/>
    <x v="0"/>
    <x v="15"/>
    <x v="10"/>
    <x v="0"/>
    <x v="15"/>
    <x v="0"/>
    <x v="0"/>
    <x v="0"/>
    <x v="175"/>
    <x v="179"/>
    <x v="7"/>
    <x v="64"/>
    <x v="155"/>
    <x v="182"/>
    <x v="0"/>
    <x v="0"/>
    <x v="183"/>
    <x v="1"/>
    <x v="140"/>
    <x v="0"/>
    <x v="0"/>
    <x v="0"/>
    <x v="0"/>
    <x v="0"/>
    <x v="0"/>
    <x v="0"/>
    <x v="0"/>
  </r>
  <r>
    <x v="309"/>
    <x v="0"/>
    <x v="1"/>
    <x v="0"/>
    <x v="0"/>
    <x v="1"/>
    <x v="305"/>
    <x v="264"/>
    <x v="0"/>
    <x v="2"/>
    <x v="1"/>
    <x v="1"/>
    <x v="9"/>
    <x v="0"/>
    <x v="0"/>
    <x v="0"/>
    <x v="15"/>
    <x v="10"/>
    <x v="0"/>
    <x v="54"/>
    <x v="0"/>
    <x v="0"/>
    <x v="0"/>
    <x v="106"/>
    <x v="108"/>
    <x v="0"/>
    <x v="12"/>
    <x v="12"/>
    <x v="110"/>
    <x v="0"/>
    <x v="0"/>
    <x v="110"/>
    <x v="1"/>
    <x v="84"/>
    <x v="0"/>
    <x v="0"/>
    <x v="0"/>
    <x v="0"/>
    <x v="0"/>
    <x v="0"/>
    <x v="0"/>
    <x v="0"/>
  </r>
  <r>
    <x v="310"/>
    <x v="0"/>
    <x v="1"/>
    <x v="1"/>
    <x v="0"/>
    <x v="0"/>
    <x v="306"/>
    <x v="1"/>
    <x v="0"/>
    <x v="1"/>
    <x v="1"/>
    <x v="1"/>
    <x v="9"/>
    <x v="0"/>
    <x v="0"/>
    <x v="0"/>
    <x v="15"/>
    <x v="1"/>
    <x v="0"/>
    <x v="24"/>
    <x v="0"/>
    <x v="0"/>
    <x v="0"/>
    <x v="174"/>
    <x v="178"/>
    <x v="17"/>
    <x v="97"/>
    <x v="156"/>
    <x v="183"/>
    <x v="0"/>
    <x v="0"/>
    <x v="182"/>
    <x v="0"/>
    <x v="139"/>
    <x v="0"/>
    <x v="0"/>
    <x v="0"/>
    <x v="0"/>
    <x v="0"/>
    <x v="0"/>
    <x v="0"/>
    <x v="0"/>
  </r>
  <r>
    <x v="311"/>
    <x v="0"/>
    <x v="1"/>
    <x v="1"/>
    <x v="0"/>
    <x v="1"/>
    <x v="307"/>
    <x v="1"/>
    <x v="0"/>
    <x v="1"/>
    <x v="1"/>
    <x v="1"/>
    <x v="10"/>
    <x v="0"/>
    <x v="2"/>
    <x v="0"/>
    <x v="17"/>
    <x v="1"/>
    <x v="2"/>
    <x v="104"/>
    <x v="0"/>
    <x v="0"/>
    <x v="0"/>
    <x v="176"/>
    <x v="180"/>
    <x v="0"/>
    <x v="0"/>
    <x v="157"/>
    <x v="184"/>
    <x v="0"/>
    <x v="0"/>
    <x v="184"/>
    <x v="1"/>
    <x v="141"/>
    <x v="0"/>
    <x v="0"/>
    <x v="0"/>
    <x v="0"/>
    <x v="0"/>
    <x v="0"/>
    <x v="0"/>
    <x v="0"/>
  </r>
  <r>
    <x v="312"/>
    <x v="0"/>
    <x v="1"/>
    <x v="0"/>
    <x v="0"/>
    <x v="1"/>
    <x v="308"/>
    <x v="265"/>
    <x v="0"/>
    <x v="2"/>
    <x v="1"/>
    <x v="1"/>
    <x v="10"/>
    <x v="0"/>
    <x v="0"/>
    <x v="0"/>
    <x v="16"/>
    <x v="11"/>
    <x v="0"/>
    <x v="99"/>
    <x v="0"/>
    <x v="0"/>
    <x v="0"/>
    <x v="177"/>
    <x v="181"/>
    <x v="17"/>
    <x v="103"/>
    <x v="158"/>
    <x v="185"/>
    <x v="0"/>
    <x v="0"/>
    <x v="185"/>
    <x v="0"/>
    <x v="142"/>
    <x v="0"/>
    <x v="0"/>
    <x v="0"/>
    <x v="0"/>
    <x v="0"/>
    <x v="0"/>
    <x v="0"/>
    <x v="0"/>
  </r>
  <r>
    <x v="313"/>
    <x v="0"/>
    <x v="1"/>
    <x v="0"/>
    <x v="0"/>
    <x v="1"/>
    <x v="309"/>
    <x v="266"/>
    <x v="0"/>
    <x v="2"/>
    <x v="1"/>
    <x v="1"/>
    <x v="9"/>
    <x v="0"/>
    <x v="0"/>
    <x v="0"/>
    <x v="15"/>
    <x v="10"/>
    <x v="0"/>
    <x v="140"/>
    <x v="0"/>
    <x v="0"/>
    <x v="0"/>
    <x v="178"/>
    <x v="182"/>
    <x v="26"/>
    <x v="94"/>
    <x v="159"/>
    <x v="186"/>
    <x v="0"/>
    <x v="0"/>
    <x v="186"/>
    <x v="0"/>
    <x v="12"/>
    <x v="0"/>
    <x v="1"/>
    <x v="0"/>
    <x v="0"/>
    <x v="0"/>
    <x v="0"/>
    <x v="0"/>
    <x v="0"/>
  </r>
  <r>
    <x v="314"/>
    <x v="0"/>
    <x v="1"/>
    <x v="0"/>
    <x v="0"/>
    <x v="1"/>
    <x v="310"/>
    <x v="267"/>
    <x v="0"/>
    <x v="2"/>
    <x v="1"/>
    <x v="1"/>
    <x v="9"/>
    <x v="0"/>
    <x v="0"/>
    <x v="0"/>
    <x v="15"/>
    <x v="10"/>
    <x v="0"/>
    <x v="37"/>
    <x v="0"/>
    <x v="0"/>
    <x v="0"/>
    <x v="179"/>
    <x v="183"/>
    <x v="7"/>
    <x v="33"/>
    <x v="38"/>
    <x v="187"/>
    <x v="0"/>
    <x v="0"/>
    <x v="187"/>
    <x v="0"/>
    <x v="12"/>
    <x v="0"/>
    <x v="0"/>
    <x v="0"/>
    <x v="0"/>
    <x v="0"/>
    <x v="0"/>
    <x v="0"/>
    <x v="0"/>
  </r>
  <r>
    <x v="315"/>
    <x v="0"/>
    <x v="1"/>
    <x v="0"/>
    <x v="0"/>
    <x v="0"/>
    <x v="311"/>
    <x v="268"/>
    <x v="0"/>
    <x v="2"/>
    <x v="1"/>
    <x v="1"/>
    <x v="9"/>
    <x v="0"/>
    <x v="0"/>
    <x v="0"/>
    <x v="15"/>
    <x v="10"/>
    <x v="0"/>
    <x v="73"/>
    <x v="0"/>
    <x v="0"/>
    <x v="0"/>
    <x v="180"/>
    <x v="184"/>
    <x v="13"/>
    <x v="104"/>
    <x v="160"/>
    <x v="188"/>
    <x v="0"/>
    <x v="0"/>
    <x v="188"/>
    <x v="0"/>
    <x v="143"/>
    <x v="0"/>
    <x v="0"/>
    <x v="0"/>
    <x v="0"/>
    <x v="0"/>
    <x v="0"/>
    <x v="0"/>
    <x v="0"/>
  </r>
  <r>
    <x v="316"/>
    <x v="0"/>
    <x v="1"/>
    <x v="0"/>
    <x v="0"/>
    <x v="1"/>
    <x v="312"/>
    <x v="269"/>
    <x v="0"/>
    <x v="2"/>
    <x v="1"/>
    <x v="1"/>
    <x v="9"/>
    <x v="0"/>
    <x v="0"/>
    <x v="0"/>
    <x v="15"/>
    <x v="10"/>
    <x v="0"/>
    <x v="19"/>
    <x v="0"/>
    <x v="0"/>
    <x v="0"/>
    <x v="181"/>
    <x v="185"/>
    <x v="12"/>
    <x v="105"/>
    <x v="161"/>
    <x v="189"/>
    <x v="0"/>
    <x v="0"/>
    <x v="189"/>
    <x v="0"/>
    <x v="12"/>
    <x v="0"/>
    <x v="0"/>
    <x v="0"/>
    <x v="0"/>
    <x v="0"/>
    <x v="0"/>
    <x v="0"/>
    <x v="0"/>
  </r>
  <r>
    <x v="317"/>
    <x v="0"/>
    <x v="1"/>
    <x v="0"/>
    <x v="0"/>
    <x v="1"/>
    <x v="313"/>
    <x v="270"/>
    <x v="0"/>
    <x v="2"/>
    <x v="1"/>
    <x v="1"/>
    <x v="9"/>
    <x v="0"/>
    <x v="0"/>
    <x v="0"/>
    <x v="15"/>
    <x v="10"/>
    <x v="0"/>
    <x v="69"/>
    <x v="0"/>
    <x v="0"/>
    <x v="0"/>
    <x v="182"/>
    <x v="186"/>
    <x v="0"/>
    <x v="60"/>
    <x v="162"/>
    <x v="190"/>
    <x v="0"/>
    <x v="0"/>
    <x v="190"/>
    <x v="0"/>
    <x v="144"/>
    <x v="0"/>
    <x v="0"/>
    <x v="0"/>
    <x v="0"/>
    <x v="0"/>
    <x v="0"/>
    <x v="0"/>
    <x v="0"/>
  </r>
  <r>
    <x v="318"/>
    <x v="0"/>
    <x v="1"/>
    <x v="0"/>
    <x v="0"/>
    <x v="0"/>
    <x v="314"/>
    <x v="271"/>
    <x v="0"/>
    <x v="2"/>
    <x v="1"/>
    <x v="1"/>
    <x v="9"/>
    <x v="0"/>
    <x v="0"/>
    <x v="0"/>
    <x v="15"/>
    <x v="10"/>
    <x v="0"/>
    <x v="23"/>
    <x v="0"/>
    <x v="0"/>
    <x v="0"/>
    <x v="183"/>
    <x v="187"/>
    <x v="6"/>
    <x v="74"/>
    <x v="105"/>
    <x v="191"/>
    <x v="0"/>
    <x v="0"/>
    <x v="191"/>
    <x v="1"/>
    <x v="145"/>
    <x v="0"/>
    <x v="0"/>
    <x v="0"/>
    <x v="0"/>
    <x v="0"/>
    <x v="0"/>
    <x v="0"/>
    <x v="0"/>
  </r>
  <r>
    <x v="319"/>
    <x v="0"/>
    <x v="1"/>
    <x v="1"/>
    <x v="0"/>
    <x v="0"/>
    <x v="315"/>
    <x v="1"/>
    <x v="0"/>
    <x v="1"/>
    <x v="1"/>
    <x v="1"/>
    <x v="9"/>
    <x v="0"/>
    <x v="0"/>
    <x v="0"/>
    <x v="15"/>
    <x v="1"/>
    <x v="0"/>
    <x v="124"/>
    <x v="0"/>
    <x v="0"/>
    <x v="0"/>
    <x v="184"/>
    <x v="188"/>
    <x v="0"/>
    <x v="92"/>
    <x v="163"/>
    <x v="192"/>
    <x v="0"/>
    <x v="0"/>
    <x v="192"/>
    <x v="1"/>
    <x v="146"/>
    <x v="0"/>
    <x v="0"/>
    <x v="0"/>
    <x v="0"/>
    <x v="0"/>
    <x v="0"/>
    <x v="0"/>
    <x v="0"/>
  </r>
  <r>
    <x v="320"/>
    <x v="0"/>
    <x v="1"/>
    <x v="3"/>
    <x v="0"/>
    <x v="1"/>
    <x v="316"/>
    <x v="272"/>
    <x v="0"/>
    <x v="2"/>
    <x v="1"/>
    <x v="1"/>
    <x v="10"/>
    <x v="0"/>
    <x v="0"/>
    <x v="0"/>
    <x v="16"/>
    <x v="11"/>
    <x v="0"/>
    <x v="99"/>
    <x v="0"/>
    <x v="0"/>
    <x v="0"/>
    <x v="185"/>
    <x v="189"/>
    <x v="0"/>
    <x v="47"/>
    <x v="56"/>
    <x v="193"/>
    <x v="0"/>
    <x v="0"/>
    <x v="193"/>
    <x v="1"/>
    <x v="147"/>
    <x v="0"/>
    <x v="0"/>
    <x v="0"/>
    <x v="0"/>
    <x v="0"/>
    <x v="0"/>
    <x v="0"/>
    <x v="0"/>
  </r>
  <r>
    <x v="321"/>
    <x v="0"/>
    <x v="1"/>
    <x v="0"/>
    <x v="0"/>
    <x v="1"/>
    <x v="317"/>
    <x v="273"/>
    <x v="0"/>
    <x v="2"/>
    <x v="1"/>
    <x v="1"/>
    <x v="6"/>
    <x v="0"/>
    <x v="4"/>
    <x v="0"/>
    <x v="37"/>
    <x v="32"/>
    <x v="4"/>
    <x v="75"/>
    <x v="0"/>
    <x v="0"/>
    <x v="0"/>
    <x v="186"/>
    <x v="190"/>
    <x v="12"/>
    <x v="62"/>
    <x v="164"/>
    <x v="194"/>
    <x v="0"/>
    <x v="0"/>
    <x v="194"/>
    <x v="0"/>
    <x v="148"/>
    <x v="0"/>
    <x v="0"/>
    <x v="0"/>
    <x v="4"/>
    <x v="0"/>
    <x v="0"/>
    <x v="0"/>
    <x v="0"/>
  </r>
  <r>
    <x v="322"/>
    <x v="0"/>
    <x v="1"/>
    <x v="3"/>
    <x v="0"/>
    <x v="1"/>
    <x v="318"/>
    <x v="274"/>
    <x v="0"/>
    <x v="2"/>
    <x v="1"/>
    <x v="1"/>
    <x v="10"/>
    <x v="0"/>
    <x v="3"/>
    <x v="0"/>
    <x v="30"/>
    <x v="25"/>
    <x v="3"/>
    <x v="82"/>
    <x v="0"/>
    <x v="0"/>
    <x v="0"/>
    <x v="186"/>
    <x v="190"/>
    <x v="12"/>
    <x v="62"/>
    <x v="164"/>
    <x v="194"/>
    <x v="0"/>
    <x v="0"/>
    <x v="194"/>
    <x v="0"/>
    <x v="148"/>
    <x v="0"/>
    <x v="0"/>
    <x v="0"/>
    <x v="0"/>
    <x v="0"/>
    <x v="0"/>
    <x v="0"/>
    <x v="0"/>
  </r>
  <r>
    <x v="323"/>
    <x v="0"/>
    <x v="1"/>
    <x v="3"/>
    <x v="0"/>
    <x v="1"/>
    <x v="319"/>
    <x v="275"/>
    <x v="0"/>
    <x v="2"/>
    <x v="1"/>
    <x v="1"/>
    <x v="6"/>
    <x v="0"/>
    <x v="1"/>
    <x v="0"/>
    <x v="53"/>
    <x v="47"/>
    <x v="1"/>
    <x v="141"/>
    <x v="0"/>
    <x v="0"/>
    <x v="0"/>
    <x v="187"/>
    <x v="191"/>
    <x v="24"/>
    <x v="79"/>
    <x v="165"/>
    <x v="195"/>
    <x v="0"/>
    <x v="0"/>
    <x v="195"/>
    <x v="0"/>
    <x v="149"/>
    <x v="0"/>
    <x v="0"/>
    <x v="0"/>
    <x v="0"/>
    <x v="0"/>
    <x v="0"/>
    <x v="0"/>
    <x v="0"/>
  </r>
  <r>
    <x v="324"/>
    <x v="0"/>
    <x v="1"/>
    <x v="3"/>
    <x v="0"/>
    <x v="1"/>
    <x v="320"/>
    <x v="276"/>
    <x v="0"/>
    <x v="2"/>
    <x v="1"/>
    <x v="1"/>
    <x v="9"/>
    <x v="0"/>
    <x v="0"/>
    <x v="0"/>
    <x v="15"/>
    <x v="10"/>
    <x v="0"/>
    <x v="26"/>
    <x v="0"/>
    <x v="0"/>
    <x v="0"/>
    <x v="1"/>
    <x v="1"/>
    <x v="1"/>
    <x v="1"/>
    <x v="1"/>
    <x v="1"/>
    <x v="0"/>
    <x v="0"/>
    <x v="1"/>
    <x v="1"/>
    <x v="1"/>
    <x v="0"/>
    <x v="0"/>
    <x v="0"/>
    <x v="0"/>
    <x v="0"/>
    <x v="0"/>
    <x v="0"/>
    <x v="0"/>
  </r>
  <r>
    <x v="325"/>
    <x v="0"/>
    <x v="1"/>
    <x v="2"/>
    <x v="0"/>
    <x v="1"/>
    <x v="321"/>
    <x v="1"/>
    <x v="0"/>
    <x v="1"/>
    <x v="1"/>
    <x v="1"/>
    <x v="6"/>
    <x v="0"/>
    <x v="1"/>
    <x v="0"/>
    <x v="53"/>
    <x v="1"/>
    <x v="1"/>
    <x v="142"/>
    <x v="0"/>
    <x v="0"/>
    <x v="0"/>
    <x v="187"/>
    <x v="191"/>
    <x v="24"/>
    <x v="79"/>
    <x v="165"/>
    <x v="195"/>
    <x v="8"/>
    <x v="0"/>
    <x v="195"/>
    <x v="0"/>
    <x v="149"/>
    <x v="0"/>
    <x v="0"/>
    <x v="0"/>
    <x v="0"/>
    <x v="0"/>
    <x v="0"/>
    <x v="0"/>
    <x v="0"/>
  </r>
  <r>
    <x v="326"/>
    <x v="0"/>
    <x v="1"/>
    <x v="2"/>
    <x v="0"/>
    <x v="3"/>
    <x v="322"/>
    <x v="1"/>
    <x v="0"/>
    <x v="1"/>
    <x v="1"/>
    <x v="1"/>
    <x v="23"/>
    <x v="0"/>
    <x v="0"/>
    <x v="0"/>
    <x v="54"/>
    <x v="1"/>
    <x v="0"/>
    <x v="143"/>
    <x v="0"/>
    <x v="0"/>
    <x v="0"/>
    <x v="188"/>
    <x v="192"/>
    <x v="0"/>
    <x v="47"/>
    <x v="70"/>
    <x v="196"/>
    <x v="0"/>
    <x v="0"/>
    <x v="196"/>
    <x v="1"/>
    <x v="150"/>
    <x v="0"/>
    <x v="0"/>
    <x v="0"/>
    <x v="0"/>
    <x v="0"/>
    <x v="0"/>
    <x v="0"/>
    <x v="0"/>
  </r>
  <r>
    <x v="327"/>
    <x v="0"/>
    <x v="1"/>
    <x v="3"/>
    <x v="0"/>
    <x v="1"/>
    <x v="323"/>
    <x v="277"/>
    <x v="0"/>
    <x v="2"/>
    <x v="1"/>
    <x v="1"/>
    <x v="12"/>
    <x v="0"/>
    <x v="10"/>
    <x v="0"/>
    <x v="10"/>
    <x v="6"/>
    <x v="10"/>
    <x v="144"/>
    <x v="0"/>
    <x v="0"/>
    <x v="0"/>
    <x v="189"/>
    <x v="193"/>
    <x v="7"/>
    <x v="99"/>
    <x v="149"/>
    <x v="197"/>
    <x v="0"/>
    <x v="0"/>
    <x v="197"/>
    <x v="1"/>
    <x v="151"/>
    <x v="0"/>
    <x v="0"/>
    <x v="0"/>
    <x v="5"/>
    <x v="0"/>
    <x v="0"/>
    <x v="0"/>
    <x v="0"/>
  </r>
  <r>
    <x v="328"/>
    <x v="0"/>
    <x v="1"/>
    <x v="2"/>
    <x v="0"/>
    <x v="3"/>
    <x v="324"/>
    <x v="1"/>
    <x v="0"/>
    <x v="1"/>
    <x v="1"/>
    <x v="1"/>
    <x v="24"/>
    <x v="0"/>
    <x v="3"/>
    <x v="0"/>
    <x v="55"/>
    <x v="1"/>
    <x v="3"/>
    <x v="145"/>
    <x v="0"/>
    <x v="0"/>
    <x v="0"/>
    <x v="188"/>
    <x v="192"/>
    <x v="0"/>
    <x v="47"/>
    <x v="70"/>
    <x v="196"/>
    <x v="0"/>
    <x v="0"/>
    <x v="196"/>
    <x v="1"/>
    <x v="150"/>
    <x v="0"/>
    <x v="0"/>
    <x v="0"/>
    <x v="0"/>
    <x v="0"/>
    <x v="0"/>
    <x v="0"/>
    <x v="0"/>
  </r>
  <r>
    <x v="329"/>
    <x v="0"/>
    <x v="1"/>
    <x v="3"/>
    <x v="0"/>
    <x v="1"/>
    <x v="325"/>
    <x v="278"/>
    <x v="0"/>
    <x v="2"/>
    <x v="1"/>
    <x v="1"/>
    <x v="6"/>
    <x v="0"/>
    <x v="3"/>
    <x v="0"/>
    <x v="33"/>
    <x v="31"/>
    <x v="3"/>
    <x v="77"/>
    <x v="0"/>
    <x v="0"/>
    <x v="0"/>
    <x v="68"/>
    <x v="69"/>
    <x v="13"/>
    <x v="53"/>
    <x v="66"/>
    <x v="71"/>
    <x v="0"/>
    <x v="0"/>
    <x v="69"/>
    <x v="1"/>
    <x v="56"/>
    <x v="0"/>
    <x v="0"/>
    <x v="0"/>
    <x v="0"/>
    <x v="0"/>
    <x v="0"/>
    <x v="0"/>
    <x v="0"/>
  </r>
  <r>
    <x v="330"/>
    <x v="0"/>
    <x v="1"/>
    <x v="3"/>
    <x v="0"/>
    <x v="1"/>
    <x v="326"/>
    <x v="279"/>
    <x v="0"/>
    <x v="2"/>
    <x v="1"/>
    <x v="1"/>
    <x v="9"/>
    <x v="0"/>
    <x v="0"/>
    <x v="0"/>
    <x v="15"/>
    <x v="10"/>
    <x v="0"/>
    <x v="73"/>
    <x v="0"/>
    <x v="0"/>
    <x v="0"/>
    <x v="190"/>
    <x v="194"/>
    <x v="4"/>
    <x v="106"/>
    <x v="166"/>
    <x v="198"/>
    <x v="0"/>
    <x v="0"/>
    <x v="198"/>
    <x v="0"/>
    <x v="152"/>
    <x v="0"/>
    <x v="0"/>
    <x v="0"/>
    <x v="0"/>
    <x v="0"/>
    <x v="0"/>
    <x v="0"/>
    <x v="0"/>
  </r>
  <r>
    <x v="331"/>
    <x v="0"/>
    <x v="1"/>
    <x v="3"/>
    <x v="0"/>
    <x v="1"/>
    <x v="327"/>
    <x v="280"/>
    <x v="0"/>
    <x v="2"/>
    <x v="1"/>
    <x v="1"/>
    <x v="9"/>
    <x v="0"/>
    <x v="0"/>
    <x v="0"/>
    <x v="15"/>
    <x v="10"/>
    <x v="0"/>
    <x v="69"/>
    <x v="0"/>
    <x v="0"/>
    <x v="0"/>
    <x v="191"/>
    <x v="195"/>
    <x v="7"/>
    <x v="107"/>
    <x v="167"/>
    <x v="199"/>
    <x v="0"/>
    <x v="0"/>
    <x v="199"/>
    <x v="1"/>
    <x v="153"/>
    <x v="0"/>
    <x v="0"/>
    <x v="0"/>
    <x v="0"/>
    <x v="0"/>
    <x v="0"/>
    <x v="0"/>
    <x v="0"/>
  </r>
  <r>
    <x v="332"/>
    <x v="0"/>
    <x v="1"/>
    <x v="3"/>
    <x v="0"/>
    <x v="1"/>
    <x v="328"/>
    <x v="281"/>
    <x v="0"/>
    <x v="2"/>
    <x v="1"/>
    <x v="1"/>
    <x v="9"/>
    <x v="0"/>
    <x v="0"/>
    <x v="0"/>
    <x v="15"/>
    <x v="10"/>
    <x v="0"/>
    <x v="23"/>
    <x v="0"/>
    <x v="0"/>
    <x v="0"/>
    <x v="81"/>
    <x v="82"/>
    <x v="10"/>
    <x v="19"/>
    <x v="20"/>
    <x v="84"/>
    <x v="0"/>
    <x v="0"/>
    <x v="200"/>
    <x v="0"/>
    <x v="12"/>
    <x v="0"/>
    <x v="0"/>
    <x v="0"/>
    <x v="0"/>
    <x v="0"/>
    <x v="0"/>
    <x v="0"/>
    <x v="0"/>
  </r>
  <r>
    <x v="333"/>
    <x v="0"/>
    <x v="1"/>
    <x v="3"/>
    <x v="0"/>
    <x v="1"/>
    <x v="329"/>
    <x v="282"/>
    <x v="0"/>
    <x v="2"/>
    <x v="1"/>
    <x v="1"/>
    <x v="9"/>
    <x v="0"/>
    <x v="0"/>
    <x v="0"/>
    <x v="15"/>
    <x v="10"/>
    <x v="0"/>
    <x v="24"/>
    <x v="0"/>
    <x v="0"/>
    <x v="0"/>
    <x v="191"/>
    <x v="195"/>
    <x v="7"/>
    <x v="107"/>
    <x v="167"/>
    <x v="199"/>
    <x v="0"/>
    <x v="0"/>
    <x v="199"/>
    <x v="1"/>
    <x v="153"/>
    <x v="0"/>
    <x v="0"/>
    <x v="0"/>
    <x v="0"/>
    <x v="0"/>
    <x v="0"/>
    <x v="0"/>
    <x v="0"/>
  </r>
  <r>
    <x v="334"/>
    <x v="0"/>
    <x v="1"/>
    <x v="3"/>
    <x v="0"/>
    <x v="1"/>
    <x v="330"/>
    <x v="283"/>
    <x v="0"/>
    <x v="2"/>
    <x v="1"/>
    <x v="1"/>
    <x v="2"/>
    <x v="0"/>
    <x v="0"/>
    <x v="0"/>
    <x v="5"/>
    <x v="3"/>
    <x v="0"/>
    <x v="146"/>
    <x v="0"/>
    <x v="0"/>
    <x v="0"/>
    <x v="68"/>
    <x v="69"/>
    <x v="13"/>
    <x v="53"/>
    <x v="66"/>
    <x v="71"/>
    <x v="0"/>
    <x v="0"/>
    <x v="69"/>
    <x v="1"/>
    <x v="56"/>
    <x v="0"/>
    <x v="0"/>
    <x v="0"/>
    <x v="6"/>
    <x v="0"/>
    <x v="0"/>
    <x v="0"/>
    <x v="0"/>
  </r>
  <r>
    <x v="335"/>
    <x v="0"/>
    <x v="1"/>
    <x v="3"/>
    <x v="0"/>
    <x v="1"/>
    <x v="331"/>
    <x v="284"/>
    <x v="0"/>
    <x v="2"/>
    <x v="1"/>
    <x v="1"/>
    <x v="10"/>
    <x v="0"/>
    <x v="2"/>
    <x v="0"/>
    <x v="17"/>
    <x v="12"/>
    <x v="2"/>
    <x v="147"/>
    <x v="0"/>
    <x v="0"/>
    <x v="0"/>
    <x v="149"/>
    <x v="152"/>
    <x v="18"/>
    <x v="90"/>
    <x v="133"/>
    <x v="155"/>
    <x v="0"/>
    <x v="0"/>
    <x v="156"/>
    <x v="0"/>
    <x v="119"/>
    <x v="0"/>
    <x v="0"/>
    <x v="0"/>
    <x v="0"/>
    <x v="0"/>
    <x v="0"/>
    <x v="0"/>
    <x v="0"/>
  </r>
  <r>
    <x v="336"/>
    <x v="0"/>
    <x v="1"/>
    <x v="3"/>
    <x v="0"/>
    <x v="1"/>
    <x v="332"/>
    <x v="285"/>
    <x v="0"/>
    <x v="2"/>
    <x v="1"/>
    <x v="1"/>
    <x v="2"/>
    <x v="0"/>
    <x v="4"/>
    <x v="0"/>
    <x v="29"/>
    <x v="24"/>
    <x v="4"/>
    <x v="90"/>
    <x v="0"/>
    <x v="0"/>
    <x v="0"/>
    <x v="188"/>
    <x v="192"/>
    <x v="0"/>
    <x v="47"/>
    <x v="70"/>
    <x v="196"/>
    <x v="0"/>
    <x v="0"/>
    <x v="196"/>
    <x v="1"/>
    <x v="150"/>
    <x v="0"/>
    <x v="0"/>
    <x v="0"/>
    <x v="7"/>
    <x v="0"/>
    <x v="0"/>
    <x v="0"/>
    <x v="0"/>
  </r>
  <r>
    <x v="337"/>
    <x v="0"/>
    <x v="1"/>
    <x v="3"/>
    <x v="0"/>
    <x v="1"/>
    <x v="333"/>
    <x v="285"/>
    <x v="0"/>
    <x v="2"/>
    <x v="1"/>
    <x v="1"/>
    <x v="9"/>
    <x v="0"/>
    <x v="0"/>
    <x v="0"/>
    <x v="15"/>
    <x v="10"/>
    <x v="0"/>
    <x v="26"/>
    <x v="0"/>
    <x v="0"/>
    <x v="0"/>
    <x v="186"/>
    <x v="190"/>
    <x v="12"/>
    <x v="62"/>
    <x v="164"/>
    <x v="194"/>
    <x v="0"/>
    <x v="0"/>
    <x v="194"/>
    <x v="0"/>
    <x v="148"/>
    <x v="0"/>
    <x v="0"/>
    <x v="0"/>
    <x v="0"/>
    <x v="0"/>
    <x v="0"/>
    <x v="0"/>
    <x v="0"/>
  </r>
  <r>
    <x v="338"/>
    <x v="0"/>
    <x v="1"/>
    <x v="2"/>
    <x v="0"/>
    <x v="1"/>
    <x v="334"/>
    <x v="1"/>
    <x v="0"/>
    <x v="1"/>
    <x v="1"/>
    <x v="1"/>
    <x v="2"/>
    <x v="0"/>
    <x v="4"/>
    <x v="0"/>
    <x v="29"/>
    <x v="1"/>
    <x v="4"/>
    <x v="56"/>
    <x v="0"/>
    <x v="0"/>
    <x v="0"/>
    <x v="68"/>
    <x v="69"/>
    <x v="13"/>
    <x v="53"/>
    <x v="66"/>
    <x v="71"/>
    <x v="0"/>
    <x v="0"/>
    <x v="69"/>
    <x v="1"/>
    <x v="56"/>
    <x v="0"/>
    <x v="0"/>
    <x v="0"/>
    <x v="0"/>
    <x v="0"/>
    <x v="0"/>
    <x v="0"/>
    <x v="0"/>
  </r>
  <r>
    <x v="339"/>
    <x v="0"/>
    <x v="1"/>
    <x v="3"/>
    <x v="0"/>
    <x v="1"/>
    <x v="335"/>
    <x v="286"/>
    <x v="0"/>
    <x v="2"/>
    <x v="1"/>
    <x v="1"/>
    <x v="9"/>
    <x v="0"/>
    <x v="0"/>
    <x v="0"/>
    <x v="15"/>
    <x v="10"/>
    <x v="0"/>
    <x v="71"/>
    <x v="0"/>
    <x v="0"/>
    <x v="0"/>
    <x v="149"/>
    <x v="152"/>
    <x v="18"/>
    <x v="90"/>
    <x v="133"/>
    <x v="155"/>
    <x v="0"/>
    <x v="0"/>
    <x v="156"/>
    <x v="0"/>
    <x v="119"/>
    <x v="0"/>
    <x v="0"/>
    <x v="0"/>
    <x v="0"/>
    <x v="0"/>
    <x v="0"/>
    <x v="0"/>
    <x v="0"/>
  </r>
  <r>
    <x v="340"/>
    <x v="0"/>
    <x v="1"/>
    <x v="3"/>
    <x v="0"/>
    <x v="1"/>
    <x v="336"/>
    <x v="287"/>
    <x v="0"/>
    <x v="2"/>
    <x v="1"/>
    <x v="1"/>
    <x v="2"/>
    <x v="0"/>
    <x v="0"/>
    <x v="0"/>
    <x v="5"/>
    <x v="3"/>
    <x v="0"/>
    <x v="118"/>
    <x v="0"/>
    <x v="0"/>
    <x v="0"/>
    <x v="186"/>
    <x v="190"/>
    <x v="12"/>
    <x v="62"/>
    <x v="164"/>
    <x v="200"/>
    <x v="0"/>
    <x v="0"/>
    <x v="201"/>
    <x v="0"/>
    <x v="12"/>
    <x v="0"/>
    <x v="0"/>
    <x v="0"/>
    <x v="0"/>
    <x v="0"/>
    <x v="0"/>
    <x v="0"/>
    <x v="0"/>
  </r>
  <r>
    <x v="341"/>
    <x v="0"/>
    <x v="1"/>
    <x v="3"/>
    <x v="0"/>
    <x v="1"/>
    <x v="337"/>
    <x v="288"/>
    <x v="0"/>
    <x v="2"/>
    <x v="1"/>
    <x v="1"/>
    <x v="2"/>
    <x v="0"/>
    <x v="4"/>
    <x v="0"/>
    <x v="29"/>
    <x v="24"/>
    <x v="4"/>
    <x v="148"/>
    <x v="0"/>
    <x v="0"/>
    <x v="0"/>
    <x v="192"/>
    <x v="196"/>
    <x v="3"/>
    <x v="51"/>
    <x v="168"/>
    <x v="201"/>
    <x v="0"/>
    <x v="0"/>
    <x v="202"/>
    <x v="1"/>
    <x v="154"/>
    <x v="0"/>
    <x v="0"/>
    <x v="0"/>
    <x v="0"/>
    <x v="0"/>
    <x v="0"/>
    <x v="0"/>
    <x v="0"/>
  </r>
  <r>
    <x v="342"/>
    <x v="0"/>
    <x v="1"/>
    <x v="3"/>
    <x v="0"/>
    <x v="1"/>
    <x v="338"/>
    <x v="289"/>
    <x v="0"/>
    <x v="2"/>
    <x v="1"/>
    <x v="1"/>
    <x v="2"/>
    <x v="0"/>
    <x v="2"/>
    <x v="0"/>
    <x v="56"/>
    <x v="48"/>
    <x v="2"/>
    <x v="118"/>
    <x v="0"/>
    <x v="0"/>
    <x v="0"/>
    <x v="192"/>
    <x v="196"/>
    <x v="3"/>
    <x v="51"/>
    <x v="168"/>
    <x v="201"/>
    <x v="0"/>
    <x v="0"/>
    <x v="202"/>
    <x v="1"/>
    <x v="154"/>
    <x v="0"/>
    <x v="0"/>
    <x v="0"/>
    <x v="0"/>
    <x v="0"/>
    <x v="0"/>
    <x v="0"/>
    <x v="0"/>
  </r>
  <r>
    <x v="343"/>
    <x v="0"/>
    <x v="1"/>
    <x v="0"/>
    <x v="0"/>
    <x v="1"/>
    <x v="339"/>
    <x v="290"/>
    <x v="0"/>
    <x v="2"/>
    <x v="1"/>
    <x v="1"/>
    <x v="6"/>
    <x v="0"/>
    <x v="3"/>
    <x v="0"/>
    <x v="33"/>
    <x v="31"/>
    <x v="3"/>
    <x v="75"/>
    <x v="0"/>
    <x v="0"/>
    <x v="0"/>
    <x v="193"/>
    <x v="197"/>
    <x v="15"/>
    <x v="32"/>
    <x v="36"/>
    <x v="202"/>
    <x v="0"/>
    <x v="0"/>
    <x v="203"/>
    <x v="1"/>
    <x v="155"/>
    <x v="0"/>
    <x v="0"/>
    <x v="0"/>
    <x v="8"/>
    <x v="0"/>
    <x v="0"/>
    <x v="0"/>
    <x v="0"/>
  </r>
  <r>
    <x v="344"/>
    <x v="0"/>
    <x v="1"/>
    <x v="3"/>
    <x v="0"/>
    <x v="1"/>
    <x v="340"/>
    <x v="291"/>
    <x v="0"/>
    <x v="2"/>
    <x v="1"/>
    <x v="1"/>
    <x v="10"/>
    <x v="0"/>
    <x v="0"/>
    <x v="0"/>
    <x v="16"/>
    <x v="11"/>
    <x v="0"/>
    <x v="149"/>
    <x v="0"/>
    <x v="0"/>
    <x v="0"/>
    <x v="194"/>
    <x v="198"/>
    <x v="1"/>
    <x v="1"/>
    <x v="169"/>
    <x v="203"/>
    <x v="0"/>
    <x v="0"/>
    <x v="204"/>
    <x v="0"/>
    <x v="12"/>
    <x v="0"/>
    <x v="0"/>
    <x v="0"/>
    <x v="9"/>
    <x v="0"/>
    <x v="0"/>
    <x v="0"/>
    <x v="0"/>
  </r>
  <r>
    <x v="345"/>
    <x v="0"/>
    <x v="1"/>
    <x v="2"/>
    <x v="0"/>
    <x v="1"/>
    <x v="341"/>
    <x v="1"/>
    <x v="0"/>
    <x v="1"/>
    <x v="1"/>
    <x v="1"/>
    <x v="6"/>
    <x v="0"/>
    <x v="2"/>
    <x v="0"/>
    <x v="57"/>
    <x v="1"/>
    <x v="2"/>
    <x v="75"/>
    <x v="0"/>
    <x v="0"/>
    <x v="0"/>
    <x v="195"/>
    <x v="199"/>
    <x v="14"/>
    <x v="108"/>
    <x v="170"/>
    <x v="204"/>
    <x v="0"/>
    <x v="0"/>
    <x v="46"/>
    <x v="1"/>
    <x v="156"/>
    <x v="0"/>
    <x v="0"/>
    <x v="0"/>
    <x v="0"/>
    <x v="0"/>
    <x v="0"/>
    <x v="0"/>
    <x v="0"/>
  </r>
  <r>
    <x v="346"/>
    <x v="0"/>
    <x v="1"/>
    <x v="3"/>
    <x v="0"/>
    <x v="1"/>
    <x v="342"/>
    <x v="292"/>
    <x v="0"/>
    <x v="2"/>
    <x v="1"/>
    <x v="1"/>
    <x v="9"/>
    <x v="0"/>
    <x v="0"/>
    <x v="0"/>
    <x v="15"/>
    <x v="10"/>
    <x v="0"/>
    <x v="26"/>
    <x v="0"/>
    <x v="0"/>
    <x v="0"/>
    <x v="193"/>
    <x v="197"/>
    <x v="15"/>
    <x v="32"/>
    <x v="36"/>
    <x v="202"/>
    <x v="0"/>
    <x v="0"/>
    <x v="203"/>
    <x v="1"/>
    <x v="155"/>
    <x v="0"/>
    <x v="0"/>
    <x v="0"/>
    <x v="0"/>
    <x v="0"/>
    <x v="0"/>
    <x v="0"/>
    <x v="0"/>
  </r>
  <r>
    <x v="347"/>
    <x v="0"/>
    <x v="1"/>
    <x v="0"/>
    <x v="0"/>
    <x v="1"/>
    <x v="343"/>
    <x v="293"/>
    <x v="0"/>
    <x v="2"/>
    <x v="1"/>
    <x v="1"/>
    <x v="9"/>
    <x v="0"/>
    <x v="0"/>
    <x v="0"/>
    <x v="15"/>
    <x v="10"/>
    <x v="0"/>
    <x v="19"/>
    <x v="0"/>
    <x v="0"/>
    <x v="0"/>
    <x v="4"/>
    <x v="200"/>
    <x v="5"/>
    <x v="41"/>
    <x v="82"/>
    <x v="205"/>
    <x v="0"/>
    <x v="0"/>
    <x v="205"/>
    <x v="0"/>
    <x v="12"/>
    <x v="0"/>
    <x v="0"/>
    <x v="0"/>
    <x v="10"/>
    <x v="0"/>
    <x v="0"/>
    <x v="0"/>
    <x v="0"/>
  </r>
  <r>
    <x v="348"/>
    <x v="0"/>
    <x v="1"/>
    <x v="3"/>
    <x v="0"/>
    <x v="1"/>
    <x v="344"/>
    <x v="294"/>
    <x v="0"/>
    <x v="2"/>
    <x v="1"/>
    <x v="1"/>
    <x v="9"/>
    <x v="0"/>
    <x v="0"/>
    <x v="0"/>
    <x v="15"/>
    <x v="10"/>
    <x v="0"/>
    <x v="31"/>
    <x v="0"/>
    <x v="0"/>
    <x v="0"/>
    <x v="194"/>
    <x v="198"/>
    <x v="1"/>
    <x v="1"/>
    <x v="169"/>
    <x v="203"/>
    <x v="0"/>
    <x v="0"/>
    <x v="204"/>
    <x v="0"/>
    <x v="12"/>
    <x v="0"/>
    <x v="0"/>
    <x v="0"/>
    <x v="0"/>
    <x v="0"/>
    <x v="0"/>
    <x v="0"/>
    <x v="0"/>
  </r>
  <r>
    <x v="349"/>
    <x v="0"/>
    <x v="1"/>
    <x v="0"/>
    <x v="0"/>
    <x v="1"/>
    <x v="345"/>
    <x v="295"/>
    <x v="0"/>
    <x v="2"/>
    <x v="1"/>
    <x v="1"/>
    <x v="6"/>
    <x v="0"/>
    <x v="0"/>
    <x v="0"/>
    <x v="10"/>
    <x v="6"/>
    <x v="0"/>
    <x v="74"/>
    <x v="0"/>
    <x v="0"/>
    <x v="0"/>
    <x v="2"/>
    <x v="2"/>
    <x v="2"/>
    <x v="2"/>
    <x v="2"/>
    <x v="2"/>
    <x v="0"/>
    <x v="0"/>
    <x v="2"/>
    <x v="1"/>
    <x v="2"/>
    <x v="0"/>
    <x v="0"/>
    <x v="0"/>
    <x v="8"/>
    <x v="0"/>
    <x v="0"/>
    <x v="0"/>
    <x v="0"/>
  </r>
  <r>
    <x v="350"/>
    <x v="0"/>
    <x v="1"/>
    <x v="3"/>
    <x v="0"/>
    <x v="0"/>
    <x v="346"/>
    <x v="296"/>
    <x v="0"/>
    <x v="0"/>
    <x v="39"/>
    <x v="39"/>
    <x v="25"/>
    <x v="0"/>
    <x v="3"/>
    <x v="0"/>
    <x v="58"/>
    <x v="49"/>
    <x v="3"/>
    <x v="150"/>
    <x v="0"/>
    <x v="0"/>
    <x v="0"/>
    <x v="196"/>
    <x v="201"/>
    <x v="3"/>
    <x v="109"/>
    <x v="171"/>
    <x v="206"/>
    <x v="0"/>
    <x v="0"/>
    <x v="206"/>
    <x v="0"/>
    <x v="157"/>
    <x v="0"/>
    <x v="0"/>
    <x v="0"/>
    <x v="0"/>
    <x v="0"/>
    <x v="0"/>
    <x v="0"/>
    <x v="0"/>
  </r>
  <r>
    <x v="351"/>
    <x v="0"/>
    <x v="1"/>
    <x v="3"/>
    <x v="0"/>
    <x v="1"/>
    <x v="347"/>
    <x v="297"/>
    <x v="0"/>
    <x v="2"/>
    <x v="1"/>
    <x v="1"/>
    <x v="9"/>
    <x v="0"/>
    <x v="0"/>
    <x v="0"/>
    <x v="15"/>
    <x v="10"/>
    <x v="0"/>
    <x v="24"/>
    <x v="0"/>
    <x v="0"/>
    <x v="0"/>
    <x v="62"/>
    <x v="63"/>
    <x v="13"/>
    <x v="49"/>
    <x v="60"/>
    <x v="65"/>
    <x v="0"/>
    <x v="0"/>
    <x v="63"/>
    <x v="0"/>
    <x v="158"/>
    <x v="0"/>
    <x v="0"/>
    <x v="0"/>
    <x v="0"/>
    <x v="0"/>
    <x v="0"/>
    <x v="0"/>
    <x v="0"/>
  </r>
  <r>
    <x v="352"/>
    <x v="0"/>
    <x v="1"/>
    <x v="2"/>
    <x v="0"/>
    <x v="1"/>
    <x v="348"/>
    <x v="298"/>
    <x v="0"/>
    <x v="2"/>
    <x v="1"/>
    <x v="1"/>
    <x v="5"/>
    <x v="0"/>
    <x v="2"/>
    <x v="0"/>
    <x v="59"/>
    <x v="50"/>
    <x v="2"/>
    <x v="126"/>
    <x v="0"/>
    <x v="0"/>
    <x v="0"/>
    <x v="197"/>
    <x v="202"/>
    <x v="11"/>
    <x v="110"/>
    <x v="172"/>
    <x v="207"/>
    <x v="0"/>
    <x v="0"/>
    <x v="207"/>
    <x v="1"/>
    <x v="159"/>
    <x v="0"/>
    <x v="2"/>
    <x v="1"/>
    <x v="0"/>
    <x v="0"/>
    <x v="0"/>
    <x v="0"/>
    <x v="0"/>
  </r>
  <r>
    <x v="353"/>
    <x v="0"/>
    <x v="1"/>
    <x v="3"/>
    <x v="0"/>
    <x v="1"/>
    <x v="349"/>
    <x v="299"/>
    <x v="0"/>
    <x v="2"/>
    <x v="1"/>
    <x v="1"/>
    <x v="9"/>
    <x v="0"/>
    <x v="0"/>
    <x v="0"/>
    <x v="15"/>
    <x v="10"/>
    <x v="0"/>
    <x v="23"/>
    <x v="0"/>
    <x v="0"/>
    <x v="0"/>
    <x v="62"/>
    <x v="63"/>
    <x v="13"/>
    <x v="49"/>
    <x v="60"/>
    <x v="65"/>
    <x v="0"/>
    <x v="0"/>
    <x v="63"/>
    <x v="0"/>
    <x v="158"/>
    <x v="0"/>
    <x v="0"/>
    <x v="0"/>
    <x v="0"/>
    <x v="0"/>
    <x v="0"/>
    <x v="0"/>
    <x v="0"/>
  </r>
  <r>
    <x v="354"/>
    <x v="0"/>
    <x v="1"/>
    <x v="3"/>
    <x v="0"/>
    <x v="1"/>
    <x v="350"/>
    <x v="300"/>
    <x v="0"/>
    <x v="2"/>
    <x v="1"/>
    <x v="1"/>
    <x v="2"/>
    <x v="0"/>
    <x v="5"/>
    <x v="0"/>
    <x v="7"/>
    <x v="4"/>
    <x v="5"/>
    <x v="90"/>
    <x v="0"/>
    <x v="0"/>
    <x v="0"/>
    <x v="198"/>
    <x v="203"/>
    <x v="3"/>
    <x v="29"/>
    <x v="173"/>
    <x v="208"/>
    <x v="0"/>
    <x v="0"/>
    <x v="208"/>
    <x v="1"/>
    <x v="160"/>
    <x v="0"/>
    <x v="0"/>
    <x v="0"/>
    <x v="0"/>
    <x v="0"/>
    <x v="0"/>
    <x v="0"/>
    <x v="0"/>
  </r>
  <r>
    <x v="355"/>
    <x v="0"/>
    <x v="1"/>
    <x v="3"/>
    <x v="0"/>
    <x v="1"/>
    <x v="351"/>
    <x v="301"/>
    <x v="0"/>
    <x v="2"/>
    <x v="1"/>
    <x v="1"/>
    <x v="9"/>
    <x v="0"/>
    <x v="0"/>
    <x v="0"/>
    <x v="15"/>
    <x v="10"/>
    <x v="0"/>
    <x v="23"/>
    <x v="0"/>
    <x v="0"/>
    <x v="0"/>
    <x v="56"/>
    <x v="204"/>
    <x v="14"/>
    <x v="44"/>
    <x v="53"/>
    <x v="58"/>
    <x v="0"/>
    <x v="0"/>
    <x v="56"/>
    <x v="0"/>
    <x v="48"/>
    <x v="0"/>
    <x v="0"/>
    <x v="0"/>
    <x v="0"/>
    <x v="0"/>
    <x v="0"/>
    <x v="0"/>
    <x v="0"/>
  </r>
  <r>
    <x v="356"/>
    <x v="0"/>
    <x v="1"/>
    <x v="0"/>
    <x v="0"/>
    <x v="1"/>
    <x v="352"/>
    <x v="302"/>
    <x v="0"/>
    <x v="2"/>
    <x v="1"/>
    <x v="1"/>
    <x v="12"/>
    <x v="0"/>
    <x v="0"/>
    <x v="0"/>
    <x v="24"/>
    <x v="19"/>
    <x v="0"/>
    <x v="151"/>
    <x v="0"/>
    <x v="0"/>
    <x v="0"/>
    <x v="199"/>
    <x v="205"/>
    <x v="0"/>
    <x v="50"/>
    <x v="61"/>
    <x v="209"/>
    <x v="9"/>
    <x v="0"/>
    <x v="209"/>
    <x v="1"/>
    <x v="161"/>
    <x v="0"/>
    <x v="0"/>
    <x v="0"/>
    <x v="0"/>
    <x v="0"/>
    <x v="0"/>
    <x v="0"/>
    <x v="0"/>
  </r>
  <r>
    <x v="357"/>
    <x v="0"/>
    <x v="1"/>
    <x v="0"/>
    <x v="0"/>
    <x v="1"/>
    <x v="353"/>
    <x v="303"/>
    <x v="0"/>
    <x v="2"/>
    <x v="1"/>
    <x v="1"/>
    <x v="6"/>
    <x v="0"/>
    <x v="11"/>
    <x v="0"/>
    <x v="60"/>
    <x v="51"/>
    <x v="11"/>
    <x v="74"/>
    <x v="0"/>
    <x v="0"/>
    <x v="0"/>
    <x v="198"/>
    <x v="203"/>
    <x v="3"/>
    <x v="29"/>
    <x v="173"/>
    <x v="208"/>
    <x v="0"/>
    <x v="0"/>
    <x v="208"/>
    <x v="1"/>
    <x v="160"/>
    <x v="0"/>
    <x v="0"/>
    <x v="0"/>
    <x v="8"/>
    <x v="0"/>
    <x v="0"/>
    <x v="0"/>
    <x v="0"/>
  </r>
  <r>
    <x v="358"/>
    <x v="0"/>
    <x v="1"/>
    <x v="3"/>
    <x v="0"/>
    <x v="1"/>
    <x v="354"/>
    <x v="304"/>
    <x v="0"/>
    <x v="2"/>
    <x v="1"/>
    <x v="1"/>
    <x v="2"/>
    <x v="0"/>
    <x v="5"/>
    <x v="0"/>
    <x v="7"/>
    <x v="4"/>
    <x v="5"/>
    <x v="118"/>
    <x v="0"/>
    <x v="0"/>
    <x v="0"/>
    <x v="193"/>
    <x v="197"/>
    <x v="15"/>
    <x v="32"/>
    <x v="36"/>
    <x v="202"/>
    <x v="0"/>
    <x v="0"/>
    <x v="203"/>
    <x v="1"/>
    <x v="155"/>
    <x v="0"/>
    <x v="0"/>
    <x v="0"/>
    <x v="0"/>
    <x v="0"/>
    <x v="0"/>
    <x v="0"/>
    <x v="0"/>
  </r>
  <r>
    <x v="359"/>
    <x v="0"/>
    <x v="1"/>
    <x v="3"/>
    <x v="0"/>
    <x v="1"/>
    <x v="355"/>
    <x v="305"/>
    <x v="0"/>
    <x v="2"/>
    <x v="1"/>
    <x v="1"/>
    <x v="2"/>
    <x v="0"/>
    <x v="0"/>
    <x v="0"/>
    <x v="5"/>
    <x v="3"/>
    <x v="0"/>
    <x v="152"/>
    <x v="0"/>
    <x v="0"/>
    <x v="0"/>
    <x v="200"/>
    <x v="206"/>
    <x v="11"/>
    <x v="65"/>
    <x v="174"/>
    <x v="210"/>
    <x v="0"/>
    <x v="0"/>
    <x v="210"/>
    <x v="0"/>
    <x v="12"/>
    <x v="0"/>
    <x v="0"/>
    <x v="0"/>
    <x v="0"/>
    <x v="0"/>
    <x v="0"/>
    <x v="0"/>
    <x v="0"/>
  </r>
  <r>
    <x v="360"/>
    <x v="0"/>
    <x v="1"/>
    <x v="3"/>
    <x v="0"/>
    <x v="1"/>
    <x v="356"/>
    <x v="306"/>
    <x v="0"/>
    <x v="2"/>
    <x v="1"/>
    <x v="1"/>
    <x v="9"/>
    <x v="0"/>
    <x v="0"/>
    <x v="0"/>
    <x v="15"/>
    <x v="10"/>
    <x v="0"/>
    <x v="124"/>
    <x v="0"/>
    <x v="0"/>
    <x v="0"/>
    <x v="102"/>
    <x v="104"/>
    <x v="0"/>
    <x v="47"/>
    <x v="56"/>
    <x v="106"/>
    <x v="0"/>
    <x v="0"/>
    <x v="106"/>
    <x v="1"/>
    <x v="80"/>
    <x v="0"/>
    <x v="0"/>
    <x v="0"/>
    <x v="0"/>
    <x v="0"/>
    <x v="0"/>
    <x v="0"/>
    <x v="0"/>
  </r>
  <r>
    <x v="361"/>
    <x v="0"/>
    <x v="1"/>
    <x v="3"/>
    <x v="0"/>
    <x v="1"/>
    <x v="357"/>
    <x v="307"/>
    <x v="0"/>
    <x v="2"/>
    <x v="1"/>
    <x v="1"/>
    <x v="9"/>
    <x v="0"/>
    <x v="0"/>
    <x v="0"/>
    <x v="15"/>
    <x v="10"/>
    <x v="0"/>
    <x v="84"/>
    <x v="0"/>
    <x v="0"/>
    <x v="0"/>
    <x v="201"/>
    <x v="207"/>
    <x v="0"/>
    <x v="24"/>
    <x v="175"/>
    <x v="211"/>
    <x v="0"/>
    <x v="0"/>
    <x v="211"/>
    <x v="1"/>
    <x v="162"/>
    <x v="0"/>
    <x v="0"/>
    <x v="0"/>
    <x v="0"/>
    <x v="0"/>
    <x v="0"/>
    <x v="0"/>
    <x v="0"/>
  </r>
  <r>
    <x v="362"/>
    <x v="0"/>
    <x v="1"/>
    <x v="3"/>
    <x v="0"/>
    <x v="1"/>
    <x v="358"/>
    <x v="308"/>
    <x v="0"/>
    <x v="2"/>
    <x v="1"/>
    <x v="1"/>
    <x v="9"/>
    <x v="0"/>
    <x v="0"/>
    <x v="0"/>
    <x v="15"/>
    <x v="10"/>
    <x v="0"/>
    <x v="26"/>
    <x v="0"/>
    <x v="0"/>
    <x v="0"/>
    <x v="202"/>
    <x v="208"/>
    <x v="16"/>
    <x v="111"/>
    <x v="176"/>
    <x v="212"/>
    <x v="0"/>
    <x v="0"/>
    <x v="212"/>
    <x v="0"/>
    <x v="12"/>
    <x v="0"/>
    <x v="0"/>
    <x v="0"/>
    <x v="0"/>
    <x v="0"/>
    <x v="0"/>
    <x v="0"/>
    <x v="0"/>
  </r>
  <r>
    <x v="363"/>
    <x v="0"/>
    <x v="1"/>
    <x v="3"/>
    <x v="0"/>
    <x v="2"/>
    <x v="359"/>
    <x v="309"/>
    <x v="0"/>
    <x v="2"/>
    <x v="1"/>
    <x v="1"/>
    <x v="10"/>
    <x v="0"/>
    <x v="4"/>
    <x v="0"/>
    <x v="18"/>
    <x v="13"/>
    <x v="4"/>
    <x v="99"/>
    <x v="0"/>
    <x v="0"/>
    <x v="0"/>
    <x v="203"/>
    <x v="209"/>
    <x v="14"/>
    <x v="68"/>
    <x v="95"/>
    <x v="213"/>
    <x v="0"/>
    <x v="0"/>
    <x v="213"/>
    <x v="0"/>
    <x v="163"/>
    <x v="0"/>
    <x v="0"/>
    <x v="0"/>
    <x v="0"/>
    <x v="0"/>
    <x v="0"/>
    <x v="0"/>
    <x v="0"/>
  </r>
  <r>
    <x v="364"/>
    <x v="0"/>
    <x v="1"/>
    <x v="3"/>
    <x v="0"/>
    <x v="1"/>
    <x v="360"/>
    <x v="310"/>
    <x v="0"/>
    <x v="2"/>
    <x v="1"/>
    <x v="1"/>
    <x v="9"/>
    <x v="0"/>
    <x v="0"/>
    <x v="0"/>
    <x v="15"/>
    <x v="10"/>
    <x v="0"/>
    <x v="19"/>
    <x v="0"/>
    <x v="0"/>
    <x v="0"/>
    <x v="198"/>
    <x v="203"/>
    <x v="3"/>
    <x v="29"/>
    <x v="173"/>
    <x v="208"/>
    <x v="0"/>
    <x v="0"/>
    <x v="208"/>
    <x v="1"/>
    <x v="160"/>
    <x v="0"/>
    <x v="0"/>
    <x v="0"/>
    <x v="0"/>
    <x v="0"/>
    <x v="0"/>
    <x v="0"/>
    <x v="0"/>
  </r>
  <r>
    <x v="365"/>
    <x v="0"/>
    <x v="1"/>
    <x v="3"/>
    <x v="0"/>
    <x v="0"/>
    <x v="361"/>
    <x v="311"/>
    <x v="0"/>
    <x v="2"/>
    <x v="1"/>
    <x v="1"/>
    <x v="9"/>
    <x v="0"/>
    <x v="0"/>
    <x v="0"/>
    <x v="15"/>
    <x v="10"/>
    <x v="0"/>
    <x v="73"/>
    <x v="0"/>
    <x v="0"/>
    <x v="0"/>
    <x v="204"/>
    <x v="210"/>
    <x v="9"/>
    <x v="112"/>
    <x v="177"/>
    <x v="214"/>
    <x v="0"/>
    <x v="0"/>
    <x v="214"/>
    <x v="0"/>
    <x v="12"/>
    <x v="0"/>
    <x v="0"/>
    <x v="0"/>
    <x v="0"/>
    <x v="0"/>
    <x v="0"/>
    <x v="0"/>
    <x v="0"/>
  </r>
  <r>
    <x v="366"/>
    <x v="0"/>
    <x v="1"/>
    <x v="2"/>
    <x v="0"/>
    <x v="0"/>
    <x v="362"/>
    <x v="1"/>
    <x v="0"/>
    <x v="1"/>
    <x v="1"/>
    <x v="1"/>
    <x v="6"/>
    <x v="0"/>
    <x v="2"/>
    <x v="0"/>
    <x v="57"/>
    <x v="1"/>
    <x v="2"/>
    <x v="129"/>
    <x v="0"/>
    <x v="0"/>
    <x v="0"/>
    <x v="180"/>
    <x v="184"/>
    <x v="13"/>
    <x v="104"/>
    <x v="160"/>
    <x v="188"/>
    <x v="0"/>
    <x v="0"/>
    <x v="188"/>
    <x v="0"/>
    <x v="143"/>
    <x v="0"/>
    <x v="0"/>
    <x v="0"/>
    <x v="0"/>
    <x v="0"/>
    <x v="0"/>
    <x v="0"/>
    <x v="0"/>
  </r>
  <r>
    <x v="367"/>
    <x v="0"/>
    <x v="1"/>
    <x v="3"/>
    <x v="0"/>
    <x v="1"/>
    <x v="363"/>
    <x v="312"/>
    <x v="0"/>
    <x v="2"/>
    <x v="1"/>
    <x v="1"/>
    <x v="9"/>
    <x v="0"/>
    <x v="0"/>
    <x v="0"/>
    <x v="15"/>
    <x v="10"/>
    <x v="0"/>
    <x v="69"/>
    <x v="0"/>
    <x v="0"/>
    <x v="0"/>
    <x v="205"/>
    <x v="211"/>
    <x v="6"/>
    <x v="113"/>
    <x v="178"/>
    <x v="215"/>
    <x v="0"/>
    <x v="0"/>
    <x v="215"/>
    <x v="0"/>
    <x v="12"/>
    <x v="0"/>
    <x v="0"/>
    <x v="0"/>
    <x v="0"/>
    <x v="0"/>
    <x v="0"/>
    <x v="0"/>
    <x v="0"/>
  </r>
  <r>
    <x v="368"/>
    <x v="0"/>
    <x v="1"/>
    <x v="3"/>
    <x v="0"/>
    <x v="1"/>
    <x v="364"/>
    <x v="313"/>
    <x v="0"/>
    <x v="2"/>
    <x v="1"/>
    <x v="1"/>
    <x v="9"/>
    <x v="0"/>
    <x v="0"/>
    <x v="0"/>
    <x v="15"/>
    <x v="10"/>
    <x v="0"/>
    <x v="26"/>
    <x v="0"/>
    <x v="0"/>
    <x v="0"/>
    <x v="206"/>
    <x v="212"/>
    <x v="19"/>
    <x v="114"/>
    <x v="179"/>
    <x v="216"/>
    <x v="0"/>
    <x v="0"/>
    <x v="216"/>
    <x v="1"/>
    <x v="164"/>
    <x v="0"/>
    <x v="0"/>
    <x v="0"/>
    <x v="0"/>
    <x v="0"/>
    <x v="0"/>
    <x v="0"/>
    <x v="0"/>
  </r>
  <r>
    <x v="369"/>
    <x v="0"/>
    <x v="1"/>
    <x v="3"/>
    <x v="0"/>
    <x v="1"/>
    <x v="365"/>
    <x v="314"/>
    <x v="0"/>
    <x v="2"/>
    <x v="1"/>
    <x v="1"/>
    <x v="9"/>
    <x v="0"/>
    <x v="0"/>
    <x v="0"/>
    <x v="15"/>
    <x v="10"/>
    <x v="0"/>
    <x v="24"/>
    <x v="0"/>
    <x v="0"/>
    <x v="0"/>
    <x v="207"/>
    <x v="213"/>
    <x v="19"/>
    <x v="115"/>
    <x v="180"/>
    <x v="217"/>
    <x v="0"/>
    <x v="0"/>
    <x v="217"/>
    <x v="0"/>
    <x v="12"/>
    <x v="0"/>
    <x v="0"/>
    <x v="0"/>
    <x v="0"/>
    <x v="0"/>
    <x v="0"/>
    <x v="0"/>
    <x v="0"/>
  </r>
  <r>
    <x v="370"/>
    <x v="0"/>
    <x v="1"/>
    <x v="3"/>
    <x v="0"/>
    <x v="1"/>
    <x v="366"/>
    <x v="315"/>
    <x v="0"/>
    <x v="2"/>
    <x v="1"/>
    <x v="1"/>
    <x v="10"/>
    <x v="0"/>
    <x v="0"/>
    <x v="0"/>
    <x v="16"/>
    <x v="11"/>
    <x v="0"/>
    <x v="153"/>
    <x v="0"/>
    <x v="0"/>
    <x v="0"/>
    <x v="208"/>
    <x v="214"/>
    <x v="6"/>
    <x v="116"/>
    <x v="181"/>
    <x v="218"/>
    <x v="0"/>
    <x v="0"/>
    <x v="218"/>
    <x v="0"/>
    <x v="12"/>
    <x v="0"/>
    <x v="0"/>
    <x v="0"/>
    <x v="0"/>
    <x v="0"/>
    <x v="0"/>
    <x v="0"/>
    <x v="0"/>
  </r>
  <r>
    <x v="371"/>
    <x v="0"/>
    <x v="1"/>
    <x v="3"/>
    <x v="0"/>
    <x v="1"/>
    <x v="367"/>
    <x v="316"/>
    <x v="0"/>
    <x v="2"/>
    <x v="1"/>
    <x v="1"/>
    <x v="10"/>
    <x v="0"/>
    <x v="2"/>
    <x v="0"/>
    <x v="17"/>
    <x v="12"/>
    <x v="2"/>
    <x v="83"/>
    <x v="0"/>
    <x v="0"/>
    <x v="0"/>
    <x v="195"/>
    <x v="199"/>
    <x v="14"/>
    <x v="108"/>
    <x v="170"/>
    <x v="204"/>
    <x v="0"/>
    <x v="0"/>
    <x v="46"/>
    <x v="1"/>
    <x v="156"/>
    <x v="0"/>
    <x v="0"/>
    <x v="0"/>
    <x v="0"/>
    <x v="0"/>
    <x v="0"/>
    <x v="0"/>
    <x v="0"/>
  </r>
  <r>
    <x v="372"/>
    <x v="0"/>
    <x v="1"/>
    <x v="3"/>
    <x v="0"/>
    <x v="1"/>
    <x v="368"/>
    <x v="317"/>
    <x v="0"/>
    <x v="2"/>
    <x v="1"/>
    <x v="1"/>
    <x v="10"/>
    <x v="0"/>
    <x v="0"/>
    <x v="0"/>
    <x v="16"/>
    <x v="11"/>
    <x v="0"/>
    <x v="83"/>
    <x v="0"/>
    <x v="0"/>
    <x v="0"/>
    <x v="209"/>
    <x v="215"/>
    <x v="13"/>
    <x v="117"/>
    <x v="182"/>
    <x v="219"/>
    <x v="0"/>
    <x v="0"/>
    <x v="219"/>
    <x v="0"/>
    <x v="12"/>
    <x v="0"/>
    <x v="0"/>
    <x v="0"/>
    <x v="0"/>
    <x v="0"/>
    <x v="0"/>
    <x v="0"/>
    <x v="0"/>
  </r>
  <r>
    <x v="373"/>
    <x v="0"/>
    <x v="1"/>
    <x v="2"/>
    <x v="0"/>
    <x v="1"/>
    <x v="369"/>
    <x v="1"/>
    <x v="0"/>
    <x v="1"/>
    <x v="1"/>
    <x v="1"/>
    <x v="5"/>
    <x v="0"/>
    <x v="0"/>
    <x v="0"/>
    <x v="32"/>
    <x v="1"/>
    <x v="0"/>
    <x v="72"/>
    <x v="0"/>
    <x v="0"/>
    <x v="0"/>
    <x v="210"/>
    <x v="216"/>
    <x v="23"/>
    <x v="75"/>
    <x v="183"/>
    <x v="220"/>
    <x v="0"/>
    <x v="0"/>
    <x v="220"/>
    <x v="1"/>
    <x v="165"/>
    <x v="0"/>
    <x v="0"/>
    <x v="0"/>
    <x v="0"/>
    <x v="0"/>
    <x v="0"/>
    <x v="0"/>
    <x v="0"/>
  </r>
  <r>
    <x v="374"/>
    <x v="0"/>
    <x v="1"/>
    <x v="3"/>
    <x v="0"/>
    <x v="1"/>
    <x v="370"/>
    <x v="318"/>
    <x v="0"/>
    <x v="2"/>
    <x v="1"/>
    <x v="1"/>
    <x v="9"/>
    <x v="0"/>
    <x v="0"/>
    <x v="0"/>
    <x v="15"/>
    <x v="10"/>
    <x v="0"/>
    <x v="24"/>
    <x v="0"/>
    <x v="0"/>
    <x v="0"/>
    <x v="211"/>
    <x v="217"/>
    <x v="19"/>
    <x v="118"/>
    <x v="184"/>
    <x v="221"/>
    <x v="0"/>
    <x v="0"/>
    <x v="221"/>
    <x v="0"/>
    <x v="12"/>
    <x v="0"/>
    <x v="0"/>
    <x v="0"/>
    <x v="0"/>
    <x v="0"/>
    <x v="0"/>
    <x v="0"/>
    <x v="0"/>
  </r>
  <r>
    <x v="375"/>
    <x v="0"/>
    <x v="1"/>
    <x v="3"/>
    <x v="0"/>
    <x v="0"/>
    <x v="371"/>
    <x v="319"/>
    <x v="0"/>
    <x v="2"/>
    <x v="1"/>
    <x v="1"/>
    <x v="9"/>
    <x v="0"/>
    <x v="0"/>
    <x v="0"/>
    <x v="15"/>
    <x v="10"/>
    <x v="0"/>
    <x v="54"/>
    <x v="0"/>
    <x v="0"/>
    <x v="0"/>
    <x v="212"/>
    <x v="218"/>
    <x v="24"/>
    <x v="79"/>
    <x v="185"/>
    <x v="222"/>
    <x v="0"/>
    <x v="0"/>
    <x v="222"/>
    <x v="0"/>
    <x v="12"/>
    <x v="0"/>
    <x v="0"/>
    <x v="0"/>
    <x v="0"/>
    <x v="0"/>
    <x v="0"/>
    <x v="0"/>
    <x v="0"/>
  </r>
  <r>
    <x v="376"/>
    <x v="0"/>
    <x v="1"/>
    <x v="3"/>
    <x v="0"/>
    <x v="1"/>
    <x v="372"/>
    <x v="320"/>
    <x v="0"/>
    <x v="2"/>
    <x v="1"/>
    <x v="1"/>
    <x v="9"/>
    <x v="0"/>
    <x v="0"/>
    <x v="0"/>
    <x v="15"/>
    <x v="10"/>
    <x v="0"/>
    <x v="24"/>
    <x v="0"/>
    <x v="0"/>
    <x v="0"/>
    <x v="213"/>
    <x v="219"/>
    <x v="3"/>
    <x v="119"/>
    <x v="186"/>
    <x v="223"/>
    <x v="0"/>
    <x v="0"/>
    <x v="223"/>
    <x v="0"/>
    <x v="12"/>
    <x v="0"/>
    <x v="0"/>
    <x v="0"/>
    <x v="0"/>
    <x v="0"/>
    <x v="0"/>
    <x v="0"/>
    <x v="0"/>
  </r>
  <r>
    <x v="377"/>
    <x v="0"/>
    <x v="1"/>
    <x v="3"/>
    <x v="0"/>
    <x v="1"/>
    <x v="373"/>
    <x v="321"/>
    <x v="0"/>
    <x v="2"/>
    <x v="1"/>
    <x v="1"/>
    <x v="9"/>
    <x v="0"/>
    <x v="0"/>
    <x v="0"/>
    <x v="15"/>
    <x v="10"/>
    <x v="0"/>
    <x v="65"/>
    <x v="0"/>
    <x v="0"/>
    <x v="0"/>
    <x v="214"/>
    <x v="220"/>
    <x v="11"/>
    <x v="65"/>
    <x v="187"/>
    <x v="224"/>
    <x v="0"/>
    <x v="0"/>
    <x v="224"/>
    <x v="0"/>
    <x v="166"/>
    <x v="0"/>
    <x v="0"/>
    <x v="0"/>
    <x v="0"/>
    <x v="0"/>
    <x v="0"/>
    <x v="0"/>
    <x v="0"/>
  </r>
  <r>
    <x v="378"/>
    <x v="0"/>
    <x v="1"/>
    <x v="3"/>
    <x v="0"/>
    <x v="1"/>
    <x v="374"/>
    <x v="322"/>
    <x v="0"/>
    <x v="2"/>
    <x v="1"/>
    <x v="1"/>
    <x v="10"/>
    <x v="0"/>
    <x v="0"/>
    <x v="0"/>
    <x v="16"/>
    <x v="11"/>
    <x v="0"/>
    <x v="154"/>
    <x v="0"/>
    <x v="0"/>
    <x v="0"/>
    <x v="215"/>
    <x v="221"/>
    <x v="6"/>
    <x v="116"/>
    <x v="188"/>
    <x v="225"/>
    <x v="0"/>
    <x v="0"/>
    <x v="225"/>
    <x v="0"/>
    <x v="12"/>
    <x v="0"/>
    <x v="0"/>
    <x v="0"/>
    <x v="0"/>
    <x v="0"/>
    <x v="0"/>
    <x v="0"/>
    <x v="0"/>
  </r>
  <r>
    <x v="379"/>
    <x v="0"/>
    <x v="1"/>
    <x v="3"/>
    <x v="0"/>
    <x v="1"/>
    <x v="375"/>
    <x v="323"/>
    <x v="0"/>
    <x v="2"/>
    <x v="1"/>
    <x v="1"/>
    <x v="10"/>
    <x v="0"/>
    <x v="2"/>
    <x v="0"/>
    <x v="17"/>
    <x v="12"/>
    <x v="2"/>
    <x v="47"/>
    <x v="0"/>
    <x v="0"/>
    <x v="0"/>
    <x v="198"/>
    <x v="203"/>
    <x v="3"/>
    <x v="29"/>
    <x v="173"/>
    <x v="208"/>
    <x v="0"/>
    <x v="0"/>
    <x v="208"/>
    <x v="1"/>
    <x v="160"/>
    <x v="0"/>
    <x v="0"/>
    <x v="0"/>
    <x v="0"/>
    <x v="0"/>
    <x v="0"/>
    <x v="0"/>
    <x v="0"/>
  </r>
  <r>
    <x v="380"/>
    <x v="0"/>
    <x v="1"/>
    <x v="3"/>
    <x v="0"/>
    <x v="1"/>
    <x v="376"/>
    <x v="324"/>
    <x v="0"/>
    <x v="2"/>
    <x v="1"/>
    <x v="1"/>
    <x v="10"/>
    <x v="0"/>
    <x v="3"/>
    <x v="0"/>
    <x v="30"/>
    <x v="25"/>
    <x v="3"/>
    <x v="63"/>
    <x v="0"/>
    <x v="0"/>
    <x v="0"/>
    <x v="216"/>
    <x v="222"/>
    <x v="11"/>
    <x v="65"/>
    <x v="189"/>
    <x v="226"/>
    <x v="0"/>
    <x v="0"/>
    <x v="66"/>
    <x v="1"/>
    <x v="167"/>
    <x v="0"/>
    <x v="0"/>
    <x v="0"/>
    <x v="0"/>
    <x v="0"/>
    <x v="0"/>
    <x v="0"/>
    <x v="0"/>
  </r>
  <r>
    <x v="381"/>
    <x v="0"/>
    <x v="1"/>
    <x v="3"/>
    <x v="0"/>
    <x v="1"/>
    <x v="377"/>
    <x v="325"/>
    <x v="0"/>
    <x v="2"/>
    <x v="1"/>
    <x v="1"/>
    <x v="10"/>
    <x v="0"/>
    <x v="3"/>
    <x v="0"/>
    <x v="30"/>
    <x v="25"/>
    <x v="3"/>
    <x v="96"/>
    <x v="0"/>
    <x v="0"/>
    <x v="0"/>
    <x v="3"/>
    <x v="3"/>
    <x v="0"/>
    <x v="3"/>
    <x v="3"/>
    <x v="3"/>
    <x v="0"/>
    <x v="0"/>
    <x v="3"/>
    <x v="0"/>
    <x v="3"/>
    <x v="0"/>
    <x v="0"/>
    <x v="0"/>
    <x v="11"/>
    <x v="0"/>
    <x v="0"/>
    <x v="0"/>
    <x v="0"/>
  </r>
  <r>
    <x v="382"/>
    <x v="0"/>
    <x v="1"/>
    <x v="3"/>
    <x v="0"/>
    <x v="1"/>
    <x v="378"/>
    <x v="326"/>
    <x v="0"/>
    <x v="2"/>
    <x v="1"/>
    <x v="1"/>
    <x v="10"/>
    <x v="0"/>
    <x v="0"/>
    <x v="0"/>
    <x v="16"/>
    <x v="11"/>
    <x v="0"/>
    <x v="155"/>
    <x v="0"/>
    <x v="0"/>
    <x v="0"/>
    <x v="217"/>
    <x v="223"/>
    <x v="9"/>
    <x v="120"/>
    <x v="190"/>
    <x v="227"/>
    <x v="0"/>
    <x v="0"/>
    <x v="226"/>
    <x v="1"/>
    <x v="168"/>
    <x v="0"/>
    <x v="0"/>
    <x v="0"/>
    <x v="0"/>
    <x v="0"/>
    <x v="0"/>
    <x v="0"/>
    <x v="0"/>
  </r>
  <r>
    <x v="383"/>
    <x v="0"/>
    <x v="1"/>
    <x v="3"/>
    <x v="0"/>
    <x v="1"/>
    <x v="379"/>
    <x v="327"/>
    <x v="0"/>
    <x v="2"/>
    <x v="1"/>
    <x v="1"/>
    <x v="9"/>
    <x v="0"/>
    <x v="0"/>
    <x v="0"/>
    <x v="15"/>
    <x v="10"/>
    <x v="0"/>
    <x v="26"/>
    <x v="0"/>
    <x v="0"/>
    <x v="0"/>
    <x v="198"/>
    <x v="203"/>
    <x v="3"/>
    <x v="29"/>
    <x v="173"/>
    <x v="208"/>
    <x v="0"/>
    <x v="0"/>
    <x v="208"/>
    <x v="1"/>
    <x v="160"/>
    <x v="0"/>
    <x v="0"/>
    <x v="0"/>
    <x v="0"/>
    <x v="0"/>
    <x v="0"/>
    <x v="0"/>
    <x v="0"/>
  </r>
  <r>
    <x v="384"/>
    <x v="0"/>
    <x v="1"/>
    <x v="3"/>
    <x v="0"/>
    <x v="0"/>
    <x v="380"/>
    <x v="328"/>
    <x v="0"/>
    <x v="2"/>
    <x v="1"/>
    <x v="1"/>
    <x v="9"/>
    <x v="0"/>
    <x v="0"/>
    <x v="0"/>
    <x v="15"/>
    <x v="10"/>
    <x v="0"/>
    <x v="26"/>
    <x v="0"/>
    <x v="0"/>
    <x v="0"/>
    <x v="218"/>
    <x v="224"/>
    <x v="0"/>
    <x v="121"/>
    <x v="191"/>
    <x v="228"/>
    <x v="0"/>
    <x v="0"/>
    <x v="227"/>
    <x v="0"/>
    <x v="12"/>
    <x v="0"/>
    <x v="0"/>
    <x v="0"/>
    <x v="0"/>
    <x v="0"/>
    <x v="0"/>
    <x v="0"/>
    <x v="0"/>
  </r>
  <r>
    <x v="385"/>
    <x v="0"/>
    <x v="1"/>
    <x v="2"/>
    <x v="0"/>
    <x v="1"/>
    <x v="381"/>
    <x v="1"/>
    <x v="0"/>
    <x v="1"/>
    <x v="1"/>
    <x v="1"/>
    <x v="9"/>
    <x v="0"/>
    <x v="0"/>
    <x v="0"/>
    <x v="15"/>
    <x v="1"/>
    <x v="0"/>
    <x v="72"/>
    <x v="0"/>
    <x v="0"/>
    <x v="0"/>
    <x v="219"/>
    <x v="225"/>
    <x v="5"/>
    <x v="122"/>
    <x v="192"/>
    <x v="229"/>
    <x v="0"/>
    <x v="0"/>
    <x v="228"/>
    <x v="0"/>
    <x v="169"/>
    <x v="0"/>
    <x v="0"/>
    <x v="0"/>
    <x v="0"/>
    <x v="0"/>
    <x v="0"/>
    <x v="0"/>
    <x v="0"/>
  </r>
  <r>
    <x v="386"/>
    <x v="0"/>
    <x v="1"/>
    <x v="3"/>
    <x v="0"/>
    <x v="3"/>
    <x v="382"/>
    <x v="329"/>
    <x v="0"/>
    <x v="0"/>
    <x v="40"/>
    <x v="40"/>
    <x v="20"/>
    <x v="0"/>
    <x v="0"/>
    <x v="0"/>
    <x v="46"/>
    <x v="41"/>
    <x v="0"/>
    <x v="156"/>
    <x v="0"/>
    <x v="0"/>
    <x v="0"/>
    <x v="220"/>
    <x v="226"/>
    <x v="7"/>
    <x v="123"/>
    <x v="193"/>
    <x v="230"/>
    <x v="0"/>
    <x v="0"/>
    <x v="229"/>
    <x v="0"/>
    <x v="170"/>
    <x v="0"/>
    <x v="0"/>
    <x v="0"/>
    <x v="12"/>
    <x v="0"/>
    <x v="0"/>
    <x v="0"/>
    <x v="0"/>
  </r>
  <r>
    <x v="387"/>
    <x v="0"/>
    <x v="1"/>
    <x v="3"/>
    <x v="0"/>
    <x v="3"/>
    <x v="383"/>
    <x v="330"/>
    <x v="0"/>
    <x v="0"/>
    <x v="41"/>
    <x v="41"/>
    <x v="25"/>
    <x v="0"/>
    <x v="0"/>
    <x v="0"/>
    <x v="61"/>
    <x v="52"/>
    <x v="0"/>
    <x v="157"/>
    <x v="0"/>
    <x v="0"/>
    <x v="0"/>
    <x v="221"/>
    <x v="227"/>
    <x v="0"/>
    <x v="7"/>
    <x v="194"/>
    <x v="231"/>
    <x v="0"/>
    <x v="0"/>
    <x v="230"/>
    <x v="0"/>
    <x v="171"/>
    <x v="0"/>
    <x v="1"/>
    <x v="0"/>
    <x v="0"/>
    <x v="0"/>
    <x v="0"/>
    <x v="0"/>
    <x v="0"/>
  </r>
  <r>
    <x v="388"/>
    <x v="0"/>
    <x v="1"/>
    <x v="2"/>
    <x v="0"/>
    <x v="0"/>
    <x v="384"/>
    <x v="1"/>
    <x v="0"/>
    <x v="1"/>
    <x v="1"/>
    <x v="1"/>
    <x v="7"/>
    <x v="0"/>
    <x v="0"/>
    <x v="0"/>
    <x v="11"/>
    <x v="1"/>
    <x v="0"/>
    <x v="14"/>
    <x v="0"/>
    <x v="0"/>
    <x v="0"/>
    <x v="219"/>
    <x v="225"/>
    <x v="5"/>
    <x v="122"/>
    <x v="192"/>
    <x v="229"/>
    <x v="0"/>
    <x v="0"/>
    <x v="228"/>
    <x v="0"/>
    <x v="169"/>
    <x v="0"/>
    <x v="0"/>
    <x v="0"/>
    <x v="0"/>
    <x v="0"/>
    <x v="0"/>
    <x v="0"/>
    <x v="0"/>
  </r>
  <r>
    <x v="389"/>
    <x v="0"/>
    <x v="1"/>
    <x v="2"/>
    <x v="0"/>
    <x v="1"/>
    <x v="385"/>
    <x v="1"/>
    <x v="0"/>
    <x v="1"/>
    <x v="1"/>
    <x v="1"/>
    <x v="10"/>
    <x v="0"/>
    <x v="0"/>
    <x v="0"/>
    <x v="16"/>
    <x v="1"/>
    <x v="0"/>
    <x v="158"/>
    <x v="0"/>
    <x v="0"/>
    <x v="0"/>
    <x v="222"/>
    <x v="228"/>
    <x v="27"/>
    <x v="61"/>
    <x v="195"/>
    <x v="232"/>
    <x v="0"/>
    <x v="0"/>
    <x v="231"/>
    <x v="1"/>
    <x v="172"/>
    <x v="0"/>
    <x v="0"/>
    <x v="0"/>
    <x v="0"/>
    <x v="0"/>
    <x v="0"/>
    <x v="0"/>
    <x v="0"/>
  </r>
  <r>
    <x v="390"/>
    <x v="0"/>
    <x v="1"/>
    <x v="3"/>
    <x v="0"/>
    <x v="1"/>
    <x v="386"/>
    <x v="331"/>
    <x v="0"/>
    <x v="2"/>
    <x v="1"/>
    <x v="1"/>
    <x v="10"/>
    <x v="0"/>
    <x v="2"/>
    <x v="0"/>
    <x v="17"/>
    <x v="12"/>
    <x v="2"/>
    <x v="159"/>
    <x v="0"/>
    <x v="0"/>
    <x v="0"/>
    <x v="223"/>
    <x v="229"/>
    <x v="0"/>
    <x v="24"/>
    <x v="116"/>
    <x v="233"/>
    <x v="0"/>
    <x v="0"/>
    <x v="232"/>
    <x v="1"/>
    <x v="173"/>
    <x v="0"/>
    <x v="0"/>
    <x v="0"/>
    <x v="0"/>
    <x v="0"/>
    <x v="0"/>
    <x v="0"/>
    <x v="0"/>
  </r>
  <r>
    <x v="391"/>
    <x v="0"/>
    <x v="1"/>
    <x v="3"/>
    <x v="0"/>
    <x v="1"/>
    <x v="387"/>
    <x v="332"/>
    <x v="0"/>
    <x v="2"/>
    <x v="1"/>
    <x v="1"/>
    <x v="10"/>
    <x v="0"/>
    <x v="0"/>
    <x v="0"/>
    <x v="16"/>
    <x v="11"/>
    <x v="0"/>
    <x v="96"/>
    <x v="0"/>
    <x v="0"/>
    <x v="0"/>
    <x v="224"/>
    <x v="230"/>
    <x v="1"/>
    <x v="4"/>
    <x v="84"/>
    <x v="234"/>
    <x v="0"/>
    <x v="0"/>
    <x v="233"/>
    <x v="1"/>
    <x v="174"/>
    <x v="0"/>
    <x v="0"/>
    <x v="0"/>
    <x v="0"/>
    <x v="0"/>
    <x v="0"/>
    <x v="0"/>
    <x v="0"/>
  </r>
  <r>
    <x v="392"/>
    <x v="0"/>
    <x v="1"/>
    <x v="3"/>
    <x v="0"/>
    <x v="1"/>
    <x v="388"/>
    <x v="333"/>
    <x v="0"/>
    <x v="2"/>
    <x v="1"/>
    <x v="1"/>
    <x v="10"/>
    <x v="0"/>
    <x v="3"/>
    <x v="0"/>
    <x v="30"/>
    <x v="25"/>
    <x v="3"/>
    <x v="47"/>
    <x v="0"/>
    <x v="0"/>
    <x v="0"/>
    <x v="118"/>
    <x v="120"/>
    <x v="23"/>
    <x v="75"/>
    <x v="106"/>
    <x v="122"/>
    <x v="0"/>
    <x v="0"/>
    <x v="122"/>
    <x v="1"/>
    <x v="94"/>
    <x v="0"/>
    <x v="0"/>
    <x v="0"/>
    <x v="0"/>
    <x v="0"/>
    <x v="0"/>
    <x v="0"/>
    <x v="0"/>
  </r>
  <r>
    <x v="393"/>
    <x v="0"/>
    <x v="1"/>
    <x v="3"/>
    <x v="0"/>
    <x v="1"/>
    <x v="389"/>
    <x v="334"/>
    <x v="0"/>
    <x v="2"/>
    <x v="1"/>
    <x v="1"/>
    <x v="10"/>
    <x v="0"/>
    <x v="3"/>
    <x v="0"/>
    <x v="30"/>
    <x v="25"/>
    <x v="3"/>
    <x v="66"/>
    <x v="0"/>
    <x v="0"/>
    <x v="0"/>
    <x v="222"/>
    <x v="228"/>
    <x v="27"/>
    <x v="124"/>
    <x v="195"/>
    <x v="235"/>
    <x v="0"/>
    <x v="0"/>
    <x v="231"/>
    <x v="1"/>
    <x v="172"/>
    <x v="0"/>
    <x v="0"/>
    <x v="0"/>
    <x v="0"/>
    <x v="0"/>
    <x v="0"/>
    <x v="0"/>
    <x v="0"/>
  </r>
  <r>
    <x v="394"/>
    <x v="0"/>
    <x v="1"/>
    <x v="3"/>
    <x v="0"/>
    <x v="1"/>
    <x v="390"/>
    <x v="335"/>
    <x v="0"/>
    <x v="2"/>
    <x v="1"/>
    <x v="1"/>
    <x v="10"/>
    <x v="0"/>
    <x v="2"/>
    <x v="0"/>
    <x v="17"/>
    <x v="12"/>
    <x v="2"/>
    <x v="47"/>
    <x v="0"/>
    <x v="0"/>
    <x v="0"/>
    <x v="224"/>
    <x v="230"/>
    <x v="1"/>
    <x v="4"/>
    <x v="84"/>
    <x v="234"/>
    <x v="0"/>
    <x v="0"/>
    <x v="233"/>
    <x v="1"/>
    <x v="174"/>
    <x v="0"/>
    <x v="0"/>
    <x v="0"/>
    <x v="0"/>
    <x v="0"/>
    <x v="0"/>
    <x v="0"/>
    <x v="0"/>
  </r>
  <r>
    <x v="395"/>
    <x v="0"/>
    <x v="1"/>
    <x v="3"/>
    <x v="0"/>
    <x v="1"/>
    <x v="391"/>
    <x v="336"/>
    <x v="0"/>
    <x v="2"/>
    <x v="1"/>
    <x v="1"/>
    <x v="10"/>
    <x v="0"/>
    <x v="0"/>
    <x v="0"/>
    <x v="16"/>
    <x v="11"/>
    <x v="0"/>
    <x v="47"/>
    <x v="0"/>
    <x v="0"/>
    <x v="0"/>
    <x v="225"/>
    <x v="231"/>
    <x v="27"/>
    <x v="125"/>
    <x v="196"/>
    <x v="236"/>
    <x v="0"/>
    <x v="0"/>
    <x v="234"/>
    <x v="0"/>
    <x v="175"/>
    <x v="0"/>
    <x v="0"/>
    <x v="0"/>
    <x v="0"/>
    <x v="0"/>
    <x v="0"/>
    <x v="0"/>
    <x v="0"/>
  </r>
  <r>
    <x v="396"/>
    <x v="0"/>
    <x v="1"/>
    <x v="3"/>
    <x v="0"/>
    <x v="1"/>
    <x v="392"/>
    <x v="337"/>
    <x v="0"/>
    <x v="2"/>
    <x v="1"/>
    <x v="1"/>
    <x v="10"/>
    <x v="0"/>
    <x v="3"/>
    <x v="0"/>
    <x v="30"/>
    <x v="25"/>
    <x v="3"/>
    <x v="17"/>
    <x v="0"/>
    <x v="0"/>
    <x v="0"/>
    <x v="226"/>
    <x v="232"/>
    <x v="6"/>
    <x v="126"/>
    <x v="197"/>
    <x v="237"/>
    <x v="0"/>
    <x v="0"/>
    <x v="235"/>
    <x v="1"/>
    <x v="176"/>
    <x v="0"/>
    <x v="0"/>
    <x v="0"/>
    <x v="0"/>
    <x v="0"/>
    <x v="0"/>
    <x v="0"/>
    <x v="0"/>
  </r>
  <r>
    <x v="397"/>
    <x v="0"/>
    <x v="1"/>
    <x v="2"/>
    <x v="0"/>
    <x v="1"/>
    <x v="393"/>
    <x v="1"/>
    <x v="0"/>
    <x v="1"/>
    <x v="1"/>
    <x v="1"/>
    <x v="10"/>
    <x v="0"/>
    <x v="3"/>
    <x v="0"/>
    <x v="30"/>
    <x v="1"/>
    <x v="3"/>
    <x v="104"/>
    <x v="0"/>
    <x v="0"/>
    <x v="0"/>
    <x v="118"/>
    <x v="120"/>
    <x v="23"/>
    <x v="75"/>
    <x v="106"/>
    <x v="122"/>
    <x v="0"/>
    <x v="0"/>
    <x v="122"/>
    <x v="1"/>
    <x v="94"/>
    <x v="0"/>
    <x v="0"/>
    <x v="0"/>
    <x v="0"/>
    <x v="0"/>
    <x v="0"/>
    <x v="0"/>
    <x v="0"/>
  </r>
  <r>
    <x v="398"/>
    <x v="0"/>
    <x v="1"/>
    <x v="3"/>
    <x v="0"/>
    <x v="1"/>
    <x v="394"/>
    <x v="338"/>
    <x v="0"/>
    <x v="2"/>
    <x v="1"/>
    <x v="1"/>
    <x v="10"/>
    <x v="0"/>
    <x v="2"/>
    <x v="0"/>
    <x v="17"/>
    <x v="12"/>
    <x v="2"/>
    <x v="82"/>
    <x v="0"/>
    <x v="0"/>
    <x v="0"/>
    <x v="223"/>
    <x v="229"/>
    <x v="0"/>
    <x v="24"/>
    <x v="116"/>
    <x v="233"/>
    <x v="0"/>
    <x v="0"/>
    <x v="232"/>
    <x v="1"/>
    <x v="173"/>
    <x v="0"/>
    <x v="0"/>
    <x v="0"/>
    <x v="0"/>
    <x v="0"/>
    <x v="0"/>
    <x v="0"/>
    <x v="0"/>
  </r>
  <r>
    <x v="399"/>
    <x v="0"/>
    <x v="1"/>
    <x v="2"/>
    <x v="0"/>
    <x v="1"/>
    <x v="395"/>
    <x v="1"/>
    <x v="0"/>
    <x v="1"/>
    <x v="1"/>
    <x v="1"/>
    <x v="5"/>
    <x v="0"/>
    <x v="0"/>
    <x v="0"/>
    <x v="32"/>
    <x v="1"/>
    <x v="0"/>
    <x v="73"/>
    <x v="0"/>
    <x v="0"/>
    <x v="0"/>
    <x v="41"/>
    <x v="42"/>
    <x v="16"/>
    <x v="35"/>
    <x v="40"/>
    <x v="42"/>
    <x v="0"/>
    <x v="0"/>
    <x v="42"/>
    <x v="0"/>
    <x v="12"/>
    <x v="0"/>
    <x v="0"/>
    <x v="0"/>
    <x v="0"/>
    <x v="0"/>
    <x v="0"/>
    <x v="0"/>
    <x v="0"/>
  </r>
  <r>
    <x v="400"/>
    <x v="0"/>
    <x v="1"/>
    <x v="3"/>
    <x v="0"/>
    <x v="1"/>
    <x v="396"/>
    <x v="339"/>
    <x v="0"/>
    <x v="2"/>
    <x v="1"/>
    <x v="1"/>
    <x v="2"/>
    <x v="0"/>
    <x v="5"/>
    <x v="0"/>
    <x v="7"/>
    <x v="4"/>
    <x v="5"/>
    <x v="90"/>
    <x v="0"/>
    <x v="0"/>
    <x v="0"/>
    <x v="8"/>
    <x v="8"/>
    <x v="4"/>
    <x v="8"/>
    <x v="8"/>
    <x v="8"/>
    <x v="0"/>
    <x v="0"/>
    <x v="8"/>
    <x v="1"/>
    <x v="8"/>
    <x v="0"/>
    <x v="0"/>
    <x v="0"/>
    <x v="0"/>
    <x v="0"/>
    <x v="0"/>
    <x v="0"/>
    <x v="0"/>
  </r>
  <r>
    <x v="401"/>
    <x v="0"/>
    <x v="1"/>
    <x v="3"/>
    <x v="0"/>
    <x v="0"/>
    <x v="397"/>
    <x v="340"/>
    <x v="0"/>
    <x v="2"/>
    <x v="1"/>
    <x v="1"/>
    <x v="9"/>
    <x v="0"/>
    <x v="0"/>
    <x v="0"/>
    <x v="15"/>
    <x v="10"/>
    <x v="0"/>
    <x v="72"/>
    <x v="0"/>
    <x v="0"/>
    <x v="0"/>
    <x v="223"/>
    <x v="229"/>
    <x v="0"/>
    <x v="24"/>
    <x v="116"/>
    <x v="233"/>
    <x v="0"/>
    <x v="0"/>
    <x v="232"/>
    <x v="1"/>
    <x v="173"/>
    <x v="0"/>
    <x v="0"/>
    <x v="0"/>
    <x v="0"/>
    <x v="0"/>
    <x v="0"/>
    <x v="0"/>
    <x v="0"/>
  </r>
  <r>
    <x v="402"/>
    <x v="0"/>
    <x v="1"/>
    <x v="3"/>
    <x v="0"/>
    <x v="1"/>
    <x v="398"/>
    <x v="341"/>
    <x v="0"/>
    <x v="2"/>
    <x v="1"/>
    <x v="1"/>
    <x v="9"/>
    <x v="0"/>
    <x v="0"/>
    <x v="0"/>
    <x v="15"/>
    <x v="10"/>
    <x v="0"/>
    <x v="24"/>
    <x v="0"/>
    <x v="0"/>
    <x v="0"/>
    <x v="227"/>
    <x v="233"/>
    <x v="0"/>
    <x v="50"/>
    <x v="72"/>
    <x v="238"/>
    <x v="0"/>
    <x v="0"/>
    <x v="236"/>
    <x v="0"/>
    <x v="177"/>
    <x v="0"/>
    <x v="0"/>
    <x v="0"/>
    <x v="0"/>
    <x v="0"/>
    <x v="0"/>
    <x v="0"/>
    <x v="0"/>
  </r>
  <r>
    <x v="403"/>
    <x v="0"/>
    <x v="1"/>
    <x v="0"/>
    <x v="0"/>
    <x v="1"/>
    <x v="399"/>
    <x v="342"/>
    <x v="0"/>
    <x v="2"/>
    <x v="1"/>
    <x v="1"/>
    <x v="2"/>
    <x v="0"/>
    <x v="0"/>
    <x v="0"/>
    <x v="5"/>
    <x v="3"/>
    <x v="0"/>
    <x v="39"/>
    <x v="0"/>
    <x v="0"/>
    <x v="0"/>
    <x v="226"/>
    <x v="232"/>
    <x v="6"/>
    <x v="126"/>
    <x v="197"/>
    <x v="237"/>
    <x v="0"/>
    <x v="0"/>
    <x v="235"/>
    <x v="1"/>
    <x v="176"/>
    <x v="0"/>
    <x v="0"/>
    <x v="0"/>
    <x v="0"/>
    <x v="0"/>
    <x v="0"/>
    <x v="0"/>
    <x v="0"/>
  </r>
  <r>
    <x v="404"/>
    <x v="0"/>
    <x v="1"/>
    <x v="3"/>
    <x v="0"/>
    <x v="0"/>
    <x v="400"/>
    <x v="343"/>
    <x v="0"/>
    <x v="2"/>
    <x v="1"/>
    <x v="1"/>
    <x v="2"/>
    <x v="0"/>
    <x v="4"/>
    <x v="0"/>
    <x v="29"/>
    <x v="24"/>
    <x v="4"/>
    <x v="117"/>
    <x v="0"/>
    <x v="0"/>
    <x v="0"/>
    <x v="228"/>
    <x v="234"/>
    <x v="0"/>
    <x v="127"/>
    <x v="198"/>
    <x v="239"/>
    <x v="0"/>
    <x v="0"/>
    <x v="237"/>
    <x v="1"/>
    <x v="178"/>
    <x v="0"/>
    <x v="0"/>
    <x v="0"/>
    <x v="0"/>
    <x v="0"/>
    <x v="0"/>
    <x v="0"/>
    <x v="0"/>
  </r>
  <r>
    <x v="405"/>
    <x v="0"/>
    <x v="1"/>
    <x v="3"/>
    <x v="0"/>
    <x v="1"/>
    <x v="401"/>
    <x v="344"/>
    <x v="0"/>
    <x v="2"/>
    <x v="1"/>
    <x v="1"/>
    <x v="2"/>
    <x v="0"/>
    <x v="5"/>
    <x v="0"/>
    <x v="7"/>
    <x v="4"/>
    <x v="5"/>
    <x v="91"/>
    <x v="0"/>
    <x v="0"/>
    <x v="0"/>
    <x v="227"/>
    <x v="233"/>
    <x v="0"/>
    <x v="50"/>
    <x v="72"/>
    <x v="238"/>
    <x v="0"/>
    <x v="0"/>
    <x v="236"/>
    <x v="0"/>
    <x v="177"/>
    <x v="0"/>
    <x v="0"/>
    <x v="0"/>
    <x v="0"/>
    <x v="0"/>
    <x v="0"/>
    <x v="0"/>
    <x v="0"/>
  </r>
  <r>
    <x v="406"/>
    <x v="0"/>
    <x v="1"/>
    <x v="0"/>
    <x v="0"/>
    <x v="1"/>
    <x v="402"/>
    <x v="345"/>
    <x v="0"/>
    <x v="2"/>
    <x v="1"/>
    <x v="1"/>
    <x v="6"/>
    <x v="0"/>
    <x v="0"/>
    <x v="0"/>
    <x v="10"/>
    <x v="6"/>
    <x v="0"/>
    <x v="74"/>
    <x v="0"/>
    <x v="0"/>
    <x v="0"/>
    <x v="227"/>
    <x v="233"/>
    <x v="0"/>
    <x v="50"/>
    <x v="72"/>
    <x v="238"/>
    <x v="0"/>
    <x v="0"/>
    <x v="236"/>
    <x v="0"/>
    <x v="177"/>
    <x v="0"/>
    <x v="0"/>
    <x v="0"/>
    <x v="8"/>
    <x v="0"/>
    <x v="0"/>
    <x v="0"/>
    <x v="0"/>
  </r>
  <r>
    <x v="407"/>
    <x v="0"/>
    <x v="1"/>
    <x v="2"/>
    <x v="0"/>
    <x v="1"/>
    <x v="403"/>
    <x v="1"/>
    <x v="0"/>
    <x v="1"/>
    <x v="1"/>
    <x v="1"/>
    <x v="6"/>
    <x v="0"/>
    <x v="4"/>
    <x v="0"/>
    <x v="37"/>
    <x v="1"/>
    <x v="4"/>
    <x v="74"/>
    <x v="0"/>
    <x v="0"/>
    <x v="0"/>
    <x v="227"/>
    <x v="233"/>
    <x v="0"/>
    <x v="50"/>
    <x v="72"/>
    <x v="238"/>
    <x v="0"/>
    <x v="0"/>
    <x v="236"/>
    <x v="0"/>
    <x v="177"/>
    <x v="0"/>
    <x v="0"/>
    <x v="0"/>
    <x v="0"/>
    <x v="0"/>
    <x v="0"/>
    <x v="0"/>
    <x v="0"/>
  </r>
  <r>
    <x v="408"/>
    <x v="0"/>
    <x v="1"/>
    <x v="2"/>
    <x v="0"/>
    <x v="1"/>
    <x v="404"/>
    <x v="1"/>
    <x v="0"/>
    <x v="1"/>
    <x v="1"/>
    <x v="1"/>
    <x v="6"/>
    <x v="0"/>
    <x v="4"/>
    <x v="0"/>
    <x v="37"/>
    <x v="1"/>
    <x v="4"/>
    <x v="50"/>
    <x v="0"/>
    <x v="0"/>
    <x v="0"/>
    <x v="226"/>
    <x v="232"/>
    <x v="6"/>
    <x v="126"/>
    <x v="197"/>
    <x v="237"/>
    <x v="0"/>
    <x v="0"/>
    <x v="235"/>
    <x v="1"/>
    <x v="176"/>
    <x v="0"/>
    <x v="0"/>
    <x v="0"/>
    <x v="0"/>
    <x v="0"/>
    <x v="0"/>
    <x v="0"/>
    <x v="0"/>
  </r>
  <r>
    <x v="409"/>
    <x v="0"/>
    <x v="1"/>
    <x v="0"/>
    <x v="0"/>
    <x v="0"/>
    <x v="405"/>
    <x v="346"/>
    <x v="0"/>
    <x v="2"/>
    <x v="1"/>
    <x v="1"/>
    <x v="6"/>
    <x v="0"/>
    <x v="0"/>
    <x v="0"/>
    <x v="10"/>
    <x v="6"/>
    <x v="0"/>
    <x v="75"/>
    <x v="0"/>
    <x v="0"/>
    <x v="0"/>
    <x v="1"/>
    <x v="1"/>
    <x v="1"/>
    <x v="1"/>
    <x v="1"/>
    <x v="1"/>
    <x v="0"/>
    <x v="0"/>
    <x v="1"/>
    <x v="1"/>
    <x v="1"/>
    <x v="0"/>
    <x v="0"/>
    <x v="0"/>
    <x v="8"/>
    <x v="0"/>
    <x v="0"/>
    <x v="0"/>
    <x v="0"/>
  </r>
  <r>
    <x v="410"/>
    <x v="0"/>
    <x v="1"/>
    <x v="2"/>
    <x v="0"/>
    <x v="0"/>
    <x v="406"/>
    <x v="1"/>
    <x v="0"/>
    <x v="1"/>
    <x v="1"/>
    <x v="1"/>
    <x v="26"/>
    <x v="0"/>
    <x v="0"/>
    <x v="0"/>
    <x v="62"/>
    <x v="1"/>
    <x v="0"/>
    <x v="160"/>
    <x v="0"/>
    <x v="0"/>
    <x v="0"/>
    <x v="229"/>
    <x v="235"/>
    <x v="18"/>
    <x v="128"/>
    <x v="199"/>
    <x v="240"/>
    <x v="0"/>
    <x v="0"/>
    <x v="238"/>
    <x v="0"/>
    <x v="179"/>
    <x v="0"/>
    <x v="0"/>
    <x v="0"/>
    <x v="0"/>
    <x v="0"/>
    <x v="0"/>
    <x v="0"/>
    <x v="0"/>
  </r>
  <r>
    <x v="411"/>
    <x v="0"/>
    <x v="1"/>
    <x v="2"/>
    <x v="0"/>
    <x v="1"/>
    <x v="407"/>
    <x v="1"/>
    <x v="0"/>
    <x v="1"/>
    <x v="1"/>
    <x v="1"/>
    <x v="10"/>
    <x v="0"/>
    <x v="2"/>
    <x v="0"/>
    <x v="17"/>
    <x v="1"/>
    <x v="2"/>
    <x v="96"/>
    <x v="0"/>
    <x v="0"/>
    <x v="0"/>
    <x v="224"/>
    <x v="230"/>
    <x v="1"/>
    <x v="4"/>
    <x v="84"/>
    <x v="234"/>
    <x v="0"/>
    <x v="0"/>
    <x v="233"/>
    <x v="1"/>
    <x v="174"/>
    <x v="0"/>
    <x v="0"/>
    <x v="0"/>
    <x v="0"/>
    <x v="0"/>
    <x v="0"/>
    <x v="0"/>
    <x v="0"/>
  </r>
  <r>
    <x v="412"/>
    <x v="0"/>
    <x v="1"/>
    <x v="3"/>
    <x v="0"/>
    <x v="1"/>
    <x v="408"/>
    <x v="347"/>
    <x v="0"/>
    <x v="2"/>
    <x v="1"/>
    <x v="1"/>
    <x v="10"/>
    <x v="0"/>
    <x v="0"/>
    <x v="0"/>
    <x v="16"/>
    <x v="11"/>
    <x v="0"/>
    <x v="96"/>
    <x v="0"/>
    <x v="0"/>
    <x v="0"/>
    <x v="227"/>
    <x v="233"/>
    <x v="0"/>
    <x v="50"/>
    <x v="72"/>
    <x v="238"/>
    <x v="0"/>
    <x v="0"/>
    <x v="236"/>
    <x v="0"/>
    <x v="177"/>
    <x v="0"/>
    <x v="0"/>
    <x v="0"/>
    <x v="0"/>
    <x v="0"/>
    <x v="0"/>
    <x v="0"/>
    <x v="0"/>
  </r>
  <r>
    <x v="413"/>
    <x v="0"/>
    <x v="1"/>
    <x v="0"/>
    <x v="0"/>
    <x v="1"/>
    <x v="409"/>
    <x v="348"/>
    <x v="0"/>
    <x v="2"/>
    <x v="1"/>
    <x v="1"/>
    <x v="10"/>
    <x v="0"/>
    <x v="4"/>
    <x v="0"/>
    <x v="18"/>
    <x v="13"/>
    <x v="4"/>
    <x v="94"/>
    <x v="0"/>
    <x v="0"/>
    <x v="0"/>
    <x v="230"/>
    <x v="236"/>
    <x v="11"/>
    <x v="65"/>
    <x v="200"/>
    <x v="241"/>
    <x v="0"/>
    <x v="0"/>
    <x v="239"/>
    <x v="0"/>
    <x v="12"/>
    <x v="0"/>
    <x v="0"/>
    <x v="0"/>
    <x v="10"/>
    <x v="0"/>
    <x v="0"/>
    <x v="0"/>
    <x v="0"/>
  </r>
  <r>
    <x v="414"/>
    <x v="0"/>
    <x v="1"/>
    <x v="0"/>
    <x v="0"/>
    <x v="1"/>
    <x v="410"/>
    <x v="349"/>
    <x v="0"/>
    <x v="2"/>
    <x v="1"/>
    <x v="1"/>
    <x v="10"/>
    <x v="0"/>
    <x v="3"/>
    <x v="0"/>
    <x v="30"/>
    <x v="25"/>
    <x v="3"/>
    <x v="16"/>
    <x v="0"/>
    <x v="0"/>
    <x v="0"/>
    <x v="231"/>
    <x v="237"/>
    <x v="2"/>
    <x v="89"/>
    <x v="132"/>
    <x v="242"/>
    <x v="0"/>
    <x v="0"/>
    <x v="240"/>
    <x v="1"/>
    <x v="180"/>
    <x v="0"/>
    <x v="0"/>
    <x v="0"/>
    <x v="10"/>
    <x v="0"/>
    <x v="0"/>
    <x v="0"/>
    <x v="0"/>
  </r>
  <r>
    <x v="415"/>
    <x v="0"/>
    <x v="1"/>
    <x v="3"/>
    <x v="0"/>
    <x v="1"/>
    <x v="411"/>
    <x v="350"/>
    <x v="0"/>
    <x v="2"/>
    <x v="1"/>
    <x v="1"/>
    <x v="10"/>
    <x v="0"/>
    <x v="3"/>
    <x v="0"/>
    <x v="30"/>
    <x v="25"/>
    <x v="3"/>
    <x v="17"/>
    <x v="0"/>
    <x v="0"/>
    <x v="0"/>
    <x v="232"/>
    <x v="238"/>
    <x v="9"/>
    <x v="129"/>
    <x v="201"/>
    <x v="243"/>
    <x v="0"/>
    <x v="0"/>
    <x v="241"/>
    <x v="1"/>
    <x v="181"/>
    <x v="0"/>
    <x v="0"/>
    <x v="0"/>
    <x v="10"/>
    <x v="0"/>
    <x v="0"/>
    <x v="0"/>
    <x v="0"/>
  </r>
  <r>
    <x v="416"/>
    <x v="0"/>
    <x v="1"/>
    <x v="3"/>
    <x v="0"/>
    <x v="1"/>
    <x v="412"/>
    <x v="351"/>
    <x v="0"/>
    <x v="2"/>
    <x v="1"/>
    <x v="1"/>
    <x v="10"/>
    <x v="0"/>
    <x v="0"/>
    <x v="0"/>
    <x v="16"/>
    <x v="11"/>
    <x v="0"/>
    <x v="104"/>
    <x v="0"/>
    <x v="0"/>
    <x v="0"/>
    <x v="230"/>
    <x v="236"/>
    <x v="11"/>
    <x v="65"/>
    <x v="200"/>
    <x v="241"/>
    <x v="0"/>
    <x v="0"/>
    <x v="239"/>
    <x v="0"/>
    <x v="12"/>
    <x v="0"/>
    <x v="0"/>
    <x v="0"/>
    <x v="0"/>
    <x v="0"/>
    <x v="0"/>
    <x v="0"/>
    <x v="0"/>
  </r>
  <r>
    <x v="417"/>
    <x v="0"/>
    <x v="1"/>
    <x v="3"/>
    <x v="0"/>
    <x v="1"/>
    <x v="413"/>
    <x v="352"/>
    <x v="0"/>
    <x v="2"/>
    <x v="1"/>
    <x v="1"/>
    <x v="10"/>
    <x v="0"/>
    <x v="0"/>
    <x v="0"/>
    <x v="16"/>
    <x v="11"/>
    <x v="0"/>
    <x v="99"/>
    <x v="0"/>
    <x v="0"/>
    <x v="0"/>
    <x v="227"/>
    <x v="233"/>
    <x v="0"/>
    <x v="50"/>
    <x v="72"/>
    <x v="238"/>
    <x v="0"/>
    <x v="0"/>
    <x v="236"/>
    <x v="0"/>
    <x v="177"/>
    <x v="0"/>
    <x v="0"/>
    <x v="0"/>
    <x v="0"/>
    <x v="0"/>
    <x v="0"/>
    <x v="0"/>
    <x v="0"/>
  </r>
  <r>
    <x v="418"/>
    <x v="0"/>
    <x v="1"/>
    <x v="3"/>
    <x v="0"/>
    <x v="0"/>
    <x v="414"/>
    <x v="353"/>
    <x v="0"/>
    <x v="2"/>
    <x v="1"/>
    <x v="1"/>
    <x v="9"/>
    <x v="0"/>
    <x v="0"/>
    <x v="0"/>
    <x v="15"/>
    <x v="10"/>
    <x v="0"/>
    <x v="71"/>
    <x v="0"/>
    <x v="0"/>
    <x v="0"/>
    <x v="195"/>
    <x v="199"/>
    <x v="14"/>
    <x v="108"/>
    <x v="170"/>
    <x v="204"/>
    <x v="0"/>
    <x v="0"/>
    <x v="46"/>
    <x v="1"/>
    <x v="156"/>
    <x v="0"/>
    <x v="0"/>
    <x v="0"/>
    <x v="0"/>
    <x v="0"/>
    <x v="0"/>
    <x v="0"/>
    <x v="0"/>
  </r>
  <r>
    <x v="419"/>
    <x v="0"/>
    <x v="1"/>
    <x v="3"/>
    <x v="0"/>
    <x v="0"/>
    <x v="415"/>
    <x v="354"/>
    <x v="0"/>
    <x v="2"/>
    <x v="1"/>
    <x v="1"/>
    <x v="9"/>
    <x v="0"/>
    <x v="0"/>
    <x v="0"/>
    <x v="15"/>
    <x v="10"/>
    <x v="0"/>
    <x v="23"/>
    <x v="0"/>
    <x v="0"/>
    <x v="0"/>
    <x v="233"/>
    <x v="239"/>
    <x v="0"/>
    <x v="24"/>
    <x v="59"/>
    <x v="244"/>
    <x v="0"/>
    <x v="0"/>
    <x v="242"/>
    <x v="0"/>
    <x v="182"/>
    <x v="0"/>
    <x v="0"/>
    <x v="0"/>
    <x v="0"/>
    <x v="0"/>
    <x v="0"/>
    <x v="0"/>
    <x v="0"/>
  </r>
  <r>
    <x v="420"/>
    <x v="0"/>
    <x v="1"/>
    <x v="3"/>
    <x v="0"/>
    <x v="1"/>
    <x v="416"/>
    <x v="355"/>
    <x v="0"/>
    <x v="2"/>
    <x v="1"/>
    <x v="1"/>
    <x v="9"/>
    <x v="0"/>
    <x v="0"/>
    <x v="0"/>
    <x v="15"/>
    <x v="10"/>
    <x v="0"/>
    <x v="102"/>
    <x v="0"/>
    <x v="0"/>
    <x v="0"/>
    <x v="232"/>
    <x v="238"/>
    <x v="9"/>
    <x v="129"/>
    <x v="201"/>
    <x v="243"/>
    <x v="0"/>
    <x v="0"/>
    <x v="241"/>
    <x v="1"/>
    <x v="181"/>
    <x v="0"/>
    <x v="0"/>
    <x v="0"/>
    <x v="10"/>
    <x v="0"/>
    <x v="0"/>
    <x v="0"/>
    <x v="0"/>
  </r>
  <r>
    <x v="421"/>
    <x v="0"/>
    <x v="1"/>
    <x v="3"/>
    <x v="0"/>
    <x v="0"/>
    <x v="416"/>
    <x v="356"/>
    <x v="0"/>
    <x v="2"/>
    <x v="1"/>
    <x v="1"/>
    <x v="9"/>
    <x v="0"/>
    <x v="0"/>
    <x v="0"/>
    <x v="15"/>
    <x v="10"/>
    <x v="0"/>
    <x v="23"/>
    <x v="0"/>
    <x v="0"/>
    <x v="0"/>
    <x v="234"/>
    <x v="240"/>
    <x v="7"/>
    <x v="64"/>
    <x v="155"/>
    <x v="245"/>
    <x v="0"/>
    <x v="0"/>
    <x v="243"/>
    <x v="1"/>
    <x v="183"/>
    <x v="0"/>
    <x v="0"/>
    <x v="0"/>
    <x v="0"/>
    <x v="0"/>
    <x v="0"/>
    <x v="0"/>
    <x v="0"/>
  </r>
  <r>
    <x v="422"/>
    <x v="0"/>
    <x v="1"/>
    <x v="0"/>
    <x v="0"/>
    <x v="1"/>
    <x v="417"/>
    <x v="357"/>
    <x v="0"/>
    <x v="2"/>
    <x v="1"/>
    <x v="1"/>
    <x v="9"/>
    <x v="1"/>
    <x v="0"/>
    <x v="0"/>
    <x v="43"/>
    <x v="38"/>
    <x v="0"/>
    <x v="26"/>
    <x v="0"/>
    <x v="0"/>
    <x v="0"/>
    <x v="235"/>
    <x v="241"/>
    <x v="22"/>
    <x v="130"/>
    <x v="202"/>
    <x v="246"/>
    <x v="0"/>
    <x v="0"/>
    <x v="244"/>
    <x v="0"/>
    <x v="12"/>
    <x v="0"/>
    <x v="0"/>
    <x v="0"/>
    <x v="10"/>
    <x v="0"/>
    <x v="0"/>
    <x v="0"/>
    <x v="0"/>
  </r>
  <r>
    <x v="423"/>
    <x v="0"/>
    <x v="1"/>
    <x v="3"/>
    <x v="0"/>
    <x v="1"/>
    <x v="418"/>
    <x v="358"/>
    <x v="0"/>
    <x v="2"/>
    <x v="1"/>
    <x v="1"/>
    <x v="9"/>
    <x v="0"/>
    <x v="0"/>
    <x v="0"/>
    <x v="15"/>
    <x v="10"/>
    <x v="0"/>
    <x v="69"/>
    <x v="0"/>
    <x v="0"/>
    <x v="0"/>
    <x v="230"/>
    <x v="236"/>
    <x v="11"/>
    <x v="65"/>
    <x v="200"/>
    <x v="241"/>
    <x v="0"/>
    <x v="0"/>
    <x v="245"/>
    <x v="0"/>
    <x v="12"/>
    <x v="0"/>
    <x v="0"/>
    <x v="0"/>
    <x v="0"/>
    <x v="0"/>
    <x v="0"/>
    <x v="0"/>
    <x v="0"/>
  </r>
  <r>
    <x v="424"/>
    <x v="0"/>
    <x v="1"/>
    <x v="3"/>
    <x v="0"/>
    <x v="0"/>
    <x v="419"/>
    <x v="359"/>
    <x v="0"/>
    <x v="0"/>
    <x v="42"/>
    <x v="42"/>
    <x v="27"/>
    <x v="0"/>
    <x v="9"/>
    <x v="0"/>
    <x v="63"/>
    <x v="53"/>
    <x v="9"/>
    <x v="161"/>
    <x v="0"/>
    <x v="0"/>
    <x v="0"/>
    <x v="236"/>
    <x v="242"/>
    <x v="20"/>
    <x v="131"/>
    <x v="203"/>
    <x v="247"/>
    <x v="0"/>
    <x v="0"/>
    <x v="246"/>
    <x v="1"/>
    <x v="184"/>
    <x v="0"/>
    <x v="0"/>
    <x v="0"/>
    <x v="0"/>
    <x v="0"/>
    <x v="0"/>
    <x v="0"/>
    <x v="0"/>
  </r>
  <r>
    <x v="425"/>
    <x v="0"/>
    <x v="1"/>
    <x v="3"/>
    <x v="0"/>
    <x v="0"/>
    <x v="420"/>
    <x v="360"/>
    <x v="0"/>
    <x v="0"/>
    <x v="43"/>
    <x v="43"/>
    <x v="28"/>
    <x v="0"/>
    <x v="5"/>
    <x v="0"/>
    <x v="64"/>
    <x v="54"/>
    <x v="5"/>
    <x v="162"/>
    <x v="0"/>
    <x v="0"/>
    <x v="0"/>
    <x v="86"/>
    <x v="87"/>
    <x v="0"/>
    <x v="60"/>
    <x v="79"/>
    <x v="89"/>
    <x v="0"/>
    <x v="0"/>
    <x v="88"/>
    <x v="1"/>
    <x v="69"/>
    <x v="0"/>
    <x v="0"/>
    <x v="0"/>
    <x v="12"/>
    <x v="0"/>
    <x v="0"/>
    <x v="0"/>
    <x v="0"/>
  </r>
  <r>
    <x v="426"/>
    <x v="0"/>
    <x v="1"/>
    <x v="3"/>
    <x v="0"/>
    <x v="1"/>
    <x v="421"/>
    <x v="361"/>
    <x v="0"/>
    <x v="2"/>
    <x v="1"/>
    <x v="1"/>
    <x v="29"/>
    <x v="0"/>
    <x v="5"/>
    <x v="0"/>
    <x v="65"/>
    <x v="55"/>
    <x v="5"/>
    <x v="163"/>
    <x v="0"/>
    <x v="0"/>
    <x v="0"/>
    <x v="30"/>
    <x v="243"/>
    <x v="6"/>
    <x v="113"/>
    <x v="204"/>
    <x v="248"/>
    <x v="0"/>
    <x v="0"/>
    <x v="247"/>
    <x v="0"/>
    <x v="12"/>
    <x v="0"/>
    <x v="0"/>
    <x v="0"/>
    <x v="13"/>
    <x v="0"/>
    <x v="0"/>
    <x v="0"/>
    <x v="0"/>
  </r>
  <r>
    <x v="427"/>
    <x v="0"/>
    <x v="1"/>
    <x v="3"/>
    <x v="0"/>
    <x v="1"/>
    <x v="422"/>
    <x v="362"/>
    <x v="0"/>
    <x v="2"/>
    <x v="1"/>
    <x v="1"/>
    <x v="7"/>
    <x v="0"/>
    <x v="5"/>
    <x v="0"/>
    <x v="20"/>
    <x v="15"/>
    <x v="5"/>
    <x v="164"/>
    <x v="0"/>
    <x v="0"/>
    <x v="0"/>
    <x v="30"/>
    <x v="243"/>
    <x v="6"/>
    <x v="113"/>
    <x v="204"/>
    <x v="248"/>
    <x v="0"/>
    <x v="0"/>
    <x v="248"/>
    <x v="0"/>
    <x v="12"/>
    <x v="0"/>
    <x v="0"/>
    <x v="0"/>
    <x v="0"/>
    <x v="0"/>
    <x v="0"/>
    <x v="0"/>
    <x v="0"/>
  </r>
  <r>
    <x v="428"/>
    <x v="0"/>
    <x v="1"/>
    <x v="3"/>
    <x v="0"/>
    <x v="1"/>
    <x v="423"/>
    <x v="363"/>
    <x v="0"/>
    <x v="2"/>
    <x v="1"/>
    <x v="1"/>
    <x v="7"/>
    <x v="0"/>
    <x v="0"/>
    <x v="0"/>
    <x v="11"/>
    <x v="7"/>
    <x v="0"/>
    <x v="165"/>
    <x v="0"/>
    <x v="0"/>
    <x v="0"/>
    <x v="237"/>
    <x v="244"/>
    <x v="27"/>
    <x v="124"/>
    <x v="205"/>
    <x v="249"/>
    <x v="0"/>
    <x v="0"/>
    <x v="249"/>
    <x v="1"/>
    <x v="185"/>
    <x v="0"/>
    <x v="0"/>
    <x v="0"/>
    <x v="0"/>
    <x v="0"/>
    <x v="0"/>
    <x v="0"/>
    <x v="0"/>
  </r>
  <r>
    <x v="429"/>
    <x v="0"/>
    <x v="1"/>
    <x v="2"/>
    <x v="0"/>
    <x v="1"/>
    <x v="424"/>
    <x v="1"/>
    <x v="0"/>
    <x v="1"/>
    <x v="1"/>
    <x v="1"/>
    <x v="12"/>
    <x v="0"/>
    <x v="4"/>
    <x v="0"/>
    <x v="22"/>
    <x v="1"/>
    <x v="4"/>
    <x v="166"/>
    <x v="0"/>
    <x v="0"/>
    <x v="0"/>
    <x v="237"/>
    <x v="244"/>
    <x v="27"/>
    <x v="124"/>
    <x v="205"/>
    <x v="249"/>
    <x v="0"/>
    <x v="0"/>
    <x v="249"/>
    <x v="1"/>
    <x v="185"/>
    <x v="0"/>
    <x v="0"/>
    <x v="0"/>
    <x v="0"/>
    <x v="0"/>
    <x v="0"/>
    <x v="0"/>
    <x v="0"/>
  </r>
  <r>
    <x v="430"/>
    <x v="0"/>
    <x v="1"/>
    <x v="2"/>
    <x v="0"/>
    <x v="1"/>
    <x v="425"/>
    <x v="1"/>
    <x v="0"/>
    <x v="1"/>
    <x v="1"/>
    <x v="1"/>
    <x v="10"/>
    <x v="0"/>
    <x v="2"/>
    <x v="0"/>
    <x v="17"/>
    <x v="1"/>
    <x v="2"/>
    <x v="134"/>
    <x v="0"/>
    <x v="0"/>
    <x v="0"/>
    <x v="238"/>
    <x v="245"/>
    <x v="25"/>
    <x v="132"/>
    <x v="206"/>
    <x v="250"/>
    <x v="0"/>
    <x v="0"/>
    <x v="250"/>
    <x v="0"/>
    <x v="186"/>
    <x v="0"/>
    <x v="0"/>
    <x v="0"/>
    <x v="0"/>
    <x v="0"/>
    <x v="0"/>
    <x v="0"/>
    <x v="0"/>
  </r>
  <r>
    <x v="431"/>
    <x v="0"/>
    <x v="1"/>
    <x v="2"/>
    <x v="0"/>
    <x v="1"/>
    <x v="426"/>
    <x v="1"/>
    <x v="0"/>
    <x v="1"/>
    <x v="1"/>
    <x v="1"/>
    <x v="10"/>
    <x v="0"/>
    <x v="2"/>
    <x v="0"/>
    <x v="17"/>
    <x v="1"/>
    <x v="2"/>
    <x v="167"/>
    <x v="0"/>
    <x v="0"/>
    <x v="0"/>
    <x v="238"/>
    <x v="245"/>
    <x v="25"/>
    <x v="132"/>
    <x v="206"/>
    <x v="250"/>
    <x v="0"/>
    <x v="0"/>
    <x v="250"/>
    <x v="0"/>
    <x v="186"/>
    <x v="0"/>
    <x v="0"/>
    <x v="0"/>
    <x v="0"/>
    <x v="0"/>
    <x v="0"/>
    <x v="0"/>
    <x v="0"/>
  </r>
  <r>
    <x v="432"/>
    <x v="0"/>
    <x v="1"/>
    <x v="3"/>
    <x v="0"/>
    <x v="1"/>
    <x v="427"/>
    <x v="364"/>
    <x v="0"/>
    <x v="2"/>
    <x v="1"/>
    <x v="1"/>
    <x v="12"/>
    <x v="0"/>
    <x v="0"/>
    <x v="0"/>
    <x v="24"/>
    <x v="19"/>
    <x v="0"/>
    <x v="168"/>
    <x v="0"/>
    <x v="0"/>
    <x v="0"/>
    <x v="30"/>
    <x v="243"/>
    <x v="6"/>
    <x v="113"/>
    <x v="204"/>
    <x v="248"/>
    <x v="0"/>
    <x v="0"/>
    <x v="248"/>
    <x v="0"/>
    <x v="12"/>
    <x v="0"/>
    <x v="0"/>
    <x v="0"/>
    <x v="0"/>
    <x v="0"/>
    <x v="0"/>
    <x v="0"/>
    <x v="0"/>
  </r>
  <r>
    <x v="433"/>
    <x v="0"/>
    <x v="1"/>
    <x v="2"/>
    <x v="0"/>
    <x v="1"/>
    <x v="428"/>
    <x v="1"/>
    <x v="0"/>
    <x v="1"/>
    <x v="1"/>
    <x v="1"/>
    <x v="12"/>
    <x v="0"/>
    <x v="0"/>
    <x v="0"/>
    <x v="24"/>
    <x v="1"/>
    <x v="0"/>
    <x v="168"/>
    <x v="0"/>
    <x v="0"/>
    <x v="0"/>
    <x v="30"/>
    <x v="243"/>
    <x v="6"/>
    <x v="113"/>
    <x v="204"/>
    <x v="248"/>
    <x v="0"/>
    <x v="0"/>
    <x v="248"/>
    <x v="0"/>
    <x v="12"/>
    <x v="0"/>
    <x v="0"/>
    <x v="0"/>
    <x v="0"/>
    <x v="0"/>
    <x v="0"/>
    <x v="0"/>
    <x v="0"/>
  </r>
  <r>
    <x v="434"/>
    <x v="0"/>
    <x v="1"/>
    <x v="2"/>
    <x v="0"/>
    <x v="1"/>
    <x v="429"/>
    <x v="1"/>
    <x v="0"/>
    <x v="1"/>
    <x v="1"/>
    <x v="1"/>
    <x v="10"/>
    <x v="0"/>
    <x v="2"/>
    <x v="0"/>
    <x v="17"/>
    <x v="1"/>
    <x v="2"/>
    <x v="134"/>
    <x v="0"/>
    <x v="0"/>
    <x v="0"/>
    <x v="238"/>
    <x v="245"/>
    <x v="25"/>
    <x v="132"/>
    <x v="206"/>
    <x v="250"/>
    <x v="0"/>
    <x v="0"/>
    <x v="250"/>
    <x v="0"/>
    <x v="186"/>
    <x v="0"/>
    <x v="0"/>
    <x v="0"/>
    <x v="0"/>
    <x v="0"/>
    <x v="0"/>
    <x v="0"/>
    <x v="0"/>
  </r>
  <r>
    <x v="435"/>
    <x v="0"/>
    <x v="1"/>
    <x v="3"/>
    <x v="0"/>
    <x v="1"/>
    <x v="430"/>
    <x v="365"/>
    <x v="0"/>
    <x v="2"/>
    <x v="1"/>
    <x v="1"/>
    <x v="10"/>
    <x v="0"/>
    <x v="2"/>
    <x v="0"/>
    <x v="17"/>
    <x v="12"/>
    <x v="2"/>
    <x v="97"/>
    <x v="0"/>
    <x v="0"/>
    <x v="0"/>
    <x v="30"/>
    <x v="243"/>
    <x v="6"/>
    <x v="113"/>
    <x v="204"/>
    <x v="248"/>
    <x v="0"/>
    <x v="0"/>
    <x v="248"/>
    <x v="0"/>
    <x v="12"/>
    <x v="0"/>
    <x v="0"/>
    <x v="0"/>
    <x v="14"/>
    <x v="0"/>
    <x v="0"/>
    <x v="0"/>
    <x v="0"/>
  </r>
  <r>
    <x v="436"/>
    <x v="0"/>
    <x v="1"/>
    <x v="3"/>
    <x v="0"/>
    <x v="1"/>
    <x v="431"/>
    <x v="366"/>
    <x v="0"/>
    <x v="2"/>
    <x v="1"/>
    <x v="1"/>
    <x v="9"/>
    <x v="0"/>
    <x v="0"/>
    <x v="0"/>
    <x v="15"/>
    <x v="10"/>
    <x v="0"/>
    <x v="169"/>
    <x v="0"/>
    <x v="0"/>
    <x v="0"/>
    <x v="239"/>
    <x v="246"/>
    <x v="7"/>
    <x v="123"/>
    <x v="207"/>
    <x v="251"/>
    <x v="0"/>
    <x v="0"/>
    <x v="251"/>
    <x v="0"/>
    <x v="12"/>
    <x v="0"/>
    <x v="0"/>
    <x v="0"/>
    <x v="0"/>
    <x v="0"/>
    <x v="0"/>
    <x v="0"/>
    <x v="0"/>
  </r>
  <r>
    <x v="437"/>
    <x v="0"/>
    <x v="1"/>
    <x v="3"/>
    <x v="0"/>
    <x v="1"/>
    <x v="432"/>
    <x v="367"/>
    <x v="0"/>
    <x v="2"/>
    <x v="1"/>
    <x v="1"/>
    <x v="10"/>
    <x v="0"/>
    <x v="2"/>
    <x v="0"/>
    <x v="17"/>
    <x v="12"/>
    <x v="2"/>
    <x v="83"/>
    <x v="0"/>
    <x v="0"/>
    <x v="0"/>
    <x v="30"/>
    <x v="243"/>
    <x v="6"/>
    <x v="113"/>
    <x v="204"/>
    <x v="248"/>
    <x v="0"/>
    <x v="0"/>
    <x v="248"/>
    <x v="0"/>
    <x v="12"/>
    <x v="0"/>
    <x v="0"/>
    <x v="0"/>
    <x v="0"/>
    <x v="0"/>
    <x v="0"/>
    <x v="0"/>
    <x v="0"/>
  </r>
  <r>
    <x v="438"/>
    <x v="0"/>
    <x v="1"/>
    <x v="3"/>
    <x v="0"/>
    <x v="1"/>
    <x v="433"/>
    <x v="368"/>
    <x v="0"/>
    <x v="2"/>
    <x v="1"/>
    <x v="1"/>
    <x v="9"/>
    <x v="0"/>
    <x v="0"/>
    <x v="0"/>
    <x v="15"/>
    <x v="10"/>
    <x v="0"/>
    <x v="71"/>
    <x v="0"/>
    <x v="0"/>
    <x v="0"/>
    <x v="30"/>
    <x v="243"/>
    <x v="6"/>
    <x v="113"/>
    <x v="204"/>
    <x v="248"/>
    <x v="0"/>
    <x v="0"/>
    <x v="248"/>
    <x v="0"/>
    <x v="12"/>
    <x v="0"/>
    <x v="0"/>
    <x v="0"/>
    <x v="0"/>
    <x v="0"/>
    <x v="0"/>
    <x v="0"/>
    <x v="0"/>
  </r>
  <r>
    <x v="439"/>
    <x v="0"/>
    <x v="1"/>
    <x v="3"/>
    <x v="0"/>
    <x v="1"/>
    <x v="434"/>
    <x v="369"/>
    <x v="0"/>
    <x v="2"/>
    <x v="1"/>
    <x v="1"/>
    <x v="6"/>
    <x v="0"/>
    <x v="0"/>
    <x v="0"/>
    <x v="10"/>
    <x v="6"/>
    <x v="0"/>
    <x v="170"/>
    <x v="0"/>
    <x v="0"/>
    <x v="0"/>
    <x v="30"/>
    <x v="243"/>
    <x v="6"/>
    <x v="113"/>
    <x v="204"/>
    <x v="248"/>
    <x v="0"/>
    <x v="0"/>
    <x v="248"/>
    <x v="0"/>
    <x v="12"/>
    <x v="0"/>
    <x v="0"/>
    <x v="0"/>
    <x v="0"/>
    <x v="0"/>
    <x v="0"/>
    <x v="0"/>
    <x v="0"/>
  </r>
  <r>
    <x v="440"/>
    <x v="0"/>
    <x v="1"/>
    <x v="3"/>
    <x v="0"/>
    <x v="1"/>
    <x v="435"/>
    <x v="370"/>
    <x v="0"/>
    <x v="2"/>
    <x v="1"/>
    <x v="1"/>
    <x v="6"/>
    <x v="0"/>
    <x v="0"/>
    <x v="0"/>
    <x v="10"/>
    <x v="6"/>
    <x v="0"/>
    <x v="171"/>
    <x v="0"/>
    <x v="0"/>
    <x v="0"/>
    <x v="240"/>
    <x v="247"/>
    <x v="0"/>
    <x v="127"/>
    <x v="208"/>
    <x v="252"/>
    <x v="10"/>
    <x v="0"/>
    <x v="252"/>
    <x v="0"/>
    <x v="12"/>
    <x v="0"/>
    <x v="1"/>
    <x v="0"/>
    <x v="15"/>
    <x v="0"/>
    <x v="0"/>
    <x v="0"/>
    <x v="0"/>
  </r>
  <r>
    <x v="441"/>
    <x v="0"/>
    <x v="1"/>
    <x v="3"/>
    <x v="0"/>
    <x v="1"/>
    <x v="436"/>
    <x v="371"/>
    <x v="0"/>
    <x v="2"/>
    <x v="1"/>
    <x v="1"/>
    <x v="6"/>
    <x v="0"/>
    <x v="5"/>
    <x v="0"/>
    <x v="41"/>
    <x v="36"/>
    <x v="5"/>
    <x v="50"/>
    <x v="0"/>
    <x v="0"/>
    <x v="0"/>
    <x v="241"/>
    <x v="248"/>
    <x v="0"/>
    <x v="0"/>
    <x v="209"/>
    <x v="253"/>
    <x v="0"/>
    <x v="0"/>
    <x v="253"/>
    <x v="0"/>
    <x v="12"/>
    <x v="0"/>
    <x v="0"/>
    <x v="0"/>
    <x v="16"/>
    <x v="0"/>
    <x v="0"/>
    <x v="0"/>
    <x v="0"/>
  </r>
  <r>
    <x v="442"/>
    <x v="0"/>
    <x v="1"/>
    <x v="0"/>
    <x v="0"/>
    <x v="1"/>
    <x v="437"/>
    <x v="372"/>
    <x v="0"/>
    <x v="2"/>
    <x v="1"/>
    <x v="1"/>
    <x v="12"/>
    <x v="0"/>
    <x v="0"/>
    <x v="0"/>
    <x v="24"/>
    <x v="19"/>
    <x v="0"/>
    <x v="172"/>
    <x v="0"/>
    <x v="0"/>
    <x v="0"/>
    <x v="241"/>
    <x v="248"/>
    <x v="0"/>
    <x v="0"/>
    <x v="209"/>
    <x v="253"/>
    <x v="0"/>
    <x v="0"/>
    <x v="253"/>
    <x v="0"/>
    <x v="12"/>
    <x v="0"/>
    <x v="0"/>
    <x v="0"/>
    <x v="17"/>
    <x v="0"/>
    <x v="0"/>
    <x v="0"/>
    <x v="0"/>
  </r>
  <r>
    <x v="443"/>
    <x v="0"/>
    <x v="1"/>
    <x v="0"/>
    <x v="0"/>
    <x v="1"/>
    <x v="438"/>
    <x v="373"/>
    <x v="0"/>
    <x v="2"/>
    <x v="1"/>
    <x v="1"/>
    <x v="9"/>
    <x v="0"/>
    <x v="0"/>
    <x v="0"/>
    <x v="15"/>
    <x v="10"/>
    <x v="0"/>
    <x v="26"/>
    <x v="0"/>
    <x v="0"/>
    <x v="0"/>
    <x v="231"/>
    <x v="237"/>
    <x v="2"/>
    <x v="89"/>
    <x v="132"/>
    <x v="242"/>
    <x v="0"/>
    <x v="0"/>
    <x v="240"/>
    <x v="1"/>
    <x v="180"/>
    <x v="0"/>
    <x v="0"/>
    <x v="0"/>
    <x v="10"/>
    <x v="0"/>
    <x v="0"/>
    <x v="0"/>
    <x v="0"/>
  </r>
  <r>
    <x v="444"/>
    <x v="0"/>
    <x v="1"/>
    <x v="2"/>
    <x v="0"/>
    <x v="1"/>
    <x v="439"/>
    <x v="1"/>
    <x v="0"/>
    <x v="1"/>
    <x v="1"/>
    <x v="1"/>
    <x v="29"/>
    <x v="0"/>
    <x v="0"/>
    <x v="0"/>
    <x v="66"/>
    <x v="1"/>
    <x v="0"/>
    <x v="173"/>
    <x v="0"/>
    <x v="0"/>
    <x v="0"/>
    <x v="242"/>
    <x v="249"/>
    <x v="8"/>
    <x v="133"/>
    <x v="210"/>
    <x v="254"/>
    <x v="0"/>
    <x v="0"/>
    <x v="254"/>
    <x v="0"/>
    <x v="12"/>
    <x v="0"/>
    <x v="0"/>
    <x v="0"/>
    <x v="0"/>
    <x v="0"/>
    <x v="0"/>
    <x v="0"/>
    <x v="0"/>
  </r>
  <r>
    <x v="445"/>
    <x v="0"/>
    <x v="1"/>
    <x v="3"/>
    <x v="0"/>
    <x v="1"/>
    <x v="440"/>
    <x v="374"/>
    <x v="0"/>
    <x v="2"/>
    <x v="1"/>
    <x v="1"/>
    <x v="29"/>
    <x v="0"/>
    <x v="12"/>
    <x v="0"/>
    <x v="67"/>
    <x v="56"/>
    <x v="12"/>
    <x v="174"/>
    <x v="0"/>
    <x v="0"/>
    <x v="0"/>
    <x v="238"/>
    <x v="245"/>
    <x v="25"/>
    <x v="132"/>
    <x v="206"/>
    <x v="250"/>
    <x v="0"/>
    <x v="0"/>
    <x v="250"/>
    <x v="0"/>
    <x v="186"/>
    <x v="0"/>
    <x v="0"/>
    <x v="0"/>
    <x v="0"/>
    <x v="0"/>
    <x v="0"/>
    <x v="0"/>
    <x v="0"/>
  </r>
  <r>
    <x v="446"/>
    <x v="0"/>
    <x v="1"/>
    <x v="0"/>
    <x v="0"/>
    <x v="1"/>
    <x v="441"/>
    <x v="375"/>
    <x v="0"/>
    <x v="2"/>
    <x v="1"/>
    <x v="1"/>
    <x v="9"/>
    <x v="1"/>
    <x v="0"/>
    <x v="0"/>
    <x v="43"/>
    <x v="38"/>
    <x v="0"/>
    <x v="69"/>
    <x v="0"/>
    <x v="0"/>
    <x v="0"/>
    <x v="243"/>
    <x v="250"/>
    <x v="22"/>
    <x v="73"/>
    <x v="211"/>
    <x v="255"/>
    <x v="0"/>
    <x v="0"/>
    <x v="255"/>
    <x v="1"/>
    <x v="187"/>
    <x v="0"/>
    <x v="0"/>
    <x v="0"/>
    <x v="10"/>
    <x v="0"/>
    <x v="0"/>
    <x v="0"/>
    <x v="0"/>
  </r>
  <r>
    <x v="447"/>
    <x v="0"/>
    <x v="1"/>
    <x v="2"/>
    <x v="0"/>
    <x v="1"/>
    <x v="442"/>
    <x v="1"/>
    <x v="0"/>
    <x v="1"/>
    <x v="1"/>
    <x v="1"/>
    <x v="9"/>
    <x v="1"/>
    <x v="0"/>
    <x v="0"/>
    <x v="43"/>
    <x v="1"/>
    <x v="0"/>
    <x v="69"/>
    <x v="0"/>
    <x v="0"/>
    <x v="0"/>
    <x v="243"/>
    <x v="250"/>
    <x v="22"/>
    <x v="73"/>
    <x v="211"/>
    <x v="255"/>
    <x v="0"/>
    <x v="0"/>
    <x v="255"/>
    <x v="1"/>
    <x v="187"/>
    <x v="0"/>
    <x v="0"/>
    <x v="0"/>
    <x v="0"/>
    <x v="0"/>
    <x v="0"/>
    <x v="0"/>
    <x v="0"/>
  </r>
  <r>
    <x v="448"/>
    <x v="0"/>
    <x v="1"/>
    <x v="3"/>
    <x v="0"/>
    <x v="0"/>
    <x v="443"/>
    <x v="376"/>
    <x v="0"/>
    <x v="2"/>
    <x v="1"/>
    <x v="1"/>
    <x v="9"/>
    <x v="0"/>
    <x v="0"/>
    <x v="0"/>
    <x v="15"/>
    <x v="10"/>
    <x v="0"/>
    <x v="169"/>
    <x v="0"/>
    <x v="0"/>
    <x v="0"/>
    <x v="244"/>
    <x v="251"/>
    <x v="0"/>
    <x v="7"/>
    <x v="212"/>
    <x v="256"/>
    <x v="0"/>
    <x v="0"/>
    <x v="256"/>
    <x v="0"/>
    <x v="12"/>
    <x v="0"/>
    <x v="0"/>
    <x v="0"/>
    <x v="0"/>
    <x v="0"/>
    <x v="0"/>
    <x v="0"/>
    <x v="0"/>
  </r>
  <r>
    <x v="449"/>
    <x v="0"/>
    <x v="1"/>
    <x v="3"/>
    <x v="0"/>
    <x v="1"/>
    <x v="444"/>
    <x v="377"/>
    <x v="0"/>
    <x v="2"/>
    <x v="1"/>
    <x v="1"/>
    <x v="9"/>
    <x v="0"/>
    <x v="0"/>
    <x v="0"/>
    <x v="15"/>
    <x v="10"/>
    <x v="0"/>
    <x v="24"/>
    <x v="0"/>
    <x v="0"/>
    <x v="0"/>
    <x v="245"/>
    <x v="252"/>
    <x v="17"/>
    <x v="134"/>
    <x v="213"/>
    <x v="257"/>
    <x v="0"/>
    <x v="0"/>
    <x v="257"/>
    <x v="1"/>
    <x v="188"/>
    <x v="0"/>
    <x v="0"/>
    <x v="0"/>
    <x v="0"/>
    <x v="0"/>
    <x v="0"/>
    <x v="0"/>
    <x v="0"/>
  </r>
  <r>
    <x v="450"/>
    <x v="0"/>
    <x v="1"/>
    <x v="2"/>
    <x v="0"/>
    <x v="1"/>
    <x v="445"/>
    <x v="378"/>
    <x v="0"/>
    <x v="2"/>
    <x v="1"/>
    <x v="1"/>
    <x v="7"/>
    <x v="0"/>
    <x v="3"/>
    <x v="0"/>
    <x v="68"/>
    <x v="57"/>
    <x v="3"/>
    <x v="10"/>
    <x v="0"/>
    <x v="0"/>
    <x v="0"/>
    <x v="245"/>
    <x v="252"/>
    <x v="17"/>
    <x v="134"/>
    <x v="213"/>
    <x v="257"/>
    <x v="0"/>
    <x v="0"/>
    <x v="257"/>
    <x v="1"/>
    <x v="188"/>
    <x v="0"/>
    <x v="2"/>
    <x v="2"/>
    <x v="0"/>
    <x v="0"/>
    <x v="0"/>
    <x v="0"/>
    <x v="0"/>
  </r>
  <r>
    <x v="451"/>
    <x v="0"/>
    <x v="1"/>
    <x v="2"/>
    <x v="0"/>
    <x v="1"/>
    <x v="446"/>
    <x v="379"/>
    <x v="0"/>
    <x v="2"/>
    <x v="1"/>
    <x v="1"/>
    <x v="4"/>
    <x v="0"/>
    <x v="4"/>
    <x v="0"/>
    <x v="8"/>
    <x v="5"/>
    <x v="4"/>
    <x v="175"/>
    <x v="0"/>
    <x v="0"/>
    <x v="0"/>
    <x v="246"/>
    <x v="253"/>
    <x v="19"/>
    <x v="40"/>
    <x v="214"/>
    <x v="258"/>
    <x v="0"/>
    <x v="0"/>
    <x v="258"/>
    <x v="0"/>
    <x v="189"/>
    <x v="0"/>
    <x v="2"/>
    <x v="3"/>
    <x v="18"/>
    <x v="0"/>
    <x v="0"/>
    <x v="0"/>
    <x v="0"/>
  </r>
  <r>
    <x v="452"/>
    <x v="0"/>
    <x v="1"/>
    <x v="3"/>
    <x v="0"/>
    <x v="1"/>
    <x v="447"/>
    <x v="380"/>
    <x v="0"/>
    <x v="2"/>
    <x v="1"/>
    <x v="1"/>
    <x v="2"/>
    <x v="0"/>
    <x v="2"/>
    <x v="0"/>
    <x v="56"/>
    <x v="48"/>
    <x v="2"/>
    <x v="176"/>
    <x v="0"/>
    <x v="0"/>
    <x v="0"/>
    <x v="247"/>
    <x v="254"/>
    <x v="5"/>
    <x v="41"/>
    <x v="215"/>
    <x v="259"/>
    <x v="0"/>
    <x v="0"/>
    <x v="259"/>
    <x v="1"/>
    <x v="190"/>
    <x v="0"/>
    <x v="0"/>
    <x v="0"/>
    <x v="0"/>
    <x v="0"/>
    <x v="0"/>
    <x v="0"/>
    <x v="0"/>
  </r>
  <r>
    <x v="453"/>
    <x v="0"/>
    <x v="1"/>
    <x v="3"/>
    <x v="0"/>
    <x v="1"/>
    <x v="448"/>
    <x v="381"/>
    <x v="0"/>
    <x v="2"/>
    <x v="1"/>
    <x v="1"/>
    <x v="1"/>
    <x v="0"/>
    <x v="0"/>
    <x v="0"/>
    <x v="1"/>
    <x v="58"/>
    <x v="0"/>
    <x v="177"/>
    <x v="0"/>
    <x v="0"/>
    <x v="0"/>
    <x v="248"/>
    <x v="255"/>
    <x v="15"/>
    <x v="135"/>
    <x v="216"/>
    <x v="260"/>
    <x v="0"/>
    <x v="0"/>
    <x v="260"/>
    <x v="0"/>
    <x v="12"/>
    <x v="0"/>
    <x v="0"/>
    <x v="0"/>
    <x v="0"/>
    <x v="0"/>
    <x v="0"/>
    <x v="0"/>
    <x v="0"/>
  </r>
  <r>
    <x v="454"/>
    <x v="0"/>
    <x v="1"/>
    <x v="2"/>
    <x v="0"/>
    <x v="2"/>
    <x v="449"/>
    <x v="382"/>
    <x v="0"/>
    <x v="2"/>
    <x v="1"/>
    <x v="1"/>
    <x v="1"/>
    <x v="0"/>
    <x v="0"/>
    <x v="0"/>
    <x v="1"/>
    <x v="58"/>
    <x v="0"/>
    <x v="178"/>
    <x v="0"/>
    <x v="0"/>
    <x v="0"/>
    <x v="245"/>
    <x v="252"/>
    <x v="17"/>
    <x v="134"/>
    <x v="213"/>
    <x v="257"/>
    <x v="0"/>
    <x v="0"/>
    <x v="257"/>
    <x v="1"/>
    <x v="188"/>
    <x v="0"/>
    <x v="2"/>
    <x v="4"/>
    <x v="0"/>
    <x v="0"/>
    <x v="0"/>
    <x v="0"/>
    <x v="0"/>
  </r>
  <r>
    <x v="455"/>
    <x v="0"/>
    <x v="1"/>
    <x v="3"/>
    <x v="0"/>
    <x v="1"/>
    <x v="450"/>
    <x v="383"/>
    <x v="0"/>
    <x v="2"/>
    <x v="1"/>
    <x v="1"/>
    <x v="4"/>
    <x v="0"/>
    <x v="5"/>
    <x v="0"/>
    <x v="69"/>
    <x v="59"/>
    <x v="5"/>
    <x v="179"/>
    <x v="0"/>
    <x v="0"/>
    <x v="0"/>
    <x v="210"/>
    <x v="216"/>
    <x v="23"/>
    <x v="75"/>
    <x v="183"/>
    <x v="220"/>
    <x v="0"/>
    <x v="0"/>
    <x v="220"/>
    <x v="1"/>
    <x v="165"/>
    <x v="0"/>
    <x v="0"/>
    <x v="0"/>
    <x v="0"/>
    <x v="0"/>
    <x v="0"/>
    <x v="0"/>
    <x v="0"/>
  </r>
  <r>
    <x v="456"/>
    <x v="0"/>
    <x v="1"/>
    <x v="3"/>
    <x v="0"/>
    <x v="1"/>
    <x v="451"/>
    <x v="384"/>
    <x v="0"/>
    <x v="2"/>
    <x v="1"/>
    <x v="1"/>
    <x v="4"/>
    <x v="0"/>
    <x v="4"/>
    <x v="0"/>
    <x v="8"/>
    <x v="5"/>
    <x v="4"/>
    <x v="180"/>
    <x v="0"/>
    <x v="0"/>
    <x v="0"/>
    <x v="249"/>
    <x v="256"/>
    <x v="13"/>
    <x v="136"/>
    <x v="217"/>
    <x v="261"/>
    <x v="0"/>
    <x v="0"/>
    <x v="261"/>
    <x v="0"/>
    <x v="191"/>
    <x v="0"/>
    <x v="0"/>
    <x v="0"/>
    <x v="0"/>
    <x v="0"/>
    <x v="0"/>
    <x v="0"/>
    <x v="0"/>
  </r>
  <r>
    <x v="457"/>
    <x v="0"/>
    <x v="1"/>
    <x v="3"/>
    <x v="0"/>
    <x v="1"/>
    <x v="452"/>
    <x v="385"/>
    <x v="0"/>
    <x v="2"/>
    <x v="1"/>
    <x v="1"/>
    <x v="2"/>
    <x v="0"/>
    <x v="5"/>
    <x v="0"/>
    <x v="7"/>
    <x v="4"/>
    <x v="5"/>
    <x v="90"/>
    <x v="0"/>
    <x v="0"/>
    <x v="0"/>
    <x v="250"/>
    <x v="257"/>
    <x v="1"/>
    <x v="4"/>
    <x v="112"/>
    <x v="262"/>
    <x v="0"/>
    <x v="0"/>
    <x v="262"/>
    <x v="0"/>
    <x v="12"/>
    <x v="0"/>
    <x v="0"/>
    <x v="0"/>
    <x v="19"/>
    <x v="0"/>
    <x v="0"/>
    <x v="0"/>
    <x v="0"/>
  </r>
  <r>
    <x v="458"/>
    <x v="0"/>
    <x v="1"/>
    <x v="3"/>
    <x v="0"/>
    <x v="1"/>
    <x v="453"/>
    <x v="386"/>
    <x v="0"/>
    <x v="2"/>
    <x v="1"/>
    <x v="1"/>
    <x v="2"/>
    <x v="0"/>
    <x v="0"/>
    <x v="0"/>
    <x v="5"/>
    <x v="3"/>
    <x v="0"/>
    <x v="90"/>
    <x v="0"/>
    <x v="0"/>
    <x v="0"/>
    <x v="251"/>
    <x v="258"/>
    <x v="0"/>
    <x v="137"/>
    <x v="218"/>
    <x v="263"/>
    <x v="0"/>
    <x v="0"/>
    <x v="263"/>
    <x v="0"/>
    <x v="12"/>
    <x v="0"/>
    <x v="0"/>
    <x v="0"/>
    <x v="19"/>
    <x v="0"/>
    <x v="0"/>
    <x v="0"/>
    <x v="0"/>
  </r>
  <r>
    <x v="459"/>
    <x v="0"/>
    <x v="1"/>
    <x v="3"/>
    <x v="0"/>
    <x v="1"/>
    <x v="454"/>
    <x v="387"/>
    <x v="0"/>
    <x v="2"/>
    <x v="1"/>
    <x v="1"/>
    <x v="10"/>
    <x v="0"/>
    <x v="2"/>
    <x v="0"/>
    <x v="17"/>
    <x v="12"/>
    <x v="2"/>
    <x v="82"/>
    <x v="0"/>
    <x v="0"/>
    <x v="0"/>
    <x v="249"/>
    <x v="256"/>
    <x v="13"/>
    <x v="136"/>
    <x v="217"/>
    <x v="261"/>
    <x v="0"/>
    <x v="0"/>
    <x v="261"/>
    <x v="0"/>
    <x v="191"/>
    <x v="0"/>
    <x v="0"/>
    <x v="0"/>
    <x v="0"/>
    <x v="0"/>
    <x v="0"/>
    <x v="0"/>
    <x v="0"/>
  </r>
  <r>
    <x v="460"/>
    <x v="0"/>
    <x v="1"/>
    <x v="3"/>
    <x v="0"/>
    <x v="1"/>
    <x v="455"/>
    <x v="388"/>
    <x v="0"/>
    <x v="2"/>
    <x v="1"/>
    <x v="1"/>
    <x v="10"/>
    <x v="0"/>
    <x v="0"/>
    <x v="0"/>
    <x v="16"/>
    <x v="11"/>
    <x v="0"/>
    <x v="49"/>
    <x v="0"/>
    <x v="0"/>
    <x v="0"/>
    <x v="248"/>
    <x v="255"/>
    <x v="15"/>
    <x v="135"/>
    <x v="216"/>
    <x v="260"/>
    <x v="0"/>
    <x v="0"/>
    <x v="260"/>
    <x v="0"/>
    <x v="12"/>
    <x v="0"/>
    <x v="0"/>
    <x v="0"/>
    <x v="0"/>
    <x v="0"/>
    <x v="0"/>
    <x v="0"/>
    <x v="0"/>
  </r>
  <r>
    <x v="461"/>
    <x v="0"/>
    <x v="1"/>
    <x v="3"/>
    <x v="0"/>
    <x v="1"/>
    <x v="456"/>
    <x v="389"/>
    <x v="0"/>
    <x v="2"/>
    <x v="1"/>
    <x v="1"/>
    <x v="9"/>
    <x v="0"/>
    <x v="0"/>
    <x v="0"/>
    <x v="15"/>
    <x v="10"/>
    <x v="0"/>
    <x v="26"/>
    <x v="0"/>
    <x v="0"/>
    <x v="0"/>
    <x v="249"/>
    <x v="256"/>
    <x v="13"/>
    <x v="136"/>
    <x v="217"/>
    <x v="261"/>
    <x v="0"/>
    <x v="0"/>
    <x v="261"/>
    <x v="0"/>
    <x v="191"/>
    <x v="0"/>
    <x v="0"/>
    <x v="0"/>
    <x v="0"/>
    <x v="0"/>
    <x v="0"/>
    <x v="0"/>
    <x v="0"/>
  </r>
  <r>
    <x v="462"/>
    <x v="0"/>
    <x v="1"/>
    <x v="3"/>
    <x v="0"/>
    <x v="1"/>
    <x v="457"/>
    <x v="390"/>
    <x v="0"/>
    <x v="2"/>
    <x v="1"/>
    <x v="1"/>
    <x v="29"/>
    <x v="0"/>
    <x v="4"/>
    <x v="0"/>
    <x v="70"/>
    <x v="60"/>
    <x v="4"/>
    <x v="174"/>
    <x v="0"/>
    <x v="0"/>
    <x v="0"/>
    <x v="249"/>
    <x v="256"/>
    <x v="13"/>
    <x v="136"/>
    <x v="217"/>
    <x v="261"/>
    <x v="0"/>
    <x v="0"/>
    <x v="261"/>
    <x v="0"/>
    <x v="191"/>
    <x v="0"/>
    <x v="0"/>
    <x v="0"/>
    <x v="0"/>
    <x v="0"/>
    <x v="0"/>
    <x v="0"/>
    <x v="0"/>
  </r>
  <r>
    <x v="463"/>
    <x v="0"/>
    <x v="1"/>
    <x v="3"/>
    <x v="0"/>
    <x v="0"/>
    <x v="458"/>
    <x v="391"/>
    <x v="0"/>
    <x v="0"/>
    <x v="44"/>
    <x v="44"/>
    <x v="30"/>
    <x v="0"/>
    <x v="13"/>
    <x v="0"/>
    <x v="71"/>
    <x v="61"/>
    <x v="13"/>
    <x v="181"/>
    <x v="0"/>
    <x v="0"/>
    <x v="0"/>
    <x v="252"/>
    <x v="259"/>
    <x v="6"/>
    <x v="138"/>
    <x v="219"/>
    <x v="264"/>
    <x v="0"/>
    <x v="0"/>
    <x v="264"/>
    <x v="1"/>
    <x v="192"/>
    <x v="0"/>
    <x v="0"/>
    <x v="0"/>
    <x v="0"/>
    <x v="0"/>
    <x v="0"/>
    <x v="0"/>
    <x v="0"/>
  </r>
  <r>
    <x v="464"/>
    <x v="0"/>
    <x v="1"/>
    <x v="3"/>
    <x v="0"/>
    <x v="1"/>
    <x v="459"/>
    <x v="392"/>
    <x v="0"/>
    <x v="2"/>
    <x v="1"/>
    <x v="1"/>
    <x v="31"/>
    <x v="0"/>
    <x v="0"/>
    <x v="0"/>
    <x v="72"/>
    <x v="62"/>
    <x v="0"/>
    <x v="182"/>
    <x v="0"/>
    <x v="0"/>
    <x v="0"/>
    <x v="253"/>
    <x v="260"/>
    <x v="1"/>
    <x v="26"/>
    <x v="139"/>
    <x v="265"/>
    <x v="0"/>
    <x v="0"/>
    <x v="265"/>
    <x v="0"/>
    <x v="12"/>
    <x v="0"/>
    <x v="0"/>
    <x v="0"/>
    <x v="0"/>
    <x v="0"/>
    <x v="0"/>
    <x v="0"/>
    <x v="0"/>
  </r>
  <r>
    <x v="465"/>
    <x v="0"/>
    <x v="1"/>
    <x v="0"/>
    <x v="0"/>
    <x v="0"/>
    <x v="460"/>
    <x v="393"/>
    <x v="0"/>
    <x v="2"/>
    <x v="1"/>
    <x v="1"/>
    <x v="2"/>
    <x v="0"/>
    <x v="4"/>
    <x v="0"/>
    <x v="29"/>
    <x v="24"/>
    <x v="4"/>
    <x v="183"/>
    <x v="0"/>
    <x v="0"/>
    <x v="0"/>
    <x v="254"/>
    <x v="261"/>
    <x v="0"/>
    <x v="5"/>
    <x v="5"/>
    <x v="266"/>
    <x v="0"/>
    <x v="0"/>
    <x v="266"/>
    <x v="1"/>
    <x v="193"/>
    <x v="0"/>
    <x v="0"/>
    <x v="0"/>
    <x v="0"/>
    <x v="0"/>
    <x v="0"/>
    <x v="0"/>
    <x v="0"/>
  </r>
  <r>
    <x v="466"/>
    <x v="0"/>
    <x v="1"/>
    <x v="3"/>
    <x v="0"/>
    <x v="1"/>
    <x v="461"/>
    <x v="394"/>
    <x v="0"/>
    <x v="2"/>
    <x v="1"/>
    <x v="1"/>
    <x v="10"/>
    <x v="0"/>
    <x v="2"/>
    <x v="0"/>
    <x v="17"/>
    <x v="12"/>
    <x v="2"/>
    <x v="47"/>
    <x v="0"/>
    <x v="0"/>
    <x v="0"/>
    <x v="62"/>
    <x v="63"/>
    <x v="13"/>
    <x v="49"/>
    <x v="60"/>
    <x v="65"/>
    <x v="0"/>
    <x v="0"/>
    <x v="63"/>
    <x v="0"/>
    <x v="158"/>
    <x v="0"/>
    <x v="0"/>
    <x v="0"/>
    <x v="0"/>
    <x v="0"/>
    <x v="0"/>
    <x v="0"/>
    <x v="0"/>
  </r>
  <r>
    <x v="467"/>
    <x v="0"/>
    <x v="1"/>
    <x v="0"/>
    <x v="0"/>
    <x v="1"/>
    <x v="462"/>
    <x v="395"/>
    <x v="0"/>
    <x v="2"/>
    <x v="1"/>
    <x v="1"/>
    <x v="10"/>
    <x v="0"/>
    <x v="0"/>
    <x v="0"/>
    <x v="16"/>
    <x v="11"/>
    <x v="0"/>
    <x v="104"/>
    <x v="0"/>
    <x v="0"/>
    <x v="0"/>
    <x v="255"/>
    <x v="262"/>
    <x v="0"/>
    <x v="50"/>
    <x v="142"/>
    <x v="267"/>
    <x v="0"/>
    <x v="0"/>
    <x v="267"/>
    <x v="0"/>
    <x v="12"/>
    <x v="0"/>
    <x v="0"/>
    <x v="0"/>
    <x v="10"/>
    <x v="0"/>
    <x v="0"/>
    <x v="0"/>
    <x v="0"/>
  </r>
  <r>
    <x v="468"/>
    <x v="0"/>
    <x v="1"/>
    <x v="3"/>
    <x v="0"/>
    <x v="1"/>
    <x v="463"/>
    <x v="396"/>
    <x v="0"/>
    <x v="2"/>
    <x v="1"/>
    <x v="1"/>
    <x v="6"/>
    <x v="0"/>
    <x v="1"/>
    <x v="0"/>
    <x v="53"/>
    <x v="47"/>
    <x v="1"/>
    <x v="184"/>
    <x v="0"/>
    <x v="0"/>
    <x v="0"/>
    <x v="62"/>
    <x v="63"/>
    <x v="13"/>
    <x v="49"/>
    <x v="60"/>
    <x v="65"/>
    <x v="0"/>
    <x v="0"/>
    <x v="63"/>
    <x v="0"/>
    <x v="158"/>
    <x v="0"/>
    <x v="0"/>
    <x v="0"/>
    <x v="0"/>
    <x v="0"/>
    <x v="0"/>
    <x v="0"/>
    <x v="0"/>
  </r>
  <r>
    <x v="469"/>
    <x v="0"/>
    <x v="1"/>
    <x v="2"/>
    <x v="0"/>
    <x v="0"/>
    <x v="464"/>
    <x v="1"/>
    <x v="0"/>
    <x v="1"/>
    <x v="1"/>
    <x v="1"/>
    <x v="32"/>
    <x v="0"/>
    <x v="0"/>
    <x v="0"/>
    <x v="73"/>
    <x v="1"/>
    <x v="0"/>
    <x v="185"/>
    <x v="0"/>
    <x v="0"/>
    <x v="0"/>
    <x v="256"/>
    <x v="263"/>
    <x v="2"/>
    <x v="139"/>
    <x v="220"/>
    <x v="268"/>
    <x v="0"/>
    <x v="0"/>
    <x v="268"/>
    <x v="1"/>
    <x v="194"/>
    <x v="0"/>
    <x v="0"/>
    <x v="0"/>
    <x v="0"/>
    <x v="0"/>
    <x v="0"/>
    <x v="0"/>
    <x v="0"/>
  </r>
  <r>
    <x v="470"/>
    <x v="0"/>
    <x v="1"/>
    <x v="3"/>
    <x v="0"/>
    <x v="1"/>
    <x v="465"/>
    <x v="397"/>
    <x v="0"/>
    <x v="2"/>
    <x v="1"/>
    <x v="1"/>
    <x v="6"/>
    <x v="0"/>
    <x v="11"/>
    <x v="0"/>
    <x v="60"/>
    <x v="51"/>
    <x v="11"/>
    <x v="186"/>
    <x v="0"/>
    <x v="0"/>
    <x v="0"/>
    <x v="62"/>
    <x v="63"/>
    <x v="13"/>
    <x v="49"/>
    <x v="60"/>
    <x v="65"/>
    <x v="0"/>
    <x v="0"/>
    <x v="63"/>
    <x v="0"/>
    <x v="158"/>
    <x v="0"/>
    <x v="0"/>
    <x v="0"/>
    <x v="0"/>
    <x v="0"/>
    <x v="0"/>
    <x v="0"/>
    <x v="0"/>
  </r>
  <r>
    <x v="471"/>
    <x v="0"/>
    <x v="1"/>
    <x v="2"/>
    <x v="0"/>
    <x v="0"/>
    <x v="466"/>
    <x v="1"/>
    <x v="0"/>
    <x v="1"/>
    <x v="1"/>
    <x v="1"/>
    <x v="32"/>
    <x v="0"/>
    <x v="3"/>
    <x v="0"/>
    <x v="74"/>
    <x v="1"/>
    <x v="3"/>
    <x v="185"/>
    <x v="0"/>
    <x v="0"/>
    <x v="0"/>
    <x v="256"/>
    <x v="263"/>
    <x v="2"/>
    <x v="139"/>
    <x v="220"/>
    <x v="268"/>
    <x v="0"/>
    <x v="0"/>
    <x v="268"/>
    <x v="1"/>
    <x v="194"/>
    <x v="0"/>
    <x v="0"/>
    <x v="0"/>
    <x v="0"/>
    <x v="0"/>
    <x v="0"/>
    <x v="0"/>
    <x v="0"/>
  </r>
  <r>
    <x v="472"/>
    <x v="0"/>
    <x v="1"/>
    <x v="3"/>
    <x v="0"/>
    <x v="1"/>
    <x v="467"/>
    <x v="398"/>
    <x v="0"/>
    <x v="2"/>
    <x v="1"/>
    <x v="1"/>
    <x v="31"/>
    <x v="0"/>
    <x v="0"/>
    <x v="0"/>
    <x v="72"/>
    <x v="62"/>
    <x v="0"/>
    <x v="187"/>
    <x v="0"/>
    <x v="0"/>
    <x v="0"/>
    <x v="257"/>
    <x v="264"/>
    <x v="17"/>
    <x v="140"/>
    <x v="221"/>
    <x v="269"/>
    <x v="0"/>
    <x v="0"/>
    <x v="269"/>
    <x v="0"/>
    <x v="12"/>
    <x v="0"/>
    <x v="0"/>
    <x v="0"/>
    <x v="0"/>
    <x v="0"/>
    <x v="0"/>
    <x v="0"/>
    <x v="0"/>
  </r>
  <r>
    <x v="473"/>
    <x v="0"/>
    <x v="1"/>
    <x v="2"/>
    <x v="0"/>
    <x v="1"/>
    <x v="468"/>
    <x v="399"/>
    <x v="0"/>
    <x v="2"/>
    <x v="1"/>
    <x v="1"/>
    <x v="31"/>
    <x v="0"/>
    <x v="9"/>
    <x v="0"/>
    <x v="75"/>
    <x v="63"/>
    <x v="9"/>
    <x v="188"/>
    <x v="0"/>
    <x v="0"/>
    <x v="0"/>
    <x v="53"/>
    <x v="53"/>
    <x v="0"/>
    <x v="18"/>
    <x v="28"/>
    <x v="54"/>
    <x v="0"/>
    <x v="0"/>
    <x v="53"/>
    <x v="0"/>
    <x v="45"/>
    <x v="0"/>
    <x v="2"/>
    <x v="5"/>
    <x v="0"/>
    <x v="0"/>
    <x v="0"/>
    <x v="0"/>
    <x v="0"/>
  </r>
  <r>
    <x v="474"/>
    <x v="0"/>
    <x v="1"/>
    <x v="3"/>
    <x v="0"/>
    <x v="1"/>
    <x v="469"/>
    <x v="400"/>
    <x v="0"/>
    <x v="2"/>
    <x v="1"/>
    <x v="1"/>
    <x v="33"/>
    <x v="0"/>
    <x v="0"/>
    <x v="0"/>
    <x v="76"/>
    <x v="64"/>
    <x v="0"/>
    <x v="189"/>
    <x v="0"/>
    <x v="0"/>
    <x v="0"/>
    <x v="258"/>
    <x v="265"/>
    <x v="19"/>
    <x v="141"/>
    <x v="222"/>
    <x v="270"/>
    <x v="11"/>
    <x v="0"/>
    <x v="270"/>
    <x v="0"/>
    <x v="195"/>
    <x v="0"/>
    <x v="0"/>
    <x v="0"/>
    <x v="20"/>
    <x v="0"/>
    <x v="0"/>
    <x v="0"/>
    <x v="0"/>
  </r>
  <r>
    <x v="475"/>
    <x v="0"/>
    <x v="1"/>
    <x v="2"/>
    <x v="0"/>
    <x v="1"/>
    <x v="470"/>
    <x v="1"/>
    <x v="0"/>
    <x v="1"/>
    <x v="1"/>
    <x v="1"/>
    <x v="33"/>
    <x v="0"/>
    <x v="5"/>
    <x v="0"/>
    <x v="77"/>
    <x v="1"/>
    <x v="5"/>
    <x v="189"/>
    <x v="0"/>
    <x v="0"/>
    <x v="0"/>
    <x v="258"/>
    <x v="265"/>
    <x v="19"/>
    <x v="141"/>
    <x v="222"/>
    <x v="270"/>
    <x v="0"/>
    <x v="0"/>
    <x v="270"/>
    <x v="0"/>
    <x v="195"/>
    <x v="0"/>
    <x v="0"/>
    <x v="0"/>
    <x v="0"/>
    <x v="0"/>
    <x v="0"/>
    <x v="0"/>
    <x v="0"/>
  </r>
  <r>
    <x v="476"/>
    <x v="0"/>
    <x v="1"/>
    <x v="3"/>
    <x v="0"/>
    <x v="1"/>
    <x v="471"/>
    <x v="401"/>
    <x v="0"/>
    <x v="2"/>
    <x v="1"/>
    <x v="1"/>
    <x v="33"/>
    <x v="0"/>
    <x v="5"/>
    <x v="0"/>
    <x v="77"/>
    <x v="65"/>
    <x v="5"/>
    <x v="190"/>
    <x v="0"/>
    <x v="0"/>
    <x v="0"/>
    <x v="259"/>
    <x v="266"/>
    <x v="12"/>
    <x v="25"/>
    <x v="223"/>
    <x v="271"/>
    <x v="12"/>
    <x v="0"/>
    <x v="271"/>
    <x v="1"/>
    <x v="196"/>
    <x v="0"/>
    <x v="1"/>
    <x v="0"/>
    <x v="21"/>
    <x v="0"/>
    <x v="0"/>
    <x v="0"/>
    <x v="0"/>
  </r>
  <r>
    <x v="477"/>
    <x v="0"/>
    <x v="1"/>
    <x v="3"/>
    <x v="0"/>
    <x v="1"/>
    <x v="472"/>
    <x v="402"/>
    <x v="0"/>
    <x v="2"/>
    <x v="1"/>
    <x v="1"/>
    <x v="34"/>
    <x v="0"/>
    <x v="0"/>
    <x v="0"/>
    <x v="78"/>
    <x v="66"/>
    <x v="0"/>
    <x v="191"/>
    <x v="0"/>
    <x v="0"/>
    <x v="0"/>
    <x v="62"/>
    <x v="63"/>
    <x v="13"/>
    <x v="49"/>
    <x v="60"/>
    <x v="65"/>
    <x v="0"/>
    <x v="0"/>
    <x v="63"/>
    <x v="0"/>
    <x v="158"/>
    <x v="0"/>
    <x v="0"/>
    <x v="0"/>
    <x v="0"/>
    <x v="0"/>
    <x v="0"/>
    <x v="0"/>
    <x v="0"/>
  </r>
  <r>
    <x v="478"/>
    <x v="0"/>
    <x v="1"/>
    <x v="2"/>
    <x v="0"/>
    <x v="1"/>
    <x v="473"/>
    <x v="403"/>
    <x v="0"/>
    <x v="2"/>
    <x v="1"/>
    <x v="1"/>
    <x v="34"/>
    <x v="0"/>
    <x v="0"/>
    <x v="0"/>
    <x v="78"/>
    <x v="66"/>
    <x v="0"/>
    <x v="192"/>
    <x v="0"/>
    <x v="0"/>
    <x v="0"/>
    <x v="53"/>
    <x v="53"/>
    <x v="0"/>
    <x v="18"/>
    <x v="28"/>
    <x v="54"/>
    <x v="0"/>
    <x v="0"/>
    <x v="53"/>
    <x v="0"/>
    <x v="45"/>
    <x v="0"/>
    <x v="2"/>
    <x v="6"/>
    <x v="0"/>
    <x v="0"/>
    <x v="0"/>
    <x v="0"/>
    <x v="0"/>
  </r>
  <r>
    <x v="479"/>
    <x v="0"/>
    <x v="1"/>
    <x v="0"/>
    <x v="0"/>
    <x v="1"/>
    <x v="474"/>
    <x v="404"/>
    <x v="0"/>
    <x v="2"/>
    <x v="1"/>
    <x v="1"/>
    <x v="6"/>
    <x v="0"/>
    <x v="4"/>
    <x v="0"/>
    <x v="37"/>
    <x v="32"/>
    <x v="4"/>
    <x v="74"/>
    <x v="0"/>
    <x v="0"/>
    <x v="0"/>
    <x v="250"/>
    <x v="257"/>
    <x v="1"/>
    <x v="4"/>
    <x v="112"/>
    <x v="262"/>
    <x v="0"/>
    <x v="0"/>
    <x v="262"/>
    <x v="0"/>
    <x v="12"/>
    <x v="0"/>
    <x v="0"/>
    <x v="0"/>
    <x v="22"/>
    <x v="0"/>
    <x v="0"/>
    <x v="0"/>
    <x v="0"/>
  </r>
  <r>
    <x v="480"/>
    <x v="0"/>
    <x v="1"/>
    <x v="2"/>
    <x v="0"/>
    <x v="1"/>
    <x v="475"/>
    <x v="1"/>
    <x v="0"/>
    <x v="1"/>
    <x v="1"/>
    <x v="1"/>
    <x v="6"/>
    <x v="0"/>
    <x v="0"/>
    <x v="0"/>
    <x v="10"/>
    <x v="1"/>
    <x v="0"/>
    <x v="75"/>
    <x v="0"/>
    <x v="0"/>
    <x v="0"/>
    <x v="260"/>
    <x v="267"/>
    <x v="1"/>
    <x v="14"/>
    <x v="224"/>
    <x v="272"/>
    <x v="0"/>
    <x v="0"/>
    <x v="272"/>
    <x v="1"/>
    <x v="197"/>
    <x v="0"/>
    <x v="0"/>
    <x v="0"/>
    <x v="0"/>
    <x v="0"/>
    <x v="0"/>
    <x v="0"/>
    <x v="0"/>
  </r>
  <r>
    <x v="481"/>
    <x v="0"/>
    <x v="1"/>
    <x v="2"/>
    <x v="0"/>
    <x v="1"/>
    <x v="476"/>
    <x v="1"/>
    <x v="0"/>
    <x v="1"/>
    <x v="1"/>
    <x v="1"/>
    <x v="2"/>
    <x v="0"/>
    <x v="0"/>
    <x v="0"/>
    <x v="5"/>
    <x v="1"/>
    <x v="0"/>
    <x v="183"/>
    <x v="0"/>
    <x v="0"/>
    <x v="0"/>
    <x v="260"/>
    <x v="267"/>
    <x v="1"/>
    <x v="14"/>
    <x v="224"/>
    <x v="272"/>
    <x v="0"/>
    <x v="0"/>
    <x v="272"/>
    <x v="1"/>
    <x v="197"/>
    <x v="0"/>
    <x v="0"/>
    <x v="0"/>
    <x v="0"/>
    <x v="0"/>
    <x v="0"/>
    <x v="0"/>
    <x v="0"/>
  </r>
  <r>
    <x v="482"/>
    <x v="0"/>
    <x v="1"/>
    <x v="3"/>
    <x v="0"/>
    <x v="1"/>
    <x v="477"/>
    <x v="405"/>
    <x v="0"/>
    <x v="2"/>
    <x v="1"/>
    <x v="1"/>
    <x v="12"/>
    <x v="0"/>
    <x v="3"/>
    <x v="0"/>
    <x v="79"/>
    <x v="67"/>
    <x v="3"/>
    <x v="35"/>
    <x v="0"/>
    <x v="0"/>
    <x v="0"/>
    <x v="261"/>
    <x v="268"/>
    <x v="8"/>
    <x v="142"/>
    <x v="225"/>
    <x v="273"/>
    <x v="0"/>
    <x v="0"/>
    <x v="273"/>
    <x v="1"/>
    <x v="198"/>
    <x v="0"/>
    <x v="0"/>
    <x v="0"/>
    <x v="0"/>
    <x v="0"/>
    <x v="0"/>
    <x v="0"/>
    <x v="0"/>
  </r>
  <r>
    <x v="483"/>
    <x v="0"/>
    <x v="1"/>
    <x v="2"/>
    <x v="0"/>
    <x v="1"/>
    <x v="478"/>
    <x v="1"/>
    <x v="0"/>
    <x v="1"/>
    <x v="1"/>
    <x v="1"/>
    <x v="12"/>
    <x v="0"/>
    <x v="2"/>
    <x v="0"/>
    <x v="26"/>
    <x v="1"/>
    <x v="2"/>
    <x v="193"/>
    <x v="0"/>
    <x v="0"/>
    <x v="0"/>
    <x v="260"/>
    <x v="267"/>
    <x v="1"/>
    <x v="14"/>
    <x v="224"/>
    <x v="272"/>
    <x v="0"/>
    <x v="0"/>
    <x v="272"/>
    <x v="1"/>
    <x v="197"/>
    <x v="0"/>
    <x v="0"/>
    <x v="0"/>
    <x v="0"/>
    <x v="0"/>
    <x v="0"/>
    <x v="0"/>
    <x v="0"/>
  </r>
  <r>
    <x v="484"/>
    <x v="0"/>
    <x v="1"/>
    <x v="3"/>
    <x v="0"/>
    <x v="1"/>
    <x v="479"/>
    <x v="406"/>
    <x v="0"/>
    <x v="2"/>
    <x v="1"/>
    <x v="1"/>
    <x v="10"/>
    <x v="0"/>
    <x v="0"/>
    <x v="0"/>
    <x v="16"/>
    <x v="11"/>
    <x v="0"/>
    <x v="67"/>
    <x v="0"/>
    <x v="0"/>
    <x v="0"/>
    <x v="262"/>
    <x v="269"/>
    <x v="13"/>
    <x v="143"/>
    <x v="226"/>
    <x v="274"/>
    <x v="0"/>
    <x v="0"/>
    <x v="274"/>
    <x v="0"/>
    <x v="199"/>
    <x v="0"/>
    <x v="0"/>
    <x v="0"/>
    <x v="0"/>
    <x v="0"/>
    <x v="0"/>
    <x v="0"/>
    <x v="0"/>
  </r>
  <r>
    <x v="485"/>
    <x v="0"/>
    <x v="1"/>
    <x v="3"/>
    <x v="0"/>
    <x v="1"/>
    <x v="480"/>
    <x v="407"/>
    <x v="0"/>
    <x v="2"/>
    <x v="1"/>
    <x v="1"/>
    <x v="10"/>
    <x v="0"/>
    <x v="2"/>
    <x v="0"/>
    <x v="17"/>
    <x v="12"/>
    <x v="2"/>
    <x v="17"/>
    <x v="0"/>
    <x v="0"/>
    <x v="0"/>
    <x v="263"/>
    <x v="270"/>
    <x v="12"/>
    <x v="144"/>
    <x v="227"/>
    <x v="275"/>
    <x v="0"/>
    <x v="0"/>
    <x v="275"/>
    <x v="1"/>
    <x v="200"/>
    <x v="0"/>
    <x v="0"/>
    <x v="0"/>
    <x v="0"/>
    <x v="0"/>
    <x v="0"/>
    <x v="0"/>
    <x v="0"/>
  </r>
  <r>
    <x v="486"/>
    <x v="0"/>
    <x v="1"/>
    <x v="3"/>
    <x v="0"/>
    <x v="1"/>
    <x v="481"/>
    <x v="408"/>
    <x v="0"/>
    <x v="2"/>
    <x v="1"/>
    <x v="1"/>
    <x v="10"/>
    <x v="0"/>
    <x v="0"/>
    <x v="0"/>
    <x v="16"/>
    <x v="11"/>
    <x v="0"/>
    <x v="66"/>
    <x v="0"/>
    <x v="0"/>
    <x v="0"/>
    <x v="250"/>
    <x v="257"/>
    <x v="1"/>
    <x v="4"/>
    <x v="112"/>
    <x v="262"/>
    <x v="0"/>
    <x v="0"/>
    <x v="262"/>
    <x v="0"/>
    <x v="12"/>
    <x v="0"/>
    <x v="0"/>
    <x v="0"/>
    <x v="0"/>
    <x v="0"/>
    <x v="0"/>
    <x v="0"/>
    <x v="0"/>
  </r>
  <r>
    <x v="487"/>
    <x v="0"/>
    <x v="1"/>
    <x v="3"/>
    <x v="0"/>
    <x v="1"/>
    <x v="482"/>
    <x v="409"/>
    <x v="0"/>
    <x v="2"/>
    <x v="1"/>
    <x v="1"/>
    <x v="9"/>
    <x v="0"/>
    <x v="0"/>
    <x v="0"/>
    <x v="15"/>
    <x v="10"/>
    <x v="0"/>
    <x v="26"/>
    <x v="0"/>
    <x v="0"/>
    <x v="0"/>
    <x v="250"/>
    <x v="257"/>
    <x v="1"/>
    <x v="4"/>
    <x v="112"/>
    <x v="262"/>
    <x v="0"/>
    <x v="0"/>
    <x v="262"/>
    <x v="0"/>
    <x v="12"/>
    <x v="0"/>
    <x v="0"/>
    <x v="0"/>
    <x v="0"/>
    <x v="0"/>
    <x v="0"/>
    <x v="0"/>
    <x v="0"/>
  </r>
  <r>
    <x v="488"/>
    <x v="0"/>
    <x v="1"/>
    <x v="3"/>
    <x v="0"/>
    <x v="1"/>
    <x v="483"/>
    <x v="410"/>
    <x v="0"/>
    <x v="2"/>
    <x v="1"/>
    <x v="1"/>
    <x v="9"/>
    <x v="0"/>
    <x v="0"/>
    <x v="0"/>
    <x v="15"/>
    <x v="10"/>
    <x v="0"/>
    <x v="54"/>
    <x v="0"/>
    <x v="0"/>
    <x v="0"/>
    <x v="263"/>
    <x v="270"/>
    <x v="12"/>
    <x v="144"/>
    <x v="227"/>
    <x v="275"/>
    <x v="0"/>
    <x v="0"/>
    <x v="275"/>
    <x v="1"/>
    <x v="200"/>
    <x v="0"/>
    <x v="0"/>
    <x v="0"/>
    <x v="0"/>
    <x v="0"/>
    <x v="0"/>
    <x v="0"/>
    <x v="0"/>
  </r>
  <r>
    <x v="489"/>
    <x v="0"/>
    <x v="1"/>
    <x v="0"/>
    <x v="0"/>
    <x v="1"/>
    <x v="484"/>
    <x v="411"/>
    <x v="0"/>
    <x v="2"/>
    <x v="1"/>
    <x v="1"/>
    <x v="9"/>
    <x v="0"/>
    <x v="0"/>
    <x v="0"/>
    <x v="15"/>
    <x v="10"/>
    <x v="0"/>
    <x v="24"/>
    <x v="0"/>
    <x v="0"/>
    <x v="0"/>
    <x v="255"/>
    <x v="262"/>
    <x v="0"/>
    <x v="50"/>
    <x v="142"/>
    <x v="267"/>
    <x v="0"/>
    <x v="0"/>
    <x v="267"/>
    <x v="0"/>
    <x v="12"/>
    <x v="0"/>
    <x v="0"/>
    <x v="0"/>
    <x v="10"/>
    <x v="0"/>
    <x v="0"/>
    <x v="0"/>
    <x v="0"/>
  </r>
  <r>
    <x v="490"/>
    <x v="0"/>
    <x v="1"/>
    <x v="0"/>
    <x v="0"/>
    <x v="1"/>
    <x v="485"/>
    <x v="412"/>
    <x v="0"/>
    <x v="2"/>
    <x v="1"/>
    <x v="1"/>
    <x v="6"/>
    <x v="0"/>
    <x v="5"/>
    <x v="0"/>
    <x v="41"/>
    <x v="36"/>
    <x v="5"/>
    <x v="75"/>
    <x v="0"/>
    <x v="0"/>
    <x v="0"/>
    <x v="259"/>
    <x v="266"/>
    <x v="12"/>
    <x v="25"/>
    <x v="223"/>
    <x v="271"/>
    <x v="13"/>
    <x v="0"/>
    <x v="271"/>
    <x v="1"/>
    <x v="196"/>
    <x v="0"/>
    <x v="0"/>
    <x v="0"/>
    <x v="23"/>
    <x v="0"/>
    <x v="0"/>
    <x v="0"/>
    <x v="0"/>
  </r>
  <r>
    <x v="491"/>
    <x v="0"/>
    <x v="1"/>
    <x v="0"/>
    <x v="0"/>
    <x v="1"/>
    <x v="486"/>
    <x v="413"/>
    <x v="0"/>
    <x v="2"/>
    <x v="1"/>
    <x v="1"/>
    <x v="12"/>
    <x v="0"/>
    <x v="2"/>
    <x v="0"/>
    <x v="26"/>
    <x v="21"/>
    <x v="2"/>
    <x v="194"/>
    <x v="0"/>
    <x v="0"/>
    <x v="0"/>
    <x v="264"/>
    <x v="271"/>
    <x v="6"/>
    <x v="21"/>
    <x v="22"/>
    <x v="276"/>
    <x v="0"/>
    <x v="0"/>
    <x v="276"/>
    <x v="0"/>
    <x v="201"/>
    <x v="0"/>
    <x v="0"/>
    <x v="0"/>
    <x v="0"/>
    <x v="0"/>
    <x v="0"/>
    <x v="0"/>
    <x v="0"/>
  </r>
  <r>
    <x v="492"/>
    <x v="0"/>
    <x v="1"/>
    <x v="2"/>
    <x v="0"/>
    <x v="2"/>
    <x v="487"/>
    <x v="1"/>
    <x v="0"/>
    <x v="1"/>
    <x v="1"/>
    <x v="1"/>
    <x v="5"/>
    <x v="0"/>
    <x v="0"/>
    <x v="0"/>
    <x v="32"/>
    <x v="1"/>
    <x v="0"/>
    <x v="72"/>
    <x v="0"/>
    <x v="0"/>
    <x v="0"/>
    <x v="210"/>
    <x v="216"/>
    <x v="23"/>
    <x v="75"/>
    <x v="183"/>
    <x v="220"/>
    <x v="0"/>
    <x v="0"/>
    <x v="220"/>
    <x v="1"/>
    <x v="165"/>
    <x v="0"/>
    <x v="0"/>
    <x v="0"/>
    <x v="0"/>
    <x v="0"/>
    <x v="0"/>
    <x v="0"/>
    <x v="0"/>
  </r>
  <r>
    <x v="493"/>
    <x v="0"/>
    <x v="1"/>
    <x v="3"/>
    <x v="0"/>
    <x v="1"/>
    <x v="488"/>
    <x v="414"/>
    <x v="0"/>
    <x v="2"/>
    <x v="1"/>
    <x v="1"/>
    <x v="6"/>
    <x v="0"/>
    <x v="0"/>
    <x v="0"/>
    <x v="10"/>
    <x v="6"/>
    <x v="0"/>
    <x v="170"/>
    <x v="0"/>
    <x v="0"/>
    <x v="0"/>
    <x v="265"/>
    <x v="272"/>
    <x v="16"/>
    <x v="58"/>
    <x v="228"/>
    <x v="277"/>
    <x v="0"/>
    <x v="0"/>
    <x v="277"/>
    <x v="0"/>
    <x v="12"/>
    <x v="0"/>
    <x v="0"/>
    <x v="0"/>
    <x v="0"/>
    <x v="0"/>
    <x v="0"/>
    <x v="0"/>
    <x v="0"/>
  </r>
  <r>
    <x v="494"/>
    <x v="0"/>
    <x v="1"/>
    <x v="3"/>
    <x v="0"/>
    <x v="1"/>
    <x v="489"/>
    <x v="415"/>
    <x v="0"/>
    <x v="2"/>
    <x v="1"/>
    <x v="1"/>
    <x v="6"/>
    <x v="0"/>
    <x v="0"/>
    <x v="0"/>
    <x v="10"/>
    <x v="6"/>
    <x v="0"/>
    <x v="195"/>
    <x v="0"/>
    <x v="0"/>
    <x v="0"/>
    <x v="266"/>
    <x v="273"/>
    <x v="0"/>
    <x v="50"/>
    <x v="72"/>
    <x v="278"/>
    <x v="14"/>
    <x v="0"/>
    <x v="278"/>
    <x v="0"/>
    <x v="202"/>
    <x v="0"/>
    <x v="1"/>
    <x v="0"/>
    <x v="0"/>
    <x v="0"/>
    <x v="0"/>
    <x v="0"/>
    <x v="0"/>
  </r>
  <r>
    <x v="495"/>
    <x v="0"/>
    <x v="1"/>
    <x v="3"/>
    <x v="0"/>
    <x v="0"/>
    <x v="490"/>
    <x v="416"/>
    <x v="0"/>
    <x v="0"/>
    <x v="45"/>
    <x v="45"/>
    <x v="35"/>
    <x v="0"/>
    <x v="0"/>
    <x v="0"/>
    <x v="80"/>
    <x v="68"/>
    <x v="0"/>
    <x v="196"/>
    <x v="0"/>
    <x v="0"/>
    <x v="0"/>
    <x v="267"/>
    <x v="274"/>
    <x v="10"/>
    <x v="19"/>
    <x v="229"/>
    <x v="279"/>
    <x v="0"/>
    <x v="0"/>
    <x v="279"/>
    <x v="0"/>
    <x v="203"/>
    <x v="0"/>
    <x v="0"/>
    <x v="0"/>
    <x v="19"/>
    <x v="0"/>
    <x v="0"/>
    <x v="0"/>
    <x v="0"/>
  </r>
  <r>
    <x v="496"/>
    <x v="0"/>
    <x v="1"/>
    <x v="3"/>
    <x v="0"/>
    <x v="1"/>
    <x v="491"/>
    <x v="417"/>
    <x v="0"/>
    <x v="2"/>
    <x v="1"/>
    <x v="1"/>
    <x v="10"/>
    <x v="0"/>
    <x v="2"/>
    <x v="0"/>
    <x v="17"/>
    <x v="12"/>
    <x v="2"/>
    <x v="81"/>
    <x v="0"/>
    <x v="0"/>
    <x v="0"/>
    <x v="264"/>
    <x v="271"/>
    <x v="6"/>
    <x v="21"/>
    <x v="22"/>
    <x v="276"/>
    <x v="0"/>
    <x v="0"/>
    <x v="276"/>
    <x v="0"/>
    <x v="201"/>
    <x v="0"/>
    <x v="0"/>
    <x v="0"/>
    <x v="0"/>
    <x v="0"/>
    <x v="0"/>
    <x v="0"/>
    <x v="0"/>
  </r>
  <r>
    <x v="497"/>
    <x v="0"/>
    <x v="1"/>
    <x v="3"/>
    <x v="0"/>
    <x v="1"/>
    <x v="492"/>
    <x v="418"/>
    <x v="0"/>
    <x v="2"/>
    <x v="1"/>
    <x v="1"/>
    <x v="9"/>
    <x v="0"/>
    <x v="0"/>
    <x v="0"/>
    <x v="15"/>
    <x v="10"/>
    <x v="0"/>
    <x v="26"/>
    <x v="0"/>
    <x v="0"/>
    <x v="0"/>
    <x v="259"/>
    <x v="266"/>
    <x v="12"/>
    <x v="25"/>
    <x v="223"/>
    <x v="271"/>
    <x v="0"/>
    <x v="0"/>
    <x v="271"/>
    <x v="1"/>
    <x v="196"/>
    <x v="0"/>
    <x v="0"/>
    <x v="0"/>
    <x v="24"/>
    <x v="0"/>
    <x v="0"/>
    <x v="0"/>
    <x v="0"/>
  </r>
  <r>
    <x v="498"/>
    <x v="0"/>
    <x v="1"/>
    <x v="3"/>
    <x v="0"/>
    <x v="1"/>
    <x v="493"/>
    <x v="419"/>
    <x v="0"/>
    <x v="2"/>
    <x v="1"/>
    <x v="1"/>
    <x v="9"/>
    <x v="0"/>
    <x v="0"/>
    <x v="0"/>
    <x v="15"/>
    <x v="10"/>
    <x v="0"/>
    <x v="24"/>
    <x v="0"/>
    <x v="0"/>
    <x v="0"/>
    <x v="264"/>
    <x v="271"/>
    <x v="6"/>
    <x v="21"/>
    <x v="22"/>
    <x v="276"/>
    <x v="0"/>
    <x v="0"/>
    <x v="276"/>
    <x v="0"/>
    <x v="201"/>
    <x v="0"/>
    <x v="0"/>
    <x v="0"/>
    <x v="0"/>
    <x v="0"/>
    <x v="0"/>
    <x v="0"/>
    <x v="0"/>
  </r>
  <r>
    <x v="499"/>
    <x v="0"/>
    <x v="1"/>
    <x v="0"/>
    <x v="0"/>
    <x v="1"/>
    <x v="494"/>
    <x v="420"/>
    <x v="0"/>
    <x v="2"/>
    <x v="1"/>
    <x v="1"/>
    <x v="6"/>
    <x v="0"/>
    <x v="5"/>
    <x v="0"/>
    <x v="41"/>
    <x v="36"/>
    <x v="5"/>
    <x v="197"/>
    <x v="0"/>
    <x v="0"/>
    <x v="0"/>
    <x v="259"/>
    <x v="266"/>
    <x v="12"/>
    <x v="25"/>
    <x v="223"/>
    <x v="271"/>
    <x v="0"/>
    <x v="0"/>
    <x v="271"/>
    <x v="1"/>
    <x v="196"/>
    <x v="0"/>
    <x v="0"/>
    <x v="0"/>
    <x v="25"/>
    <x v="0"/>
    <x v="0"/>
    <x v="0"/>
    <x v="0"/>
  </r>
  <r>
    <x v="500"/>
    <x v="0"/>
    <x v="1"/>
    <x v="0"/>
    <x v="0"/>
    <x v="1"/>
    <x v="495"/>
    <x v="421"/>
    <x v="0"/>
    <x v="2"/>
    <x v="1"/>
    <x v="1"/>
    <x v="6"/>
    <x v="0"/>
    <x v="5"/>
    <x v="0"/>
    <x v="41"/>
    <x v="36"/>
    <x v="5"/>
    <x v="197"/>
    <x v="0"/>
    <x v="0"/>
    <x v="0"/>
    <x v="264"/>
    <x v="271"/>
    <x v="6"/>
    <x v="21"/>
    <x v="22"/>
    <x v="276"/>
    <x v="0"/>
    <x v="0"/>
    <x v="276"/>
    <x v="0"/>
    <x v="201"/>
    <x v="0"/>
    <x v="0"/>
    <x v="0"/>
    <x v="26"/>
    <x v="0"/>
    <x v="0"/>
    <x v="0"/>
    <x v="0"/>
  </r>
  <r>
    <x v="501"/>
    <x v="0"/>
    <x v="1"/>
    <x v="3"/>
    <x v="0"/>
    <x v="1"/>
    <x v="496"/>
    <x v="422"/>
    <x v="0"/>
    <x v="2"/>
    <x v="1"/>
    <x v="1"/>
    <x v="6"/>
    <x v="0"/>
    <x v="4"/>
    <x v="0"/>
    <x v="37"/>
    <x v="32"/>
    <x v="4"/>
    <x v="198"/>
    <x v="0"/>
    <x v="0"/>
    <x v="0"/>
    <x v="264"/>
    <x v="271"/>
    <x v="6"/>
    <x v="21"/>
    <x v="22"/>
    <x v="276"/>
    <x v="0"/>
    <x v="0"/>
    <x v="276"/>
    <x v="0"/>
    <x v="201"/>
    <x v="0"/>
    <x v="0"/>
    <x v="0"/>
    <x v="11"/>
    <x v="0"/>
    <x v="0"/>
    <x v="0"/>
    <x v="0"/>
  </r>
  <r>
    <x v="502"/>
    <x v="0"/>
    <x v="1"/>
    <x v="3"/>
    <x v="0"/>
    <x v="1"/>
    <x v="497"/>
    <x v="423"/>
    <x v="0"/>
    <x v="2"/>
    <x v="1"/>
    <x v="1"/>
    <x v="10"/>
    <x v="0"/>
    <x v="2"/>
    <x v="0"/>
    <x v="17"/>
    <x v="12"/>
    <x v="2"/>
    <x v="94"/>
    <x v="0"/>
    <x v="0"/>
    <x v="0"/>
    <x v="62"/>
    <x v="63"/>
    <x v="13"/>
    <x v="49"/>
    <x v="60"/>
    <x v="65"/>
    <x v="0"/>
    <x v="0"/>
    <x v="63"/>
    <x v="0"/>
    <x v="158"/>
    <x v="0"/>
    <x v="0"/>
    <x v="0"/>
    <x v="0"/>
    <x v="0"/>
    <x v="0"/>
    <x v="0"/>
    <x v="0"/>
  </r>
  <r>
    <x v="503"/>
    <x v="0"/>
    <x v="1"/>
    <x v="3"/>
    <x v="0"/>
    <x v="1"/>
    <x v="498"/>
    <x v="424"/>
    <x v="0"/>
    <x v="2"/>
    <x v="1"/>
    <x v="1"/>
    <x v="10"/>
    <x v="0"/>
    <x v="2"/>
    <x v="0"/>
    <x v="17"/>
    <x v="12"/>
    <x v="2"/>
    <x v="112"/>
    <x v="0"/>
    <x v="0"/>
    <x v="0"/>
    <x v="259"/>
    <x v="266"/>
    <x v="12"/>
    <x v="25"/>
    <x v="223"/>
    <x v="271"/>
    <x v="0"/>
    <x v="0"/>
    <x v="271"/>
    <x v="1"/>
    <x v="196"/>
    <x v="0"/>
    <x v="0"/>
    <x v="0"/>
    <x v="0"/>
    <x v="0"/>
    <x v="0"/>
    <x v="0"/>
    <x v="0"/>
  </r>
  <r>
    <x v="504"/>
    <x v="0"/>
    <x v="1"/>
    <x v="3"/>
    <x v="0"/>
    <x v="1"/>
    <x v="499"/>
    <x v="425"/>
    <x v="0"/>
    <x v="2"/>
    <x v="1"/>
    <x v="1"/>
    <x v="10"/>
    <x v="0"/>
    <x v="2"/>
    <x v="0"/>
    <x v="17"/>
    <x v="12"/>
    <x v="2"/>
    <x v="94"/>
    <x v="0"/>
    <x v="0"/>
    <x v="0"/>
    <x v="268"/>
    <x v="275"/>
    <x v="20"/>
    <x v="145"/>
    <x v="230"/>
    <x v="280"/>
    <x v="0"/>
    <x v="0"/>
    <x v="280"/>
    <x v="1"/>
    <x v="204"/>
    <x v="0"/>
    <x v="0"/>
    <x v="0"/>
    <x v="0"/>
    <x v="0"/>
    <x v="0"/>
    <x v="0"/>
    <x v="0"/>
  </r>
  <r>
    <x v="505"/>
    <x v="0"/>
    <x v="1"/>
    <x v="3"/>
    <x v="0"/>
    <x v="1"/>
    <x v="500"/>
    <x v="426"/>
    <x v="0"/>
    <x v="2"/>
    <x v="1"/>
    <x v="1"/>
    <x v="10"/>
    <x v="0"/>
    <x v="0"/>
    <x v="0"/>
    <x v="16"/>
    <x v="11"/>
    <x v="0"/>
    <x v="16"/>
    <x v="0"/>
    <x v="0"/>
    <x v="0"/>
    <x v="264"/>
    <x v="271"/>
    <x v="6"/>
    <x v="21"/>
    <x v="22"/>
    <x v="276"/>
    <x v="0"/>
    <x v="0"/>
    <x v="276"/>
    <x v="0"/>
    <x v="201"/>
    <x v="0"/>
    <x v="0"/>
    <x v="0"/>
    <x v="0"/>
    <x v="0"/>
    <x v="0"/>
    <x v="0"/>
    <x v="0"/>
  </r>
  <r>
    <x v="506"/>
    <x v="0"/>
    <x v="1"/>
    <x v="3"/>
    <x v="0"/>
    <x v="1"/>
    <x v="501"/>
    <x v="427"/>
    <x v="0"/>
    <x v="2"/>
    <x v="1"/>
    <x v="1"/>
    <x v="9"/>
    <x v="0"/>
    <x v="0"/>
    <x v="0"/>
    <x v="15"/>
    <x v="10"/>
    <x v="0"/>
    <x v="26"/>
    <x v="0"/>
    <x v="0"/>
    <x v="0"/>
    <x v="8"/>
    <x v="8"/>
    <x v="4"/>
    <x v="8"/>
    <x v="8"/>
    <x v="8"/>
    <x v="0"/>
    <x v="0"/>
    <x v="8"/>
    <x v="1"/>
    <x v="8"/>
    <x v="0"/>
    <x v="0"/>
    <x v="0"/>
    <x v="0"/>
    <x v="0"/>
    <x v="0"/>
    <x v="0"/>
    <x v="0"/>
  </r>
  <r>
    <x v="507"/>
    <x v="0"/>
    <x v="1"/>
    <x v="3"/>
    <x v="0"/>
    <x v="1"/>
    <x v="502"/>
    <x v="428"/>
    <x v="0"/>
    <x v="2"/>
    <x v="1"/>
    <x v="1"/>
    <x v="9"/>
    <x v="0"/>
    <x v="0"/>
    <x v="0"/>
    <x v="15"/>
    <x v="10"/>
    <x v="0"/>
    <x v="71"/>
    <x v="0"/>
    <x v="0"/>
    <x v="0"/>
    <x v="209"/>
    <x v="215"/>
    <x v="13"/>
    <x v="117"/>
    <x v="182"/>
    <x v="219"/>
    <x v="0"/>
    <x v="0"/>
    <x v="219"/>
    <x v="0"/>
    <x v="12"/>
    <x v="0"/>
    <x v="0"/>
    <x v="0"/>
    <x v="0"/>
    <x v="0"/>
    <x v="0"/>
    <x v="0"/>
    <x v="0"/>
  </r>
  <r>
    <x v="508"/>
    <x v="0"/>
    <x v="1"/>
    <x v="3"/>
    <x v="0"/>
    <x v="1"/>
    <x v="503"/>
    <x v="429"/>
    <x v="0"/>
    <x v="2"/>
    <x v="1"/>
    <x v="1"/>
    <x v="9"/>
    <x v="0"/>
    <x v="0"/>
    <x v="0"/>
    <x v="15"/>
    <x v="10"/>
    <x v="0"/>
    <x v="69"/>
    <x v="0"/>
    <x v="0"/>
    <x v="0"/>
    <x v="269"/>
    <x v="276"/>
    <x v="7"/>
    <x v="146"/>
    <x v="231"/>
    <x v="281"/>
    <x v="0"/>
    <x v="0"/>
    <x v="281"/>
    <x v="0"/>
    <x v="12"/>
    <x v="0"/>
    <x v="0"/>
    <x v="0"/>
    <x v="0"/>
    <x v="0"/>
    <x v="0"/>
    <x v="0"/>
    <x v="0"/>
  </r>
  <r>
    <x v="509"/>
    <x v="0"/>
    <x v="1"/>
    <x v="2"/>
    <x v="0"/>
    <x v="1"/>
    <x v="504"/>
    <x v="430"/>
    <x v="0"/>
    <x v="2"/>
    <x v="1"/>
    <x v="1"/>
    <x v="6"/>
    <x v="0"/>
    <x v="0"/>
    <x v="0"/>
    <x v="10"/>
    <x v="6"/>
    <x v="0"/>
    <x v="75"/>
    <x v="0"/>
    <x v="0"/>
    <x v="0"/>
    <x v="270"/>
    <x v="277"/>
    <x v="17"/>
    <x v="147"/>
    <x v="232"/>
    <x v="282"/>
    <x v="0"/>
    <x v="0"/>
    <x v="282"/>
    <x v="0"/>
    <x v="12"/>
    <x v="0"/>
    <x v="2"/>
    <x v="7"/>
    <x v="8"/>
    <x v="0"/>
    <x v="0"/>
    <x v="0"/>
    <x v="0"/>
  </r>
  <r>
    <x v="510"/>
    <x v="0"/>
    <x v="1"/>
    <x v="2"/>
    <x v="0"/>
    <x v="0"/>
    <x v="505"/>
    <x v="1"/>
    <x v="0"/>
    <x v="1"/>
    <x v="1"/>
    <x v="1"/>
    <x v="36"/>
    <x v="0"/>
    <x v="4"/>
    <x v="0"/>
    <x v="25"/>
    <x v="1"/>
    <x v="4"/>
    <x v="115"/>
    <x v="0"/>
    <x v="0"/>
    <x v="0"/>
    <x v="271"/>
    <x v="278"/>
    <x v="0"/>
    <x v="3"/>
    <x v="233"/>
    <x v="283"/>
    <x v="0"/>
    <x v="0"/>
    <x v="283"/>
    <x v="1"/>
    <x v="205"/>
    <x v="0"/>
    <x v="0"/>
    <x v="0"/>
    <x v="0"/>
    <x v="0"/>
    <x v="0"/>
    <x v="0"/>
    <x v="0"/>
  </r>
  <r>
    <x v="511"/>
    <x v="0"/>
    <x v="1"/>
    <x v="3"/>
    <x v="0"/>
    <x v="1"/>
    <x v="506"/>
    <x v="431"/>
    <x v="0"/>
    <x v="2"/>
    <x v="1"/>
    <x v="1"/>
    <x v="36"/>
    <x v="0"/>
    <x v="2"/>
    <x v="0"/>
    <x v="81"/>
    <x v="69"/>
    <x v="2"/>
    <x v="16"/>
    <x v="0"/>
    <x v="0"/>
    <x v="0"/>
    <x v="259"/>
    <x v="266"/>
    <x v="12"/>
    <x v="25"/>
    <x v="223"/>
    <x v="271"/>
    <x v="0"/>
    <x v="0"/>
    <x v="271"/>
    <x v="1"/>
    <x v="196"/>
    <x v="0"/>
    <x v="0"/>
    <x v="0"/>
    <x v="27"/>
    <x v="0"/>
    <x v="0"/>
    <x v="0"/>
    <x v="0"/>
  </r>
  <r>
    <x v="512"/>
    <x v="0"/>
    <x v="1"/>
    <x v="3"/>
    <x v="0"/>
    <x v="1"/>
    <x v="507"/>
    <x v="432"/>
    <x v="0"/>
    <x v="2"/>
    <x v="1"/>
    <x v="1"/>
    <x v="9"/>
    <x v="0"/>
    <x v="0"/>
    <x v="0"/>
    <x v="15"/>
    <x v="10"/>
    <x v="0"/>
    <x v="31"/>
    <x v="0"/>
    <x v="0"/>
    <x v="0"/>
    <x v="272"/>
    <x v="279"/>
    <x v="3"/>
    <x v="109"/>
    <x v="171"/>
    <x v="284"/>
    <x v="0"/>
    <x v="0"/>
    <x v="284"/>
    <x v="0"/>
    <x v="206"/>
    <x v="0"/>
    <x v="0"/>
    <x v="0"/>
    <x v="0"/>
    <x v="0"/>
    <x v="0"/>
    <x v="0"/>
    <x v="0"/>
  </r>
  <r>
    <x v="513"/>
    <x v="0"/>
    <x v="1"/>
    <x v="3"/>
    <x v="0"/>
    <x v="1"/>
    <x v="508"/>
    <x v="433"/>
    <x v="0"/>
    <x v="2"/>
    <x v="1"/>
    <x v="1"/>
    <x v="9"/>
    <x v="0"/>
    <x v="0"/>
    <x v="0"/>
    <x v="15"/>
    <x v="10"/>
    <x v="0"/>
    <x v="21"/>
    <x v="0"/>
    <x v="0"/>
    <x v="0"/>
    <x v="273"/>
    <x v="280"/>
    <x v="13"/>
    <x v="148"/>
    <x v="234"/>
    <x v="285"/>
    <x v="0"/>
    <x v="0"/>
    <x v="285"/>
    <x v="0"/>
    <x v="207"/>
    <x v="0"/>
    <x v="0"/>
    <x v="0"/>
    <x v="0"/>
    <x v="0"/>
    <x v="0"/>
    <x v="0"/>
    <x v="0"/>
  </r>
  <r>
    <x v="514"/>
    <x v="0"/>
    <x v="1"/>
    <x v="3"/>
    <x v="0"/>
    <x v="1"/>
    <x v="509"/>
    <x v="434"/>
    <x v="0"/>
    <x v="2"/>
    <x v="1"/>
    <x v="1"/>
    <x v="9"/>
    <x v="0"/>
    <x v="0"/>
    <x v="0"/>
    <x v="15"/>
    <x v="10"/>
    <x v="0"/>
    <x v="23"/>
    <x v="0"/>
    <x v="0"/>
    <x v="0"/>
    <x v="208"/>
    <x v="214"/>
    <x v="6"/>
    <x v="116"/>
    <x v="235"/>
    <x v="286"/>
    <x v="0"/>
    <x v="0"/>
    <x v="218"/>
    <x v="0"/>
    <x v="12"/>
    <x v="0"/>
    <x v="0"/>
    <x v="0"/>
    <x v="0"/>
    <x v="0"/>
    <x v="0"/>
    <x v="0"/>
    <x v="0"/>
  </r>
  <r>
    <x v="515"/>
    <x v="0"/>
    <x v="1"/>
    <x v="3"/>
    <x v="0"/>
    <x v="1"/>
    <x v="510"/>
    <x v="435"/>
    <x v="0"/>
    <x v="2"/>
    <x v="1"/>
    <x v="1"/>
    <x v="9"/>
    <x v="0"/>
    <x v="0"/>
    <x v="0"/>
    <x v="15"/>
    <x v="10"/>
    <x v="0"/>
    <x v="54"/>
    <x v="0"/>
    <x v="0"/>
    <x v="0"/>
    <x v="38"/>
    <x v="39"/>
    <x v="0"/>
    <x v="24"/>
    <x v="37"/>
    <x v="39"/>
    <x v="0"/>
    <x v="0"/>
    <x v="39"/>
    <x v="0"/>
    <x v="33"/>
    <x v="0"/>
    <x v="0"/>
    <x v="0"/>
    <x v="0"/>
    <x v="0"/>
    <x v="0"/>
    <x v="0"/>
    <x v="0"/>
  </r>
  <r>
    <x v="516"/>
    <x v="0"/>
    <x v="1"/>
    <x v="3"/>
    <x v="0"/>
    <x v="1"/>
    <x v="511"/>
    <x v="436"/>
    <x v="0"/>
    <x v="2"/>
    <x v="1"/>
    <x v="1"/>
    <x v="9"/>
    <x v="0"/>
    <x v="0"/>
    <x v="0"/>
    <x v="15"/>
    <x v="10"/>
    <x v="0"/>
    <x v="19"/>
    <x v="0"/>
    <x v="0"/>
    <x v="0"/>
    <x v="207"/>
    <x v="213"/>
    <x v="19"/>
    <x v="115"/>
    <x v="180"/>
    <x v="217"/>
    <x v="0"/>
    <x v="0"/>
    <x v="217"/>
    <x v="0"/>
    <x v="12"/>
    <x v="0"/>
    <x v="0"/>
    <x v="0"/>
    <x v="0"/>
    <x v="0"/>
    <x v="0"/>
    <x v="0"/>
    <x v="0"/>
  </r>
  <r>
    <x v="517"/>
    <x v="0"/>
    <x v="1"/>
    <x v="0"/>
    <x v="0"/>
    <x v="1"/>
    <x v="512"/>
    <x v="437"/>
    <x v="0"/>
    <x v="2"/>
    <x v="1"/>
    <x v="1"/>
    <x v="2"/>
    <x v="0"/>
    <x v="0"/>
    <x v="0"/>
    <x v="5"/>
    <x v="3"/>
    <x v="0"/>
    <x v="117"/>
    <x v="0"/>
    <x v="0"/>
    <x v="0"/>
    <x v="274"/>
    <x v="281"/>
    <x v="21"/>
    <x v="102"/>
    <x v="153"/>
    <x v="287"/>
    <x v="0"/>
    <x v="0"/>
    <x v="286"/>
    <x v="0"/>
    <x v="208"/>
    <x v="0"/>
    <x v="0"/>
    <x v="0"/>
    <x v="0"/>
    <x v="0"/>
    <x v="0"/>
    <x v="0"/>
    <x v="0"/>
  </r>
  <r>
    <x v="518"/>
    <x v="0"/>
    <x v="1"/>
    <x v="0"/>
    <x v="0"/>
    <x v="1"/>
    <x v="513"/>
    <x v="438"/>
    <x v="0"/>
    <x v="2"/>
    <x v="1"/>
    <x v="1"/>
    <x v="2"/>
    <x v="0"/>
    <x v="1"/>
    <x v="0"/>
    <x v="35"/>
    <x v="28"/>
    <x v="1"/>
    <x v="199"/>
    <x v="0"/>
    <x v="0"/>
    <x v="0"/>
    <x v="275"/>
    <x v="282"/>
    <x v="10"/>
    <x v="19"/>
    <x v="236"/>
    <x v="288"/>
    <x v="0"/>
    <x v="0"/>
    <x v="287"/>
    <x v="0"/>
    <x v="209"/>
    <x v="0"/>
    <x v="0"/>
    <x v="0"/>
    <x v="28"/>
    <x v="0"/>
    <x v="0"/>
    <x v="0"/>
    <x v="0"/>
  </r>
  <r>
    <x v="519"/>
    <x v="0"/>
    <x v="1"/>
    <x v="2"/>
    <x v="0"/>
    <x v="1"/>
    <x v="514"/>
    <x v="1"/>
    <x v="0"/>
    <x v="1"/>
    <x v="1"/>
    <x v="1"/>
    <x v="2"/>
    <x v="0"/>
    <x v="0"/>
    <x v="0"/>
    <x v="5"/>
    <x v="1"/>
    <x v="0"/>
    <x v="93"/>
    <x v="0"/>
    <x v="0"/>
    <x v="0"/>
    <x v="274"/>
    <x v="281"/>
    <x v="21"/>
    <x v="102"/>
    <x v="153"/>
    <x v="287"/>
    <x v="0"/>
    <x v="0"/>
    <x v="286"/>
    <x v="0"/>
    <x v="208"/>
    <x v="0"/>
    <x v="0"/>
    <x v="0"/>
    <x v="0"/>
    <x v="0"/>
    <x v="0"/>
    <x v="0"/>
    <x v="0"/>
  </r>
  <r>
    <x v="520"/>
    <x v="0"/>
    <x v="1"/>
    <x v="0"/>
    <x v="0"/>
    <x v="1"/>
    <x v="515"/>
    <x v="439"/>
    <x v="0"/>
    <x v="2"/>
    <x v="1"/>
    <x v="1"/>
    <x v="2"/>
    <x v="0"/>
    <x v="4"/>
    <x v="0"/>
    <x v="29"/>
    <x v="24"/>
    <x v="4"/>
    <x v="6"/>
    <x v="0"/>
    <x v="0"/>
    <x v="0"/>
    <x v="276"/>
    <x v="283"/>
    <x v="0"/>
    <x v="47"/>
    <x v="56"/>
    <x v="289"/>
    <x v="0"/>
    <x v="0"/>
    <x v="288"/>
    <x v="0"/>
    <x v="210"/>
    <x v="0"/>
    <x v="0"/>
    <x v="0"/>
    <x v="0"/>
    <x v="0"/>
    <x v="0"/>
    <x v="0"/>
    <x v="0"/>
  </r>
  <r>
    <x v="521"/>
    <x v="0"/>
    <x v="1"/>
    <x v="0"/>
    <x v="0"/>
    <x v="1"/>
    <x v="516"/>
    <x v="440"/>
    <x v="0"/>
    <x v="2"/>
    <x v="1"/>
    <x v="1"/>
    <x v="2"/>
    <x v="0"/>
    <x v="6"/>
    <x v="0"/>
    <x v="34"/>
    <x v="29"/>
    <x v="6"/>
    <x v="91"/>
    <x v="0"/>
    <x v="0"/>
    <x v="0"/>
    <x v="191"/>
    <x v="195"/>
    <x v="7"/>
    <x v="107"/>
    <x v="167"/>
    <x v="199"/>
    <x v="0"/>
    <x v="0"/>
    <x v="199"/>
    <x v="1"/>
    <x v="153"/>
    <x v="0"/>
    <x v="0"/>
    <x v="0"/>
    <x v="28"/>
    <x v="0"/>
    <x v="0"/>
    <x v="0"/>
    <x v="0"/>
  </r>
  <r>
    <x v="522"/>
    <x v="0"/>
    <x v="1"/>
    <x v="0"/>
    <x v="0"/>
    <x v="1"/>
    <x v="517"/>
    <x v="441"/>
    <x v="0"/>
    <x v="2"/>
    <x v="1"/>
    <x v="1"/>
    <x v="6"/>
    <x v="0"/>
    <x v="0"/>
    <x v="0"/>
    <x v="10"/>
    <x v="6"/>
    <x v="0"/>
    <x v="200"/>
    <x v="0"/>
    <x v="0"/>
    <x v="0"/>
    <x v="277"/>
    <x v="284"/>
    <x v="0"/>
    <x v="24"/>
    <x v="37"/>
    <x v="290"/>
    <x v="0"/>
    <x v="0"/>
    <x v="289"/>
    <x v="0"/>
    <x v="12"/>
    <x v="0"/>
    <x v="0"/>
    <x v="0"/>
    <x v="29"/>
    <x v="0"/>
    <x v="0"/>
    <x v="0"/>
    <x v="0"/>
  </r>
  <r>
    <x v="523"/>
    <x v="0"/>
    <x v="1"/>
    <x v="0"/>
    <x v="0"/>
    <x v="1"/>
    <x v="518"/>
    <x v="442"/>
    <x v="0"/>
    <x v="2"/>
    <x v="1"/>
    <x v="1"/>
    <x v="7"/>
    <x v="0"/>
    <x v="3"/>
    <x v="0"/>
    <x v="68"/>
    <x v="57"/>
    <x v="3"/>
    <x v="201"/>
    <x v="0"/>
    <x v="0"/>
    <x v="0"/>
    <x v="278"/>
    <x v="285"/>
    <x v="9"/>
    <x v="120"/>
    <x v="237"/>
    <x v="291"/>
    <x v="0"/>
    <x v="0"/>
    <x v="290"/>
    <x v="1"/>
    <x v="211"/>
    <x v="0"/>
    <x v="0"/>
    <x v="0"/>
    <x v="0"/>
    <x v="0"/>
    <x v="0"/>
    <x v="0"/>
    <x v="0"/>
  </r>
  <r>
    <x v="524"/>
    <x v="0"/>
    <x v="1"/>
    <x v="0"/>
    <x v="0"/>
    <x v="4"/>
    <x v="519"/>
    <x v="443"/>
    <x v="0"/>
    <x v="2"/>
    <x v="1"/>
    <x v="1"/>
    <x v="9"/>
    <x v="0"/>
    <x v="0"/>
    <x v="0"/>
    <x v="15"/>
    <x v="10"/>
    <x v="0"/>
    <x v="84"/>
    <x v="0"/>
    <x v="0"/>
    <x v="0"/>
    <x v="279"/>
    <x v="286"/>
    <x v="6"/>
    <x v="138"/>
    <x v="219"/>
    <x v="292"/>
    <x v="0"/>
    <x v="0"/>
    <x v="291"/>
    <x v="0"/>
    <x v="12"/>
    <x v="0"/>
    <x v="0"/>
    <x v="0"/>
    <x v="0"/>
    <x v="0"/>
    <x v="0"/>
    <x v="0"/>
    <x v="0"/>
  </r>
  <r>
    <x v="525"/>
    <x v="0"/>
    <x v="1"/>
    <x v="2"/>
    <x v="0"/>
    <x v="1"/>
    <x v="520"/>
    <x v="444"/>
    <x v="0"/>
    <x v="2"/>
    <x v="1"/>
    <x v="1"/>
    <x v="37"/>
    <x v="1"/>
    <x v="0"/>
    <x v="0"/>
    <x v="82"/>
    <x v="70"/>
    <x v="0"/>
    <x v="202"/>
    <x v="0"/>
    <x v="0"/>
    <x v="0"/>
    <x v="280"/>
    <x v="287"/>
    <x v="22"/>
    <x v="149"/>
    <x v="238"/>
    <x v="293"/>
    <x v="0"/>
    <x v="0"/>
    <x v="292"/>
    <x v="0"/>
    <x v="12"/>
    <x v="0"/>
    <x v="2"/>
    <x v="8"/>
    <x v="0"/>
    <x v="0"/>
    <x v="0"/>
    <x v="0"/>
    <x v="0"/>
  </r>
  <r>
    <x v="526"/>
    <x v="0"/>
    <x v="1"/>
    <x v="0"/>
    <x v="0"/>
    <x v="1"/>
    <x v="521"/>
    <x v="445"/>
    <x v="0"/>
    <x v="2"/>
    <x v="1"/>
    <x v="1"/>
    <x v="37"/>
    <x v="0"/>
    <x v="13"/>
    <x v="0"/>
    <x v="83"/>
    <x v="71"/>
    <x v="13"/>
    <x v="203"/>
    <x v="0"/>
    <x v="0"/>
    <x v="0"/>
    <x v="281"/>
    <x v="288"/>
    <x v="1"/>
    <x v="14"/>
    <x v="239"/>
    <x v="294"/>
    <x v="0"/>
    <x v="0"/>
    <x v="293"/>
    <x v="0"/>
    <x v="12"/>
    <x v="0"/>
    <x v="0"/>
    <x v="0"/>
    <x v="30"/>
    <x v="0"/>
    <x v="0"/>
    <x v="0"/>
    <x v="0"/>
  </r>
  <r>
    <x v="527"/>
    <x v="0"/>
    <x v="1"/>
    <x v="0"/>
    <x v="0"/>
    <x v="1"/>
    <x v="522"/>
    <x v="446"/>
    <x v="0"/>
    <x v="2"/>
    <x v="1"/>
    <x v="1"/>
    <x v="2"/>
    <x v="0"/>
    <x v="3"/>
    <x v="0"/>
    <x v="40"/>
    <x v="35"/>
    <x v="3"/>
    <x v="204"/>
    <x v="0"/>
    <x v="0"/>
    <x v="0"/>
    <x v="239"/>
    <x v="246"/>
    <x v="7"/>
    <x v="123"/>
    <x v="207"/>
    <x v="251"/>
    <x v="0"/>
    <x v="0"/>
    <x v="251"/>
    <x v="0"/>
    <x v="12"/>
    <x v="0"/>
    <x v="0"/>
    <x v="0"/>
    <x v="0"/>
    <x v="0"/>
    <x v="0"/>
    <x v="0"/>
    <x v="0"/>
  </r>
  <r>
    <x v="528"/>
    <x v="0"/>
    <x v="1"/>
    <x v="2"/>
    <x v="0"/>
    <x v="1"/>
    <x v="523"/>
    <x v="447"/>
    <x v="0"/>
    <x v="2"/>
    <x v="1"/>
    <x v="1"/>
    <x v="37"/>
    <x v="0"/>
    <x v="1"/>
    <x v="0"/>
    <x v="84"/>
    <x v="72"/>
    <x v="1"/>
    <x v="203"/>
    <x v="0"/>
    <x v="0"/>
    <x v="0"/>
    <x v="281"/>
    <x v="288"/>
    <x v="1"/>
    <x v="14"/>
    <x v="239"/>
    <x v="294"/>
    <x v="0"/>
    <x v="0"/>
    <x v="293"/>
    <x v="0"/>
    <x v="12"/>
    <x v="0"/>
    <x v="2"/>
    <x v="9"/>
    <x v="0"/>
    <x v="0"/>
    <x v="0"/>
    <x v="0"/>
    <x v="0"/>
  </r>
  <r>
    <x v="529"/>
    <x v="0"/>
    <x v="1"/>
    <x v="0"/>
    <x v="0"/>
    <x v="1"/>
    <x v="524"/>
    <x v="448"/>
    <x v="0"/>
    <x v="2"/>
    <x v="1"/>
    <x v="1"/>
    <x v="2"/>
    <x v="0"/>
    <x v="0"/>
    <x v="0"/>
    <x v="5"/>
    <x v="3"/>
    <x v="0"/>
    <x v="205"/>
    <x v="0"/>
    <x v="0"/>
    <x v="0"/>
    <x v="282"/>
    <x v="289"/>
    <x v="10"/>
    <x v="19"/>
    <x v="240"/>
    <x v="295"/>
    <x v="0"/>
    <x v="0"/>
    <x v="294"/>
    <x v="0"/>
    <x v="12"/>
    <x v="0"/>
    <x v="0"/>
    <x v="0"/>
    <x v="0"/>
    <x v="0"/>
    <x v="0"/>
    <x v="0"/>
    <x v="0"/>
  </r>
  <r>
    <x v="530"/>
    <x v="0"/>
    <x v="1"/>
    <x v="0"/>
    <x v="0"/>
    <x v="1"/>
    <x v="525"/>
    <x v="449"/>
    <x v="0"/>
    <x v="2"/>
    <x v="1"/>
    <x v="1"/>
    <x v="2"/>
    <x v="0"/>
    <x v="3"/>
    <x v="0"/>
    <x v="40"/>
    <x v="35"/>
    <x v="3"/>
    <x v="206"/>
    <x v="0"/>
    <x v="0"/>
    <x v="0"/>
    <x v="283"/>
    <x v="290"/>
    <x v="0"/>
    <x v="24"/>
    <x v="241"/>
    <x v="296"/>
    <x v="0"/>
    <x v="0"/>
    <x v="295"/>
    <x v="0"/>
    <x v="212"/>
    <x v="0"/>
    <x v="0"/>
    <x v="0"/>
    <x v="28"/>
    <x v="0"/>
    <x v="0"/>
    <x v="0"/>
    <x v="0"/>
  </r>
  <r>
    <x v="531"/>
    <x v="0"/>
    <x v="1"/>
    <x v="0"/>
    <x v="0"/>
    <x v="1"/>
    <x v="526"/>
    <x v="450"/>
    <x v="0"/>
    <x v="2"/>
    <x v="1"/>
    <x v="1"/>
    <x v="4"/>
    <x v="0"/>
    <x v="0"/>
    <x v="0"/>
    <x v="85"/>
    <x v="73"/>
    <x v="0"/>
    <x v="207"/>
    <x v="0"/>
    <x v="0"/>
    <x v="0"/>
    <x v="283"/>
    <x v="290"/>
    <x v="0"/>
    <x v="24"/>
    <x v="241"/>
    <x v="296"/>
    <x v="0"/>
    <x v="0"/>
    <x v="295"/>
    <x v="0"/>
    <x v="212"/>
    <x v="0"/>
    <x v="0"/>
    <x v="0"/>
    <x v="0"/>
    <x v="0"/>
    <x v="0"/>
    <x v="0"/>
    <x v="0"/>
  </r>
  <r>
    <x v="532"/>
    <x v="0"/>
    <x v="1"/>
    <x v="2"/>
    <x v="0"/>
    <x v="1"/>
    <x v="527"/>
    <x v="1"/>
    <x v="0"/>
    <x v="1"/>
    <x v="1"/>
    <x v="1"/>
    <x v="4"/>
    <x v="0"/>
    <x v="3"/>
    <x v="0"/>
    <x v="86"/>
    <x v="1"/>
    <x v="3"/>
    <x v="207"/>
    <x v="0"/>
    <x v="0"/>
    <x v="0"/>
    <x v="283"/>
    <x v="290"/>
    <x v="0"/>
    <x v="24"/>
    <x v="104"/>
    <x v="297"/>
    <x v="0"/>
    <x v="0"/>
    <x v="295"/>
    <x v="0"/>
    <x v="212"/>
    <x v="0"/>
    <x v="0"/>
    <x v="0"/>
    <x v="0"/>
    <x v="0"/>
    <x v="0"/>
    <x v="0"/>
    <x v="0"/>
  </r>
  <r>
    <x v="533"/>
    <x v="0"/>
    <x v="1"/>
    <x v="0"/>
    <x v="0"/>
    <x v="1"/>
    <x v="528"/>
    <x v="451"/>
    <x v="0"/>
    <x v="2"/>
    <x v="1"/>
    <x v="1"/>
    <x v="6"/>
    <x v="0"/>
    <x v="5"/>
    <x v="0"/>
    <x v="41"/>
    <x v="36"/>
    <x v="5"/>
    <x v="75"/>
    <x v="0"/>
    <x v="0"/>
    <x v="0"/>
    <x v="275"/>
    <x v="282"/>
    <x v="10"/>
    <x v="19"/>
    <x v="236"/>
    <x v="288"/>
    <x v="0"/>
    <x v="0"/>
    <x v="287"/>
    <x v="0"/>
    <x v="209"/>
    <x v="0"/>
    <x v="0"/>
    <x v="0"/>
    <x v="0"/>
    <x v="0"/>
    <x v="0"/>
    <x v="0"/>
    <x v="0"/>
  </r>
  <r>
    <x v="534"/>
    <x v="0"/>
    <x v="1"/>
    <x v="0"/>
    <x v="0"/>
    <x v="1"/>
    <x v="529"/>
    <x v="452"/>
    <x v="0"/>
    <x v="2"/>
    <x v="1"/>
    <x v="1"/>
    <x v="4"/>
    <x v="0"/>
    <x v="1"/>
    <x v="0"/>
    <x v="87"/>
    <x v="74"/>
    <x v="1"/>
    <x v="208"/>
    <x v="0"/>
    <x v="0"/>
    <x v="0"/>
    <x v="283"/>
    <x v="290"/>
    <x v="0"/>
    <x v="24"/>
    <x v="104"/>
    <x v="297"/>
    <x v="0"/>
    <x v="0"/>
    <x v="295"/>
    <x v="0"/>
    <x v="212"/>
    <x v="0"/>
    <x v="0"/>
    <x v="0"/>
    <x v="0"/>
    <x v="0"/>
    <x v="0"/>
    <x v="0"/>
    <x v="0"/>
  </r>
  <r>
    <x v="535"/>
    <x v="0"/>
    <x v="1"/>
    <x v="0"/>
    <x v="0"/>
    <x v="1"/>
    <x v="530"/>
    <x v="453"/>
    <x v="0"/>
    <x v="2"/>
    <x v="1"/>
    <x v="1"/>
    <x v="1"/>
    <x v="0"/>
    <x v="0"/>
    <x v="0"/>
    <x v="1"/>
    <x v="58"/>
    <x v="0"/>
    <x v="209"/>
    <x v="0"/>
    <x v="0"/>
    <x v="0"/>
    <x v="239"/>
    <x v="246"/>
    <x v="7"/>
    <x v="123"/>
    <x v="207"/>
    <x v="251"/>
    <x v="0"/>
    <x v="0"/>
    <x v="251"/>
    <x v="0"/>
    <x v="12"/>
    <x v="0"/>
    <x v="0"/>
    <x v="0"/>
    <x v="0"/>
    <x v="0"/>
    <x v="0"/>
    <x v="0"/>
    <x v="0"/>
  </r>
  <r>
    <x v="536"/>
    <x v="0"/>
    <x v="1"/>
    <x v="0"/>
    <x v="0"/>
    <x v="1"/>
    <x v="531"/>
    <x v="454"/>
    <x v="0"/>
    <x v="2"/>
    <x v="1"/>
    <x v="1"/>
    <x v="37"/>
    <x v="0"/>
    <x v="0"/>
    <x v="0"/>
    <x v="88"/>
    <x v="75"/>
    <x v="0"/>
    <x v="210"/>
    <x v="0"/>
    <x v="0"/>
    <x v="0"/>
    <x v="284"/>
    <x v="291"/>
    <x v="5"/>
    <x v="41"/>
    <x v="242"/>
    <x v="298"/>
    <x v="0"/>
    <x v="0"/>
    <x v="296"/>
    <x v="0"/>
    <x v="12"/>
    <x v="0"/>
    <x v="0"/>
    <x v="0"/>
    <x v="31"/>
    <x v="0"/>
    <x v="0"/>
    <x v="0"/>
    <x v="0"/>
  </r>
  <r>
    <x v="537"/>
    <x v="0"/>
    <x v="1"/>
    <x v="0"/>
    <x v="0"/>
    <x v="1"/>
    <x v="532"/>
    <x v="455"/>
    <x v="0"/>
    <x v="2"/>
    <x v="1"/>
    <x v="1"/>
    <x v="6"/>
    <x v="0"/>
    <x v="0"/>
    <x v="0"/>
    <x v="10"/>
    <x v="6"/>
    <x v="0"/>
    <x v="130"/>
    <x v="0"/>
    <x v="0"/>
    <x v="0"/>
    <x v="285"/>
    <x v="292"/>
    <x v="5"/>
    <x v="41"/>
    <x v="243"/>
    <x v="299"/>
    <x v="0"/>
    <x v="0"/>
    <x v="297"/>
    <x v="0"/>
    <x v="12"/>
    <x v="0"/>
    <x v="0"/>
    <x v="0"/>
    <x v="0"/>
    <x v="0"/>
    <x v="0"/>
    <x v="0"/>
    <x v="0"/>
  </r>
  <r>
    <x v="538"/>
    <x v="0"/>
    <x v="1"/>
    <x v="2"/>
    <x v="0"/>
    <x v="4"/>
    <x v="533"/>
    <x v="1"/>
    <x v="0"/>
    <x v="1"/>
    <x v="1"/>
    <x v="1"/>
    <x v="38"/>
    <x v="0"/>
    <x v="6"/>
    <x v="0"/>
    <x v="89"/>
    <x v="1"/>
    <x v="6"/>
    <x v="211"/>
    <x v="0"/>
    <x v="0"/>
    <x v="0"/>
    <x v="237"/>
    <x v="244"/>
    <x v="27"/>
    <x v="124"/>
    <x v="205"/>
    <x v="249"/>
    <x v="0"/>
    <x v="0"/>
    <x v="249"/>
    <x v="1"/>
    <x v="185"/>
    <x v="0"/>
    <x v="0"/>
    <x v="0"/>
    <x v="0"/>
    <x v="0"/>
    <x v="0"/>
    <x v="0"/>
    <x v="0"/>
  </r>
  <r>
    <x v="539"/>
    <x v="0"/>
    <x v="1"/>
    <x v="0"/>
    <x v="0"/>
    <x v="1"/>
    <x v="534"/>
    <x v="456"/>
    <x v="0"/>
    <x v="2"/>
    <x v="1"/>
    <x v="1"/>
    <x v="6"/>
    <x v="0"/>
    <x v="5"/>
    <x v="0"/>
    <x v="41"/>
    <x v="36"/>
    <x v="5"/>
    <x v="212"/>
    <x v="0"/>
    <x v="0"/>
    <x v="0"/>
    <x v="275"/>
    <x v="282"/>
    <x v="10"/>
    <x v="19"/>
    <x v="236"/>
    <x v="288"/>
    <x v="0"/>
    <x v="0"/>
    <x v="287"/>
    <x v="0"/>
    <x v="209"/>
    <x v="0"/>
    <x v="0"/>
    <x v="0"/>
    <x v="0"/>
    <x v="0"/>
    <x v="0"/>
    <x v="0"/>
    <x v="0"/>
  </r>
  <r>
    <x v="540"/>
    <x v="0"/>
    <x v="1"/>
    <x v="0"/>
    <x v="0"/>
    <x v="1"/>
    <x v="535"/>
    <x v="457"/>
    <x v="0"/>
    <x v="2"/>
    <x v="1"/>
    <x v="1"/>
    <x v="6"/>
    <x v="0"/>
    <x v="0"/>
    <x v="0"/>
    <x v="10"/>
    <x v="6"/>
    <x v="0"/>
    <x v="213"/>
    <x v="0"/>
    <x v="0"/>
    <x v="0"/>
    <x v="286"/>
    <x v="293"/>
    <x v="24"/>
    <x v="79"/>
    <x v="244"/>
    <x v="300"/>
    <x v="0"/>
    <x v="0"/>
    <x v="298"/>
    <x v="0"/>
    <x v="12"/>
    <x v="0"/>
    <x v="0"/>
    <x v="0"/>
    <x v="0"/>
    <x v="0"/>
    <x v="0"/>
    <x v="0"/>
    <x v="0"/>
  </r>
  <r>
    <x v="541"/>
    <x v="0"/>
    <x v="1"/>
    <x v="0"/>
    <x v="0"/>
    <x v="4"/>
    <x v="536"/>
    <x v="458"/>
    <x v="0"/>
    <x v="2"/>
    <x v="1"/>
    <x v="1"/>
    <x v="6"/>
    <x v="0"/>
    <x v="0"/>
    <x v="0"/>
    <x v="10"/>
    <x v="6"/>
    <x v="0"/>
    <x v="214"/>
    <x v="0"/>
    <x v="0"/>
    <x v="0"/>
    <x v="287"/>
    <x v="294"/>
    <x v="10"/>
    <x v="19"/>
    <x v="229"/>
    <x v="301"/>
    <x v="0"/>
    <x v="0"/>
    <x v="299"/>
    <x v="0"/>
    <x v="213"/>
    <x v="0"/>
    <x v="0"/>
    <x v="0"/>
    <x v="0"/>
    <x v="0"/>
    <x v="0"/>
    <x v="0"/>
    <x v="0"/>
  </r>
  <r>
    <x v="542"/>
    <x v="0"/>
    <x v="1"/>
    <x v="2"/>
    <x v="0"/>
    <x v="1"/>
    <x v="537"/>
    <x v="1"/>
    <x v="0"/>
    <x v="1"/>
    <x v="1"/>
    <x v="1"/>
    <x v="6"/>
    <x v="0"/>
    <x v="0"/>
    <x v="0"/>
    <x v="10"/>
    <x v="1"/>
    <x v="0"/>
    <x v="197"/>
    <x v="0"/>
    <x v="0"/>
    <x v="0"/>
    <x v="288"/>
    <x v="295"/>
    <x v="6"/>
    <x v="138"/>
    <x v="245"/>
    <x v="302"/>
    <x v="0"/>
    <x v="0"/>
    <x v="300"/>
    <x v="0"/>
    <x v="12"/>
    <x v="0"/>
    <x v="0"/>
    <x v="0"/>
    <x v="0"/>
    <x v="0"/>
    <x v="0"/>
    <x v="0"/>
    <x v="0"/>
  </r>
  <r>
    <x v="543"/>
    <x v="0"/>
    <x v="1"/>
    <x v="2"/>
    <x v="0"/>
    <x v="1"/>
    <x v="538"/>
    <x v="1"/>
    <x v="0"/>
    <x v="1"/>
    <x v="1"/>
    <x v="1"/>
    <x v="6"/>
    <x v="0"/>
    <x v="0"/>
    <x v="0"/>
    <x v="10"/>
    <x v="1"/>
    <x v="0"/>
    <x v="214"/>
    <x v="0"/>
    <x v="0"/>
    <x v="0"/>
    <x v="286"/>
    <x v="293"/>
    <x v="24"/>
    <x v="79"/>
    <x v="244"/>
    <x v="300"/>
    <x v="0"/>
    <x v="0"/>
    <x v="298"/>
    <x v="0"/>
    <x v="12"/>
    <x v="0"/>
    <x v="0"/>
    <x v="0"/>
    <x v="0"/>
    <x v="0"/>
    <x v="0"/>
    <x v="0"/>
    <x v="0"/>
  </r>
  <r>
    <x v="544"/>
    <x v="0"/>
    <x v="1"/>
    <x v="0"/>
    <x v="0"/>
    <x v="1"/>
    <x v="539"/>
    <x v="459"/>
    <x v="0"/>
    <x v="2"/>
    <x v="1"/>
    <x v="1"/>
    <x v="6"/>
    <x v="0"/>
    <x v="0"/>
    <x v="0"/>
    <x v="10"/>
    <x v="6"/>
    <x v="0"/>
    <x v="197"/>
    <x v="0"/>
    <x v="0"/>
    <x v="0"/>
    <x v="289"/>
    <x v="296"/>
    <x v="1"/>
    <x v="4"/>
    <x v="4"/>
    <x v="303"/>
    <x v="0"/>
    <x v="0"/>
    <x v="301"/>
    <x v="0"/>
    <x v="214"/>
    <x v="0"/>
    <x v="0"/>
    <x v="0"/>
    <x v="0"/>
    <x v="0"/>
    <x v="0"/>
    <x v="0"/>
    <x v="0"/>
  </r>
  <r>
    <x v="545"/>
    <x v="0"/>
    <x v="1"/>
    <x v="0"/>
    <x v="0"/>
    <x v="1"/>
    <x v="540"/>
    <x v="460"/>
    <x v="0"/>
    <x v="2"/>
    <x v="1"/>
    <x v="1"/>
    <x v="9"/>
    <x v="0"/>
    <x v="0"/>
    <x v="0"/>
    <x v="15"/>
    <x v="10"/>
    <x v="0"/>
    <x v="15"/>
    <x v="0"/>
    <x v="0"/>
    <x v="0"/>
    <x v="290"/>
    <x v="297"/>
    <x v="0"/>
    <x v="50"/>
    <x v="61"/>
    <x v="304"/>
    <x v="0"/>
    <x v="0"/>
    <x v="302"/>
    <x v="0"/>
    <x v="12"/>
    <x v="0"/>
    <x v="0"/>
    <x v="0"/>
    <x v="0"/>
    <x v="0"/>
    <x v="0"/>
    <x v="0"/>
    <x v="0"/>
  </r>
  <r>
    <x v="546"/>
    <x v="0"/>
    <x v="1"/>
    <x v="0"/>
    <x v="0"/>
    <x v="1"/>
    <x v="541"/>
    <x v="461"/>
    <x v="0"/>
    <x v="2"/>
    <x v="1"/>
    <x v="1"/>
    <x v="9"/>
    <x v="0"/>
    <x v="0"/>
    <x v="0"/>
    <x v="15"/>
    <x v="10"/>
    <x v="0"/>
    <x v="26"/>
    <x v="0"/>
    <x v="0"/>
    <x v="0"/>
    <x v="291"/>
    <x v="298"/>
    <x v="13"/>
    <x v="117"/>
    <x v="246"/>
    <x v="305"/>
    <x v="0"/>
    <x v="0"/>
    <x v="303"/>
    <x v="0"/>
    <x v="215"/>
    <x v="0"/>
    <x v="0"/>
    <x v="0"/>
    <x v="0"/>
    <x v="0"/>
    <x v="0"/>
    <x v="0"/>
    <x v="0"/>
  </r>
  <r>
    <x v="547"/>
    <x v="0"/>
    <x v="1"/>
    <x v="0"/>
    <x v="0"/>
    <x v="4"/>
    <x v="542"/>
    <x v="462"/>
    <x v="0"/>
    <x v="2"/>
    <x v="1"/>
    <x v="1"/>
    <x v="9"/>
    <x v="0"/>
    <x v="0"/>
    <x v="0"/>
    <x v="15"/>
    <x v="10"/>
    <x v="0"/>
    <x v="84"/>
    <x v="0"/>
    <x v="0"/>
    <x v="0"/>
    <x v="291"/>
    <x v="298"/>
    <x v="13"/>
    <x v="117"/>
    <x v="246"/>
    <x v="305"/>
    <x v="0"/>
    <x v="0"/>
    <x v="303"/>
    <x v="0"/>
    <x v="215"/>
    <x v="0"/>
    <x v="0"/>
    <x v="0"/>
    <x v="0"/>
    <x v="0"/>
    <x v="0"/>
    <x v="0"/>
    <x v="0"/>
  </r>
  <r>
    <x v="548"/>
    <x v="0"/>
    <x v="1"/>
    <x v="0"/>
    <x v="0"/>
    <x v="1"/>
    <x v="543"/>
    <x v="463"/>
    <x v="0"/>
    <x v="2"/>
    <x v="1"/>
    <x v="1"/>
    <x v="6"/>
    <x v="0"/>
    <x v="4"/>
    <x v="0"/>
    <x v="37"/>
    <x v="32"/>
    <x v="4"/>
    <x v="184"/>
    <x v="0"/>
    <x v="0"/>
    <x v="0"/>
    <x v="275"/>
    <x v="282"/>
    <x v="10"/>
    <x v="19"/>
    <x v="236"/>
    <x v="306"/>
    <x v="0"/>
    <x v="0"/>
    <x v="287"/>
    <x v="0"/>
    <x v="209"/>
    <x v="0"/>
    <x v="0"/>
    <x v="0"/>
    <x v="0"/>
    <x v="0"/>
    <x v="0"/>
    <x v="0"/>
    <x v="0"/>
  </r>
  <r>
    <x v="549"/>
    <x v="0"/>
    <x v="1"/>
    <x v="0"/>
    <x v="0"/>
    <x v="1"/>
    <x v="543"/>
    <x v="464"/>
    <x v="0"/>
    <x v="2"/>
    <x v="1"/>
    <x v="1"/>
    <x v="12"/>
    <x v="0"/>
    <x v="0"/>
    <x v="0"/>
    <x v="24"/>
    <x v="19"/>
    <x v="0"/>
    <x v="215"/>
    <x v="0"/>
    <x v="0"/>
    <x v="0"/>
    <x v="292"/>
    <x v="299"/>
    <x v="1"/>
    <x v="14"/>
    <x v="247"/>
    <x v="307"/>
    <x v="0"/>
    <x v="0"/>
    <x v="304"/>
    <x v="0"/>
    <x v="12"/>
    <x v="0"/>
    <x v="0"/>
    <x v="0"/>
    <x v="0"/>
    <x v="0"/>
    <x v="0"/>
    <x v="0"/>
    <x v="0"/>
  </r>
  <r>
    <x v="550"/>
    <x v="0"/>
    <x v="1"/>
    <x v="0"/>
    <x v="0"/>
    <x v="1"/>
    <x v="544"/>
    <x v="465"/>
    <x v="0"/>
    <x v="2"/>
    <x v="1"/>
    <x v="1"/>
    <x v="6"/>
    <x v="0"/>
    <x v="0"/>
    <x v="0"/>
    <x v="10"/>
    <x v="6"/>
    <x v="0"/>
    <x v="184"/>
    <x v="0"/>
    <x v="0"/>
    <x v="0"/>
    <x v="293"/>
    <x v="300"/>
    <x v="24"/>
    <x v="79"/>
    <x v="248"/>
    <x v="308"/>
    <x v="0"/>
    <x v="0"/>
    <x v="305"/>
    <x v="0"/>
    <x v="12"/>
    <x v="0"/>
    <x v="0"/>
    <x v="0"/>
    <x v="0"/>
    <x v="0"/>
    <x v="0"/>
    <x v="0"/>
    <x v="0"/>
  </r>
  <r>
    <x v="551"/>
    <x v="0"/>
    <x v="1"/>
    <x v="0"/>
    <x v="0"/>
    <x v="1"/>
    <x v="545"/>
    <x v="466"/>
    <x v="0"/>
    <x v="2"/>
    <x v="1"/>
    <x v="1"/>
    <x v="6"/>
    <x v="0"/>
    <x v="0"/>
    <x v="0"/>
    <x v="10"/>
    <x v="6"/>
    <x v="0"/>
    <x v="213"/>
    <x v="0"/>
    <x v="0"/>
    <x v="0"/>
    <x v="283"/>
    <x v="290"/>
    <x v="0"/>
    <x v="24"/>
    <x v="241"/>
    <x v="296"/>
    <x v="0"/>
    <x v="0"/>
    <x v="306"/>
    <x v="0"/>
    <x v="12"/>
    <x v="0"/>
    <x v="0"/>
    <x v="0"/>
    <x v="0"/>
    <x v="0"/>
    <x v="0"/>
    <x v="0"/>
    <x v="0"/>
  </r>
  <r>
    <x v="552"/>
    <x v="0"/>
    <x v="1"/>
    <x v="0"/>
    <x v="0"/>
    <x v="1"/>
    <x v="546"/>
    <x v="467"/>
    <x v="0"/>
    <x v="2"/>
    <x v="1"/>
    <x v="1"/>
    <x v="6"/>
    <x v="0"/>
    <x v="3"/>
    <x v="0"/>
    <x v="33"/>
    <x v="31"/>
    <x v="3"/>
    <x v="101"/>
    <x v="0"/>
    <x v="0"/>
    <x v="0"/>
    <x v="294"/>
    <x v="301"/>
    <x v="0"/>
    <x v="12"/>
    <x v="118"/>
    <x v="309"/>
    <x v="0"/>
    <x v="0"/>
    <x v="307"/>
    <x v="1"/>
    <x v="216"/>
    <x v="0"/>
    <x v="0"/>
    <x v="0"/>
    <x v="0"/>
    <x v="0"/>
    <x v="0"/>
    <x v="0"/>
    <x v="0"/>
  </r>
  <r>
    <x v="553"/>
    <x v="0"/>
    <x v="1"/>
    <x v="0"/>
    <x v="0"/>
    <x v="1"/>
    <x v="547"/>
    <x v="468"/>
    <x v="0"/>
    <x v="2"/>
    <x v="1"/>
    <x v="1"/>
    <x v="6"/>
    <x v="0"/>
    <x v="2"/>
    <x v="0"/>
    <x v="57"/>
    <x v="76"/>
    <x v="2"/>
    <x v="216"/>
    <x v="0"/>
    <x v="0"/>
    <x v="0"/>
    <x v="195"/>
    <x v="199"/>
    <x v="14"/>
    <x v="108"/>
    <x v="170"/>
    <x v="204"/>
    <x v="0"/>
    <x v="0"/>
    <x v="46"/>
    <x v="1"/>
    <x v="156"/>
    <x v="0"/>
    <x v="0"/>
    <x v="0"/>
    <x v="0"/>
    <x v="0"/>
    <x v="0"/>
    <x v="0"/>
    <x v="0"/>
  </r>
  <r>
    <x v="554"/>
    <x v="0"/>
    <x v="1"/>
    <x v="0"/>
    <x v="0"/>
    <x v="1"/>
    <x v="548"/>
    <x v="469"/>
    <x v="0"/>
    <x v="2"/>
    <x v="1"/>
    <x v="1"/>
    <x v="6"/>
    <x v="0"/>
    <x v="0"/>
    <x v="0"/>
    <x v="10"/>
    <x v="6"/>
    <x v="0"/>
    <x v="212"/>
    <x v="0"/>
    <x v="0"/>
    <x v="0"/>
    <x v="281"/>
    <x v="288"/>
    <x v="1"/>
    <x v="14"/>
    <x v="239"/>
    <x v="294"/>
    <x v="0"/>
    <x v="0"/>
    <x v="293"/>
    <x v="0"/>
    <x v="12"/>
    <x v="0"/>
    <x v="0"/>
    <x v="0"/>
    <x v="0"/>
    <x v="0"/>
    <x v="0"/>
    <x v="0"/>
    <x v="0"/>
  </r>
  <r>
    <x v="555"/>
    <x v="0"/>
    <x v="1"/>
    <x v="2"/>
    <x v="0"/>
    <x v="0"/>
    <x v="549"/>
    <x v="470"/>
    <x v="0"/>
    <x v="0"/>
    <x v="46"/>
    <x v="46"/>
    <x v="39"/>
    <x v="0"/>
    <x v="1"/>
    <x v="0"/>
    <x v="90"/>
    <x v="77"/>
    <x v="1"/>
    <x v="217"/>
    <x v="0"/>
    <x v="0"/>
    <x v="0"/>
    <x v="295"/>
    <x v="302"/>
    <x v="3"/>
    <x v="59"/>
    <x v="77"/>
    <x v="310"/>
    <x v="0"/>
    <x v="0"/>
    <x v="308"/>
    <x v="1"/>
    <x v="217"/>
    <x v="0"/>
    <x v="2"/>
    <x v="10"/>
    <x v="0"/>
    <x v="0"/>
    <x v="0"/>
    <x v="0"/>
    <x v="0"/>
  </r>
  <r>
    <x v="556"/>
    <x v="0"/>
    <x v="1"/>
    <x v="0"/>
    <x v="0"/>
    <x v="2"/>
    <x v="550"/>
    <x v="471"/>
    <x v="0"/>
    <x v="2"/>
    <x v="1"/>
    <x v="1"/>
    <x v="40"/>
    <x v="0"/>
    <x v="9"/>
    <x v="0"/>
    <x v="91"/>
    <x v="78"/>
    <x v="9"/>
    <x v="218"/>
    <x v="1"/>
    <x v="0"/>
    <x v="0"/>
    <x v="19"/>
    <x v="19"/>
    <x v="0"/>
    <x v="18"/>
    <x v="249"/>
    <x v="311"/>
    <x v="0"/>
    <x v="0"/>
    <x v="19"/>
    <x v="0"/>
    <x v="17"/>
    <x v="0"/>
    <x v="0"/>
    <x v="0"/>
    <x v="0"/>
    <x v="0"/>
    <x v="0"/>
    <x v="0"/>
    <x v="0"/>
  </r>
  <r>
    <x v="557"/>
    <x v="0"/>
    <x v="1"/>
    <x v="0"/>
    <x v="0"/>
    <x v="1"/>
    <x v="551"/>
    <x v="472"/>
    <x v="0"/>
    <x v="2"/>
    <x v="1"/>
    <x v="1"/>
    <x v="6"/>
    <x v="0"/>
    <x v="4"/>
    <x v="0"/>
    <x v="37"/>
    <x v="32"/>
    <x v="4"/>
    <x v="171"/>
    <x v="0"/>
    <x v="0"/>
    <x v="0"/>
    <x v="296"/>
    <x v="303"/>
    <x v="0"/>
    <x v="0"/>
    <x v="250"/>
    <x v="312"/>
    <x v="15"/>
    <x v="0"/>
    <x v="309"/>
    <x v="1"/>
    <x v="218"/>
    <x v="0"/>
    <x v="0"/>
    <x v="0"/>
    <x v="32"/>
    <x v="0"/>
    <x v="0"/>
    <x v="0"/>
    <x v="0"/>
  </r>
  <r>
    <x v="558"/>
    <x v="0"/>
    <x v="1"/>
    <x v="0"/>
    <x v="0"/>
    <x v="1"/>
    <x v="552"/>
    <x v="473"/>
    <x v="0"/>
    <x v="2"/>
    <x v="1"/>
    <x v="1"/>
    <x v="9"/>
    <x v="0"/>
    <x v="0"/>
    <x v="0"/>
    <x v="15"/>
    <x v="10"/>
    <x v="0"/>
    <x v="69"/>
    <x v="0"/>
    <x v="0"/>
    <x v="0"/>
    <x v="297"/>
    <x v="304"/>
    <x v="0"/>
    <x v="50"/>
    <x v="72"/>
    <x v="313"/>
    <x v="0"/>
    <x v="0"/>
    <x v="310"/>
    <x v="1"/>
    <x v="219"/>
    <x v="0"/>
    <x v="0"/>
    <x v="0"/>
    <x v="0"/>
    <x v="0"/>
    <x v="0"/>
    <x v="0"/>
    <x v="0"/>
  </r>
  <r>
    <x v="559"/>
    <x v="0"/>
    <x v="1"/>
    <x v="0"/>
    <x v="0"/>
    <x v="1"/>
    <x v="553"/>
    <x v="474"/>
    <x v="0"/>
    <x v="2"/>
    <x v="1"/>
    <x v="1"/>
    <x v="6"/>
    <x v="0"/>
    <x v="3"/>
    <x v="0"/>
    <x v="33"/>
    <x v="31"/>
    <x v="3"/>
    <x v="212"/>
    <x v="0"/>
    <x v="0"/>
    <x v="0"/>
    <x v="291"/>
    <x v="298"/>
    <x v="13"/>
    <x v="117"/>
    <x v="246"/>
    <x v="305"/>
    <x v="0"/>
    <x v="0"/>
    <x v="303"/>
    <x v="0"/>
    <x v="215"/>
    <x v="0"/>
    <x v="0"/>
    <x v="0"/>
    <x v="0"/>
    <x v="0"/>
    <x v="0"/>
    <x v="0"/>
    <x v="0"/>
  </r>
  <r>
    <x v="560"/>
    <x v="0"/>
    <x v="1"/>
    <x v="0"/>
    <x v="0"/>
    <x v="1"/>
    <x v="554"/>
    <x v="475"/>
    <x v="0"/>
    <x v="2"/>
    <x v="1"/>
    <x v="1"/>
    <x v="6"/>
    <x v="0"/>
    <x v="0"/>
    <x v="0"/>
    <x v="10"/>
    <x v="6"/>
    <x v="0"/>
    <x v="219"/>
    <x v="0"/>
    <x v="0"/>
    <x v="0"/>
    <x v="298"/>
    <x v="305"/>
    <x v="14"/>
    <x v="108"/>
    <x v="170"/>
    <x v="314"/>
    <x v="0"/>
    <x v="0"/>
    <x v="311"/>
    <x v="0"/>
    <x v="220"/>
    <x v="0"/>
    <x v="0"/>
    <x v="0"/>
    <x v="0"/>
    <x v="0"/>
    <x v="0"/>
    <x v="0"/>
    <x v="0"/>
  </r>
  <r>
    <x v="561"/>
    <x v="0"/>
    <x v="1"/>
    <x v="2"/>
    <x v="0"/>
    <x v="1"/>
    <x v="555"/>
    <x v="1"/>
    <x v="0"/>
    <x v="1"/>
    <x v="1"/>
    <x v="1"/>
    <x v="34"/>
    <x v="0"/>
    <x v="0"/>
    <x v="0"/>
    <x v="78"/>
    <x v="1"/>
    <x v="0"/>
    <x v="220"/>
    <x v="0"/>
    <x v="0"/>
    <x v="0"/>
    <x v="298"/>
    <x v="305"/>
    <x v="14"/>
    <x v="108"/>
    <x v="170"/>
    <x v="314"/>
    <x v="0"/>
    <x v="0"/>
    <x v="311"/>
    <x v="0"/>
    <x v="220"/>
    <x v="0"/>
    <x v="0"/>
    <x v="0"/>
    <x v="0"/>
    <x v="0"/>
    <x v="0"/>
    <x v="0"/>
    <x v="0"/>
  </r>
  <r>
    <x v="562"/>
    <x v="0"/>
    <x v="1"/>
    <x v="0"/>
    <x v="0"/>
    <x v="1"/>
    <x v="556"/>
    <x v="476"/>
    <x v="0"/>
    <x v="2"/>
    <x v="1"/>
    <x v="1"/>
    <x v="6"/>
    <x v="0"/>
    <x v="0"/>
    <x v="0"/>
    <x v="10"/>
    <x v="6"/>
    <x v="0"/>
    <x v="221"/>
    <x v="0"/>
    <x v="0"/>
    <x v="0"/>
    <x v="77"/>
    <x v="306"/>
    <x v="23"/>
    <x v="75"/>
    <x v="251"/>
    <x v="315"/>
    <x v="0"/>
    <x v="0"/>
    <x v="312"/>
    <x v="0"/>
    <x v="12"/>
    <x v="0"/>
    <x v="0"/>
    <x v="0"/>
    <x v="0"/>
    <x v="0"/>
    <x v="0"/>
    <x v="0"/>
    <x v="0"/>
  </r>
  <r>
    <x v="563"/>
    <x v="0"/>
    <x v="1"/>
    <x v="2"/>
    <x v="0"/>
    <x v="1"/>
    <x v="557"/>
    <x v="1"/>
    <x v="0"/>
    <x v="1"/>
    <x v="1"/>
    <x v="1"/>
    <x v="6"/>
    <x v="0"/>
    <x v="9"/>
    <x v="0"/>
    <x v="51"/>
    <x v="1"/>
    <x v="9"/>
    <x v="219"/>
    <x v="0"/>
    <x v="0"/>
    <x v="0"/>
    <x v="298"/>
    <x v="305"/>
    <x v="14"/>
    <x v="108"/>
    <x v="170"/>
    <x v="314"/>
    <x v="0"/>
    <x v="0"/>
    <x v="311"/>
    <x v="0"/>
    <x v="220"/>
    <x v="0"/>
    <x v="0"/>
    <x v="0"/>
    <x v="0"/>
    <x v="0"/>
    <x v="0"/>
    <x v="0"/>
    <x v="0"/>
  </r>
  <r>
    <x v="564"/>
    <x v="0"/>
    <x v="1"/>
    <x v="0"/>
    <x v="0"/>
    <x v="1"/>
    <x v="558"/>
    <x v="477"/>
    <x v="0"/>
    <x v="2"/>
    <x v="1"/>
    <x v="1"/>
    <x v="34"/>
    <x v="0"/>
    <x v="9"/>
    <x v="0"/>
    <x v="92"/>
    <x v="79"/>
    <x v="9"/>
    <x v="222"/>
    <x v="0"/>
    <x v="0"/>
    <x v="0"/>
    <x v="299"/>
    <x v="307"/>
    <x v="8"/>
    <x v="142"/>
    <x v="252"/>
    <x v="316"/>
    <x v="0"/>
    <x v="0"/>
    <x v="313"/>
    <x v="1"/>
    <x v="221"/>
    <x v="0"/>
    <x v="0"/>
    <x v="0"/>
    <x v="0"/>
    <x v="0"/>
    <x v="0"/>
    <x v="0"/>
    <x v="0"/>
  </r>
  <r>
    <x v="565"/>
    <x v="0"/>
    <x v="1"/>
    <x v="0"/>
    <x v="0"/>
    <x v="1"/>
    <x v="559"/>
    <x v="478"/>
    <x v="0"/>
    <x v="2"/>
    <x v="1"/>
    <x v="1"/>
    <x v="34"/>
    <x v="0"/>
    <x v="0"/>
    <x v="0"/>
    <x v="78"/>
    <x v="66"/>
    <x v="0"/>
    <x v="223"/>
    <x v="0"/>
    <x v="0"/>
    <x v="0"/>
    <x v="298"/>
    <x v="305"/>
    <x v="14"/>
    <x v="108"/>
    <x v="170"/>
    <x v="314"/>
    <x v="0"/>
    <x v="0"/>
    <x v="311"/>
    <x v="0"/>
    <x v="12"/>
    <x v="0"/>
    <x v="0"/>
    <x v="0"/>
    <x v="33"/>
    <x v="0"/>
    <x v="0"/>
    <x v="0"/>
    <x v="0"/>
  </r>
  <r>
    <x v="566"/>
    <x v="0"/>
    <x v="1"/>
    <x v="2"/>
    <x v="0"/>
    <x v="2"/>
    <x v="560"/>
    <x v="479"/>
    <x v="0"/>
    <x v="2"/>
    <x v="1"/>
    <x v="1"/>
    <x v="31"/>
    <x v="0"/>
    <x v="14"/>
    <x v="0"/>
    <x v="93"/>
    <x v="80"/>
    <x v="14"/>
    <x v="224"/>
    <x v="0"/>
    <x v="0"/>
    <x v="0"/>
    <x v="299"/>
    <x v="307"/>
    <x v="8"/>
    <x v="142"/>
    <x v="252"/>
    <x v="316"/>
    <x v="0"/>
    <x v="0"/>
    <x v="313"/>
    <x v="1"/>
    <x v="221"/>
    <x v="0"/>
    <x v="2"/>
    <x v="11"/>
    <x v="0"/>
    <x v="0"/>
    <x v="0"/>
    <x v="0"/>
    <x v="0"/>
  </r>
  <r>
    <x v="567"/>
    <x v="0"/>
    <x v="1"/>
    <x v="0"/>
    <x v="0"/>
    <x v="1"/>
    <x v="561"/>
    <x v="480"/>
    <x v="0"/>
    <x v="2"/>
    <x v="1"/>
    <x v="1"/>
    <x v="41"/>
    <x v="0"/>
    <x v="0"/>
    <x v="0"/>
    <x v="94"/>
    <x v="81"/>
    <x v="0"/>
    <x v="225"/>
    <x v="0"/>
    <x v="0"/>
    <x v="0"/>
    <x v="299"/>
    <x v="307"/>
    <x v="8"/>
    <x v="142"/>
    <x v="252"/>
    <x v="316"/>
    <x v="0"/>
    <x v="0"/>
    <x v="313"/>
    <x v="1"/>
    <x v="221"/>
    <x v="0"/>
    <x v="0"/>
    <x v="0"/>
    <x v="0"/>
    <x v="0"/>
    <x v="0"/>
    <x v="0"/>
    <x v="0"/>
  </r>
  <r>
    <x v="568"/>
    <x v="0"/>
    <x v="1"/>
    <x v="0"/>
    <x v="0"/>
    <x v="1"/>
    <x v="562"/>
    <x v="481"/>
    <x v="0"/>
    <x v="2"/>
    <x v="1"/>
    <x v="1"/>
    <x v="6"/>
    <x v="0"/>
    <x v="2"/>
    <x v="0"/>
    <x v="57"/>
    <x v="76"/>
    <x v="2"/>
    <x v="213"/>
    <x v="0"/>
    <x v="0"/>
    <x v="0"/>
    <x v="300"/>
    <x v="308"/>
    <x v="13"/>
    <x v="117"/>
    <x v="253"/>
    <x v="317"/>
    <x v="0"/>
    <x v="0"/>
    <x v="314"/>
    <x v="1"/>
    <x v="222"/>
    <x v="0"/>
    <x v="0"/>
    <x v="0"/>
    <x v="0"/>
    <x v="0"/>
    <x v="0"/>
    <x v="0"/>
    <x v="0"/>
  </r>
  <r>
    <x v="569"/>
    <x v="0"/>
    <x v="1"/>
    <x v="2"/>
    <x v="0"/>
    <x v="1"/>
    <x v="563"/>
    <x v="1"/>
    <x v="0"/>
    <x v="1"/>
    <x v="1"/>
    <x v="1"/>
    <x v="6"/>
    <x v="0"/>
    <x v="4"/>
    <x v="0"/>
    <x v="37"/>
    <x v="1"/>
    <x v="4"/>
    <x v="226"/>
    <x v="0"/>
    <x v="0"/>
    <x v="0"/>
    <x v="190"/>
    <x v="194"/>
    <x v="4"/>
    <x v="106"/>
    <x v="166"/>
    <x v="198"/>
    <x v="0"/>
    <x v="0"/>
    <x v="198"/>
    <x v="1"/>
    <x v="152"/>
    <x v="0"/>
    <x v="0"/>
    <x v="0"/>
    <x v="0"/>
    <x v="0"/>
    <x v="0"/>
    <x v="0"/>
    <x v="0"/>
  </r>
  <r>
    <x v="570"/>
    <x v="0"/>
    <x v="1"/>
    <x v="3"/>
    <x v="0"/>
    <x v="4"/>
    <x v="564"/>
    <x v="482"/>
    <x v="0"/>
    <x v="2"/>
    <x v="1"/>
    <x v="1"/>
    <x v="9"/>
    <x v="0"/>
    <x v="0"/>
    <x v="0"/>
    <x v="15"/>
    <x v="10"/>
    <x v="0"/>
    <x v="71"/>
    <x v="0"/>
    <x v="0"/>
    <x v="0"/>
    <x v="301"/>
    <x v="309"/>
    <x v="17"/>
    <x v="150"/>
    <x v="254"/>
    <x v="318"/>
    <x v="0"/>
    <x v="0"/>
    <x v="315"/>
    <x v="0"/>
    <x v="12"/>
    <x v="0"/>
    <x v="0"/>
    <x v="0"/>
    <x v="0"/>
    <x v="0"/>
    <x v="0"/>
    <x v="0"/>
    <x v="0"/>
  </r>
  <r>
    <x v="571"/>
    <x v="0"/>
    <x v="1"/>
    <x v="2"/>
    <x v="0"/>
    <x v="1"/>
    <x v="565"/>
    <x v="483"/>
    <x v="0"/>
    <x v="2"/>
    <x v="1"/>
    <x v="1"/>
    <x v="10"/>
    <x v="0"/>
    <x v="2"/>
    <x v="0"/>
    <x v="17"/>
    <x v="12"/>
    <x v="2"/>
    <x v="81"/>
    <x v="0"/>
    <x v="0"/>
    <x v="0"/>
    <x v="302"/>
    <x v="310"/>
    <x v="0"/>
    <x v="50"/>
    <x v="142"/>
    <x v="319"/>
    <x v="0"/>
    <x v="0"/>
    <x v="316"/>
    <x v="0"/>
    <x v="12"/>
    <x v="0"/>
    <x v="2"/>
    <x v="12"/>
    <x v="0"/>
    <x v="0"/>
    <x v="0"/>
    <x v="0"/>
    <x v="0"/>
  </r>
  <r>
    <x v="572"/>
    <x v="0"/>
    <x v="1"/>
    <x v="0"/>
    <x v="0"/>
    <x v="1"/>
    <x v="566"/>
    <x v="484"/>
    <x v="0"/>
    <x v="2"/>
    <x v="1"/>
    <x v="1"/>
    <x v="9"/>
    <x v="0"/>
    <x v="0"/>
    <x v="0"/>
    <x v="15"/>
    <x v="10"/>
    <x v="0"/>
    <x v="25"/>
    <x v="0"/>
    <x v="0"/>
    <x v="0"/>
    <x v="197"/>
    <x v="311"/>
    <x v="13"/>
    <x v="53"/>
    <x v="103"/>
    <x v="320"/>
    <x v="0"/>
    <x v="0"/>
    <x v="317"/>
    <x v="1"/>
    <x v="223"/>
    <x v="0"/>
    <x v="0"/>
    <x v="0"/>
    <x v="0"/>
    <x v="0"/>
    <x v="0"/>
    <x v="0"/>
    <x v="0"/>
  </r>
  <r>
    <x v="573"/>
    <x v="0"/>
    <x v="1"/>
    <x v="0"/>
    <x v="0"/>
    <x v="1"/>
    <x v="567"/>
    <x v="485"/>
    <x v="0"/>
    <x v="2"/>
    <x v="1"/>
    <x v="1"/>
    <x v="4"/>
    <x v="0"/>
    <x v="4"/>
    <x v="0"/>
    <x v="8"/>
    <x v="5"/>
    <x v="4"/>
    <x v="227"/>
    <x v="0"/>
    <x v="0"/>
    <x v="0"/>
    <x v="246"/>
    <x v="253"/>
    <x v="19"/>
    <x v="40"/>
    <x v="214"/>
    <x v="258"/>
    <x v="0"/>
    <x v="0"/>
    <x v="258"/>
    <x v="0"/>
    <x v="189"/>
    <x v="0"/>
    <x v="0"/>
    <x v="0"/>
    <x v="0"/>
    <x v="0"/>
    <x v="0"/>
    <x v="0"/>
    <x v="0"/>
  </r>
  <r>
    <x v="574"/>
    <x v="0"/>
    <x v="1"/>
    <x v="0"/>
    <x v="0"/>
    <x v="4"/>
    <x v="568"/>
    <x v="486"/>
    <x v="0"/>
    <x v="2"/>
    <x v="1"/>
    <x v="1"/>
    <x v="6"/>
    <x v="0"/>
    <x v="1"/>
    <x v="0"/>
    <x v="53"/>
    <x v="47"/>
    <x v="1"/>
    <x v="170"/>
    <x v="0"/>
    <x v="0"/>
    <x v="0"/>
    <x v="130"/>
    <x v="132"/>
    <x v="0"/>
    <x v="18"/>
    <x v="117"/>
    <x v="135"/>
    <x v="0"/>
    <x v="0"/>
    <x v="135"/>
    <x v="1"/>
    <x v="103"/>
    <x v="0"/>
    <x v="0"/>
    <x v="0"/>
    <x v="0"/>
    <x v="0"/>
    <x v="0"/>
    <x v="0"/>
    <x v="0"/>
  </r>
  <r>
    <x v="575"/>
    <x v="0"/>
    <x v="1"/>
    <x v="0"/>
    <x v="0"/>
    <x v="1"/>
    <x v="569"/>
    <x v="487"/>
    <x v="0"/>
    <x v="2"/>
    <x v="1"/>
    <x v="1"/>
    <x v="6"/>
    <x v="0"/>
    <x v="0"/>
    <x v="0"/>
    <x v="10"/>
    <x v="6"/>
    <x v="0"/>
    <x v="219"/>
    <x v="0"/>
    <x v="0"/>
    <x v="0"/>
    <x v="302"/>
    <x v="310"/>
    <x v="0"/>
    <x v="50"/>
    <x v="142"/>
    <x v="319"/>
    <x v="0"/>
    <x v="0"/>
    <x v="316"/>
    <x v="0"/>
    <x v="12"/>
    <x v="0"/>
    <x v="0"/>
    <x v="0"/>
    <x v="0"/>
    <x v="0"/>
    <x v="0"/>
    <x v="0"/>
    <x v="0"/>
  </r>
  <r>
    <x v="576"/>
    <x v="0"/>
    <x v="1"/>
    <x v="0"/>
    <x v="0"/>
    <x v="1"/>
    <x v="570"/>
    <x v="488"/>
    <x v="0"/>
    <x v="2"/>
    <x v="1"/>
    <x v="1"/>
    <x v="10"/>
    <x v="0"/>
    <x v="0"/>
    <x v="0"/>
    <x v="16"/>
    <x v="11"/>
    <x v="0"/>
    <x v="66"/>
    <x v="0"/>
    <x v="0"/>
    <x v="0"/>
    <x v="303"/>
    <x v="312"/>
    <x v="15"/>
    <x v="151"/>
    <x v="255"/>
    <x v="321"/>
    <x v="0"/>
    <x v="0"/>
    <x v="318"/>
    <x v="0"/>
    <x v="224"/>
    <x v="0"/>
    <x v="0"/>
    <x v="0"/>
    <x v="0"/>
    <x v="0"/>
    <x v="0"/>
    <x v="0"/>
    <x v="0"/>
  </r>
  <r>
    <x v="577"/>
    <x v="0"/>
    <x v="1"/>
    <x v="3"/>
    <x v="0"/>
    <x v="1"/>
    <x v="571"/>
    <x v="489"/>
    <x v="0"/>
    <x v="2"/>
    <x v="1"/>
    <x v="1"/>
    <x v="10"/>
    <x v="0"/>
    <x v="0"/>
    <x v="0"/>
    <x v="16"/>
    <x v="11"/>
    <x v="0"/>
    <x v="52"/>
    <x v="0"/>
    <x v="0"/>
    <x v="0"/>
    <x v="304"/>
    <x v="313"/>
    <x v="12"/>
    <x v="100"/>
    <x v="150"/>
    <x v="322"/>
    <x v="0"/>
    <x v="0"/>
    <x v="319"/>
    <x v="0"/>
    <x v="12"/>
    <x v="0"/>
    <x v="0"/>
    <x v="0"/>
    <x v="0"/>
    <x v="0"/>
    <x v="0"/>
    <x v="0"/>
    <x v="0"/>
  </r>
  <r>
    <x v="578"/>
    <x v="0"/>
    <x v="1"/>
    <x v="0"/>
    <x v="0"/>
    <x v="1"/>
    <x v="572"/>
    <x v="490"/>
    <x v="0"/>
    <x v="2"/>
    <x v="1"/>
    <x v="1"/>
    <x v="10"/>
    <x v="0"/>
    <x v="0"/>
    <x v="0"/>
    <x v="16"/>
    <x v="11"/>
    <x v="0"/>
    <x v="47"/>
    <x v="0"/>
    <x v="0"/>
    <x v="0"/>
    <x v="305"/>
    <x v="314"/>
    <x v="1"/>
    <x v="14"/>
    <x v="256"/>
    <x v="323"/>
    <x v="0"/>
    <x v="0"/>
    <x v="320"/>
    <x v="1"/>
    <x v="225"/>
    <x v="0"/>
    <x v="0"/>
    <x v="0"/>
    <x v="0"/>
    <x v="0"/>
    <x v="0"/>
    <x v="0"/>
    <x v="0"/>
  </r>
  <r>
    <x v="579"/>
    <x v="0"/>
    <x v="1"/>
    <x v="0"/>
    <x v="0"/>
    <x v="1"/>
    <x v="573"/>
    <x v="491"/>
    <x v="0"/>
    <x v="2"/>
    <x v="1"/>
    <x v="1"/>
    <x v="10"/>
    <x v="0"/>
    <x v="2"/>
    <x v="0"/>
    <x v="17"/>
    <x v="12"/>
    <x v="2"/>
    <x v="228"/>
    <x v="0"/>
    <x v="0"/>
    <x v="0"/>
    <x v="199"/>
    <x v="205"/>
    <x v="0"/>
    <x v="50"/>
    <x v="61"/>
    <x v="209"/>
    <x v="0"/>
    <x v="0"/>
    <x v="209"/>
    <x v="1"/>
    <x v="161"/>
    <x v="0"/>
    <x v="0"/>
    <x v="0"/>
    <x v="0"/>
    <x v="0"/>
    <x v="0"/>
    <x v="0"/>
    <x v="0"/>
  </r>
  <r>
    <x v="580"/>
    <x v="0"/>
    <x v="1"/>
    <x v="3"/>
    <x v="0"/>
    <x v="1"/>
    <x v="574"/>
    <x v="492"/>
    <x v="0"/>
    <x v="2"/>
    <x v="1"/>
    <x v="1"/>
    <x v="9"/>
    <x v="0"/>
    <x v="0"/>
    <x v="0"/>
    <x v="15"/>
    <x v="10"/>
    <x v="0"/>
    <x v="15"/>
    <x v="0"/>
    <x v="0"/>
    <x v="0"/>
    <x v="306"/>
    <x v="315"/>
    <x v="13"/>
    <x v="152"/>
    <x v="257"/>
    <x v="324"/>
    <x v="0"/>
    <x v="0"/>
    <x v="321"/>
    <x v="0"/>
    <x v="226"/>
    <x v="0"/>
    <x v="0"/>
    <x v="0"/>
    <x v="0"/>
    <x v="0"/>
    <x v="0"/>
    <x v="0"/>
    <x v="0"/>
  </r>
  <r>
    <x v="581"/>
    <x v="0"/>
    <x v="1"/>
    <x v="0"/>
    <x v="0"/>
    <x v="1"/>
    <x v="575"/>
    <x v="493"/>
    <x v="0"/>
    <x v="2"/>
    <x v="1"/>
    <x v="1"/>
    <x v="42"/>
    <x v="0"/>
    <x v="3"/>
    <x v="0"/>
    <x v="95"/>
    <x v="82"/>
    <x v="3"/>
    <x v="229"/>
    <x v="0"/>
    <x v="0"/>
    <x v="0"/>
    <x v="247"/>
    <x v="254"/>
    <x v="5"/>
    <x v="41"/>
    <x v="215"/>
    <x v="259"/>
    <x v="0"/>
    <x v="0"/>
    <x v="259"/>
    <x v="1"/>
    <x v="190"/>
    <x v="0"/>
    <x v="0"/>
    <x v="0"/>
    <x v="0"/>
    <x v="0"/>
    <x v="0"/>
    <x v="0"/>
    <x v="0"/>
  </r>
  <r>
    <x v="582"/>
    <x v="0"/>
    <x v="1"/>
    <x v="3"/>
    <x v="0"/>
    <x v="5"/>
    <x v="576"/>
    <x v="494"/>
    <x v="0"/>
    <x v="0"/>
    <x v="47"/>
    <x v="47"/>
    <x v="0"/>
    <x v="0"/>
    <x v="0"/>
    <x v="0"/>
    <x v="0"/>
    <x v="0"/>
    <x v="0"/>
    <x v="230"/>
    <x v="0"/>
    <x v="0"/>
    <x v="0"/>
    <x v="307"/>
    <x v="316"/>
    <x v="21"/>
    <x v="63"/>
    <x v="258"/>
    <x v="325"/>
    <x v="0"/>
    <x v="0"/>
    <x v="322"/>
    <x v="0"/>
    <x v="227"/>
    <x v="0"/>
    <x v="0"/>
    <x v="0"/>
    <x v="28"/>
    <x v="0"/>
    <x v="0"/>
    <x v="0"/>
    <x v="0"/>
  </r>
  <r>
    <x v="583"/>
    <x v="0"/>
    <x v="1"/>
    <x v="2"/>
    <x v="0"/>
    <x v="5"/>
    <x v="577"/>
    <x v="1"/>
    <x v="0"/>
    <x v="1"/>
    <x v="1"/>
    <x v="1"/>
    <x v="0"/>
    <x v="0"/>
    <x v="0"/>
    <x v="0"/>
    <x v="0"/>
    <x v="1"/>
    <x v="0"/>
    <x v="230"/>
    <x v="0"/>
    <x v="0"/>
    <x v="0"/>
    <x v="307"/>
    <x v="316"/>
    <x v="21"/>
    <x v="63"/>
    <x v="258"/>
    <x v="325"/>
    <x v="0"/>
    <x v="0"/>
    <x v="322"/>
    <x v="0"/>
    <x v="227"/>
    <x v="0"/>
    <x v="0"/>
    <x v="0"/>
    <x v="0"/>
    <x v="0"/>
    <x v="0"/>
    <x v="0"/>
    <x v="0"/>
  </r>
  <r>
    <x v="584"/>
    <x v="0"/>
    <x v="1"/>
    <x v="0"/>
    <x v="0"/>
    <x v="1"/>
    <x v="578"/>
    <x v="495"/>
    <x v="0"/>
    <x v="2"/>
    <x v="1"/>
    <x v="1"/>
    <x v="8"/>
    <x v="0"/>
    <x v="3"/>
    <x v="0"/>
    <x v="96"/>
    <x v="83"/>
    <x v="3"/>
    <x v="231"/>
    <x v="0"/>
    <x v="0"/>
    <x v="0"/>
    <x v="308"/>
    <x v="317"/>
    <x v="5"/>
    <x v="153"/>
    <x v="259"/>
    <x v="326"/>
    <x v="0"/>
    <x v="0"/>
    <x v="323"/>
    <x v="1"/>
    <x v="228"/>
    <x v="0"/>
    <x v="0"/>
    <x v="0"/>
    <x v="0"/>
    <x v="0"/>
    <x v="0"/>
    <x v="0"/>
    <x v="0"/>
  </r>
  <r>
    <x v="585"/>
    <x v="0"/>
    <x v="1"/>
    <x v="2"/>
    <x v="0"/>
    <x v="1"/>
    <x v="579"/>
    <x v="1"/>
    <x v="0"/>
    <x v="1"/>
    <x v="1"/>
    <x v="1"/>
    <x v="34"/>
    <x v="0"/>
    <x v="1"/>
    <x v="0"/>
    <x v="97"/>
    <x v="1"/>
    <x v="1"/>
    <x v="232"/>
    <x v="0"/>
    <x v="0"/>
    <x v="0"/>
    <x v="240"/>
    <x v="247"/>
    <x v="0"/>
    <x v="127"/>
    <x v="208"/>
    <x v="252"/>
    <x v="0"/>
    <x v="0"/>
    <x v="252"/>
    <x v="0"/>
    <x v="12"/>
    <x v="0"/>
    <x v="0"/>
    <x v="0"/>
    <x v="0"/>
    <x v="0"/>
    <x v="0"/>
    <x v="0"/>
    <x v="0"/>
  </r>
  <r>
    <x v="586"/>
    <x v="0"/>
    <x v="1"/>
    <x v="2"/>
    <x v="0"/>
    <x v="1"/>
    <x v="580"/>
    <x v="496"/>
    <x v="0"/>
    <x v="2"/>
    <x v="1"/>
    <x v="1"/>
    <x v="6"/>
    <x v="0"/>
    <x v="0"/>
    <x v="0"/>
    <x v="10"/>
    <x v="6"/>
    <x v="0"/>
    <x v="233"/>
    <x v="0"/>
    <x v="0"/>
    <x v="0"/>
    <x v="309"/>
    <x v="318"/>
    <x v="23"/>
    <x v="75"/>
    <x v="106"/>
    <x v="327"/>
    <x v="0"/>
    <x v="0"/>
    <x v="324"/>
    <x v="0"/>
    <x v="12"/>
    <x v="0"/>
    <x v="2"/>
    <x v="7"/>
    <x v="0"/>
    <x v="0"/>
    <x v="0"/>
    <x v="0"/>
    <x v="0"/>
  </r>
  <r>
    <x v="587"/>
    <x v="0"/>
    <x v="1"/>
    <x v="0"/>
    <x v="0"/>
    <x v="1"/>
    <x v="581"/>
    <x v="497"/>
    <x v="0"/>
    <x v="2"/>
    <x v="1"/>
    <x v="1"/>
    <x v="7"/>
    <x v="0"/>
    <x v="2"/>
    <x v="0"/>
    <x v="98"/>
    <x v="84"/>
    <x v="2"/>
    <x v="28"/>
    <x v="0"/>
    <x v="0"/>
    <x v="0"/>
    <x v="310"/>
    <x v="319"/>
    <x v="0"/>
    <x v="24"/>
    <x v="241"/>
    <x v="328"/>
    <x v="0"/>
    <x v="0"/>
    <x v="325"/>
    <x v="1"/>
    <x v="229"/>
    <x v="0"/>
    <x v="0"/>
    <x v="0"/>
    <x v="0"/>
    <x v="0"/>
    <x v="0"/>
    <x v="0"/>
    <x v="0"/>
  </r>
  <r>
    <x v="588"/>
    <x v="0"/>
    <x v="1"/>
    <x v="0"/>
    <x v="0"/>
    <x v="1"/>
    <x v="582"/>
    <x v="498"/>
    <x v="0"/>
    <x v="2"/>
    <x v="1"/>
    <x v="1"/>
    <x v="9"/>
    <x v="0"/>
    <x v="0"/>
    <x v="0"/>
    <x v="15"/>
    <x v="10"/>
    <x v="0"/>
    <x v="124"/>
    <x v="0"/>
    <x v="0"/>
    <x v="0"/>
    <x v="311"/>
    <x v="320"/>
    <x v="15"/>
    <x v="151"/>
    <x v="255"/>
    <x v="329"/>
    <x v="0"/>
    <x v="0"/>
    <x v="326"/>
    <x v="1"/>
    <x v="230"/>
    <x v="0"/>
    <x v="0"/>
    <x v="0"/>
    <x v="0"/>
    <x v="0"/>
    <x v="0"/>
    <x v="0"/>
    <x v="0"/>
  </r>
  <r>
    <x v="589"/>
    <x v="0"/>
    <x v="1"/>
    <x v="0"/>
    <x v="0"/>
    <x v="1"/>
    <x v="583"/>
    <x v="499"/>
    <x v="0"/>
    <x v="2"/>
    <x v="1"/>
    <x v="1"/>
    <x v="8"/>
    <x v="0"/>
    <x v="4"/>
    <x v="0"/>
    <x v="99"/>
    <x v="85"/>
    <x v="4"/>
    <x v="234"/>
    <x v="0"/>
    <x v="0"/>
    <x v="0"/>
    <x v="106"/>
    <x v="108"/>
    <x v="0"/>
    <x v="12"/>
    <x v="12"/>
    <x v="110"/>
    <x v="0"/>
    <x v="0"/>
    <x v="110"/>
    <x v="1"/>
    <x v="84"/>
    <x v="0"/>
    <x v="0"/>
    <x v="0"/>
    <x v="0"/>
    <x v="0"/>
    <x v="0"/>
    <x v="0"/>
    <x v="0"/>
  </r>
  <r>
    <x v="590"/>
    <x v="0"/>
    <x v="1"/>
    <x v="2"/>
    <x v="0"/>
    <x v="1"/>
    <x v="584"/>
    <x v="500"/>
    <x v="0"/>
    <x v="2"/>
    <x v="1"/>
    <x v="1"/>
    <x v="31"/>
    <x v="0"/>
    <x v="0"/>
    <x v="0"/>
    <x v="72"/>
    <x v="62"/>
    <x v="0"/>
    <x v="224"/>
    <x v="0"/>
    <x v="0"/>
    <x v="0"/>
    <x v="299"/>
    <x v="307"/>
    <x v="8"/>
    <x v="142"/>
    <x v="252"/>
    <x v="316"/>
    <x v="0"/>
    <x v="0"/>
    <x v="313"/>
    <x v="1"/>
    <x v="221"/>
    <x v="0"/>
    <x v="2"/>
    <x v="13"/>
    <x v="0"/>
    <x v="0"/>
    <x v="0"/>
    <x v="0"/>
    <x v="0"/>
  </r>
  <r>
    <x v="591"/>
    <x v="0"/>
    <x v="1"/>
    <x v="0"/>
    <x v="0"/>
    <x v="1"/>
    <x v="585"/>
    <x v="501"/>
    <x v="0"/>
    <x v="2"/>
    <x v="1"/>
    <x v="1"/>
    <x v="31"/>
    <x v="0"/>
    <x v="0"/>
    <x v="0"/>
    <x v="72"/>
    <x v="62"/>
    <x v="0"/>
    <x v="235"/>
    <x v="0"/>
    <x v="0"/>
    <x v="0"/>
    <x v="230"/>
    <x v="236"/>
    <x v="11"/>
    <x v="65"/>
    <x v="200"/>
    <x v="241"/>
    <x v="0"/>
    <x v="0"/>
    <x v="239"/>
    <x v="0"/>
    <x v="12"/>
    <x v="0"/>
    <x v="0"/>
    <x v="0"/>
    <x v="0"/>
    <x v="0"/>
    <x v="0"/>
    <x v="0"/>
    <x v="0"/>
  </r>
  <r>
    <x v="592"/>
    <x v="0"/>
    <x v="1"/>
    <x v="2"/>
    <x v="0"/>
    <x v="1"/>
    <x v="586"/>
    <x v="1"/>
    <x v="0"/>
    <x v="1"/>
    <x v="1"/>
    <x v="1"/>
    <x v="31"/>
    <x v="0"/>
    <x v="5"/>
    <x v="0"/>
    <x v="100"/>
    <x v="1"/>
    <x v="5"/>
    <x v="236"/>
    <x v="0"/>
    <x v="0"/>
    <x v="0"/>
    <x v="261"/>
    <x v="268"/>
    <x v="8"/>
    <x v="142"/>
    <x v="225"/>
    <x v="273"/>
    <x v="0"/>
    <x v="0"/>
    <x v="273"/>
    <x v="1"/>
    <x v="198"/>
    <x v="0"/>
    <x v="0"/>
    <x v="0"/>
    <x v="0"/>
    <x v="0"/>
    <x v="0"/>
    <x v="0"/>
    <x v="0"/>
  </r>
  <r>
    <x v="593"/>
    <x v="0"/>
    <x v="1"/>
    <x v="0"/>
    <x v="0"/>
    <x v="1"/>
    <x v="587"/>
    <x v="502"/>
    <x v="0"/>
    <x v="2"/>
    <x v="1"/>
    <x v="1"/>
    <x v="10"/>
    <x v="0"/>
    <x v="2"/>
    <x v="0"/>
    <x v="17"/>
    <x v="12"/>
    <x v="2"/>
    <x v="18"/>
    <x v="0"/>
    <x v="0"/>
    <x v="0"/>
    <x v="312"/>
    <x v="321"/>
    <x v="2"/>
    <x v="2"/>
    <x v="260"/>
    <x v="330"/>
    <x v="0"/>
    <x v="0"/>
    <x v="327"/>
    <x v="1"/>
    <x v="231"/>
    <x v="0"/>
    <x v="0"/>
    <x v="0"/>
    <x v="0"/>
    <x v="0"/>
    <x v="0"/>
    <x v="0"/>
    <x v="0"/>
  </r>
  <r>
    <x v="594"/>
    <x v="0"/>
    <x v="1"/>
    <x v="3"/>
    <x v="0"/>
    <x v="1"/>
    <x v="588"/>
    <x v="503"/>
    <x v="0"/>
    <x v="2"/>
    <x v="1"/>
    <x v="1"/>
    <x v="10"/>
    <x v="0"/>
    <x v="4"/>
    <x v="0"/>
    <x v="18"/>
    <x v="13"/>
    <x v="4"/>
    <x v="47"/>
    <x v="0"/>
    <x v="0"/>
    <x v="0"/>
    <x v="313"/>
    <x v="322"/>
    <x v="0"/>
    <x v="0"/>
    <x v="261"/>
    <x v="331"/>
    <x v="0"/>
    <x v="0"/>
    <x v="328"/>
    <x v="1"/>
    <x v="232"/>
    <x v="0"/>
    <x v="0"/>
    <x v="0"/>
    <x v="0"/>
    <x v="0"/>
    <x v="0"/>
    <x v="0"/>
    <x v="0"/>
  </r>
  <r>
    <x v="595"/>
    <x v="0"/>
    <x v="1"/>
    <x v="3"/>
    <x v="0"/>
    <x v="1"/>
    <x v="589"/>
    <x v="504"/>
    <x v="0"/>
    <x v="2"/>
    <x v="1"/>
    <x v="1"/>
    <x v="10"/>
    <x v="0"/>
    <x v="3"/>
    <x v="0"/>
    <x v="30"/>
    <x v="25"/>
    <x v="3"/>
    <x v="237"/>
    <x v="0"/>
    <x v="0"/>
    <x v="0"/>
    <x v="299"/>
    <x v="307"/>
    <x v="8"/>
    <x v="142"/>
    <x v="252"/>
    <x v="316"/>
    <x v="0"/>
    <x v="0"/>
    <x v="313"/>
    <x v="1"/>
    <x v="221"/>
    <x v="0"/>
    <x v="0"/>
    <x v="0"/>
    <x v="28"/>
    <x v="0"/>
    <x v="0"/>
    <x v="0"/>
    <x v="0"/>
  </r>
  <r>
    <x v="596"/>
    <x v="0"/>
    <x v="1"/>
    <x v="3"/>
    <x v="0"/>
    <x v="1"/>
    <x v="590"/>
    <x v="505"/>
    <x v="0"/>
    <x v="2"/>
    <x v="1"/>
    <x v="1"/>
    <x v="10"/>
    <x v="0"/>
    <x v="0"/>
    <x v="0"/>
    <x v="16"/>
    <x v="11"/>
    <x v="0"/>
    <x v="98"/>
    <x v="0"/>
    <x v="0"/>
    <x v="0"/>
    <x v="314"/>
    <x v="323"/>
    <x v="0"/>
    <x v="12"/>
    <x v="262"/>
    <x v="332"/>
    <x v="0"/>
    <x v="0"/>
    <x v="329"/>
    <x v="0"/>
    <x v="12"/>
    <x v="0"/>
    <x v="0"/>
    <x v="0"/>
    <x v="28"/>
    <x v="0"/>
    <x v="0"/>
    <x v="0"/>
    <x v="0"/>
  </r>
  <r>
    <x v="597"/>
    <x v="0"/>
    <x v="1"/>
    <x v="0"/>
    <x v="0"/>
    <x v="4"/>
    <x v="591"/>
    <x v="506"/>
    <x v="0"/>
    <x v="2"/>
    <x v="1"/>
    <x v="1"/>
    <x v="9"/>
    <x v="0"/>
    <x v="0"/>
    <x v="0"/>
    <x v="15"/>
    <x v="10"/>
    <x v="0"/>
    <x v="124"/>
    <x v="0"/>
    <x v="0"/>
    <x v="0"/>
    <x v="314"/>
    <x v="323"/>
    <x v="0"/>
    <x v="12"/>
    <x v="262"/>
    <x v="332"/>
    <x v="0"/>
    <x v="0"/>
    <x v="329"/>
    <x v="0"/>
    <x v="12"/>
    <x v="0"/>
    <x v="0"/>
    <x v="0"/>
    <x v="0"/>
    <x v="0"/>
    <x v="0"/>
    <x v="0"/>
    <x v="0"/>
  </r>
  <r>
    <x v="598"/>
    <x v="0"/>
    <x v="1"/>
    <x v="0"/>
    <x v="0"/>
    <x v="1"/>
    <x v="592"/>
    <x v="507"/>
    <x v="0"/>
    <x v="2"/>
    <x v="1"/>
    <x v="1"/>
    <x v="10"/>
    <x v="0"/>
    <x v="2"/>
    <x v="0"/>
    <x v="17"/>
    <x v="12"/>
    <x v="2"/>
    <x v="99"/>
    <x v="0"/>
    <x v="0"/>
    <x v="0"/>
    <x v="315"/>
    <x v="324"/>
    <x v="7"/>
    <x v="36"/>
    <x v="43"/>
    <x v="333"/>
    <x v="0"/>
    <x v="0"/>
    <x v="330"/>
    <x v="0"/>
    <x v="12"/>
    <x v="0"/>
    <x v="0"/>
    <x v="0"/>
    <x v="0"/>
    <x v="0"/>
    <x v="0"/>
    <x v="0"/>
    <x v="0"/>
  </r>
  <r>
    <x v="599"/>
    <x v="0"/>
    <x v="1"/>
    <x v="1"/>
    <x v="0"/>
    <x v="1"/>
    <x v="593"/>
    <x v="1"/>
    <x v="0"/>
    <x v="1"/>
    <x v="1"/>
    <x v="1"/>
    <x v="6"/>
    <x v="0"/>
    <x v="0"/>
    <x v="0"/>
    <x v="10"/>
    <x v="1"/>
    <x v="0"/>
    <x v="211"/>
    <x v="0"/>
    <x v="0"/>
    <x v="0"/>
    <x v="237"/>
    <x v="244"/>
    <x v="27"/>
    <x v="124"/>
    <x v="205"/>
    <x v="249"/>
    <x v="0"/>
    <x v="0"/>
    <x v="249"/>
    <x v="1"/>
    <x v="185"/>
    <x v="0"/>
    <x v="0"/>
    <x v="0"/>
    <x v="0"/>
    <x v="0"/>
    <x v="0"/>
    <x v="0"/>
    <x v="0"/>
  </r>
  <r>
    <x v="600"/>
    <x v="0"/>
    <x v="1"/>
    <x v="1"/>
    <x v="0"/>
    <x v="1"/>
    <x v="594"/>
    <x v="1"/>
    <x v="0"/>
    <x v="1"/>
    <x v="1"/>
    <x v="1"/>
    <x v="6"/>
    <x v="0"/>
    <x v="0"/>
    <x v="0"/>
    <x v="10"/>
    <x v="1"/>
    <x v="0"/>
    <x v="231"/>
    <x v="0"/>
    <x v="0"/>
    <x v="0"/>
    <x v="316"/>
    <x v="244"/>
    <x v="27"/>
    <x v="124"/>
    <x v="205"/>
    <x v="334"/>
    <x v="0"/>
    <x v="0"/>
    <x v="249"/>
    <x v="1"/>
    <x v="185"/>
    <x v="0"/>
    <x v="0"/>
    <x v="0"/>
    <x v="0"/>
    <x v="0"/>
    <x v="0"/>
    <x v="0"/>
    <x v="0"/>
  </r>
  <r>
    <x v="601"/>
    <x v="0"/>
    <x v="1"/>
    <x v="0"/>
    <x v="0"/>
    <x v="1"/>
    <x v="595"/>
    <x v="508"/>
    <x v="0"/>
    <x v="2"/>
    <x v="1"/>
    <x v="1"/>
    <x v="34"/>
    <x v="0"/>
    <x v="0"/>
    <x v="0"/>
    <x v="78"/>
    <x v="66"/>
    <x v="0"/>
    <x v="238"/>
    <x v="0"/>
    <x v="0"/>
    <x v="0"/>
    <x v="315"/>
    <x v="324"/>
    <x v="7"/>
    <x v="36"/>
    <x v="43"/>
    <x v="333"/>
    <x v="0"/>
    <x v="0"/>
    <x v="330"/>
    <x v="0"/>
    <x v="12"/>
    <x v="0"/>
    <x v="0"/>
    <x v="0"/>
    <x v="0"/>
    <x v="0"/>
    <x v="0"/>
    <x v="0"/>
    <x v="0"/>
  </r>
  <r>
    <x v="602"/>
    <x v="0"/>
    <x v="1"/>
    <x v="0"/>
    <x v="0"/>
    <x v="1"/>
    <x v="596"/>
    <x v="509"/>
    <x v="0"/>
    <x v="2"/>
    <x v="1"/>
    <x v="1"/>
    <x v="10"/>
    <x v="0"/>
    <x v="2"/>
    <x v="0"/>
    <x v="17"/>
    <x v="12"/>
    <x v="2"/>
    <x v="100"/>
    <x v="0"/>
    <x v="0"/>
    <x v="0"/>
    <x v="237"/>
    <x v="244"/>
    <x v="27"/>
    <x v="124"/>
    <x v="205"/>
    <x v="249"/>
    <x v="0"/>
    <x v="0"/>
    <x v="249"/>
    <x v="1"/>
    <x v="185"/>
    <x v="0"/>
    <x v="0"/>
    <x v="0"/>
    <x v="0"/>
    <x v="0"/>
    <x v="0"/>
    <x v="0"/>
    <x v="0"/>
  </r>
  <r>
    <x v="603"/>
    <x v="0"/>
    <x v="1"/>
    <x v="1"/>
    <x v="0"/>
    <x v="1"/>
    <x v="597"/>
    <x v="1"/>
    <x v="0"/>
    <x v="1"/>
    <x v="1"/>
    <x v="1"/>
    <x v="10"/>
    <x v="0"/>
    <x v="2"/>
    <x v="0"/>
    <x v="17"/>
    <x v="1"/>
    <x v="2"/>
    <x v="228"/>
    <x v="0"/>
    <x v="0"/>
    <x v="0"/>
    <x v="316"/>
    <x v="244"/>
    <x v="27"/>
    <x v="124"/>
    <x v="205"/>
    <x v="334"/>
    <x v="0"/>
    <x v="0"/>
    <x v="249"/>
    <x v="1"/>
    <x v="185"/>
    <x v="0"/>
    <x v="0"/>
    <x v="0"/>
    <x v="0"/>
    <x v="0"/>
    <x v="0"/>
    <x v="0"/>
    <x v="0"/>
  </r>
  <r>
    <x v="604"/>
    <x v="0"/>
    <x v="1"/>
    <x v="0"/>
    <x v="0"/>
    <x v="1"/>
    <x v="598"/>
    <x v="510"/>
    <x v="0"/>
    <x v="2"/>
    <x v="1"/>
    <x v="1"/>
    <x v="12"/>
    <x v="0"/>
    <x v="0"/>
    <x v="0"/>
    <x v="24"/>
    <x v="19"/>
    <x v="0"/>
    <x v="239"/>
    <x v="0"/>
    <x v="0"/>
    <x v="0"/>
    <x v="317"/>
    <x v="325"/>
    <x v="12"/>
    <x v="25"/>
    <x v="263"/>
    <x v="335"/>
    <x v="0"/>
    <x v="0"/>
    <x v="331"/>
    <x v="0"/>
    <x v="233"/>
    <x v="0"/>
    <x v="0"/>
    <x v="0"/>
    <x v="0"/>
    <x v="0"/>
    <x v="0"/>
    <x v="0"/>
    <x v="0"/>
  </r>
  <r>
    <x v="605"/>
    <x v="0"/>
    <x v="1"/>
    <x v="1"/>
    <x v="0"/>
    <x v="1"/>
    <x v="599"/>
    <x v="1"/>
    <x v="0"/>
    <x v="1"/>
    <x v="1"/>
    <x v="1"/>
    <x v="12"/>
    <x v="0"/>
    <x v="5"/>
    <x v="0"/>
    <x v="101"/>
    <x v="1"/>
    <x v="5"/>
    <x v="240"/>
    <x v="0"/>
    <x v="0"/>
    <x v="0"/>
    <x v="317"/>
    <x v="325"/>
    <x v="12"/>
    <x v="25"/>
    <x v="264"/>
    <x v="336"/>
    <x v="0"/>
    <x v="0"/>
    <x v="331"/>
    <x v="0"/>
    <x v="233"/>
    <x v="0"/>
    <x v="0"/>
    <x v="0"/>
    <x v="0"/>
    <x v="0"/>
    <x v="0"/>
    <x v="0"/>
    <x v="0"/>
  </r>
  <r>
    <x v="606"/>
    <x v="0"/>
    <x v="0"/>
    <x v="0"/>
    <x v="0"/>
    <x v="0"/>
    <x v="600"/>
    <x v="511"/>
    <x v="0"/>
    <x v="0"/>
    <x v="48"/>
    <x v="48"/>
    <x v="5"/>
    <x v="0"/>
    <x v="0"/>
    <x v="0"/>
    <x v="32"/>
    <x v="27"/>
    <x v="0"/>
    <x v="46"/>
    <x v="0"/>
    <x v="0"/>
    <x v="0"/>
    <x v="318"/>
    <x v="326"/>
    <x v="0"/>
    <x v="154"/>
    <x v="265"/>
    <x v="337"/>
    <x v="0"/>
    <x v="0"/>
    <x v="332"/>
    <x v="1"/>
    <x v="234"/>
    <x v="0"/>
    <x v="0"/>
    <x v="0"/>
    <x v="0"/>
    <x v="0"/>
    <x v="0"/>
    <x v="0"/>
    <x v="0"/>
  </r>
  <r>
    <x v="607"/>
    <x v="0"/>
    <x v="1"/>
    <x v="0"/>
    <x v="0"/>
    <x v="1"/>
    <x v="601"/>
    <x v="512"/>
    <x v="0"/>
    <x v="2"/>
    <x v="1"/>
    <x v="1"/>
    <x v="43"/>
    <x v="0"/>
    <x v="0"/>
    <x v="0"/>
    <x v="102"/>
    <x v="86"/>
    <x v="0"/>
    <x v="241"/>
    <x v="0"/>
    <x v="0"/>
    <x v="0"/>
    <x v="92"/>
    <x v="93"/>
    <x v="21"/>
    <x v="63"/>
    <x v="85"/>
    <x v="95"/>
    <x v="0"/>
    <x v="0"/>
    <x v="95"/>
    <x v="1"/>
    <x v="72"/>
    <x v="0"/>
    <x v="0"/>
    <x v="0"/>
    <x v="0"/>
    <x v="0"/>
    <x v="0"/>
    <x v="0"/>
    <x v="0"/>
  </r>
  <r>
    <x v="608"/>
    <x v="0"/>
    <x v="0"/>
    <x v="0"/>
    <x v="0"/>
    <x v="0"/>
    <x v="602"/>
    <x v="513"/>
    <x v="0"/>
    <x v="0"/>
    <x v="49"/>
    <x v="49"/>
    <x v="15"/>
    <x v="0"/>
    <x v="0"/>
    <x v="0"/>
    <x v="31"/>
    <x v="26"/>
    <x v="0"/>
    <x v="242"/>
    <x v="0"/>
    <x v="0"/>
    <x v="0"/>
    <x v="319"/>
    <x v="327"/>
    <x v="3"/>
    <x v="51"/>
    <x v="266"/>
    <x v="338"/>
    <x v="0"/>
    <x v="0"/>
    <x v="333"/>
    <x v="0"/>
    <x v="235"/>
    <x v="0"/>
    <x v="0"/>
    <x v="0"/>
    <x v="0"/>
    <x v="0"/>
    <x v="0"/>
    <x v="0"/>
    <x v="0"/>
  </r>
  <r>
    <x v="609"/>
    <x v="0"/>
    <x v="1"/>
    <x v="1"/>
    <x v="0"/>
    <x v="1"/>
    <x v="603"/>
    <x v="1"/>
    <x v="0"/>
    <x v="1"/>
    <x v="1"/>
    <x v="1"/>
    <x v="4"/>
    <x v="0"/>
    <x v="3"/>
    <x v="0"/>
    <x v="86"/>
    <x v="1"/>
    <x v="3"/>
    <x v="243"/>
    <x v="0"/>
    <x v="0"/>
    <x v="0"/>
    <x v="92"/>
    <x v="93"/>
    <x v="21"/>
    <x v="63"/>
    <x v="85"/>
    <x v="95"/>
    <x v="0"/>
    <x v="0"/>
    <x v="95"/>
    <x v="1"/>
    <x v="72"/>
    <x v="0"/>
    <x v="0"/>
    <x v="0"/>
    <x v="0"/>
    <x v="0"/>
    <x v="0"/>
    <x v="0"/>
    <x v="0"/>
  </r>
  <r>
    <x v="610"/>
    <x v="0"/>
    <x v="1"/>
    <x v="1"/>
    <x v="0"/>
    <x v="1"/>
    <x v="604"/>
    <x v="1"/>
    <x v="0"/>
    <x v="1"/>
    <x v="1"/>
    <x v="1"/>
    <x v="37"/>
    <x v="0"/>
    <x v="1"/>
    <x v="0"/>
    <x v="84"/>
    <x v="1"/>
    <x v="1"/>
    <x v="210"/>
    <x v="0"/>
    <x v="0"/>
    <x v="0"/>
    <x v="320"/>
    <x v="328"/>
    <x v="13"/>
    <x v="55"/>
    <x v="119"/>
    <x v="339"/>
    <x v="16"/>
    <x v="0"/>
    <x v="334"/>
    <x v="0"/>
    <x v="12"/>
    <x v="0"/>
    <x v="0"/>
    <x v="0"/>
    <x v="0"/>
    <x v="0"/>
    <x v="0"/>
    <x v="0"/>
    <x v="0"/>
  </r>
  <r>
    <x v="611"/>
    <x v="0"/>
    <x v="1"/>
    <x v="0"/>
    <x v="0"/>
    <x v="1"/>
    <x v="605"/>
    <x v="514"/>
    <x v="0"/>
    <x v="2"/>
    <x v="1"/>
    <x v="1"/>
    <x v="37"/>
    <x v="0"/>
    <x v="0"/>
    <x v="0"/>
    <x v="88"/>
    <x v="75"/>
    <x v="0"/>
    <x v="244"/>
    <x v="0"/>
    <x v="0"/>
    <x v="0"/>
    <x v="321"/>
    <x v="329"/>
    <x v="18"/>
    <x v="155"/>
    <x v="267"/>
    <x v="340"/>
    <x v="17"/>
    <x v="0"/>
    <x v="335"/>
    <x v="0"/>
    <x v="12"/>
    <x v="0"/>
    <x v="0"/>
    <x v="0"/>
    <x v="34"/>
    <x v="0"/>
    <x v="0"/>
    <x v="0"/>
    <x v="0"/>
  </r>
  <r>
    <x v="612"/>
    <x v="0"/>
    <x v="1"/>
    <x v="0"/>
    <x v="0"/>
    <x v="1"/>
    <x v="606"/>
    <x v="515"/>
    <x v="0"/>
    <x v="2"/>
    <x v="1"/>
    <x v="1"/>
    <x v="37"/>
    <x v="0"/>
    <x v="0"/>
    <x v="0"/>
    <x v="88"/>
    <x v="75"/>
    <x v="0"/>
    <x v="245"/>
    <x v="0"/>
    <x v="0"/>
    <x v="0"/>
    <x v="322"/>
    <x v="330"/>
    <x v="24"/>
    <x v="79"/>
    <x v="165"/>
    <x v="341"/>
    <x v="18"/>
    <x v="0"/>
    <x v="336"/>
    <x v="0"/>
    <x v="12"/>
    <x v="0"/>
    <x v="0"/>
    <x v="0"/>
    <x v="0"/>
    <x v="0"/>
    <x v="0"/>
    <x v="0"/>
    <x v="0"/>
  </r>
  <r>
    <x v="613"/>
    <x v="0"/>
    <x v="1"/>
    <x v="0"/>
    <x v="0"/>
    <x v="1"/>
    <x v="607"/>
    <x v="516"/>
    <x v="0"/>
    <x v="2"/>
    <x v="1"/>
    <x v="1"/>
    <x v="6"/>
    <x v="0"/>
    <x v="1"/>
    <x v="0"/>
    <x v="53"/>
    <x v="47"/>
    <x v="1"/>
    <x v="246"/>
    <x v="0"/>
    <x v="0"/>
    <x v="0"/>
    <x v="317"/>
    <x v="325"/>
    <x v="12"/>
    <x v="25"/>
    <x v="264"/>
    <x v="336"/>
    <x v="0"/>
    <x v="0"/>
    <x v="331"/>
    <x v="0"/>
    <x v="233"/>
    <x v="0"/>
    <x v="0"/>
    <x v="0"/>
    <x v="0"/>
    <x v="0"/>
    <x v="0"/>
    <x v="0"/>
    <x v="0"/>
  </r>
  <r>
    <x v="614"/>
    <x v="0"/>
    <x v="1"/>
    <x v="0"/>
    <x v="0"/>
    <x v="1"/>
    <x v="608"/>
    <x v="517"/>
    <x v="0"/>
    <x v="2"/>
    <x v="1"/>
    <x v="1"/>
    <x v="6"/>
    <x v="0"/>
    <x v="0"/>
    <x v="0"/>
    <x v="10"/>
    <x v="6"/>
    <x v="0"/>
    <x v="197"/>
    <x v="0"/>
    <x v="0"/>
    <x v="0"/>
    <x v="323"/>
    <x v="331"/>
    <x v="1"/>
    <x v="156"/>
    <x v="268"/>
    <x v="342"/>
    <x v="0"/>
    <x v="0"/>
    <x v="337"/>
    <x v="0"/>
    <x v="236"/>
    <x v="0"/>
    <x v="0"/>
    <x v="0"/>
    <x v="0"/>
    <x v="0"/>
    <x v="0"/>
    <x v="0"/>
    <x v="0"/>
  </r>
  <r>
    <x v="615"/>
    <x v="0"/>
    <x v="1"/>
    <x v="0"/>
    <x v="0"/>
    <x v="1"/>
    <x v="609"/>
    <x v="518"/>
    <x v="0"/>
    <x v="2"/>
    <x v="1"/>
    <x v="1"/>
    <x v="6"/>
    <x v="0"/>
    <x v="0"/>
    <x v="0"/>
    <x v="10"/>
    <x v="6"/>
    <x v="0"/>
    <x v="75"/>
    <x v="0"/>
    <x v="0"/>
    <x v="0"/>
    <x v="317"/>
    <x v="325"/>
    <x v="12"/>
    <x v="25"/>
    <x v="263"/>
    <x v="335"/>
    <x v="0"/>
    <x v="0"/>
    <x v="338"/>
    <x v="0"/>
    <x v="12"/>
    <x v="0"/>
    <x v="0"/>
    <x v="0"/>
    <x v="0"/>
    <x v="0"/>
    <x v="0"/>
    <x v="0"/>
    <x v="0"/>
  </r>
  <r>
    <x v="616"/>
    <x v="0"/>
    <x v="1"/>
    <x v="0"/>
    <x v="0"/>
    <x v="1"/>
    <x v="610"/>
    <x v="519"/>
    <x v="0"/>
    <x v="2"/>
    <x v="1"/>
    <x v="1"/>
    <x v="6"/>
    <x v="0"/>
    <x v="1"/>
    <x v="0"/>
    <x v="53"/>
    <x v="47"/>
    <x v="1"/>
    <x v="50"/>
    <x v="0"/>
    <x v="0"/>
    <x v="0"/>
    <x v="324"/>
    <x v="332"/>
    <x v="8"/>
    <x v="157"/>
    <x v="269"/>
    <x v="343"/>
    <x v="0"/>
    <x v="0"/>
    <x v="339"/>
    <x v="0"/>
    <x v="12"/>
    <x v="0"/>
    <x v="0"/>
    <x v="0"/>
    <x v="0"/>
    <x v="0"/>
    <x v="0"/>
    <x v="0"/>
    <x v="0"/>
  </r>
  <r>
    <x v="617"/>
    <x v="0"/>
    <x v="1"/>
    <x v="2"/>
    <x v="0"/>
    <x v="1"/>
    <x v="611"/>
    <x v="520"/>
    <x v="0"/>
    <x v="2"/>
    <x v="1"/>
    <x v="1"/>
    <x v="6"/>
    <x v="0"/>
    <x v="0"/>
    <x v="0"/>
    <x v="10"/>
    <x v="6"/>
    <x v="0"/>
    <x v="247"/>
    <x v="0"/>
    <x v="0"/>
    <x v="0"/>
    <x v="320"/>
    <x v="328"/>
    <x v="13"/>
    <x v="55"/>
    <x v="119"/>
    <x v="339"/>
    <x v="0"/>
    <x v="0"/>
    <x v="334"/>
    <x v="0"/>
    <x v="12"/>
    <x v="0"/>
    <x v="2"/>
    <x v="7"/>
    <x v="0"/>
    <x v="0"/>
    <x v="0"/>
    <x v="0"/>
    <x v="0"/>
  </r>
  <r>
    <x v="618"/>
    <x v="0"/>
    <x v="1"/>
    <x v="1"/>
    <x v="0"/>
    <x v="1"/>
    <x v="612"/>
    <x v="1"/>
    <x v="0"/>
    <x v="1"/>
    <x v="1"/>
    <x v="1"/>
    <x v="6"/>
    <x v="0"/>
    <x v="0"/>
    <x v="0"/>
    <x v="10"/>
    <x v="1"/>
    <x v="0"/>
    <x v="160"/>
    <x v="0"/>
    <x v="0"/>
    <x v="0"/>
    <x v="325"/>
    <x v="333"/>
    <x v="10"/>
    <x v="19"/>
    <x v="229"/>
    <x v="344"/>
    <x v="0"/>
    <x v="0"/>
    <x v="340"/>
    <x v="0"/>
    <x v="12"/>
    <x v="0"/>
    <x v="0"/>
    <x v="0"/>
    <x v="0"/>
    <x v="0"/>
    <x v="0"/>
    <x v="0"/>
    <x v="0"/>
  </r>
  <r>
    <x v="619"/>
    <x v="0"/>
    <x v="1"/>
    <x v="0"/>
    <x v="0"/>
    <x v="1"/>
    <x v="613"/>
    <x v="521"/>
    <x v="0"/>
    <x v="2"/>
    <x v="1"/>
    <x v="1"/>
    <x v="6"/>
    <x v="0"/>
    <x v="0"/>
    <x v="0"/>
    <x v="10"/>
    <x v="6"/>
    <x v="0"/>
    <x v="248"/>
    <x v="0"/>
    <x v="0"/>
    <x v="0"/>
    <x v="326"/>
    <x v="334"/>
    <x v="13"/>
    <x v="28"/>
    <x v="270"/>
    <x v="345"/>
    <x v="0"/>
    <x v="0"/>
    <x v="341"/>
    <x v="0"/>
    <x v="12"/>
    <x v="0"/>
    <x v="0"/>
    <x v="0"/>
    <x v="0"/>
    <x v="0"/>
    <x v="0"/>
    <x v="0"/>
    <x v="0"/>
  </r>
  <r>
    <x v="620"/>
    <x v="0"/>
    <x v="1"/>
    <x v="0"/>
    <x v="0"/>
    <x v="1"/>
    <x v="614"/>
    <x v="522"/>
    <x v="0"/>
    <x v="2"/>
    <x v="1"/>
    <x v="1"/>
    <x v="6"/>
    <x v="0"/>
    <x v="0"/>
    <x v="0"/>
    <x v="10"/>
    <x v="6"/>
    <x v="0"/>
    <x v="249"/>
    <x v="0"/>
    <x v="0"/>
    <x v="0"/>
    <x v="327"/>
    <x v="335"/>
    <x v="0"/>
    <x v="127"/>
    <x v="271"/>
    <x v="346"/>
    <x v="0"/>
    <x v="0"/>
    <x v="342"/>
    <x v="0"/>
    <x v="12"/>
    <x v="0"/>
    <x v="0"/>
    <x v="0"/>
    <x v="0"/>
    <x v="0"/>
    <x v="0"/>
    <x v="0"/>
    <x v="0"/>
  </r>
  <r>
    <x v="621"/>
    <x v="0"/>
    <x v="1"/>
    <x v="0"/>
    <x v="0"/>
    <x v="1"/>
    <x v="615"/>
    <x v="523"/>
    <x v="0"/>
    <x v="2"/>
    <x v="1"/>
    <x v="1"/>
    <x v="37"/>
    <x v="0"/>
    <x v="5"/>
    <x v="0"/>
    <x v="103"/>
    <x v="87"/>
    <x v="5"/>
    <x v="210"/>
    <x v="0"/>
    <x v="0"/>
    <x v="0"/>
    <x v="328"/>
    <x v="336"/>
    <x v="5"/>
    <x v="41"/>
    <x v="243"/>
    <x v="347"/>
    <x v="0"/>
    <x v="0"/>
    <x v="343"/>
    <x v="0"/>
    <x v="12"/>
    <x v="0"/>
    <x v="0"/>
    <x v="0"/>
    <x v="0"/>
    <x v="0"/>
    <x v="0"/>
    <x v="0"/>
    <x v="0"/>
  </r>
  <r>
    <x v="622"/>
    <x v="0"/>
    <x v="1"/>
    <x v="1"/>
    <x v="0"/>
    <x v="1"/>
    <x v="616"/>
    <x v="1"/>
    <x v="0"/>
    <x v="1"/>
    <x v="1"/>
    <x v="1"/>
    <x v="37"/>
    <x v="0"/>
    <x v="6"/>
    <x v="0"/>
    <x v="104"/>
    <x v="1"/>
    <x v="6"/>
    <x v="250"/>
    <x v="0"/>
    <x v="0"/>
    <x v="0"/>
    <x v="77"/>
    <x v="337"/>
    <x v="3"/>
    <x v="66"/>
    <x v="272"/>
    <x v="348"/>
    <x v="0"/>
    <x v="0"/>
    <x v="344"/>
    <x v="0"/>
    <x v="12"/>
    <x v="0"/>
    <x v="0"/>
    <x v="0"/>
    <x v="0"/>
    <x v="0"/>
    <x v="0"/>
    <x v="0"/>
    <x v="0"/>
  </r>
  <r>
    <x v="623"/>
    <x v="0"/>
    <x v="1"/>
    <x v="0"/>
    <x v="0"/>
    <x v="1"/>
    <x v="617"/>
    <x v="524"/>
    <x v="0"/>
    <x v="2"/>
    <x v="1"/>
    <x v="1"/>
    <x v="37"/>
    <x v="0"/>
    <x v="5"/>
    <x v="0"/>
    <x v="103"/>
    <x v="87"/>
    <x v="5"/>
    <x v="244"/>
    <x v="0"/>
    <x v="0"/>
    <x v="0"/>
    <x v="329"/>
    <x v="338"/>
    <x v="15"/>
    <x v="158"/>
    <x v="273"/>
    <x v="349"/>
    <x v="0"/>
    <x v="0"/>
    <x v="345"/>
    <x v="0"/>
    <x v="12"/>
    <x v="0"/>
    <x v="0"/>
    <x v="0"/>
    <x v="35"/>
    <x v="0"/>
    <x v="0"/>
    <x v="0"/>
    <x v="0"/>
  </r>
  <r>
    <x v="624"/>
    <x v="0"/>
    <x v="1"/>
    <x v="0"/>
    <x v="0"/>
    <x v="1"/>
    <x v="618"/>
    <x v="525"/>
    <x v="0"/>
    <x v="2"/>
    <x v="1"/>
    <x v="1"/>
    <x v="7"/>
    <x v="0"/>
    <x v="0"/>
    <x v="0"/>
    <x v="11"/>
    <x v="7"/>
    <x v="0"/>
    <x v="38"/>
    <x v="0"/>
    <x v="0"/>
    <x v="0"/>
    <x v="275"/>
    <x v="282"/>
    <x v="10"/>
    <x v="19"/>
    <x v="236"/>
    <x v="288"/>
    <x v="19"/>
    <x v="0"/>
    <x v="287"/>
    <x v="0"/>
    <x v="209"/>
    <x v="0"/>
    <x v="0"/>
    <x v="0"/>
    <x v="0"/>
    <x v="0"/>
    <x v="0"/>
    <x v="0"/>
    <x v="0"/>
  </r>
  <r>
    <x v="625"/>
    <x v="0"/>
    <x v="0"/>
    <x v="0"/>
    <x v="0"/>
    <x v="0"/>
    <x v="619"/>
    <x v="526"/>
    <x v="0"/>
    <x v="0"/>
    <x v="50"/>
    <x v="50"/>
    <x v="5"/>
    <x v="0"/>
    <x v="0"/>
    <x v="0"/>
    <x v="32"/>
    <x v="27"/>
    <x v="0"/>
    <x v="46"/>
    <x v="0"/>
    <x v="0"/>
    <x v="0"/>
    <x v="330"/>
    <x v="339"/>
    <x v="9"/>
    <x v="112"/>
    <x v="274"/>
    <x v="350"/>
    <x v="0"/>
    <x v="0"/>
    <x v="346"/>
    <x v="1"/>
    <x v="237"/>
    <x v="0"/>
    <x v="0"/>
    <x v="0"/>
    <x v="0"/>
    <x v="0"/>
    <x v="0"/>
    <x v="0"/>
    <x v="0"/>
  </r>
  <r>
    <x v="626"/>
    <x v="0"/>
    <x v="0"/>
    <x v="0"/>
    <x v="0"/>
    <x v="0"/>
    <x v="620"/>
    <x v="527"/>
    <x v="0"/>
    <x v="0"/>
    <x v="51"/>
    <x v="51"/>
    <x v="15"/>
    <x v="0"/>
    <x v="0"/>
    <x v="0"/>
    <x v="31"/>
    <x v="26"/>
    <x v="0"/>
    <x v="251"/>
    <x v="0"/>
    <x v="0"/>
    <x v="0"/>
    <x v="331"/>
    <x v="340"/>
    <x v="18"/>
    <x v="90"/>
    <x v="275"/>
    <x v="351"/>
    <x v="0"/>
    <x v="0"/>
    <x v="347"/>
    <x v="0"/>
    <x v="238"/>
    <x v="0"/>
    <x v="0"/>
    <x v="0"/>
    <x v="0"/>
    <x v="0"/>
    <x v="0"/>
    <x v="0"/>
    <x v="0"/>
  </r>
  <r>
    <x v="627"/>
    <x v="0"/>
    <x v="1"/>
    <x v="0"/>
    <x v="0"/>
    <x v="1"/>
    <x v="621"/>
    <x v="528"/>
    <x v="0"/>
    <x v="2"/>
    <x v="1"/>
    <x v="1"/>
    <x v="6"/>
    <x v="0"/>
    <x v="0"/>
    <x v="0"/>
    <x v="10"/>
    <x v="6"/>
    <x v="0"/>
    <x v="197"/>
    <x v="0"/>
    <x v="0"/>
    <x v="0"/>
    <x v="332"/>
    <x v="341"/>
    <x v="1"/>
    <x v="14"/>
    <x v="29"/>
    <x v="352"/>
    <x v="0"/>
    <x v="0"/>
    <x v="348"/>
    <x v="0"/>
    <x v="239"/>
    <x v="0"/>
    <x v="0"/>
    <x v="0"/>
    <x v="0"/>
    <x v="0"/>
    <x v="0"/>
    <x v="0"/>
    <x v="0"/>
  </r>
  <r>
    <x v="628"/>
    <x v="0"/>
    <x v="1"/>
    <x v="0"/>
    <x v="0"/>
    <x v="1"/>
    <x v="622"/>
    <x v="529"/>
    <x v="0"/>
    <x v="2"/>
    <x v="1"/>
    <x v="1"/>
    <x v="6"/>
    <x v="0"/>
    <x v="0"/>
    <x v="0"/>
    <x v="10"/>
    <x v="6"/>
    <x v="0"/>
    <x v="216"/>
    <x v="0"/>
    <x v="0"/>
    <x v="0"/>
    <x v="333"/>
    <x v="342"/>
    <x v="8"/>
    <x v="159"/>
    <x v="276"/>
    <x v="353"/>
    <x v="0"/>
    <x v="0"/>
    <x v="349"/>
    <x v="0"/>
    <x v="240"/>
    <x v="0"/>
    <x v="0"/>
    <x v="0"/>
    <x v="0"/>
    <x v="0"/>
    <x v="0"/>
    <x v="0"/>
    <x v="0"/>
  </r>
  <r>
    <x v="629"/>
    <x v="0"/>
    <x v="1"/>
    <x v="1"/>
    <x v="0"/>
    <x v="1"/>
    <x v="623"/>
    <x v="1"/>
    <x v="0"/>
    <x v="1"/>
    <x v="1"/>
    <x v="1"/>
    <x v="6"/>
    <x v="0"/>
    <x v="0"/>
    <x v="0"/>
    <x v="10"/>
    <x v="1"/>
    <x v="0"/>
    <x v="197"/>
    <x v="0"/>
    <x v="0"/>
    <x v="0"/>
    <x v="332"/>
    <x v="341"/>
    <x v="1"/>
    <x v="14"/>
    <x v="29"/>
    <x v="352"/>
    <x v="0"/>
    <x v="0"/>
    <x v="348"/>
    <x v="0"/>
    <x v="239"/>
    <x v="0"/>
    <x v="0"/>
    <x v="0"/>
    <x v="0"/>
    <x v="0"/>
    <x v="0"/>
    <x v="0"/>
    <x v="0"/>
  </r>
  <r>
    <x v="630"/>
    <x v="0"/>
    <x v="1"/>
    <x v="0"/>
    <x v="0"/>
    <x v="1"/>
    <x v="624"/>
    <x v="530"/>
    <x v="0"/>
    <x v="2"/>
    <x v="1"/>
    <x v="1"/>
    <x v="12"/>
    <x v="0"/>
    <x v="0"/>
    <x v="0"/>
    <x v="24"/>
    <x v="19"/>
    <x v="0"/>
    <x v="252"/>
    <x v="0"/>
    <x v="0"/>
    <x v="0"/>
    <x v="334"/>
    <x v="343"/>
    <x v="16"/>
    <x v="160"/>
    <x v="277"/>
    <x v="354"/>
    <x v="20"/>
    <x v="0"/>
    <x v="350"/>
    <x v="0"/>
    <x v="241"/>
    <x v="0"/>
    <x v="0"/>
    <x v="0"/>
    <x v="0"/>
    <x v="0"/>
    <x v="0"/>
    <x v="0"/>
    <x v="0"/>
  </r>
  <r>
    <x v="631"/>
    <x v="0"/>
    <x v="1"/>
    <x v="0"/>
    <x v="0"/>
    <x v="4"/>
    <x v="625"/>
    <x v="531"/>
    <x v="0"/>
    <x v="2"/>
    <x v="1"/>
    <x v="1"/>
    <x v="10"/>
    <x v="0"/>
    <x v="3"/>
    <x v="0"/>
    <x v="30"/>
    <x v="25"/>
    <x v="3"/>
    <x v="17"/>
    <x v="0"/>
    <x v="0"/>
    <x v="0"/>
    <x v="335"/>
    <x v="344"/>
    <x v="26"/>
    <x v="94"/>
    <x v="278"/>
    <x v="355"/>
    <x v="0"/>
    <x v="0"/>
    <x v="351"/>
    <x v="1"/>
    <x v="242"/>
    <x v="0"/>
    <x v="0"/>
    <x v="0"/>
    <x v="0"/>
    <x v="0"/>
    <x v="0"/>
    <x v="0"/>
    <x v="0"/>
  </r>
  <r>
    <x v="632"/>
    <x v="0"/>
    <x v="0"/>
    <x v="0"/>
    <x v="0"/>
    <x v="0"/>
    <x v="626"/>
    <x v="532"/>
    <x v="0"/>
    <x v="0"/>
    <x v="52"/>
    <x v="52"/>
    <x v="5"/>
    <x v="0"/>
    <x v="0"/>
    <x v="0"/>
    <x v="32"/>
    <x v="27"/>
    <x v="0"/>
    <x v="46"/>
    <x v="0"/>
    <x v="0"/>
    <x v="0"/>
    <x v="336"/>
    <x v="345"/>
    <x v="0"/>
    <x v="0"/>
    <x v="279"/>
    <x v="356"/>
    <x v="0"/>
    <x v="0"/>
    <x v="352"/>
    <x v="0"/>
    <x v="243"/>
    <x v="0"/>
    <x v="0"/>
    <x v="0"/>
    <x v="0"/>
    <x v="0"/>
    <x v="0"/>
    <x v="0"/>
    <x v="0"/>
  </r>
  <r>
    <x v="633"/>
    <x v="0"/>
    <x v="1"/>
    <x v="0"/>
    <x v="0"/>
    <x v="1"/>
    <x v="627"/>
    <x v="533"/>
    <x v="0"/>
    <x v="2"/>
    <x v="1"/>
    <x v="1"/>
    <x v="6"/>
    <x v="1"/>
    <x v="0"/>
    <x v="0"/>
    <x v="24"/>
    <x v="19"/>
    <x v="0"/>
    <x v="74"/>
    <x v="0"/>
    <x v="0"/>
    <x v="0"/>
    <x v="337"/>
    <x v="346"/>
    <x v="22"/>
    <x v="149"/>
    <x v="238"/>
    <x v="357"/>
    <x v="0"/>
    <x v="0"/>
    <x v="353"/>
    <x v="0"/>
    <x v="12"/>
    <x v="0"/>
    <x v="0"/>
    <x v="0"/>
    <x v="0"/>
    <x v="0"/>
    <x v="0"/>
    <x v="0"/>
    <x v="0"/>
  </r>
  <r>
    <x v="634"/>
    <x v="0"/>
    <x v="1"/>
    <x v="2"/>
    <x v="0"/>
    <x v="4"/>
    <x v="628"/>
    <x v="534"/>
    <x v="0"/>
    <x v="2"/>
    <x v="1"/>
    <x v="1"/>
    <x v="2"/>
    <x v="0"/>
    <x v="0"/>
    <x v="0"/>
    <x v="5"/>
    <x v="3"/>
    <x v="0"/>
    <x v="44"/>
    <x v="0"/>
    <x v="0"/>
    <x v="0"/>
    <x v="338"/>
    <x v="347"/>
    <x v="0"/>
    <x v="50"/>
    <x v="280"/>
    <x v="358"/>
    <x v="0"/>
    <x v="0"/>
    <x v="354"/>
    <x v="0"/>
    <x v="12"/>
    <x v="0"/>
    <x v="2"/>
    <x v="14"/>
    <x v="0"/>
    <x v="0"/>
    <x v="0"/>
    <x v="0"/>
    <x v="0"/>
  </r>
  <r>
    <x v="635"/>
    <x v="0"/>
    <x v="1"/>
    <x v="0"/>
    <x v="0"/>
    <x v="1"/>
    <x v="629"/>
    <x v="535"/>
    <x v="0"/>
    <x v="2"/>
    <x v="1"/>
    <x v="1"/>
    <x v="6"/>
    <x v="0"/>
    <x v="0"/>
    <x v="0"/>
    <x v="10"/>
    <x v="6"/>
    <x v="0"/>
    <x v="74"/>
    <x v="0"/>
    <x v="0"/>
    <x v="0"/>
    <x v="206"/>
    <x v="212"/>
    <x v="19"/>
    <x v="114"/>
    <x v="179"/>
    <x v="216"/>
    <x v="0"/>
    <x v="0"/>
    <x v="216"/>
    <x v="1"/>
    <x v="164"/>
    <x v="0"/>
    <x v="0"/>
    <x v="0"/>
    <x v="0"/>
    <x v="0"/>
    <x v="0"/>
    <x v="0"/>
    <x v="0"/>
  </r>
  <r>
    <x v="636"/>
    <x v="0"/>
    <x v="1"/>
    <x v="0"/>
    <x v="0"/>
    <x v="1"/>
    <x v="630"/>
    <x v="536"/>
    <x v="0"/>
    <x v="2"/>
    <x v="1"/>
    <x v="1"/>
    <x v="6"/>
    <x v="0"/>
    <x v="3"/>
    <x v="0"/>
    <x v="33"/>
    <x v="31"/>
    <x v="3"/>
    <x v="75"/>
    <x v="0"/>
    <x v="0"/>
    <x v="0"/>
    <x v="270"/>
    <x v="277"/>
    <x v="17"/>
    <x v="147"/>
    <x v="232"/>
    <x v="282"/>
    <x v="0"/>
    <x v="0"/>
    <x v="355"/>
    <x v="0"/>
    <x v="244"/>
    <x v="0"/>
    <x v="0"/>
    <x v="0"/>
    <x v="0"/>
    <x v="0"/>
    <x v="0"/>
    <x v="0"/>
    <x v="0"/>
  </r>
  <r>
    <x v="637"/>
    <x v="0"/>
    <x v="1"/>
    <x v="0"/>
    <x v="0"/>
    <x v="1"/>
    <x v="631"/>
    <x v="537"/>
    <x v="0"/>
    <x v="2"/>
    <x v="1"/>
    <x v="1"/>
    <x v="6"/>
    <x v="0"/>
    <x v="5"/>
    <x v="0"/>
    <x v="41"/>
    <x v="36"/>
    <x v="5"/>
    <x v="130"/>
    <x v="0"/>
    <x v="0"/>
    <x v="0"/>
    <x v="84"/>
    <x v="85"/>
    <x v="0"/>
    <x v="12"/>
    <x v="12"/>
    <x v="87"/>
    <x v="0"/>
    <x v="0"/>
    <x v="85"/>
    <x v="1"/>
    <x v="67"/>
    <x v="0"/>
    <x v="0"/>
    <x v="0"/>
    <x v="0"/>
    <x v="0"/>
    <x v="0"/>
    <x v="0"/>
    <x v="0"/>
  </r>
  <r>
    <x v="638"/>
    <x v="0"/>
    <x v="1"/>
    <x v="0"/>
    <x v="0"/>
    <x v="1"/>
    <x v="632"/>
    <x v="538"/>
    <x v="0"/>
    <x v="2"/>
    <x v="1"/>
    <x v="1"/>
    <x v="6"/>
    <x v="0"/>
    <x v="1"/>
    <x v="0"/>
    <x v="53"/>
    <x v="47"/>
    <x v="1"/>
    <x v="77"/>
    <x v="0"/>
    <x v="0"/>
    <x v="0"/>
    <x v="339"/>
    <x v="348"/>
    <x v="0"/>
    <x v="12"/>
    <x v="12"/>
    <x v="359"/>
    <x v="0"/>
    <x v="0"/>
    <x v="356"/>
    <x v="0"/>
    <x v="245"/>
    <x v="0"/>
    <x v="0"/>
    <x v="0"/>
    <x v="0"/>
    <x v="0"/>
    <x v="0"/>
    <x v="0"/>
    <x v="0"/>
  </r>
  <r>
    <x v="639"/>
    <x v="0"/>
    <x v="1"/>
    <x v="1"/>
    <x v="0"/>
    <x v="1"/>
    <x v="633"/>
    <x v="1"/>
    <x v="0"/>
    <x v="1"/>
    <x v="1"/>
    <x v="1"/>
    <x v="34"/>
    <x v="0"/>
    <x v="3"/>
    <x v="0"/>
    <x v="105"/>
    <x v="1"/>
    <x v="3"/>
    <x v="192"/>
    <x v="0"/>
    <x v="0"/>
    <x v="0"/>
    <x v="275"/>
    <x v="282"/>
    <x v="10"/>
    <x v="19"/>
    <x v="236"/>
    <x v="288"/>
    <x v="0"/>
    <x v="0"/>
    <x v="287"/>
    <x v="0"/>
    <x v="209"/>
    <x v="0"/>
    <x v="0"/>
    <x v="0"/>
    <x v="0"/>
    <x v="0"/>
    <x v="0"/>
    <x v="0"/>
    <x v="0"/>
  </r>
  <r>
    <x v="640"/>
    <x v="0"/>
    <x v="1"/>
    <x v="0"/>
    <x v="0"/>
    <x v="1"/>
    <x v="634"/>
    <x v="539"/>
    <x v="0"/>
    <x v="2"/>
    <x v="1"/>
    <x v="1"/>
    <x v="6"/>
    <x v="0"/>
    <x v="1"/>
    <x v="0"/>
    <x v="53"/>
    <x v="47"/>
    <x v="1"/>
    <x v="248"/>
    <x v="0"/>
    <x v="0"/>
    <x v="0"/>
    <x v="286"/>
    <x v="293"/>
    <x v="24"/>
    <x v="79"/>
    <x v="244"/>
    <x v="300"/>
    <x v="0"/>
    <x v="0"/>
    <x v="298"/>
    <x v="0"/>
    <x v="12"/>
    <x v="0"/>
    <x v="0"/>
    <x v="0"/>
    <x v="0"/>
    <x v="0"/>
    <x v="0"/>
    <x v="0"/>
    <x v="0"/>
  </r>
  <r>
    <x v="641"/>
    <x v="0"/>
    <x v="1"/>
    <x v="0"/>
    <x v="0"/>
    <x v="1"/>
    <x v="635"/>
    <x v="540"/>
    <x v="0"/>
    <x v="2"/>
    <x v="1"/>
    <x v="1"/>
    <x v="6"/>
    <x v="0"/>
    <x v="0"/>
    <x v="0"/>
    <x v="10"/>
    <x v="6"/>
    <x v="0"/>
    <x v="253"/>
    <x v="0"/>
    <x v="0"/>
    <x v="0"/>
    <x v="339"/>
    <x v="348"/>
    <x v="0"/>
    <x v="12"/>
    <x v="12"/>
    <x v="359"/>
    <x v="0"/>
    <x v="0"/>
    <x v="356"/>
    <x v="0"/>
    <x v="245"/>
    <x v="0"/>
    <x v="0"/>
    <x v="0"/>
    <x v="0"/>
    <x v="0"/>
    <x v="0"/>
    <x v="0"/>
    <x v="0"/>
  </r>
  <r>
    <x v="642"/>
    <x v="0"/>
    <x v="1"/>
    <x v="0"/>
    <x v="0"/>
    <x v="1"/>
    <x v="636"/>
    <x v="541"/>
    <x v="0"/>
    <x v="2"/>
    <x v="1"/>
    <x v="1"/>
    <x v="6"/>
    <x v="0"/>
    <x v="0"/>
    <x v="0"/>
    <x v="10"/>
    <x v="6"/>
    <x v="0"/>
    <x v="186"/>
    <x v="0"/>
    <x v="0"/>
    <x v="0"/>
    <x v="340"/>
    <x v="349"/>
    <x v="12"/>
    <x v="100"/>
    <x v="150"/>
    <x v="360"/>
    <x v="0"/>
    <x v="0"/>
    <x v="357"/>
    <x v="0"/>
    <x v="246"/>
    <x v="0"/>
    <x v="0"/>
    <x v="0"/>
    <x v="0"/>
    <x v="0"/>
    <x v="0"/>
    <x v="0"/>
    <x v="0"/>
  </r>
  <r>
    <x v="643"/>
    <x v="0"/>
    <x v="1"/>
    <x v="0"/>
    <x v="0"/>
    <x v="1"/>
    <x v="637"/>
    <x v="542"/>
    <x v="0"/>
    <x v="2"/>
    <x v="1"/>
    <x v="1"/>
    <x v="10"/>
    <x v="0"/>
    <x v="3"/>
    <x v="0"/>
    <x v="30"/>
    <x v="25"/>
    <x v="3"/>
    <x v="254"/>
    <x v="0"/>
    <x v="0"/>
    <x v="0"/>
    <x v="341"/>
    <x v="350"/>
    <x v="12"/>
    <x v="161"/>
    <x v="281"/>
    <x v="361"/>
    <x v="0"/>
    <x v="0"/>
    <x v="358"/>
    <x v="1"/>
    <x v="247"/>
    <x v="0"/>
    <x v="0"/>
    <x v="0"/>
    <x v="0"/>
    <x v="0"/>
    <x v="0"/>
    <x v="0"/>
    <x v="0"/>
  </r>
  <r>
    <x v="644"/>
    <x v="0"/>
    <x v="1"/>
    <x v="0"/>
    <x v="0"/>
    <x v="1"/>
    <x v="638"/>
    <x v="543"/>
    <x v="0"/>
    <x v="2"/>
    <x v="1"/>
    <x v="1"/>
    <x v="2"/>
    <x v="0"/>
    <x v="1"/>
    <x v="0"/>
    <x v="35"/>
    <x v="28"/>
    <x v="1"/>
    <x v="255"/>
    <x v="0"/>
    <x v="0"/>
    <x v="0"/>
    <x v="270"/>
    <x v="277"/>
    <x v="17"/>
    <x v="147"/>
    <x v="232"/>
    <x v="282"/>
    <x v="0"/>
    <x v="0"/>
    <x v="355"/>
    <x v="0"/>
    <x v="244"/>
    <x v="0"/>
    <x v="0"/>
    <x v="0"/>
    <x v="0"/>
    <x v="0"/>
    <x v="0"/>
    <x v="0"/>
    <x v="0"/>
  </r>
  <r>
    <x v="645"/>
    <x v="0"/>
    <x v="1"/>
    <x v="0"/>
    <x v="0"/>
    <x v="1"/>
    <x v="639"/>
    <x v="544"/>
    <x v="0"/>
    <x v="2"/>
    <x v="1"/>
    <x v="1"/>
    <x v="6"/>
    <x v="0"/>
    <x v="0"/>
    <x v="0"/>
    <x v="10"/>
    <x v="6"/>
    <x v="0"/>
    <x v="184"/>
    <x v="0"/>
    <x v="0"/>
    <x v="0"/>
    <x v="342"/>
    <x v="351"/>
    <x v="9"/>
    <x v="120"/>
    <x v="282"/>
    <x v="362"/>
    <x v="0"/>
    <x v="0"/>
    <x v="359"/>
    <x v="0"/>
    <x v="248"/>
    <x v="0"/>
    <x v="0"/>
    <x v="0"/>
    <x v="0"/>
    <x v="0"/>
    <x v="0"/>
    <x v="0"/>
    <x v="0"/>
  </r>
  <r>
    <x v="646"/>
    <x v="0"/>
    <x v="0"/>
    <x v="0"/>
    <x v="0"/>
    <x v="0"/>
    <x v="640"/>
    <x v="545"/>
    <x v="0"/>
    <x v="0"/>
    <x v="53"/>
    <x v="53"/>
    <x v="15"/>
    <x v="0"/>
    <x v="0"/>
    <x v="0"/>
    <x v="31"/>
    <x v="26"/>
    <x v="0"/>
    <x v="256"/>
    <x v="0"/>
    <x v="0"/>
    <x v="0"/>
    <x v="343"/>
    <x v="352"/>
    <x v="20"/>
    <x v="131"/>
    <x v="283"/>
    <x v="363"/>
    <x v="0"/>
    <x v="0"/>
    <x v="360"/>
    <x v="1"/>
    <x v="249"/>
    <x v="0"/>
    <x v="0"/>
    <x v="0"/>
    <x v="0"/>
    <x v="0"/>
    <x v="0"/>
    <x v="0"/>
    <x v="0"/>
  </r>
  <r>
    <x v="647"/>
    <x v="0"/>
    <x v="1"/>
    <x v="0"/>
    <x v="0"/>
    <x v="1"/>
    <x v="641"/>
    <x v="546"/>
    <x v="0"/>
    <x v="2"/>
    <x v="1"/>
    <x v="1"/>
    <x v="34"/>
    <x v="0"/>
    <x v="0"/>
    <x v="0"/>
    <x v="78"/>
    <x v="66"/>
    <x v="0"/>
    <x v="257"/>
    <x v="0"/>
    <x v="0"/>
    <x v="0"/>
    <x v="344"/>
    <x v="353"/>
    <x v="16"/>
    <x v="162"/>
    <x v="284"/>
    <x v="364"/>
    <x v="0"/>
    <x v="0"/>
    <x v="361"/>
    <x v="0"/>
    <x v="12"/>
    <x v="0"/>
    <x v="0"/>
    <x v="0"/>
    <x v="0"/>
    <x v="0"/>
    <x v="0"/>
    <x v="0"/>
    <x v="0"/>
  </r>
  <r>
    <x v="648"/>
    <x v="0"/>
    <x v="1"/>
    <x v="0"/>
    <x v="0"/>
    <x v="1"/>
    <x v="642"/>
    <x v="547"/>
    <x v="0"/>
    <x v="2"/>
    <x v="1"/>
    <x v="1"/>
    <x v="6"/>
    <x v="0"/>
    <x v="1"/>
    <x v="0"/>
    <x v="53"/>
    <x v="47"/>
    <x v="1"/>
    <x v="171"/>
    <x v="0"/>
    <x v="0"/>
    <x v="0"/>
    <x v="328"/>
    <x v="336"/>
    <x v="5"/>
    <x v="41"/>
    <x v="243"/>
    <x v="347"/>
    <x v="0"/>
    <x v="0"/>
    <x v="343"/>
    <x v="0"/>
    <x v="12"/>
    <x v="0"/>
    <x v="0"/>
    <x v="0"/>
    <x v="0"/>
    <x v="0"/>
    <x v="0"/>
    <x v="0"/>
    <x v="0"/>
  </r>
  <r>
    <x v="649"/>
    <x v="0"/>
    <x v="1"/>
    <x v="0"/>
    <x v="0"/>
    <x v="1"/>
    <x v="643"/>
    <x v="548"/>
    <x v="0"/>
    <x v="2"/>
    <x v="1"/>
    <x v="1"/>
    <x v="6"/>
    <x v="0"/>
    <x v="0"/>
    <x v="0"/>
    <x v="10"/>
    <x v="6"/>
    <x v="0"/>
    <x v="170"/>
    <x v="0"/>
    <x v="0"/>
    <x v="0"/>
    <x v="270"/>
    <x v="277"/>
    <x v="17"/>
    <x v="147"/>
    <x v="232"/>
    <x v="282"/>
    <x v="0"/>
    <x v="0"/>
    <x v="355"/>
    <x v="0"/>
    <x v="244"/>
    <x v="0"/>
    <x v="0"/>
    <x v="0"/>
    <x v="0"/>
    <x v="0"/>
    <x v="0"/>
    <x v="0"/>
    <x v="0"/>
  </r>
  <r>
    <x v="650"/>
    <x v="0"/>
    <x v="1"/>
    <x v="2"/>
    <x v="0"/>
    <x v="1"/>
    <x v="644"/>
    <x v="549"/>
    <x v="0"/>
    <x v="2"/>
    <x v="1"/>
    <x v="1"/>
    <x v="12"/>
    <x v="0"/>
    <x v="1"/>
    <x v="0"/>
    <x v="27"/>
    <x v="22"/>
    <x v="1"/>
    <x v="258"/>
    <x v="0"/>
    <x v="0"/>
    <x v="0"/>
    <x v="77"/>
    <x v="337"/>
    <x v="3"/>
    <x v="66"/>
    <x v="272"/>
    <x v="348"/>
    <x v="0"/>
    <x v="0"/>
    <x v="344"/>
    <x v="0"/>
    <x v="12"/>
    <x v="0"/>
    <x v="2"/>
    <x v="15"/>
    <x v="0"/>
    <x v="0"/>
    <x v="0"/>
    <x v="0"/>
    <x v="0"/>
  </r>
  <r>
    <x v="651"/>
    <x v="0"/>
    <x v="1"/>
    <x v="0"/>
    <x v="0"/>
    <x v="1"/>
    <x v="645"/>
    <x v="550"/>
    <x v="0"/>
    <x v="2"/>
    <x v="1"/>
    <x v="1"/>
    <x v="12"/>
    <x v="0"/>
    <x v="5"/>
    <x v="0"/>
    <x v="101"/>
    <x v="88"/>
    <x v="5"/>
    <x v="259"/>
    <x v="0"/>
    <x v="0"/>
    <x v="0"/>
    <x v="329"/>
    <x v="338"/>
    <x v="15"/>
    <x v="158"/>
    <x v="273"/>
    <x v="349"/>
    <x v="0"/>
    <x v="0"/>
    <x v="345"/>
    <x v="0"/>
    <x v="12"/>
    <x v="0"/>
    <x v="0"/>
    <x v="0"/>
    <x v="0"/>
    <x v="0"/>
    <x v="0"/>
    <x v="0"/>
    <x v="0"/>
  </r>
  <r>
    <x v="652"/>
    <x v="0"/>
    <x v="1"/>
    <x v="0"/>
    <x v="0"/>
    <x v="1"/>
    <x v="646"/>
    <x v="551"/>
    <x v="0"/>
    <x v="2"/>
    <x v="1"/>
    <x v="1"/>
    <x v="6"/>
    <x v="0"/>
    <x v="5"/>
    <x v="0"/>
    <x v="41"/>
    <x v="36"/>
    <x v="5"/>
    <x v="195"/>
    <x v="0"/>
    <x v="0"/>
    <x v="0"/>
    <x v="345"/>
    <x v="354"/>
    <x v="3"/>
    <x v="109"/>
    <x v="285"/>
    <x v="365"/>
    <x v="0"/>
    <x v="0"/>
    <x v="362"/>
    <x v="1"/>
    <x v="250"/>
    <x v="0"/>
    <x v="0"/>
    <x v="0"/>
    <x v="0"/>
    <x v="0"/>
    <x v="0"/>
    <x v="0"/>
    <x v="0"/>
  </r>
  <r>
    <x v="653"/>
    <x v="0"/>
    <x v="1"/>
    <x v="0"/>
    <x v="0"/>
    <x v="1"/>
    <x v="647"/>
    <x v="552"/>
    <x v="0"/>
    <x v="2"/>
    <x v="1"/>
    <x v="1"/>
    <x v="12"/>
    <x v="0"/>
    <x v="2"/>
    <x v="0"/>
    <x v="26"/>
    <x v="21"/>
    <x v="2"/>
    <x v="260"/>
    <x v="0"/>
    <x v="0"/>
    <x v="0"/>
    <x v="345"/>
    <x v="354"/>
    <x v="3"/>
    <x v="109"/>
    <x v="285"/>
    <x v="365"/>
    <x v="0"/>
    <x v="0"/>
    <x v="362"/>
    <x v="1"/>
    <x v="250"/>
    <x v="0"/>
    <x v="0"/>
    <x v="0"/>
    <x v="0"/>
    <x v="0"/>
    <x v="0"/>
    <x v="0"/>
    <x v="0"/>
  </r>
  <r>
    <x v="654"/>
    <x v="0"/>
    <x v="1"/>
    <x v="0"/>
    <x v="0"/>
    <x v="1"/>
    <x v="648"/>
    <x v="553"/>
    <x v="0"/>
    <x v="2"/>
    <x v="1"/>
    <x v="1"/>
    <x v="6"/>
    <x v="0"/>
    <x v="0"/>
    <x v="0"/>
    <x v="10"/>
    <x v="6"/>
    <x v="0"/>
    <x v="261"/>
    <x v="0"/>
    <x v="0"/>
    <x v="0"/>
    <x v="77"/>
    <x v="337"/>
    <x v="3"/>
    <x v="66"/>
    <x v="272"/>
    <x v="348"/>
    <x v="0"/>
    <x v="0"/>
    <x v="344"/>
    <x v="0"/>
    <x v="12"/>
    <x v="0"/>
    <x v="0"/>
    <x v="0"/>
    <x v="0"/>
    <x v="0"/>
    <x v="0"/>
    <x v="0"/>
    <x v="0"/>
  </r>
  <r>
    <x v="655"/>
    <x v="0"/>
    <x v="1"/>
    <x v="0"/>
    <x v="0"/>
    <x v="1"/>
    <x v="649"/>
    <x v="554"/>
    <x v="0"/>
    <x v="2"/>
    <x v="1"/>
    <x v="1"/>
    <x v="6"/>
    <x v="0"/>
    <x v="0"/>
    <x v="0"/>
    <x v="10"/>
    <x v="6"/>
    <x v="0"/>
    <x v="130"/>
    <x v="0"/>
    <x v="0"/>
    <x v="0"/>
    <x v="328"/>
    <x v="336"/>
    <x v="5"/>
    <x v="41"/>
    <x v="243"/>
    <x v="347"/>
    <x v="0"/>
    <x v="0"/>
    <x v="343"/>
    <x v="0"/>
    <x v="12"/>
    <x v="0"/>
    <x v="0"/>
    <x v="0"/>
    <x v="0"/>
    <x v="0"/>
    <x v="0"/>
    <x v="0"/>
    <x v="0"/>
  </r>
  <r>
    <x v="656"/>
    <x v="0"/>
    <x v="1"/>
    <x v="1"/>
    <x v="0"/>
    <x v="1"/>
    <x v="650"/>
    <x v="1"/>
    <x v="0"/>
    <x v="1"/>
    <x v="1"/>
    <x v="1"/>
    <x v="6"/>
    <x v="0"/>
    <x v="0"/>
    <x v="0"/>
    <x v="10"/>
    <x v="1"/>
    <x v="0"/>
    <x v="195"/>
    <x v="0"/>
    <x v="0"/>
    <x v="0"/>
    <x v="328"/>
    <x v="336"/>
    <x v="5"/>
    <x v="41"/>
    <x v="243"/>
    <x v="347"/>
    <x v="0"/>
    <x v="0"/>
    <x v="343"/>
    <x v="0"/>
    <x v="12"/>
    <x v="0"/>
    <x v="0"/>
    <x v="0"/>
    <x v="0"/>
    <x v="0"/>
    <x v="0"/>
    <x v="0"/>
    <x v="0"/>
  </r>
  <r>
    <x v="657"/>
    <x v="0"/>
    <x v="1"/>
    <x v="0"/>
    <x v="0"/>
    <x v="1"/>
    <x v="651"/>
    <x v="555"/>
    <x v="0"/>
    <x v="2"/>
    <x v="1"/>
    <x v="1"/>
    <x v="9"/>
    <x v="0"/>
    <x v="0"/>
    <x v="0"/>
    <x v="15"/>
    <x v="10"/>
    <x v="0"/>
    <x v="26"/>
    <x v="0"/>
    <x v="0"/>
    <x v="0"/>
    <x v="346"/>
    <x v="355"/>
    <x v="3"/>
    <x v="109"/>
    <x v="285"/>
    <x v="366"/>
    <x v="0"/>
    <x v="0"/>
    <x v="363"/>
    <x v="1"/>
    <x v="251"/>
    <x v="0"/>
    <x v="0"/>
    <x v="0"/>
    <x v="0"/>
    <x v="0"/>
    <x v="0"/>
    <x v="0"/>
    <x v="0"/>
  </r>
  <r>
    <x v="658"/>
    <x v="0"/>
    <x v="0"/>
    <x v="0"/>
    <x v="0"/>
    <x v="0"/>
    <x v="652"/>
    <x v="556"/>
    <x v="0"/>
    <x v="0"/>
    <x v="54"/>
    <x v="54"/>
    <x v="5"/>
    <x v="0"/>
    <x v="0"/>
    <x v="0"/>
    <x v="32"/>
    <x v="27"/>
    <x v="0"/>
    <x v="46"/>
    <x v="0"/>
    <x v="0"/>
    <x v="0"/>
    <x v="347"/>
    <x v="356"/>
    <x v="0"/>
    <x v="50"/>
    <x v="72"/>
    <x v="367"/>
    <x v="0"/>
    <x v="0"/>
    <x v="364"/>
    <x v="1"/>
    <x v="252"/>
    <x v="0"/>
    <x v="0"/>
    <x v="0"/>
    <x v="0"/>
    <x v="0"/>
    <x v="0"/>
    <x v="0"/>
    <x v="0"/>
  </r>
  <r>
    <x v="659"/>
    <x v="0"/>
    <x v="1"/>
    <x v="0"/>
    <x v="0"/>
    <x v="1"/>
    <x v="653"/>
    <x v="557"/>
    <x v="0"/>
    <x v="2"/>
    <x v="1"/>
    <x v="1"/>
    <x v="34"/>
    <x v="0"/>
    <x v="0"/>
    <x v="0"/>
    <x v="78"/>
    <x v="66"/>
    <x v="0"/>
    <x v="192"/>
    <x v="0"/>
    <x v="0"/>
    <x v="0"/>
    <x v="348"/>
    <x v="357"/>
    <x v="13"/>
    <x v="53"/>
    <x v="286"/>
    <x v="368"/>
    <x v="0"/>
    <x v="0"/>
    <x v="365"/>
    <x v="0"/>
    <x v="12"/>
    <x v="0"/>
    <x v="0"/>
    <x v="0"/>
    <x v="0"/>
    <x v="0"/>
    <x v="0"/>
    <x v="0"/>
    <x v="0"/>
  </r>
  <r>
    <x v="660"/>
    <x v="0"/>
    <x v="1"/>
    <x v="0"/>
    <x v="0"/>
    <x v="1"/>
    <x v="654"/>
    <x v="558"/>
    <x v="0"/>
    <x v="2"/>
    <x v="1"/>
    <x v="1"/>
    <x v="6"/>
    <x v="0"/>
    <x v="15"/>
    <x v="0"/>
    <x v="106"/>
    <x v="89"/>
    <x v="15"/>
    <x v="86"/>
    <x v="0"/>
    <x v="0"/>
    <x v="0"/>
    <x v="349"/>
    <x v="358"/>
    <x v="23"/>
    <x v="75"/>
    <x v="106"/>
    <x v="369"/>
    <x v="0"/>
    <x v="0"/>
    <x v="366"/>
    <x v="1"/>
    <x v="253"/>
    <x v="0"/>
    <x v="0"/>
    <x v="0"/>
    <x v="36"/>
    <x v="0"/>
    <x v="0"/>
    <x v="0"/>
    <x v="0"/>
  </r>
  <r>
    <x v="661"/>
    <x v="0"/>
    <x v="1"/>
    <x v="0"/>
    <x v="0"/>
    <x v="1"/>
    <x v="655"/>
    <x v="559"/>
    <x v="0"/>
    <x v="2"/>
    <x v="1"/>
    <x v="1"/>
    <x v="9"/>
    <x v="0"/>
    <x v="0"/>
    <x v="0"/>
    <x v="15"/>
    <x v="10"/>
    <x v="0"/>
    <x v="21"/>
    <x v="0"/>
    <x v="0"/>
    <x v="0"/>
    <x v="350"/>
    <x v="359"/>
    <x v="3"/>
    <x v="51"/>
    <x v="266"/>
    <x v="370"/>
    <x v="0"/>
    <x v="0"/>
    <x v="367"/>
    <x v="0"/>
    <x v="12"/>
    <x v="0"/>
    <x v="0"/>
    <x v="0"/>
    <x v="0"/>
    <x v="0"/>
    <x v="0"/>
    <x v="0"/>
    <x v="0"/>
  </r>
  <r>
    <x v="662"/>
    <x v="0"/>
    <x v="1"/>
    <x v="0"/>
    <x v="0"/>
    <x v="4"/>
    <x v="656"/>
    <x v="560"/>
    <x v="0"/>
    <x v="2"/>
    <x v="1"/>
    <x v="1"/>
    <x v="9"/>
    <x v="0"/>
    <x v="0"/>
    <x v="0"/>
    <x v="15"/>
    <x v="10"/>
    <x v="0"/>
    <x v="262"/>
    <x v="0"/>
    <x v="0"/>
    <x v="0"/>
    <x v="351"/>
    <x v="360"/>
    <x v="0"/>
    <x v="137"/>
    <x v="218"/>
    <x v="371"/>
    <x v="0"/>
    <x v="0"/>
    <x v="368"/>
    <x v="0"/>
    <x v="254"/>
    <x v="0"/>
    <x v="0"/>
    <x v="0"/>
    <x v="0"/>
    <x v="0"/>
    <x v="0"/>
    <x v="0"/>
    <x v="0"/>
  </r>
  <r>
    <x v="663"/>
    <x v="0"/>
    <x v="1"/>
    <x v="1"/>
    <x v="0"/>
    <x v="1"/>
    <x v="657"/>
    <x v="1"/>
    <x v="0"/>
    <x v="1"/>
    <x v="1"/>
    <x v="1"/>
    <x v="7"/>
    <x v="0"/>
    <x v="0"/>
    <x v="0"/>
    <x v="11"/>
    <x v="1"/>
    <x v="0"/>
    <x v="263"/>
    <x v="0"/>
    <x v="0"/>
    <x v="0"/>
    <x v="261"/>
    <x v="268"/>
    <x v="8"/>
    <x v="142"/>
    <x v="225"/>
    <x v="273"/>
    <x v="0"/>
    <x v="0"/>
    <x v="273"/>
    <x v="1"/>
    <x v="198"/>
    <x v="0"/>
    <x v="0"/>
    <x v="0"/>
    <x v="0"/>
    <x v="0"/>
    <x v="0"/>
    <x v="0"/>
    <x v="0"/>
  </r>
  <r>
    <x v="664"/>
    <x v="0"/>
    <x v="1"/>
    <x v="1"/>
    <x v="0"/>
    <x v="1"/>
    <x v="658"/>
    <x v="1"/>
    <x v="0"/>
    <x v="1"/>
    <x v="1"/>
    <x v="1"/>
    <x v="7"/>
    <x v="0"/>
    <x v="5"/>
    <x v="0"/>
    <x v="20"/>
    <x v="1"/>
    <x v="5"/>
    <x v="263"/>
    <x v="0"/>
    <x v="0"/>
    <x v="0"/>
    <x v="261"/>
    <x v="268"/>
    <x v="8"/>
    <x v="142"/>
    <x v="225"/>
    <x v="273"/>
    <x v="0"/>
    <x v="0"/>
    <x v="273"/>
    <x v="1"/>
    <x v="198"/>
    <x v="0"/>
    <x v="0"/>
    <x v="0"/>
    <x v="0"/>
    <x v="0"/>
    <x v="0"/>
    <x v="0"/>
    <x v="0"/>
  </r>
  <r>
    <x v="665"/>
    <x v="0"/>
    <x v="1"/>
    <x v="0"/>
    <x v="0"/>
    <x v="0"/>
    <x v="659"/>
    <x v="561"/>
    <x v="0"/>
    <x v="0"/>
    <x v="55"/>
    <x v="55"/>
    <x v="20"/>
    <x v="0"/>
    <x v="4"/>
    <x v="0"/>
    <x v="107"/>
    <x v="90"/>
    <x v="4"/>
    <x v="264"/>
    <x v="0"/>
    <x v="0"/>
    <x v="0"/>
    <x v="352"/>
    <x v="361"/>
    <x v="0"/>
    <x v="5"/>
    <x v="287"/>
    <x v="372"/>
    <x v="0"/>
    <x v="0"/>
    <x v="369"/>
    <x v="0"/>
    <x v="255"/>
    <x v="0"/>
    <x v="0"/>
    <x v="0"/>
    <x v="0"/>
    <x v="0"/>
    <x v="0"/>
    <x v="0"/>
    <x v="0"/>
  </r>
  <r>
    <x v="666"/>
    <x v="0"/>
    <x v="1"/>
    <x v="1"/>
    <x v="0"/>
    <x v="1"/>
    <x v="660"/>
    <x v="1"/>
    <x v="0"/>
    <x v="1"/>
    <x v="1"/>
    <x v="1"/>
    <x v="9"/>
    <x v="0"/>
    <x v="0"/>
    <x v="0"/>
    <x v="15"/>
    <x v="1"/>
    <x v="0"/>
    <x v="15"/>
    <x v="0"/>
    <x v="0"/>
    <x v="0"/>
    <x v="190"/>
    <x v="194"/>
    <x v="4"/>
    <x v="106"/>
    <x v="166"/>
    <x v="198"/>
    <x v="0"/>
    <x v="0"/>
    <x v="198"/>
    <x v="1"/>
    <x v="152"/>
    <x v="0"/>
    <x v="0"/>
    <x v="0"/>
    <x v="0"/>
    <x v="0"/>
    <x v="0"/>
    <x v="0"/>
    <x v="0"/>
  </r>
  <r>
    <x v="667"/>
    <x v="0"/>
    <x v="1"/>
    <x v="1"/>
    <x v="0"/>
    <x v="1"/>
    <x v="661"/>
    <x v="1"/>
    <x v="0"/>
    <x v="1"/>
    <x v="1"/>
    <x v="1"/>
    <x v="10"/>
    <x v="0"/>
    <x v="4"/>
    <x v="0"/>
    <x v="18"/>
    <x v="1"/>
    <x v="4"/>
    <x v="228"/>
    <x v="0"/>
    <x v="0"/>
    <x v="0"/>
    <x v="190"/>
    <x v="194"/>
    <x v="4"/>
    <x v="106"/>
    <x v="166"/>
    <x v="198"/>
    <x v="0"/>
    <x v="0"/>
    <x v="198"/>
    <x v="1"/>
    <x v="152"/>
    <x v="0"/>
    <x v="0"/>
    <x v="0"/>
    <x v="0"/>
    <x v="0"/>
    <x v="0"/>
    <x v="0"/>
    <x v="0"/>
  </r>
  <r>
    <x v="668"/>
    <x v="0"/>
    <x v="1"/>
    <x v="0"/>
    <x v="0"/>
    <x v="0"/>
    <x v="662"/>
    <x v="562"/>
    <x v="0"/>
    <x v="0"/>
    <x v="56"/>
    <x v="56"/>
    <x v="9"/>
    <x v="0"/>
    <x v="0"/>
    <x v="0"/>
    <x v="15"/>
    <x v="10"/>
    <x v="0"/>
    <x v="15"/>
    <x v="0"/>
    <x v="0"/>
    <x v="0"/>
    <x v="5"/>
    <x v="362"/>
    <x v="5"/>
    <x v="122"/>
    <x v="288"/>
    <x v="373"/>
    <x v="0"/>
    <x v="0"/>
    <x v="370"/>
    <x v="0"/>
    <x v="256"/>
    <x v="0"/>
    <x v="0"/>
    <x v="0"/>
    <x v="0"/>
    <x v="0"/>
    <x v="0"/>
    <x v="0"/>
    <x v="0"/>
  </r>
  <r>
    <x v="669"/>
    <x v="0"/>
    <x v="1"/>
    <x v="0"/>
    <x v="0"/>
    <x v="1"/>
    <x v="663"/>
    <x v="563"/>
    <x v="0"/>
    <x v="2"/>
    <x v="1"/>
    <x v="1"/>
    <x v="6"/>
    <x v="0"/>
    <x v="1"/>
    <x v="0"/>
    <x v="53"/>
    <x v="47"/>
    <x v="1"/>
    <x v="74"/>
    <x v="0"/>
    <x v="0"/>
    <x v="0"/>
    <x v="353"/>
    <x v="363"/>
    <x v="19"/>
    <x v="40"/>
    <x v="289"/>
    <x v="374"/>
    <x v="0"/>
    <x v="0"/>
    <x v="371"/>
    <x v="0"/>
    <x v="12"/>
    <x v="0"/>
    <x v="0"/>
    <x v="0"/>
    <x v="0"/>
    <x v="0"/>
    <x v="0"/>
    <x v="0"/>
    <x v="0"/>
  </r>
  <r>
    <x v="670"/>
    <x v="0"/>
    <x v="1"/>
    <x v="2"/>
    <x v="0"/>
    <x v="1"/>
    <x v="664"/>
    <x v="564"/>
    <x v="0"/>
    <x v="2"/>
    <x v="1"/>
    <x v="1"/>
    <x v="6"/>
    <x v="0"/>
    <x v="1"/>
    <x v="0"/>
    <x v="53"/>
    <x v="47"/>
    <x v="1"/>
    <x v="130"/>
    <x v="0"/>
    <x v="0"/>
    <x v="0"/>
    <x v="354"/>
    <x v="364"/>
    <x v="21"/>
    <x v="67"/>
    <x v="229"/>
    <x v="375"/>
    <x v="0"/>
    <x v="0"/>
    <x v="372"/>
    <x v="0"/>
    <x v="257"/>
    <x v="0"/>
    <x v="2"/>
    <x v="16"/>
    <x v="0"/>
    <x v="0"/>
    <x v="0"/>
    <x v="0"/>
    <x v="0"/>
  </r>
  <r>
    <x v="671"/>
    <x v="0"/>
    <x v="1"/>
    <x v="0"/>
    <x v="0"/>
    <x v="1"/>
    <x v="665"/>
    <x v="565"/>
    <x v="0"/>
    <x v="2"/>
    <x v="1"/>
    <x v="1"/>
    <x v="6"/>
    <x v="0"/>
    <x v="0"/>
    <x v="0"/>
    <x v="10"/>
    <x v="6"/>
    <x v="0"/>
    <x v="170"/>
    <x v="0"/>
    <x v="0"/>
    <x v="0"/>
    <x v="355"/>
    <x v="365"/>
    <x v="1"/>
    <x v="93"/>
    <x v="290"/>
    <x v="376"/>
    <x v="0"/>
    <x v="0"/>
    <x v="373"/>
    <x v="0"/>
    <x v="12"/>
    <x v="0"/>
    <x v="0"/>
    <x v="0"/>
    <x v="0"/>
    <x v="0"/>
    <x v="0"/>
    <x v="0"/>
    <x v="0"/>
  </r>
  <r>
    <x v="672"/>
    <x v="0"/>
    <x v="1"/>
    <x v="0"/>
    <x v="0"/>
    <x v="1"/>
    <x v="666"/>
    <x v="566"/>
    <x v="0"/>
    <x v="2"/>
    <x v="1"/>
    <x v="1"/>
    <x v="6"/>
    <x v="0"/>
    <x v="0"/>
    <x v="0"/>
    <x v="10"/>
    <x v="6"/>
    <x v="0"/>
    <x v="247"/>
    <x v="0"/>
    <x v="0"/>
    <x v="0"/>
    <x v="356"/>
    <x v="366"/>
    <x v="0"/>
    <x v="50"/>
    <x v="72"/>
    <x v="377"/>
    <x v="0"/>
    <x v="0"/>
    <x v="374"/>
    <x v="0"/>
    <x v="258"/>
    <x v="0"/>
    <x v="0"/>
    <x v="0"/>
    <x v="0"/>
    <x v="0"/>
    <x v="0"/>
    <x v="0"/>
    <x v="0"/>
  </r>
  <r>
    <x v="673"/>
    <x v="0"/>
    <x v="1"/>
    <x v="0"/>
    <x v="0"/>
    <x v="4"/>
    <x v="667"/>
    <x v="567"/>
    <x v="0"/>
    <x v="2"/>
    <x v="1"/>
    <x v="1"/>
    <x v="6"/>
    <x v="0"/>
    <x v="0"/>
    <x v="0"/>
    <x v="10"/>
    <x v="6"/>
    <x v="0"/>
    <x v="265"/>
    <x v="0"/>
    <x v="0"/>
    <x v="0"/>
    <x v="48"/>
    <x v="367"/>
    <x v="13"/>
    <x v="136"/>
    <x v="291"/>
    <x v="378"/>
    <x v="0"/>
    <x v="0"/>
    <x v="375"/>
    <x v="0"/>
    <x v="12"/>
    <x v="0"/>
    <x v="0"/>
    <x v="0"/>
    <x v="0"/>
    <x v="0"/>
    <x v="0"/>
    <x v="0"/>
    <x v="0"/>
  </r>
  <r>
    <x v="674"/>
    <x v="0"/>
    <x v="0"/>
    <x v="0"/>
    <x v="0"/>
    <x v="0"/>
    <x v="668"/>
    <x v="568"/>
    <x v="0"/>
    <x v="0"/>
    <x v="57"/>
    <x v="57"/>
    <x v="5"/>
    <x v="0"/>
    <x v="0"/>
    <x v="0"/>
    <x v="32"/>
    <x v="27"/>
    <x v="0"/>
    <x v="46"/>
    <x v="0"/>
    <x v="0"/>
    <x v="0"/>
    <x v="357"/>
    <x v="368"/>
    <x v="0"/>
    <x v="47"/>
    <x v="56"/>
    <x v="379"/>
    <x v="0"/>
    <x v="0"/>
    <x v="376"/>
    <x v="0"/>
    <x v="259"/>
    <x v="0"/>
    <x v="0"/>
    <x v="0"/>
    <x v="0"/>
    <x v="0"/>
    <x v="0"/>
    <x v="0"/>
    <x v="0"/>
  </r>
  <r>
    <x v="675"/>
    <x v="0"/>
    <x v="0"/>
    <x v="0"/>
    <x v="0"/>
    <x v="0"/>
    <x v="669"/>
    <x v="569"/>
    <x v="0"/>
    <x v="0"/>
    <x v="58"/>
    <x v="58"/>
    <x v="44"/>
    <x v="0"/>
    <x v="0"/>
    <x v="0"/>
    <x v="70"/>
    <x v="60"/>
    <x v="0"/>
    <x v="266"/>
    <x v="0"/>
    <x v="0"/>
    <x v="0"/>
    <x v="61"/>
    <x v="62"/>
    <x v="0"/>
    <x v="24"/>
    <x v="59"/>
    <x v="64"/>
    <x v="0"/>
    <x v="0"/>
    <x v="62"/>
    <x v="0"/>
    <x v="53"/>
    <x v="0"/>
    <x v="0"/>
    <x v="0"/>
    <x v="0"/>
    <x v="0"/>
    <x v="0"/>
    <x v="0"/>
    <x v="0"/>
  </r>
  <r>
    <x v="676"/>
    <x v="0"/>
    <x v="1"/>
    <x v="0"/>
    <x v="0"/>
    <x v="1"/>
    <x v="670"/>
    <x v="570"/>
    <x v="0"/>
    <x v="2"/>
    <x v="1"/>
    <x v="1"/>
    <x v="6"/>
    <x v="0"/>
    <x v="0"/>
    <x v="0"/>
    <x v="10"/>
    <x v="6"/>
    <x v="0"/>
    <x v="86"/>
    <x v="0"/>
    <x v="0"/>
    <x v="0"/>
    <x v="353"/>
    <x v="363"/>
    <x v="19"/>
    <x v="40"/>
    <x v="289"/>
    <x v="374"/>
    <x v="0"/>
    <x v="0"/>
    <x v="371"/>
    <x v="0"/>
    <x v="12"/>
    <x v="0"/>
    <x v="0"/>
    <x v="0"/>
    <x v="0"/>
    <x v="0"/>
    <x v="0"/>
    <x v="0"/>
    <x v="0"/>
  </r>
  <r>
    <x v="677"/>
    <x v="0"/>
    <x v="1"/>
    <x v="0"/>
    <x v="0"/>
    <x v="1"/>
    <x v="671"/>
    <x v="571"/>
    <x v="0"/>
    <x v="2"/>
    <x v="1"/>
    <x v="1"/>
    <x v="10"/>
    <x v="0"/>
    <x v="2"/>
    <x v="0"/>
    <x v="17"/>
    <x v="12"/>
    <x v="2"/>
    <x v="16"/>
    <x v="0"/>
    <x v="0"/>
    <x v="0"/>
    <x v="358"/>
    <x v="369"/>
    <x v="18"/>
    <x v="128"/>
    <x v="292"/>
    <x v="380"/>
    <x v="0"/>
    <x v="0"/>
    <x v="377"/>
    <x v="0"/>
    <x v="260"/>
    <x v="0"/>
    <x v="0"/>
    <x v="0"/>
    <x v="0"/>
    <x v="0"/>
    <x v="0"/>
    <x v="0"/>
    <x v="0"/>
  </r>
  <r>
    <x v="678"/>
    <x v="0"/>
    <x v="0"/>
    <x v="0"/>
    <x v="0"/>
    <x v="0"/>
    <x v="672"/>
    <x v="572"/>
    <x v="0"/>
    <x v="0"/>
    <x v="59"/>
    <x v="59"/>
    <x v="5"/>
    <x v="0"/>
    <x v="0"/>
    <x v="0"/>
    <x v="32"/>
    <x v="27"/>
    <x v="0"/>
    <x v="46"/>
    <x v="0"/>
    <x v="0"/>
    <x v="0"/>
    <x v="359"/>
    <x v="370"/>
    <x v="12"/>
    <x v="161"/>
    <x v="293"/>
    <x v="381"/>
    <x v="0"/>
    <x v="0"/>
    <x v="378"/>
    <x v="1"/>
    <x v="261"/>
    <x v="0"/>
    <x v="0"/>
    <x v="0"/>
    <x v="0"/>
    <x v="0"/>
    <x v="0"/>
    <x v="0"/>
    <x v="0"/>
  </r>
  <r>
    <x v="679"/>
    <x v="0"/>
    <x v="1"/>
    <x v="0"/>
    <x v="0"/>
    <x v="1"/>
    <x v="673"/>
    <x v="573"/>
    <x v="0"/>
    <x v="2"/>
    <x v="1"/>
    <x v="1"/>
    <x v="31"/>
    <x v="0"/>
    <x v="5"/>
    <x v="0"/>
    <x v="100"/>
    <x v="91"/>
    <x v="5"/>
    <x v="267"/>
    <x v="0"/>
    <x v="0"/>
    <x v="0"/>
    <x v="360"/>
    <x v="371"/>
    <x v="1"/>
    <x v="4"/>
    <x v="294"/>
    <x v="382"/>
    <x v="0"/>
    <x v="0"/>
    <x v="379"/>
    <x v="1"/>
    <x v="262"/>
    <x v="0"/>
    <x v="0"/>
    <x v="0"/>
    <x v="0"/>
    <x v="0"/>
    <x v="0"/>
    <x v="0"/>
    <x v="0"/>
  </r>
  <r>
    <x v="680"/>
    <x v="0"/>
    <x v="1"/>
    <x v="1"/>
    <x v="0"/>
    <x v="1"/>
    <x v="674"/>
    <x v="1"/>
    <x v="0"/>
    <x v="1"/>
    <x v="1"/>
    <x v="1"/>
    <x v="6"/>
    <x v="0"/>
    <x v="0"/>
    <x v="0"/>
    <x v="10"/>
    <x v="1"/>
    <x v="0"/>
    <x v="101"/>
    <x v="0"/>
    <x v="0"/>
    <x v="0"/>
    <x v="353"/>
    <x v="363"/>
    <x v="19"/>
    <x v="40"/>
    <x v="289"/>
    <x v="374"/>
    <x v="0"/>
    <x v="0"/>
    <x v="371"/>
    <x v="0"/>
    <x v="12"/>
    <x v="0"/>
    <x v="0"/>
    <x v="0"/>
    <x v="0"/>
    <x v="0"/>
    <x v="0"/>
    <x v="0"/>
    <x v="0"/>
  </r>
  <r>
    <x v="681"/>
    <x v="0"/>
    <x v="1"/>
    <x v="0"/>
    <x v="0"/>
    <x v="1"/>
    <x v="675"/>
    <x v="574"/>
    <x v="0"/>
    <x v="2"/>
    <x v="1"/>
    <x v="1"/>
    <x v="9"/>
    <x v="0"/>
    <x v="0"/>
    <x v="0"/>
    <x v="15"/>
    <x v="10"/>
    <x v="0"/>
    <x v="31"/>
    <x v="0"/>
    <x v="0"/>
    <x v="0"/>
    <x v="361"/>
    <x v="372"/>
    <x v="7"/>
    <x v="107"/>
    <x v="295"/>
    <x v="383"/>
    <x v="0"/>
    <x v="0"/>
    <x v="380"/>
    <x v="0"/>
    <x v="12"/>
    <x v="0"/>
    <x v="0"/>
    <x v="0"/>
    <x v="0"/>
    <x v="0"/>
    <x v="0"/>
    <x v="0"/>
    <x v="0"/>
  </r>
  <r>
    <x v="682"/>
    <x v="0"/>
    <x v="0"/>
    <x v="0"/>
    <x v="0"/>
    <x v="0"/>
    <x v="676"/>
    <x v="575"/>
    <x v="0"/>
    <x v="0"/>
    <x v="60"/>
    <x v="60"/>
    <x v="5"/>
    <x v="0"/>
    <x v="0"/>
    <x v="0"/>
    <x v="32"/>
    <x v="27"/>
    <x v="0"/>
    <x v="46"/>
    <x v="0"/>
    <x v="0"/>
    <x v="0"/>
    <x v="362"/>
    <x v="373"/>
    <x v="9"/>
    <x v="112"/>
    <x v="296"/>
    <x v="384"/>
    <x v="0"/>
    <x v="0"/>
    <x v="381"/>
    <x v="0"/>
    <x v="263"/>
    <x v="0"/>
    <x v="0"/>
    <x v="0"/>
    <x v="0"/>
    <x v="0"/>
    <x v="0"/>
    <x v="0"/>
    <x v="0"/>
  </r>
  <r>
    <x v="683"/>
    <x v="0"/>
    <x v="1"/>
    <x v="1"/>
    <x v="0"/>
    <x v="1"/>
    <x v="677"/>
    <x v="1"/>
    <x v="0"/>
    <x v="1"/>
    <x v="1"/>
    <x v="1"/>
    <x v="6"/>
    <x v="0"/>
    <x v="0"/>
    <x v="0"/>
    <x v="10"/>
    <x v="1"/>
    <x v="0"/>
    <x v="171"/>
    <x v="0"/>
    <x v="0"/>
    <x v="0"/>
    <x v="363"/>
    <x v="374"/>
    <x v="0"/>
    <x v="24"/>
    <x v="129"/>
    <x v="385"/>
    <x v="0"/>
    <x v="0"/>
    <x v="382"/>
    <x v="0"/>
    <x v="12"/>
    <x v="0"/>
    <x v="0"/>
    <x v="0"/>
    <x v="0"/>
    <x v="0"/>
    <x v="0"/>
    <x v="0"/>
    <x v="0"/>
  </r>
  <r>
    <x v="684"/>
    <x v="0"/>
    <x v="1"/>
    <x v="0"/>
    <x v="0"/>
    <x v="1"/>
    <x v="678"/>
    <x v="576"/>
    <x v="0"/>
    <x v="2"/>
    <x v="1"/>
    <x v="1"/>
    <x v="6"/>
    <x v="0"/>
    <x v="0"/>
    <x v="0"/>
    <x v="10"/>
    <x v="6"/>
    <x v="0"/>
    <x v="50"/>
    <x v="0"/>
    <x v="0"/>
    <x v="0"/>
    <x v="129"/>
    <x v="131"/>
    <x v="0"/>
    <x v="24"/>
    <x v="116"/>
    <x v="134"/>
    <x v="0"/>
    <x v="0"/>
    <x v="134"/>
    <x v="0"/>
    <x v="12"/>
    <x v="0"/>
    <x v="0"/>
    <x v="0"/>
    <x v="11"/>
    <x v="0"/>
    <x v="0"/>
    <x v="0"/>
    <x v="0"/>
  </r>
  <r>
    <x v="685"/>
    <x v="0"/>
    <x v="1"/>
    <x v="0"/>
    <x v="0"/>
    <x v="1"/>
    <x v="679"/>
    <x v="577"/>
    <x v="0"/>
    <x v="2"/>
    <x v="1"/>
    <x v="1"/>
    <x v="6"/>
    <x v="0"/>
    <x v="1"/>
    <x v="0"/>
    <x v="53"/>
    <x v="47"/>
    <x v="1"/>
    <x v="268"/>
    <x v="0"/>
    <x v="0"/>
    <x v="0"/>
    <x v="329"/>
    <x v="338"/>
    <x v="15"/>
    <x v="158"/>
    <x v="273"/>
    <x v="349"/>
    <x v="0"/>
    <x v="0"/>
    <x v="345"/>
    <x v="0"/>
    <x v="12"/>
    <x v="0"/>
    <x v="0"/>
    <x v="0"/>
    <x v="37"/>
    <x v="0"/>
    <x v="0"/>
    <x v="0"/>
    <x v="0"/>
  </r>
  <r>
    <x v="686"/>
    <x v="0"/>
    <x v="1"/>
    <x v="0"/>
    <x v="0"/>
    <x v="1"/>
    <x v="680"/>
    <x v="578"/>
    <x v="0"/>
    <x v="2"/>
    <x v="1"/>
    <x v="1"/>
    <x v="4"/>
    <x v="0"/>
    <x v="5"/>
    <x v="0"/>
    <x v="69"/>
    <x v="59"/>
    <x v="5"/>
    <x v="269"/>
    <x v="0"/>
    <x v="0"/>
    <x v="0"/>
    <x v="92"/>
    <x v="93"/>
    <x v="21"/>
    <x v="63"/>
    <x v="85"/>
    <x v="95"/>
    <x v="0"/>
    <x v="0"/>
    <x v="95"/>
    <x v="1"/>
    <x v="72"/>
    <x v="0"/>
    <x v="0"/>
    <x v="0"/>
    <x v="0"/>
    <x v="0"/>
    <x v="0"/>
    <x v="0"/>
    <x v="0"/>
  </r>
  <r>
    <x v="687"/>
    <x v="0"/>
    <x v="1"/>
    <x v="0"/>
    <x v="0"/>
    <x v="1"/>
    <x v="681"/>
    <x v="579"/>
    <x v="0"/>
    <x v="2"/>
    <x v="1"/>
    <x v="1"/>
    <x v="6"/>
    <x v="0"/>
    <x v="0"/>
    <x v="0"/>
    <x v="10"/>
    <x v="6"/>
    <x v="0"/>
    <x v="212"/>
    <x v="0"/>
    <x v="0"/>
    <x v="0"/>
    <x v="358"/>
    <x v="369"/>
    <x v="18"/>
    <x v="128"/>
    <x v="292"/>
    <x v="380"/>
    <x v="0"/>
    <x v="0"/>
    <x v="377"/>
    <x v="0"/>
    <x v="260"/>
    <x v="0"/>
    <x v="0"/>
    <x v="0"/>
    <x v="0"/>
    <x v="0"/>
    <x v="0"/>
    <x v="0"/>
    <x v="0"/>
  </r>
  <r>
    <x v="688"/>
    <x v="0"/>
    <x v="1"/>
    <x v="0"/>
    <x v="0"/>
    <x v="1"/>
    <x v="682"/>
    <x v="580"/>
    <x v="0"/>
    <x v="2"/>
    <x v="1"/>
    <x v="1"/>
    <x v="6"/>
    <x v="0"/>
    <x v="11"/>
    <x v="0"/>
    <x v="60"/>
    <x v="51"/>
    <x v="11"/>
    <x v="212"/>
    <x v="0"/>
    <x v="0"/>
    <x v="0"/>
    <x v="360"/>
    <x v="371"/>
    <x v="1"/>
    <x v="4"/>
    <x v="294"/>
    <x v="382"/>
    <x v="0"/>
    <x v="0"/>
    <x v="379"/>
    <x v="1"/>
    <x v="262"/>
    <x v="0"/>
    <x v="0"/>
    <x v="0"/>
    <x v="0"/>
    <x v="0"/>
    <x v="0"/>
    <x v="0"/>
    <x v="0"/>
  </r>
  <r>
    <x v="689"/>
    <x v="0"/>
    <x v="1"/>
    <x v="1"/>
    <x v="0"/>
    <x v="1"/>
    <x v="683"/>
    <x v="1"/>
    <x v="0"/>
    <x v="1"/>
    <x v="1"/>
    <x v="1"/>
    <x v="6"/>
    <x v="0"/>
    <x v="0"/>
    <x v="0"/>
    <x v="10"/>
    <x v="1"/>
    <x v="0"/>
    <x v="50"/>
    <x v="0"/>
    <x v="0"/>
    <x v="0"/>
    <x v="129"/>
    <x v="131"/>
    <x v="0"/>
    <x v="24"/>
    <x v="116"/>
    <x v="134"/>
    <x v="0"/>
    <x v="0"/>
    <x v="134"/>
    <x v="0"/>
    <x v="12"/>
    <x v="0"/>
    <x v="0"/>
    <x v="0"/>
    <x v="0"/>
    <x v="0"/>
    <x v="0"/>
    <x v="0"/>
    <x v="0"/>
  </r>
  <r>
    <x v="690"/>
    <x v="0"/>
    <x v="0"/>
    <x v="0"/>
    <x v="0"/>
    <x v="0"/>
    <x v="684"/>
    <x v="581"/>
    <x v="0"/>
    <x v="0"/>
    <x v="61"/>
    <x v="61"/>
    <x v="0"/>
    <x v="0"/>
    <x v="0"/>
    <x v="0"/>
    <x v="0"/>
    <x v="0"/>
    <x v="0"/>
    <x v="48"/>
    <x v="0"/>
    <x v="0"/>
    <x v="0"/>
    <x v="364"/>
    <x v="375"/>
    <x v="0"/>
    <x v="50"/>
    <x v="61"/>
    <x v="386"/>
    <x v="0"/>
    <x v="0"/>
    <x v="383"/>
    <x v="1"/>
    <x v="264"/>
    <x v="0"/>
    <x v="0"/>
    <x v="0"/>
    <x v="0"/>
    <x v="0"/>
    <x v="0"/>
    <x v="0"/>
    <x v="0"/>
  </r>
  <r>
    <x v="691"/>
    <x v="0"/>
    <x v="0"/>
    <x v="0"/>
    <x v="0"/>
    <x v="0"/>
    <x v="684"/>
    <x v="581"/>
    <x v="0"/>
    <x v="0"/>
    <x v="61"/>
    <x v="62"/>
    <x v="44"/>
    <x v="0"/>
    <x v="0"/>
    <x v="0"/>
    <x v="70"/>
    <x v="60"/>
    <x v="0"/>
    <x v="270"/>
    <x v="0"/>
    <x v="0"/>
    <x v="0"/>
    <x v="364"/>
    <x v="375"/>
    <x v="0"/>
    <x v="50"/>
    <x v="61"/>
    <x v="386"/>
    <x v="0"/>
    <x v="0"/>
    <x v="383"/>
    <x v="1"/>
    <x v="264"/>
    <x v="0"/>
    <x v="0"/>
    <x v="0"/>
    <x v="0"/>
    <x v="0"/>
    <x v="0"/>
    <x v="0"/>
    <x v="0"/>
  </r>
  <r>
    <x v="692"/>
    <x v="0"/>
    <x v="1"/>
    <x v="1"/>
    <x v="0"/>
    <x v="1"/>
    <x v="685"/>
    <x v="1"/>
    <x v="0"/>
    <x v="1"/>
    <x v="1"/>
    <x v="1"/>
    <x v="6"/>
    <x v="0"/>
    <x v="0"/>
    <x v="0"/>
    <x v="10"/>
    <x v="1"/>
    <x v="0"/>
    <x v="212"/>
    <x v="0"/>
    <x v="0"/>
    <x v="0"/>
    <x v="358"/>
    <x v="369"/>
    <x v="18"/>
    <x v="128"/>
    <x v="292"/>
    <x v="380"/>
    <x v="0"/>
    <x v="0"/>
    <x v="377"/>
    <x v="0"/>
    <x v="260"/>
    <x v="0"/>
    <x v="0"/>
    <x v="0"/>
    <x v="0"/>
    <x v="0"/>
    <x v="0"/>
    <x v="0"/>
    <x v="0"/>
  </r>
  <r>
    <x v="693"/>
    <x v="0"/>
    <x v="1"/>
    <x v="0"/>
    <x v="0"/>
    <x v="1"/>
    <x v="686"/>
    <x v="582"/>
    <x v="0"/>
    <x v="2"/>
    <x v="1"/>
    <x v="1"/>
    <x v="6"/>
    <x v="0"/>
    <x v="0"/>
    <x v="0"/>
    <x v="10"/>
    <x v="6"/>
    <x v="0"/>
    <x v="253"/>
    <x v="0"/>
    <x v="0"/>
    <x v="0"/>
    <x v="365"/>
    <x v="376"/>
    <x v="13"/>
    <x v="28"/>
    <x v="32"/>
    <x v="387"/>
    <x v="0"/>
    <x v="0"/>
    <x v="384"/>
    <x v="1"/>
    <x v="265"/>
    <x v="0"/>
    <x v="0"/>
    <x v="0"/>
    <x v="0"/>
    <x v="0"/>
    <x v="0"/>
    <x v="0"/>
    <x v="0"/>
  </r>
  <r>
    <x v="694"/>
    <x v="0"/>
    <x v="1"/>
    <x v="0"/>
    <x v="0"/>
    <x v="1"/>
    <x v="687"/>
    <x v="583"/>
    <x v="0"/>
    <x v="2"/>
    <x v="1"/>
    <x v="1"/>
    <x v="6"/>
    <x v="0"/>
    <x v="0"/>
    <x v="0"/>
    <x v="10"/>
    <x v="6"/>
    <x v="0"/>
    <x v="80"/>
    <x v="0"/>
    <x v="0"/>
    <x v="0"/>
    <x v="366"/>
    <x v="377"/>
    <x v="0"/>
    <x v="12"/>
    <x v="118"/>
    <x v="388"/>
    <x v="0"/>
    <x v="0"/>
    <x v="385"/>
    <x v="0"/>
    <x v="12"/>
    <x v="0"/>
    <x v="0"/>
    <x v="0"/>
    <x v="0"/>
    <x v="0"/>
    <x v="0"/>
    <x v="0"/>
    <x v="0"/>
  </r>
  <r>
    <x v="695"/>
    <x v="0"/>
    <x v="1"/>
    <x v="1"/>
    <x v="0"/>
    <x v="1"/>
    <x v="688"/>
    <x v="1"/>
    <x v="0"/>
    <x v="1"/>
    <x v="1"/>
    <x v="1"/>
    <x v="6"/>
    <x v="0"/>
    <x v="5"/>
    <x v="0"/>
    <x v="41"/>
    <x v="1"/>
    <x v="5"/>
    <x v="253"/>
    <x v="0"/>
    <x v="0"/>
    <x v="0"/>
    <x v="365"/>
    <x v="376"/>
    <x v="13"/>
    <x v="28"/>
    <x v="32"/>
    <x v="387"/>
    <x v="0"/>
    <x v="0"/>
    <x v="384"/>
    <x v="1"/>
    <x v="265"/>
    <x v="0"/>
    <x v="0"/>
    <x v="0"/>
    <x v="0"/>
    <x v="0"/>
    <x v="0"/>
    <x v="0"/>
    <x v="0"/>
  </r>
  <r>
    <x v="696"/>
    <x v="0"/>
    <x v="1"/>
    <x v="0"/>
    <x v="0"/>
    <x v="1"/>
    <x v="689"/>
    <x v="584"/>
    <x v="0"/>
    <x v="2"/>
    <x v="1"/>
    <x v="1"/>
    <x v="6"/>
    <x v="0"/>
    <x v="0"/>
    <x v="0"/>
    <x v="10"/>
    <x v="6"/>
    <x v="0"/>
    <x v="249"/>
    <x v="0"/>
    <x v="0"/>
    <x v="0"/>
    <x v="367"/>
    <x v="378"/>
    <x v="23"/>
    <x v="75"/>
    <x v="106"/>
    <x v="389"/>
    <x v="0"/>
    <x v="0"/>
    <x v="386"/>
    <x v="0"/>
    <x v="12"/>
    <x v="0"/>
    <x v="0"/>
    <x v="0"/>
    <x v="0"/>
    <x v="0"/>
    <x v="0"/>
    <x v="0"/>
    <x v="0"/>
  </r>
  <r>
    <x v="697"/>
    <x v="0"/>
    <x v="1"/>
    <x v="0"/>
    <x v="0"/>
    <x v="1"/>
    <x v="690"/>
    <x v="585"/>
    <x v="0"/>
    <x v="2"/>
    <x v="1"/>
    <x v="1"/>
    <x v="6"/>
    <x v="0"/>
    <x v="0"/>
    <x v="0"/>
    <x v="10"/>
    <x v="6"/>
    <x v="0"/>
    <x v="271"/>
    <x v="0"/>
    <x v="0"/>
    <x v="0"/>
    <x v="368"/>
    <x v="379"/>
    <x v="5"/>
    <x v="83"/>
    <x v="297"/>
    <x v="390"/>
    <x v="0"/>
    <x v="0"/>
    <x v="387"/>
    <x v="0"/>
    <x v="12"/>
    <x v="0"/>
    <x v="0"/>
    <x v="0"/>
    <x v="0"/>
    <x v="0"/>
    <x v="0"/>
    <x v="0"/>
    <x v="0"/>
  </r>
  <r>
    <x v="698"/>
    <x v="0"/>
    <x v="1"/>
    <x v="0"/>
    <x v="0"/>
    <x v="1"/>
    <x v="691"/>
    <x v="586"/>
    <x v="0"/>
    <x v="2"/>
    <x v="1"/>
    <x v="1"/>
    <x v="6"/>
    <x v="0"/>
    <x v="0"/>
    <x v="0"/>
    <x v="10"/>
    <x v="6"/>
    <x v="0"/>
    <x v="74"/>
    <x v="0"/>
    <x v="0"/>
    <x v="0"/>
    <x v="360"/>
    <x v="380"/>
    <x v="1"/>
    <x v="4"/>
    <x v="298"/>
    <x v="391"/>
    <x v="21"/>
    <x v="0"/>
    <x v="379"/>
    <x v="0"/>
    <x v="12"/>
    <x v="0"/>
    <x v="0"/>
    <x v="0"/>
    <x v="0"/>
    <x v="0"/>
    <x v="0"/>
    <x v="0"/>
    <x v="0"/>
  </r>
  <r>
    <x v="699"/>
    <x v="0"/>
    <x v="1"/>
    <x v="0"/>
    <x v="0"/>
    <x v="1"/>
    <x v="692"/>
    <x v="587"/>
    <x v="0"/>
    <x v="2"/>
    <x v="1"/>
    <x v="1"/>
    <x v="6"/>
    <x v="0"/>
    <x v="0"/>
    <x v="0"/>
    <x v="10"/>
    <x v="6"/>
    <x v="0"/>
    <x v="50"/>
    <x v="0"/>
    <x v="0"/>
    <x v="0"/>
    <x v="369"/>
    <x v="381"/>
    <x v="0"/>
    <x v="50"/>
    <x v="61"/>
    <x v="392"/>
    <x v="0"/>
    <x v="0"/>
    <x v="388"/>
    <x v="0"/>
    <x v="12"/>
    <x v="0"/>
    <x v="0"/>
    <x v="0"/>
    <x v="0"/>
    <x v="0"/>
    <x v="0"/>
    <x v="0"/>
    <x v="0"/>
  </r>
  <r>
    <x v="700"/>
    <x v="0"/>
    <x v="1"/>
    <x v="0"/>
    <x v="0"/>
    <x v="1"/>
    <x v="693"/>
    <x v="588"/>
    <x v="0"/>
    <x v="2"/>
    <x v="1"/>
    <x v="1"/>
    <x v="7"/>
    <x v="0"/>
    <x v="14"/>
    <x v="0"/>
    <x v="6"/>
    <x v="92"/>
    <x v="14"/>
    <x v="36"/>
    <x v="0"/>
    <x v="0"/>
    <x v="0"/>
    <x v="370"/>
    <x v="382"/>
    <x v="0"/>
    <x v="127"/>
    <x v="208"/>
    <x v="393"/>
    <x v="22"/>
    <x v="0"/>
    <x v="389"/>
    <x v="0"/>
    <x v="12"/>
    <x v="0"/>
    <x v="0"/>
    <x v="0"/>
    <x v="0"/>
    <x v="0"/>
    <x v="0"/>
    <x v="0"/>
    <x v="0"/>
  </r>
  <r>
    <x v="701"/>
    <x v="0"/>
    <x v="1"/>
    <x v="0"/>
    <x v="0"/>
    <x v="4"/>
    <x v="694"/>
    <x v="589"/>
    <x v="0"/>
    <x v="2"/>
    <x v="1"/>
    <x v="1"/>
    <x v="6"/>
    <x v="0"/>
    <x v="5"/>
    <x v="0"/>
    <x v="41"/>
    <x v="36"/>
    <x v="5"/>
    <x v="233"/>
    <x v="0"/>
    <x v="0"/>
    <x v="0"/>
    <x v="365"/>
    <x v="376"/>
    <x v="13"/>
    <x v="28"/>
    <x v="57"/>
    <x v="394"/>
    <x v="0"/>
    <x v="0"/>
    <x v="384"/>
    <x v="1"/>
    <x v="265"/>
    <x v="0"/>
    <x v="0"/>
    <x v="0"/>
    <x v="0"/>
    <x v="0"/>
    <x v="0"/>
    <x v="0"/>
    <x v="0"/>
  </r>
  <r>
    <x v="702"/>
    <x v="0"/>
    <x v="1"/>
    <x v="0"/>
    <x v="0"/>
    <x v="1"/>
    <x v="695"/>
    <x v="590"/>
    <x v="0"/>
    <x v="2"/>
    <x v="1"/>
    <x v="1"/>
    <x v="6"/>
    <x v="0"/>
    <x v="0"/>
    <x v="0"/>
    <x v="10"/>
    <x v="6"/>
    <x v="0"/>
    <x v="74"/>
    <x v="0"/>
    <x v="0"/>
    <x v="0"/>
    <x v="329"/>
    <x v="338"/>
    <x v="15"/>
    <x v="158"/>
    <x v="273"/>
    <x v="349"/>
    <x v="0"/>
    <x v="0"/>
    <x v="345"/>
    <x v="0"/>
    <x v="12"/>
    <x v="0"/>
    <x v="0"/>
    <x v="0"/>
    <x v="38"/>
    <x v="0"/>
    <x v="0"/>
    <x v="0"/>
    <x v="0"/>
  </r>
  <r>
    <x v="703"/>
    <x v="0"/>
    <x v="1"/>
    <x v="0"/>
    <x v="0"/>
    <x v="1"/>
    <x v="696"/>
    <x v="591"/>
    <x v="0"/>
    <x v="2"/>
    <x v="1"/>
    <x v="1"/>
    <x v="5"/>
    <x v="0"/>
    <x v="6"/>
    <x v="0"/>
    <x v="108"/>
    <x v="93"/>
    <x v="6"/>
    <x v="8"/>
    <x v="0"/>
    <x v="0"/>
    <x v="0"/>
    <x v="17"/>
    <x v="17"/>
    <x v="9"/>
    <x v="16"/>
    <x v="17"/>
    <x v="17"/>
    <x v="0"/>
    <x v="0"/>
    <x v="17"/>
    <x v="1"/>
    <x v="12"/>
    <x v="0"/>
    <x v="0"/>
    <x v="0"/>
    <x v="0"/>
    <x v="0"/>
    <x v="0"/>
    <x v="0"/>
    <x v="0"/>
  </r>
  <r>
    <x v="704"/>
    <x v="0"/>
    <x v="1"/>
    <x v="0"/>
    <x v="0"/>
    <x v="1"/>
    <x v="697"/>
    <x v="592"/>
    <x v="0"/>
    <x v="2"/>
    <x v="1"/>
    <x v="1"/>
    <x v="9"/>
    <x v="0"/>
    <x v="0"/>
    <x v="0"/>
    <x v="15"/>
    <x v="10"/>
    <x v="0"/>
    <x v="22"/>
    <x v="0"/>
    <x v="0"/>
    <x v="0"/>
    <x v="371"/>
    <x v="383"/>
    <x v="5"/>
    <x v="41"/>
    <x v="299"/>
    <x v="395"/>
    <x v="0"/>
    <x v="0"/>
    <x v="390"/>
    <x v="0"/>
    <x v="12"/>
    <x v="0"/>
    <x v="0"/>
    <x v="0"/>
    <x v="0"/>
    <x v="0"/>
    <x v="0"/>
    <x v="0"/>
    <x v="0"/>
  </r>
  <r>
    <x v="705"/>
    <x v="0"/>
    <x v="1"/>
    <x v="0"/>
    <x v="0"/>
    <x v="1"/>
    <x v="698"/>
    <x v="593"/>
    <x v="0"/>
    <x v="2"/>
    <x v="1"/>
    <x v="1"/>
    <x v="7"/>
    <x v="0"/>
    <x v="5"/>
    <x v="0"/>
    <x v="20"/>
    <x v="15"/>
    <x v="5"/>
    <x v="28"/>
    <x v="0"/>
    <x v="0"/>
    <x v="0"/>
    <x v="354"/>
    <x v="364"/>
    <x v="21"/>
    <x v="67"/>
    <x v="229"/>
    <x v="375"/>
    <x v="0"/>
    <x v="0"/>
    <x v="372"/>
    <x v="0"/>
    <x v="257"/>
    <x v="0"/>
    <x v="0"/>
    <x v="0"/>
    <x v="0"/>
    <x v="0"/>
    <x v="0"/>
    <x v="0"/>
    <x v="0"/>
  </r>
  <r>
    <x v="706"/>
    <x v="0"/>
    <x v="0"/>
    <x v="2"/>
    <x v="0"/>
    <x v="0"/>
    <x v="699"/>
    <x v="594"/>
    <x v="0"/>
    <x v="0"/>
    <x v="62"/>
    <x v="63"/>
    <x v="44"/>
    <x v="0"/>
    <x v="0"/>
    <x v="0"/>
    <x v="70"/>
    <x v="60"/>
    <x v="0"/>
    <x v="272"/>
    <x v="0"/>
    <x v="0"/>
    <x v="0"/>
    <x v="372"/>
    <x v="384"/>
    <x v="5"/>
    <x v="83"/>
    <x v="122"/>
    <x v="396"/>
    <x v="0"/>
    <x v="0"/>
    <x v="391"/>
    <x v="0"/>
    <x v="266"/>
    <x v="0"/>
    <x v="2"/>
    <x v="17"/>
    <x v="0"/>
    <x v="0"/>
    <x v="0"/>
    <x v="0"/>
    <x v="0"/>
  </r>
  <r>
    <x v="707"/>
    <x v="0"/>
    <x v="0"/>
    <x v="0"/>
    <x v="0"/>
    <x v="0"/>
    <x v="700"/>
    <x v="595"/>
    <x v="0"/>
    <x v="0"/>
    <x v="63"/>
    <x v="64"/>
    <x v="0"/>
    <x v="0"/>
    <x v="0"/>
    <x v="0"/>
    <x v="0"/>
    <x v="0"/>
    <x v="0"/>
    <x v="0"/>
    <x v="0"/>
    <x v="0"/>
    <x v="0"/>
    <x v="373"/>
    <x v="385"/>
    <x v="0"/>
    <x v="7"/>
    <x v="300"/>
    <x v="397"/>
    <x v="0"/>
    <x v="0"/>
    <x v="392"/>
    <x v="0"/>
    <x v="267"/>
    <x v="0"/>
    <x v="0"/>
    <x v="0"/>
    <x v="0"/>
    <x v="0"/>
    <x v="0"/>
    <x v="0"/>
    <x v="0"/>
  </r>
  <r>
    <x v="708"/>
    <x v="0"/>
    <x v="1"/>
    <x v="0"/>
    <x v="0"/>
    <x v="1"/>
    <x v="701"/>
    <x v="596"/>
    <x v="0"/>
    <x v="2"/>
    <x v="1"/>
    <x v="1"/>
    <x v="6"/>
    <x v="0"/>
    <x v="0"/>
    <x v="0"/>
    <x v="10"/>
    <x v="6"/>
    <x v="0"/>
    <x v="186"/>
    <x v="0"/>
    <x v="0"/>
    <x v="0"/>
    <x v="324"/>
    <x v="332"/>
    <x v="8"/>
    <x v="157"/>
    <x v="269"/>
    <x v="398"/>
    <x v="0"/>
    <x v="0"/>
    <x v="339"/>
    <x v="0"/>
    <x v="12"/>
    <x v="0"/>
    <x v="0"/>
    <x v="0"/>
    <x v="0"/>
    <x v="0"/>
    <x v="0"/>
    <x v="0"/>
    <x v="0"/>
  </r>
  <r>
    <x v="709"/>
    <x v="0"/>
    <x v="1"/>
    <x v="2"/>
    <x v="0"/>
    <x v="1"/>
    <x v="702"/>
    <x v="597"/>
    <x v="0"/>
    <x v="2"/>
    <x v="1"/>
    <x v="1"/>
    <x v="9"/>
    <x v="0"/>
    <x v="0"/>
    <x v="0"/>
    <x v="15"/>
    <x v="10"/>
    <x v="0"/>
    <x v="15"/>
    <x v="0"/>
    <x v="0"/>
    <x v="0"/>
    <x v="374"/>
    <x v="386"/>
    <x v="26"/>
    <x v="94"/>
    <x v="301"/>
    <x v="399"/>
    <x v="0"/>
    <x v="0"/>
    <x v="393"/>
    <x v="1"/>
    <x v="268"/>
    <x v="0"/>
    <x v="2"/>
    <x v="18"/>
    <x v="0"/>
    <x v="0"/>
    <x v="0"/>
    <x v="0"/>
    <x v="0"/>
  </r>
  <r>
    <x v="710"/>
    <x v="0"/>
    <x v="0"/>
    <x v="0"/>
    <x v="0"/>
    <x v="0"/>
    <x v="703"/>
    <x v="598"/>
    <x v="0"/>
    <x v="0"/>
    <x v="64"/>
    <x v="65"/>
    <x v="15"/>
    <x v="0"/>
    <x v="0"/>
    <x v="0"/>
    <x v="31"/>
    <x v="26"/>
    <x v="0"/>
    <x v="251"/>
    <x v="0"/>
    <x v="0"/>
    <x v="0"/>
    <x v="375"/>
    <x v="387"/>
    <x v="24"/>
    <x v="79"/>
    <x v="113"/>
    <x v="400"/>
    <x v="0"/>
    <x v="0"/>
    <x v="394"/>
    <x v="1"/>
    <x v="269"/>
    <x v="0"/>
    <x v="0"/>
    <x v="0"/>
    <x v="0"/>
    <x v="0"/>
    <x v="0"/>
    <x v="0"/>
    <x v="0"/>
  </r>
  <r>
    <x v="711"/>
    <x v="0"/>
    <x v="1"/>
    <x v="0"/>
    <x v="0"/>
    <x v="1"/>
    <x v="704"/>
    <x v="599"/>
    <x v="0"/>
    <x v="2"/>
    <x v="1"/>
    <x v="1"/>
    <x v="37"/>
    <x v="0"/>
    <x v="0"/>
    <x v="0"/>
    <x v="88"/>
    <x v="75"/>
    <x v="0"/>
    <x v="273"/>
    <x v="0"/>
    <x v="0"/>
    <x v="0"/>
    <x v="370"/>
    <x v="382"/>
    <x v="0"/>
    <x v="127"/>
    <x v="208"/>
    <x v="393"/>
    <x v="23"/>
    <x v="0"/>
    <x v="389"/>
    <x v="0"/>
    <x v="12"/>
    <x v="0"/>
    <x v="0"/>
    <x v="0"/>
    <x v="0"/>
    <x v="0"/>
    <x v="0"/>
    <x v="0"/>
    <x v="0"/>
  </r>
  <r>
    <x v="712"/>
    <x v="0"/>
    <x v="0"/>
    <x v="0"/>
    <x v="0"/>
    <x v="0"/>
    <x v="705"/>
    <x v="600"/>
    <x v="0"/>
    <x v="0"/>
    <x v="65"/>
    <x v="66"/>
    <x v="5"/>
    <x v="0"/>
    <x v="0"/>
    <x v="0"/>
    <x v="32"/>
    <x v="27"/>
    <x v="0"/>
    <x v="46"/>
    <x v="0"/>
    <x v="0"/>
    <x v="0"/>
    <x v="376"/>
    <x v="388"/>
    <x v="18"/>
    <x v="163"/>
    <x v="302"/>
    <x v="401"/>
    <x v="0"/>
    <x v="0"/>
    <x v="395"/>
    <x v="0"/>
    <x v="270"/>
    <x v="0"/>
    <x v="0"/>
    <x v="0"/>
    <x v="0"/>
    <x v="0"/>
    <x v="0"/>
    <x v="0"/>
    <x v="0"/>
  </r>
  <r>
    <x v="713"/>
    <x v="0"/>
    <x v="1"/>
    <x v="0"/>
    <x v="0"/>
    <x v="1"/>
    <x v="706"/>
    <x v="601"/>
    <x v="0"/>
    <x v="2"/>
    <x v="1"/>
    <x v="1"/>
    <x v="6"/>
    <x v="0"/>
    <x v="0"/>
    <x v="0"/>
    <x v="10"/>
    <x v="6"/>
    <x v="0"/>
    <x v="171"/>
    <x v="0"/>
    <x v="0"/>
    <x v="0"/>
    <x v="354"/>
    <x v="364"/>
    <x v="21"/>
    <x v="67"/>
    <x v="229"/>
    <x v="375"/>
    <x v="0"/>
    <x v="0"/>
    <x v="396"/>
    <x v="0"/>
    <x v="257"/>
    <x v="0"/>
    <x v="0"/>
    <x v="0"/>
    <x v="0"/>
    <x v="0"/>
    <x v="0"/>
    <x v="0"/>
    <x v="0"/>
  </r>
  <r>
    <x v="714"/>
    <x v="0"/>
    <x v="1"/>
    <x v="1"/>
    <x v="0"/>
    <x v="1"/>
    <x v="707"/>
    <x v="1"/>
    <x v="0"/>
    <x v="1"/>
    <x v="1"/>
    <x v="1"/>
    <x v="6"/>
    <x v="0"/>
    <x v="0"/>
    <x v="0"/>
    <x v="10"/>
    <x v="1"/>
    <x v="0"/>
    <x v="200"/>
    <x v="0"/>
    <x v="0"/>
    <x v="0"/>
    <x v="329"/>
    <x v="338"/>
    <x v="15"/>
    <x v="158"/>
    <x v="273"/>
    <x v="349"/>
    <x v="0"/>
    <x v="0"/>
    <x v="397"/>
    <x v="0"/>
    <x v="12"/>
    <x v="0"/>
    <x v="0"/>
    <x v="0"/>
    <x v="0"/>
    <x v="0"/>
    <x v="0"/>
    <x v="0"/>
    <x v="0"/>
  </r>
  <r>
    <x v="715"/>
    <x v="0"/>
    <x v="1"/>
    <x v="1"/>
    <x v="0"/>
    <x v="1"/>
    <x v="708"/>
    <x v="1"/>
    <x v="0"/>
    <x v="1"/>
    <x v="1"/>
    <x v="1"/>
    <x v="37"/>
    <x v="0"/>
    <x v="0"/>
    <x v="0"/>
    <x v="88"/>
    <x v="1"/>
    <x v="0"/>
    <x v="273"/>
    <x v="0"/>
    <x v="0"/>
    <x v="0"/>
    <x v="370"/>
    <x v="382"/>
    <x v="0"/>
    <x v="127"/>
    <x v="208"/>
    <x v="393"/>
    <x v="0"/>
    <x v="0"/>
    <x v="389"/>
    <x v="0"/>
    <x v="12"/>
    <x v="0"/>
    <x v="0"/>
    <x v="0"/>
    <x v="0"/>
    <x v="0"/>
    <x v="0"/>
    <x v="0"/>
    <x v="0"/>
  </r>
  <r>
    <x v="716"/>
    <x v="0"/>
    <x v="1"/>
    <x v="0"/>
    <x v="0"/>
    <x v="1"/>
    <x v="709"/>
    <x v="602"/>
    <x v="0"/>
    <x v="2"/>
    <x v="1"/>
    <x v="1"/>
    <x v="6"/>
    <x v="0"/>
    <x v="0"/>
    <x v="0"/>
    <x v="10"/>
    <x v="6"/>
    <x v="0"/>
    <x v="221"/>
    <x v="0"/>
    <x v="0"/>
    <x v="0"/>
    <x v="377"/>
    <x v="389"/>
    <x v="0"/>
    <x v="24"/>
    <x v="59"/>
    <x v="402"/>
    <x v="24"/>
    <x v="0"/>
    <x v="398"/>
    <x v="0"/>
    <x v="271"/>
    <x v="0"/>
    <x v="0"/>
    <x v="0"/>
    <x v="0"/>
    <x v="0"/>
    <x v="0"/>
    <x v="0"/>
    <x v="0"/>
  </r>
  <r>
    <x v="717"/>
    <x v="0"/>
    <x v="1"/>
    <x v="0"/>
    <x v="0"/>
    <x v="1"/>
    <x v="710"/>
    <x v="603"/>
    <x v="0"/>
    <x v="2"/>
    <x v="1"/>
    <x v="1"/>
    <x v="9"/>
    <x v="0"/>
    <x v="0"/>
    <x v="0"/>
    <x v="15"/>
    <x v="10"/>
    <x v="0"/>
    <x v="37"/>
    <x v="0"/>
    <x v="0"/>
    <x v="0"/>
    <x v="378"/>
    <x v="364"/>
    <x v="21"/>
    <x v="67"/>
    <x v="229"/>
    <x v="375"/>
    <x v="0"/>
    <x v="0"/>
    <x v="399"/>
    <x v="0"/>
    <x v="12"/>
    <x v="0"/>
    <x v="0"/>
    <x v="0"/>
    <x v="0"/>
    <x v="0"/>
    <x v="0"/>
    <x v="0"/>
    <x v="0"/>
  </r>
  <r>
    <x v="718"/>
    <x v="0"/>
    <x v="0"/>
    <x v="0"/>
    <x v="0"/>
    <x v="0"/>
    <x v="711"/>
    <x v="604"/>
    <x v="0"/>
    <x v="0"/>
    <x v="66"/>
    <x v="67"/>
    <x v="5"/>
    <x v="0"/>
    <x v="0"/>
    <x v="0"/>
    <x v="32"/>
    <x v="27"/>
    <x v="0"/>
    <x v="46"/>
    <x v="0"/>
    <x v="0"/>
    <x v="0"/>
    <x v="379"/>
    <x v="390"/>
    <x v="0"/>
    <x v="60"/>
    <x v="303"/>
    <x v="403"/>
    <x v="0"/>
    <x v="0"/>
    <x v="400"/>
    <x v="0"/>
    <x v="272"/>
    <x v="0"/>
    <x v="0"/>
    <x v="0"/>
    <x v="0"/>
    <x v="0"/>
    <x v="0"/>
    <x v="0"/>
    <x v="0"/>
  </r>
  <r>
    <x v="719"/>
    <x v="0"/>
    <x v="1"/>
    <x v="0"/>
    <x v="0"/>
    <x v="1"/>
    <x v="712"/>
    <x v="605"/>
    <x v="0"/>
    <x v="2"/>
    <x v="1"/>
    <x v="1"/>
    <x v="9"/>
    <x v="0"/>
    <x v="0"/>
    <x v="0"/>
    <x v="15"/>
    <x v="10"/>
    <x v="0"/>
    <x v="15"/>
    <x v="0"/>
    <x v="0"/>
    <x v="0"/>
    <x v="273"/>
    <x v="280"/>
    <x v="13"/>
    <x v="148"/>
    <x v="234"/>
    <x v="285"/>
    <x v="0"/>
    <x v="0"/>
    <x v="285"/>
    <x v="0"/>
    <x v="207"/>
    <x v="0"/>
    <x v="0"/>
    <x v="0"/>
    <x v="0"/>
    <x v="0"/>
    <x v="0"/>
    <x v="0"/>
    <x v="0"/>
  </r>
  <r>
    <x v="720"/>
    <x v="0"/>
    <x v="1"/>
    <x v="0"/>
    <x v="0"/>
    <x v="1"/>
    <x v="713"/>
    <x v="606"/>
    <x v="0"/>
    <x v="2"/>
    <x v="1"/>
    <x v="1"/>
    <x v="9"/>
    <x v="0"/>
    <x v="0"/>
    <x v="0"/>
    <x v="15"/>
    <x v="10"/>
    <x v="0"/>
    <x v="140"/>
    <x v="0"/>
    <x v="0"/>
    <x v="0"/>
    <x v="380"/>
    <x v="391"/>
    <x v="5"/>
    <x v="41"/>
    <x v="145"/>
    <x v="404"/>
    <x v="0"/>
    <x v="0"/>
    <x v="401"/>
    <x v="0"/>
    <x v="12"/>
    <x v="0"/>
    <x v="0"/>
    <x v="0"/>
    <x v="0"/>
    <x v="0"/>
    <x v="0"/>
    <x v="0"/>
    <x v="0"/>
  </r>
  <r>
    <x v="721"/>
    <x v="0"/>
    <x v="0"/>
    <x v="0"/>
    <x v="0"/>
    <x v="0"/>
    <x v="714"/>
    <x v="607"/>
    <x v="0"/>
    <x v="0"/>
    <x v="67"/>
    <x v="68"/>
    <x v="45"/>
    <x v="0"/>
    <x v="0"/>
    <x v="0"/>
    <x v="59"/>
    <x v="50"/>
    <x v="0"/>
    <x v="274"/>
    <x v="0"/>
    <x v="0"/>
    <x v="0"/>
    <x v="381"/>
    <x v="392"/>
    <x v="1"/>
    <x v="164"/>
    <x v="304"/>
    <x v="405"/>
    <x v="0"/>
    <x v="0"/>
    <x v="402"/>
    <x v="0"/>
    <x v="273"/>
    <x v="0"/>
    <x v="0"/>
    <x v="0"/>
    <x v="0"/>
    <x v="0"/>
    <x v="0"/>
    <x v="0"/>
    <x v="0"/>
  </r>
  <r>
    <x v="722"/>
    <x v="0"/>
    <x v="1"/>
    <x v="1"/>
    <x v="0"/>
    <x v="1"/>
    <x v="715"/>
    <x v="1"/>
    <x v="0"/>
    <x v="1"/>
    <x v="1"/>
    <x v="1"/>
    <x v="37"/>
    <x v="0"/>
    <x v="0"/>
    <x v="0"/>
    <x v="88"/>
    <x v="1"/>
    <x v="0"/>
    <x v="273"/>
    <x v="0"/>
    <x v="0"/>
    <x v="0"/>
    <x v="370"/>
    <x v="382"/>
    <x v="0"/>
    <x v="127"/>
    <x v="208"/>
    <x v="393"/>
    <x v="0"/>
    <x v="0"/>
    <x v="389"/>
    <x v="0"/>
    <x v="12"/>
    <x v="0"/>
    <x v="0"/>
    <x v="0"/>
    <x v="0"/>
    <x v="0"/>
    <x v="0"/>
    <x v="0"/>
    <x v="0"/>
  </r>
  <r>
    <x v="723"/>
    <x v="0"/>
    <x v="1"/>
    <x v="1"/>
    <x v="0"/>
    <x v="1"/>
    <x v="716"/>
    <x v="1"/>
    <x v="0"/>
    <x v="1"/>
    <x v="1"/>
    <x v="1"/>
    <x v="6"/>
    <x v="0"/>
    <x v="0"/>
    <x v="0"/>
    <x v="10"/>
    <x v="1"/>
    <x v="0"/>
    <x v="101"/>
    <x v="0"/>
    <x v="0"/>
    <x v="0"/>
    <x v="377"/>
    <x v="389"/>
    <x v="0"/>
    <x v="24"/>
    <x v="59"/>
    <x v="402"/>
    <x v="0"/>
    <x v="0"/>
    <x v="403"/>
    <x v="0"/>
    <x v="12"/>
    <x v="0"/>
    <x v="0"/>
    <x v="0"/>
    <x v="0"/>
    <x v="0"/>
    <x v="0"/>
    <x v="0"/>
    <x v="0"/>
  </r>
  <r>
    <x v="724"/>
    <x v="0"/>
    <x v="1"/>
    <x v="0"/>
    <x v="0"/>
    <x v="1"/>
    <x v="717"/>
    <x v="608"/>
    <x v="0"/>
    <x v="2"/>
    <x v="1"/>
    <x v="1"/>
    <x v="9"/>
    <x v="0"/>
    <x v="0"/>
    <x v="0"/>
    <x v="15"/>
    <x v="10"/>
    <x v="0"/>
    <x v="31"/>
    <x v="0"/>
    <x v="0"/>
    <x v="0"/>
    <x v="382"/>
    <x v="393"/>
    <x v="0"/>
    <x v="7"/>
    <x v="305"/>
    <x v="406"/>
    <x v="0"/>
    <x v="0"/>
    <x v="404"/>
    <x v="0"/>
    <x v="274"/>
    <x v="0"/>
    <x v="0"/>
    <x v="0"/>
    <x v="0"/>
    <x v="0"/>
    <x v="0"/>
    <x v="0"/>
    <x v="0"/>
  </r>
  <r>
    <x v="725"/>
    <x v="0"/>
    <x v="0"/>
    <x v="0"/>
    <x v="0"/>
    <x v="0"/>
    <x v="718"/>
    <x v="609"/>
    <x v="0"/>
    <x v="0"/>
    <x v="68"/>
    <x v="69"/>
    <x v="45"/>
    <x v="0"/>
    <x v="0"/>
    <x v="0"/>
    <x v="59"/>
    <x v="50"/>
    <x v="0"/>
    <x v="274"/>
    <x v="0"/>
    <x v="0"/>
    <x v="0"/>
    <x v="383"/>
    <x v="394"/>
    <x v="0"/>
    <x v="50"/>
    <x v="72"/>
    <x v="407"/>
    <x v="0"/>
    <x v="0"/>
    <x v="405"/>
    <x v="1"/>
    <x v="275"/>
    <x v="0"/>
    <x v="0"/>
    <x v="0"/>
    <x v="0"/>
    <x v="0"/>
    <x v="0"/>
    <x v="0"/>
    <x v="0"/>
  </r>
  <r>
    <x v="726"/>
    <x v="0"/>
    <x v="0"/>
    <x v="0"/>
    <x v="0"/>
    <x v="0"/>
    <x v="719"/>
    <x v="610"/>
    <x v="0"/>
    <x v="0"/>
    <x v="69"/>
    <x v="70"/>
    <x v="45"/>
    <x v="0"/>
    <x v="0"/>
    <x v="0"/>
    <x v="59"/>
    <x v="50"/>
    <x v="0"/>
    <x v="274"/>
    <x v="0"/>
    <x v="0"/>
    <x v="0"/>
    <x v="384"/>
    <x v="395"/>
    <x v="9"/>
    <x v="120"/>
    <x v="306"/>
    <x v="408"/>
    <x v="0"/>
    <x v="0"/>
    <x v="406"/>
    <x v="0"/>
    <x v="276"/>
    <x v="0"/>
    <x v="0"/>
    <x v="0"/>
    <x v="0"/>
    <x v="0"/>
    <x v="0"/>
    <x v="0"/>
    <x v="0"/>
  </r>
  <r>
    <x v="727"/>
    <x v="0"/>
    <x v="0"/>
    <x v="0"/>
    <x v="0"/>
    <x v="0"/>
    <x v="720"/>
    <x v="611"/>
    <x v="0"/>
    <x v="0"/>
    <x v="70"/>
    <x v="71"/>
    <x v="15"/>
    <x v="0"/>
    <x v="0"/>
    <x v="0"/>
    <x v="31"/>
    <x v="26"/>
    <x v="0"/>
    <x v="275"/>
    <x v="0"/>
    <x v="0"/>
    <x v="0"/>
    <x v="352"/>
    <x v="396"/>
    <x v="0"/>
    <x v="50"/>
    <x v="72"/>
    <x v="409"/>
    <x v="0"/>
    <x v="0"/>
    <x v="407"/>
    <x v="0"/>
    <x v="277"/>
    <x v="0"/>
    <x v="0"/>
    <x v="0"/>
    <x v="0"/>
    <x v="0"/>
    <x v="0"/>
    <x v="0"/>
    <x v="0"/>
  </r>
  <r>
    <x v="728"/>
    <x v="0"/>
    <x v="1"/>
    <x v="0"/>
    <x v="0"/>
    <x v="1"/>
    <x v="721"/>
    <x v="612"/>
    <x v="0"/>
    <x v="2"/>
    <x v="1"/>
    <x v="1"/>
    <x v="34"/>
    <x v="0"/>
    <x v="1"/>
    <x v="0"/>
    <x v="97"/>
    <x v="94"/>
    <x v="1"/>
    <x v="257"/>
    <x v="0"/>
    <x v="0"/>
    <x v="0"/>
    <x v="385"/>
    <x v="397"/>
    <x v="13"/>
    <x v="148"/>
    <x v="307"/>
    <x v="410"/>
    <x v="0"/>
    <x v="0"/>
    <x v="408"/>
    <x v="0"/>
    <x v="12"/>
    <x v="0"/>
    <x v="0"/>
    <x v="0"/>
    <x v="0"/>
    <x v="0"/>
    <x v="0"/>
    <x v="0"/>
    <x v="0"/>
  </r>
  <r>
    <x v="729"/>
    <x v="0"/>
    <x v="1"/>
    <x v="0"/>
    <x v="0"/>
    <x v="1"/>
    <x v="722"/>
    <x v="613"/>
    <x v="0"/>
    <x v="2"/>
    <x v="1"/>
    <x v="1"/>
    <x v="6"/>
    <x v="0"/>
    <x v="5"/>
    <x v="0"/>
    <x v="41"/>
    <x v="36"/>
    <x v="5"/>
    <x v="249"/>
    <x v="0"/>
    <x v="0"/>
    <x v="0"/>
    <x v="92"/>
    <x v="93"/>
    <x v="21"/>
    <x v="63"/>
    <x v="85"/>
    <x v="95"/>
    <x v="0"/>
    <x v="0"/>
    <x v="95"/>
    <x v="1"/>
    <x v="72"/>
    <x v="0"/>
    <x v="0"/>
    <x v="0"/>
    <x v="0"/>
    <x v="0"/>
    <x v="0"/>
    <x v="0"/>
    <x v="0"/>
  </r>
  <r>
    <x v="730"/>
    <x v="0"/>
    <x v="1"/>
    <x v="2"/>
    <x v="0"/>
    <x v="1"/>
    <x v="723"/>
    <x v="614"/>
    <x v="0"/>
    <x v="2"/>
    <x v="1"/>
    <x v="1"/>
    <x v="6"/>
    <x v="0"/>
    <x v="0"/>
    <x v="0"/>
    <x v="10"/>
    <x v="6"/>
    <x v="0"/>
    <x v="184"/>
    <x v="0"/>
    <x v="0"/>
    <x v="0"/>
    <x v="385"/>
    <x v="397"/>
    <x v="13"/>
    <x v="148"/>
    <x v="307"/>
    <x v="410"/>
    <x v="0"/>
    <x v="0"/>
    <x v="408"/>
    <x v="0"/>
    <x v="12"/>
    <x v="0"/>
    <x v="2"/>
    <x v="7"/>
    <x v="0"/>
    <x v="0"/>
    <x v="0"/>
    <x v="0"/>
    <x v="0"/>
  </r>
  <r>
    <x v="731"/>
    <x v="0"/>
    <x v="1"/>
    <x v="1"/>
    <x v="0"/>
    <x v="1"/>
    <x v="724"/>
    <x v="1"/>
    <x v="0"/>
    <x v="1"/>
    <x v="1"/>
    <x v="1"/>
    <x v="9"/>
    <x v="0"/>
    <x v="0"/>
    <x v="0"/>
    <x v="15"/>
    <x v="1"/>
    <x v="0"/>
    <x v="37"/>
    <x v="0"/>
    <x v="0"/>
    <x v="0"/>
    <x v="386"/>
    <x v="398"/>
    <x v="9"/>
    <x v="16"/>
    <x v="17"/>
    <x v="411"/>
    <x v="0"/>
    <x v="0"/>
    <x v="409"/>
    <x v="0"/>
    <x v="12"/>
    <x v="0"/>
    <x v="0"/>
    <x v="0"/>
    <x v="0"/>
    <x v="0"/>
    <x v="0"/>
    <x v="0"/>
    <x v="0"/>
  </r>
  <r>
    <x v="732"/>
    <x v="0"/>
    <x v="1"/>
    <x v="0"/>
    <x v="0"/>
    <x v="1"/>
    <x v="725"/>
    <x v="615"/>
    <x v="0"/>
    <x v="2"/>
    <x v="1"/>
    <x v="1"/>
    <x v="6"/>
    <x v="0"/>
    <x v="0"/>
    <x v="0"/>
    <x v="10"/>
    <x v="6"/>
    <x v="0"/>
    <x v="186"/>
    <x v="0"/>
    <x v="0"/>
    <x v="0"/>
    <x v="387"/>
    <x v="399"/>
    <x v="10"/>
    <x v="19"/>
    <x v="229"/>
    <x v="412"/>
    <x v="0"/>
    <x v="0"/>
    <x v="410"/>
    <x v="0"/>
    <x v="12"/>
    <x v="0"/>
    <x v="0"/>
    <x v="0"/>
    <x v="0"/>
    <x v="0"/>
    <x v="0"/>
    <x v="0"/>
    <x v="0"/>
  </r>
  <r>
    <x v="733"/>
    <x v="0"/>
    <x v="1"/>
    <x v="1"/>
    <x v="0"/>
    <x v="1"/>
    <x v="726"/>
    <x v="1"/>
    <x v="0"/>
    <x v="1"/>
    <x v="1"/>
    <x v="1"/>
    <x v="9"/>
    <x v="1"/>
    <x v="0"/>
    <x v="0"/>
    <x v="43"/>
    <x v="1"/>
    <x v="0"/>
    <x v="37"/>
    <x v="0"/>
    <x v="0"/>
    <x v="0"/>
    <x v="388"/>
    <x v="400"/>
    <x v="22"/>
    <x v="149"/>
    <x v="308"/>
    <x v="413"/>
    <x v="0"/>
    <x v="0"/>
    <x v="411"/>
    <x v="0"/>
    <x v="278"/>
    <x v="0"/>
    <x v="0"/>
    <x v="0"/>
    <x v="0"/>
    <x v="0"/>
    <x v="0"/>
    <x v="0"/>
    <x v="0"/>
  </r>
  <r>
    <x v="734"/>
    <x v="0"/>
    <x v="1"/>
    <x v="0"/>
    <x v="0"/>
    <x v="1"/>
    <x v="727"/>
    <x v="616"/>
    <x v="0"/>
    <x v="2"/>
    <x v="1"/>
    <x v="1"/>
    <x v="9"/>
    <x v="0"/>
    <x v="0"/>
    <x v="0"/>
    <x v="15"/>
    <x v="10"/>
    <x v="0"/>
    <x v="31"/>
    <x v="0"/>
    <x v="0"/>
    <x v="0"/>
    <x v="334"/>
    <x v="343"/>
    <x v="16"/>
    <x v="160"/>
    <x v="277"/>
    <x v="414"/>
    <x v="0"/>
    <x v="0"/>
    <x v="412"/>
    <x v="0"/>
    <x v="12"/>
    <x v="0"/>
    <x v="0"/>
    <x v="0"/>
    <x v="0"/>
    <x v="0"/>
    <x v="0"/>
    <x v="0"/>
    <x v="0"/>
  </r>
  <r>
    <x v="735"/>
    <x v="0"/>
    <x v="1"/>
    <x v="1"/>
    <x v="0"/>
    <x v="1"/>
    <x v="728"/>
    <x v="1"/>
    <x v="0"/>
    <x v="1"/>
    <x v="1"/>
    <x v="1"/>
    <x v="9"/>
    <x v="0"/>
    <x v="0"/>
    <x v="0"/>
    <x v="15"/>
    <x v="1"/>
    <x v="0"/>
    <x v="53"/>
    <x v="0"/>
    <x v="0"/>
    <x v="0"/>
    <x v="334"/>
    <x v="343"/>
    <x v="16"/>
    <x v="160"/>
    <x v="277"/>
    <x v="414"/>
    <x v="0"/>
    <x v="0"/>
    <x v="412"/>
    <x v="0"/>
    <x v="12"/>
    <x v="0"/>
    <x v="0"/>
    <x v="0"/>
    <x v="0"/>
    <x v="0"/>
    <x v="0"/>
    <x v="0"/>
    <x v="0"/>
  </r>
  <r>
    <x v="736"/>
    <x v="0"/>
    <x v="1"/>
    <x v="0"/>
    <x v="0"/>
    <x v="4"/>
    <x v="729"/>
    <x v="617"/>
    <x v="0"/>
    <x v="2"/>
    <x v="1"/>
    <x v="1"/>
    <x v="9"/>
    <x v="0"/>
    <x v="0"/>
    <x v="0"/>
    <x v="15"/>
    <x v="10"/>
    <x v="0"/>
    <x v="73"/>
    <x v="0"/>
    <x v="0"/>
    <x v="0"/>
    <x v="389"/>
    <x v="401"/>
    <x v="23"/>
    <x v="75"/>
    <x v="309"/>
    <x v="415"/>
    <x v="0"/>
    <x v="0"/>
    <x v="413"/>
    <x v="1"/>
    <x v="279"/>
    <x v="0"/>
    <x v="0"/>
    <x v="0"/>
    <x v="0"/>
    <x v="0"/>
    <x v="0"/>
    <x v="0"/>
    <x v="0"/>
  </r>
  <r>
    <x v="737"/>
    <x v="0"/>
    <x v="1"/>
    <x v="0"/>
    <x v="0"/>
    <x v="1"/>
    <x v="730"/>
    <x v="618"/>
    <x v="0"/>
    <x v="2"/>
    <x v="1"/>
    <x v="1"/>
    <x v="9"/>
    <x v="0"/>
    <x v="0"/>
    <x v="0"/>
    <x v="15"/>
    <x v="10"/>
    <x v="0"/>
    <x v="24"/>
    <x v="0"/>
    <x v="0"/>
    <x v="0"/>
    <x v="390"/>
    <x v="402"/>
    <x v="0"/>
    <x v="12"/>
    <x v="118"/>
    <x v="416"/>
    <x v="0"/>
    <x v="0"/>
    <x v="414"/>
    <x v="1"/>
    <x v="280"/>
    <x v="0"/>
    <x v="0"/>
    <x v="0"/>
    <x v="0"/>
    <x v="0"/>
    <x v="0"/>
    <x v="0"/>
    <x v="0"/>
  </r>
  <r>
    <x v="738"/>
    <x v="0"/>
    <x v="1"/>
    <x v="0"/>
    <x v="0"/>
    <x v="0"/>
    <x v="731"/>
    <x v="619"/>
    <x v="0"/>
    <x v="0"/>
    <x v="71"/>
    <x v="72"/>
    <x v="5"/>
    <x v="0"/>
    <x v="1"/>
    <x v="0"/>
    <x v="50"/>
    <x v="44"/>
    <x v="1"/>
    <x v="276"/>
    <x v="0"/>
    <x v="0"/>
    <x v="0"/>
    <x v="320"/>
    <x v="328"/>
    <x v="13"/>
    <x v="55"/>
    <x v="119"/>
    <x v="339"/>
    <x v="25"/>
    <x v="0"/>
    <x v="415"/>
    <x v="0"/>
    <x v="281"/>
    <x v="0"/>
    <x v="0"/>
    <x v="0"/>
    <x v="0"/>
    <x v="0"/>
    <x v="0"/>
    <x v="0"/>
    <x v="0"/>
  </r>
  <r>
    <x v="739"/>
    <x v="0"/>
    <x v="1"/>
    <x v="0"/>
    <x v="0"/>
    <x v="1"/>
    <x v="732"/>
    <x v="620"/>
    <x v="0"/>
    <x v="2"/>
    <x v="1"/>
    <x v="1"/>
    <x v="10"/>
    <x v="0"/>
    <x v="0"/>
    <x v="0"/>
    <x v="16"/>
    <x v="11"/>
    <x v="0"/>
    <x v="277"/>
    <x v="0"/>
    <x v="0"/>
    <x v="0"/>
    <x v="320"/>
    <x v="328"/>
    <x v="13"/>
    <x v="55"/>
    <x v="119"/>
    <x v="339"/>
    <x v="0"/>
    <x v="0"/>
    <x v="415"/>
    <x v="0"/>
    <x v="281"/>
    <x v="0"/>
    <x v="0"/>
    <x v="0"/>
    <x v="0"/>
    <x v="0"/>
    <x v="0"/>
    <x v="0"/>
    <x v="0"/>
  </r>
  <r>
    <x v="740"/>
    <x v="0"/>
    <x v="1"/>
    <x v="0"/>
    <x v="0"/>
    <x v="3"/>
    <x v="733"/>
    <x v="621"/>
    <x v="0"/>
    <x v="0"/>
    <x v="72"/>
    <x v="73"/>
    <x v="20"/>
    <x v="0"/>
    <x v="0"/>
    <x v="0"/>
    <x v="46"/>
    <x v="41"/>
    <x v="0"/>
    <x v="278"/>
    <x v="0"/>
    <x v="0"/>
    <x v="0"/>
    <x v="48"/>
    <x v="403"/>
    <x v="7"/>
    <x v="76"/>
    <x v="310"/>
    <x v="417"/>
    <x v="0"/>
    <x v="0"/>
    <x v="416"/>
    <x v="1"/>
    <x v="282"/>
    <x v="0"/>
    <x v="0"/>
    <x v="0"/>
    <x v="0"/>
    <x v="0"/>
    <x v="0"/>
    <x v="0"/>
    <x v="0"/>
  </r>
  <r>
    <x v="741"/>
    <x v="0"/>
    <x v="1"/>
    <x v="0"/>
    <x v="0"/>
    <x v="1"/>
    <x v="734"/>
    <x v="622"/>
    <x v="0"/>
    <x v="2"/>
    <x v="1"/>
    <x v="1"/>
    <x v="6"/>
    <x v="0"/>
    <x v="0"/>
    <x v="0"/>
    <x v="10"/>
    <x v="6"/>
    <x v="0"/>
    <x v="279"/>
    <x v="0"/>
    <x v="0"/>
    <x v="0"/>
    <x v="244"/>
    <x v="251"/>
    <x v="0"/>
    <x v="7"/>
    <x v="212"/>
    <x v="256"/>
    <x v="0"/>
    <x v="0"/>
    <x v="256"/>
    <x v="0"/>
    <x v="12"/>
    <x v="0"/>
    <x v="0"/>
    <x v="0"/>
    <x v="0"/>
    <x v="0"/>
    <x v="0"/>
    <x v="0"/>
    <x v="0"/>
  </r>
  <r>
    <x v="742"/>
    <x v="0"/>
    <x v="1"/>
    <x v="0"/>
    <x v="0"/>
    <x v="1"/>
    <x v="735"/>
    <x v="623"/>
    <x v="0"/>
    <x v="2"/>
    <x v="1"/>
    <x v="1"/>
    <x v="6"/>
    <x v="0"/>
    <x v="5"/>
    <x v="0"/>
    <x v="41"/>
    <x v="36"/>
    <x v="5"/>
    <x v="280"/>
    <x v="0"/>
    <x v="0"/>
    <x v="0"/>
    <x v="391"/>
    <x v="404"/>
    <x v="0"/>
    <x v="165"/>
    <x v="311"/>
    <x v="418"/>
    <x v="0"/>
    <x v="0"/>
    <x v="417"/>
    <x v="1"/>
    <x v="283"/>
    <x v="0"/>
    <x v="0"/>
    <x v="0"/>
    <x v="0"/>
    <x v="0"/>
    <x v="0"/>
    <x v="0"/>
    <x v="0"/>
  </r>
  <r>
    <x v="743"/>
    <x v="0"/>
    <x v="1"/>
    <x v="0"/>
    <x v="0"/>
    <x v="1"/>
    <x v="736"/>
    <x v="624"/>
    <x v="0"/>
    <x v="2"/>
    <x v="1"/>
    <x v="1"/>
    <x v="46"/>
    <x v="0"/>
    <x v="0"/>
    <x v="0"/>
    <x v="109"/>
    <x v="95"/>
    <x v="0"/>
    <x v="281"/>
    <x v="0"/>
    <x v="0"/>
    <x v="0"/>
    <x v="392"/>
    <x v="405"/>
    <x v="0"/>
    <x v="50"/>
    <x v="72"/>
    <x v="419"/>
    <x v="0"/>
    <x v="0"/>
    <x v="418"/>
    <x v="0"/>
    <x v="12"/>
    <x v="0"/>
    <x v="0"/>
    <x v="0"/>
    <x v="0"/>
    <x v="0"/>
    <x v="0"/>
    <x v="0"/>
    <x v="0"/>
  </r>
  <r>
    <x v="744"/>
    <x v="0"/>
    <x v="1"/>
    <x v="0"/>
    <x v="0"/>
    <x v="1"/>
    <x v="737"/>
    <x v="625"/>
    <x v="0"/>
    <x v="2"/>
    <x v="1"/>
    <x v="1"/>
    <x v="46"/>
    <x v="0"/>
    <x v="1"/>
    <x v="0"/>
    <x v="110"/>
    <x v="96"/>
    <x v="1"/>
    <x v="282"/>
    <x v="0"/>
    <x v="0"/>
    <x v="0"/>
    <x v="393"/>
    <x v="406"/>
    <x v="20"/>
    <x v="131"/>
    <x v="312"/>
    <x v="420"/>
    <x v="0"/>
    <x v="0"/>
    <x v="419"/>
    <x v="0"/>
    <x v="12"/>
    <x v="0"/>
    <x v="0"/>
    <x v="0"/>
    <x v="0"/>
    <x v="0"/>
    <x v="0"/>
    <x v="0"/>
    <x v="0"/>
  </r>
  <r>
    <x v="745"/>
    <x v="0"/>
    <x v="1"/>
    <x v="0"/>
    <x v="0"/>
    <x v="1"/>
    <x v="738"/>
    <x v="626"/>
    <x v="0"/>
    <x v="2"/>
    <x v="1"/>
    <x v="1"/>
    <x v="46"/>
    <x v="0"/>
    <x v="1"/>
    <x v="0"/>
    <x v="110"/>
    <x v="96"/>
    <x v="1"/>
    <x v="283"/>
    <x v="0"/>
    <x v="0"/>
    <x v="0"/>
    <x v="323"/>
    <x v="331"/>
    <x v="1"/>
    <x v="156"/>
    <x v="268"/>
    <x v="342"/>
    <x v="0"/>
    <x v="0"/>
    <x v="337"/>
    <x v="0"/>
    <x v="236"/>
    <x v="0"/>
    <x v="0"/>
    <x v="0"/>
    <x v="0"/>
    <x v="0"/>
    <x v="0"/>
    <x v="0"/>
    <x v="0"/>
  </r>
  <r>
    <x v="746"/>
    <x v="0"/>
    <x v="1"/>
    <x v="1"/>
    <x v="0"/>
    <x v="1"/>
    <x v="739"/>
    <x v="1"/>
    <x v="0"/>
    <x v="1"/>
    <x v="1"/>
    <x v="1"/>
    <x v="46"/>
    <x v="0"/>
    <x v="5"/>
    <x v="0"/>
    <x v="111"/>
    <x v="1"/>
    <x v="5"/>
    <x v="283"/>
    <x v="0"/>
    <x v="0"/>
    <x v="0"/>
    <x v="261"/>
    <x v="268"/>
    <x v="8"/>
    <x v="142"/>
    <x v="225"/>
    <x v="273"/>
    <x v="0"/>
    <x v="0"/>
    <x v="273"/>
    <x v="1"/>
    <x v="198"/>
    <x v="0"/>
    <x v="0"/>
    <x v="0"/>
    <x v="0"/>
    <x v="0"/>
    <x v="0"/>
    <x v="0"/>
    <x v="0"/>
  </r>
  <r>
    <x v="747"/>
    <x v="0"/>
    <x v="1"/>
    <x v="0"/>
    <x v="0"/>
    <x v="1"/>
    <x v="740"/>
    <x v="627"/>
    <x v="0"/>
    <x v="2"/>
    <x v="1"/>
    <x v="1"/>
    <x v="46"/>
    <x v="0"/>
    <x v="0"/>
    <x v="0"/>
    <x v="109"/>
    <x v="95"/>
    <x v="0"/>
    <x v="284"/>
    <x v="0"/>
    <x v="0"/>
    <x v="0"/>
    <x v="394"/>
    <x v="407"/>
    <x v="7"/>
    <x v="36"/>
    <x v="313"/>
    <x v="421"/>
    <x v="0"/>
    <x v="0"/>
    <x v="420"/>
    <x v="0"/>
    <x v="284"/>
    <x v="0"/>
    <x v="0"/>
    <x v="0"/>
    <x v="0"/>
    <x v="0"/>
    <x v="0"/>
    <x v="0"/>
    <x v="0"/>
  </r>
  <r>
    <x v="748"/>
    <x v="0"/>
    <x v="1"/>
    <x v="0"/>
    <x v="0"/>
    <x v="1"/>
    <x v="741"/>
    <x v="628"/>
    <x v="0"/>
    <x v="2"/>
    <x v="1"/>
    <x v="1"/>
    <x v="46"/>
    <x v="0"/>
    <x v="0"/>
    <x v="0"/>
    <x v="109"/>
    <x v="95"/>
    <x v="0"/>
    <x v="285"/>
    <x v="0"/>
    <x v="0"/>
    <x v="0"/>
    <x v="393"/>
    <x v="406"/>
    <x v="20"/>
    <x v="131"/>
    <x v="312"/>
    <x v="420"/>
    <x v="0"/>
    <x v="0"/>
    <x v="419"/>
    <x v="0"/>
    <x v="12"/>
    <x v="0"/>
    <x v="0"/>
    <x v="0"/>
    <x v="0"/>
    <x v="0"/>
    <x v="0"/>
    <x v="0"/>
    <x v="0"/>
  </r>
  <r>
    <x v="749"/>
    <x v="0"/>
    <x v="1"/>
    <x v="0"/>
    <x v="0"/>
    <x v="4"/>
    <x v="742"/>
    <x v="629"/>
    <x v="0"/>
    <x v="2"/>
    <x v="1"/>
    <x v="1"/>
    <x v="10"/>
    <x v="0"/>
    <x v="0"/>
    <x v="0"/>
    <x v="16"/>
    <x v="11"/>
    <x v="0"/>
    <x v="81"/>
    <x v="0"/>
    <x v="0"/>
    <x v="0"/>
    <x v="395"/>
    <x v="408"/>
    <x v="15"/>
    <x v="158"/>
    <x v="273"/>
    <x v="422"/>
    <x v="0"/>
    <x v="0"/>
    <x v="421"/>
    <x v="0"/>
    <x v="12"/>
    <x v="0"/>
    <x v="0"/>
    <x v="0"/>
    <x v="0"/>
    <x v="0"/>
    <x v="0"/>
    <x v="0"/>
    <x v="0"/>
  </r>
  <r>
    <x v="750"/>
    <x v="0"/>
    <x v="1"/>
    <x v="0"/>
    <x v="0"/>
    <x v="1"/>
    <x v="743"/>
    <x v="630"/>
    <x v="0"/>
    <x v="2"/>
    <x v="1"/>
    <x v="1"/>
    <x v="6"/>
    <x v="0"/>
    <x v="0"/>
    <x v="0"/>
    <x v="10"/>
    <x v="6"/>
    <x v="0"/>
    <x v="74"/>
    <x v="0"/>
    <x v="0"/>
    <x v="0"/>
    <x v="396"/>
    <x v="409"/>
    <x v="3"/>
    <x v="109"/>
    <x v="171"/>
    <x v="423"/>
    <x v="0"/>
    <x v="0"/>
    <x v="422"/>
    <x v="0"/>
    <x v="12"/>
    <x v="0"/>
    <x v="0"/>
    <x v="0"/>
    <x v="0"/>
    <x v="0"/>
    <x v="0"/>
    <x v="0"/>
    <x v="0"/>
  </r>
  <r>
    <x v="751"/>
    <x v="0"/>
    <x v="1"/>
    <x v="0"/>
    <x v="0"/>
    <x v="1"/>
    <x v="744"/>
    <x v="631"/>
    <x v="0"/>
    <x v="2"/>
    <x v="1"/>
    <x v="1"/>
    <x v="6"/>
    <x v="0"/>
    <x v="5"/>
    <x v="0"/>
    <x v="41"/>
    <x v="36"/>
    <x v="5"/>
    <x v="248"/>
    <x v="0"/>
    <x v="0"/>
    <x v="0"/>
    <x v="397"/>
    <x v="410"/>
    <x v="12"/>
    <x v="100"/>
    <x v="150"/>
    <x v="424"/>
    <x v="0"/>
    <x v="0"/>
    <x v="423"/>
    <x v="1"/>
    <x v="285"/>
    <x v="0"/>
    <x v="0"/>
    <x v="0"/>
    <x v="0"/>
    <x v="0"/>
    <x v="0"/>
    <x v="0"/>
    <x v="0"/>
  </r>
  <r>
    <x v="752"/>
    <x v="0"/>
    <x v="1"/>
    <x v="0"/>
    <x v="0"/>
    <x v="1"/>
    <x v="745"/>
    <x v="632"/>
    <x v="0"/>
    <x v="2"/>
    <x v="1"/>
    <x v="1"/>
    <x v="6"/>
    <x v="0"/>
    <x v="0"/>
    <x v="0"/>
    <x v="10"/>
    <x v="6"/>
    <x v="0"/>
    <x v="86"/>
    <x v="0"/>
    <x v="0"/>
    <x v="0"/>
    <x v="398"/>
    <x v="411"/>
    <x v="5"/>
    <x v="166"/>
    <x v="314"/>
    <x v="425"/>
    <x v="0"/>
    <x v="0"/>
    <x v="424"/>
    <x v="0"/>
    <x v="12"/>
    <x v="0"/>
    <x v="0"/>
    <x v="0"/>
    <x v="0"/>
    <x v="0"/>
    <x v="0"/>
    <x v="0"/>
    <x v="0"/>
  </r>
  <r>
    <x v="753"/>
    <x v="0"/>
    <x v="1"/>
    <x v="0"/>
    <x v="0"/>
    <x v="1"/>
    <x v="746"/>
    <x v="633"/>
    <x v="0"/>
    <x v="2"/>
    <x v="1"/>
    <x v="1"/>
    <x v="6"/>
    <x v="0"/>
    <x v="0"/>
    <x v="0"/>
    <x v="10"/>
    <x v="6"/>
    <x v="0"/>
    <x v="170"/>
    <x v="0"/>
    <x v="0"/>
    <x v="0"/>
    <x v="186"/>
    <x v="190"/>
    <x v="12"/>
    <x v="62"/>
    <x v="164"/>
    <x v="194"/>
    <x v="0"/>
    <x v="0"/>
    <x v="194"/>
    <x v="0"/>
    <x v="148"/>
    <x v="0"/>
    <x v="0"/>
    <x v="0"/>
    <x v="0"/>
    <x v="0"/>
    <x v="0"/>
    <x v="0"/>
    <x v="0"/>
  </r>
  <r>
    <x v="754"/>
    <x v="0"/>
    <x v="1"/>
    <x v="1"/>
    <x v="0"/>
    <x v="1"/>
    <x v="747"/>
    <x v="1"/>
    <x v="0"/>
    <x v="1"/>
    <x v="1"/>
    <x v="1"/>
    <x v="6"/>
    <x v="0"/>
    <x v="0"/>
    <x v="0"/>
    <x v="10"/>
    <x v="1"/>
    <x v="0"/>
    <x v="246"/>
    <x v="0"/>
    <x v="0"/>
    <x v="0"/>
    <x v="398"/>
    <x v="411"/>
    <x v="5"/>
    <x v="166"/>
    <x v="314"/>
    <x v="425"/>
    <x v="0"/>
    <x v="0"/>
    <x v="424"/>
    <x v="0"/>
    <x v="12"/>
    <x v="0"/>
    <x v="0"/>
    <x v="0"/>
    <x v="0"/>
    <x v="0"/>
    <x v="0"/>
    <x v="0"/>
    <x v="0"/>
  </r>
  <r>
    <x v="755"/>
    <x v="0"/>
    <x v="1"/>
    <x v="1"/>
    <x v="0"/>
    <x v="1"/>
    <x v="748"/>
    <x v="1"/>
    <x v="0"/>
    <x v="1"/>
    <x v="1"/>
    <x v="1"/>
    <x v="6"/>
    <x v="0"/>
    <x v="5"/>
    <x v="0"/>
    <x v="41"/>
    <x v="1"/>
    <x v="5"/>
    <x v="200"/>
    <x v="0"/>
    <x v="0"/>
    <x v="0"/>
    <x v="186"/>
    <x v="190"/>
    <x v="12"/>
    <x v="62"/>
    <x v="164"/>
    <x v="194"/>
    <x v="0"/>
    <x v="0"/>
    <x v="194"/>
    <x v="0"/>
    <x v="148"/>
    <x v="0"/>
    <x v="0"/>
    <x v="0"/>
    <x v="0"/>
    <x v="0"/>
    <x v="0"/>
    <x v="0"/>
    <x v="0"/>
  </r>
  <r>
    <x v="756"/>
    <x v="0"/>
    <x v="1"/>
    <x v="0"/>
    <x v="0"/>
    <x v="1"/>
    <x v="749"/>
    <x v="634"/>
    <x v="0"/>
    <x v="2"/>
    <x v="1"/>
    <x v="1"/>
    <x v="6"/>
    <x v="0"/>
    <x v="0"/>
    <x v="0"/>
    <x v="10"/>
    <x v="6"/>
    <x v="0"/>
    <x v="87"/>
    <x v="0"/>
    <x v="0"/>
    <x v="0"/>
    <x v="399"/>
    <x v="412"/>
    <x v="3"/>
    <x v="119"/>
    <x v="186"/>
    <x v="426"/>
    <x v="0"/>
    <x v="0"/>
    <x v="425"/>
    <x v="0"/>
    <x v="286"/>
    <x v="0"/>
    <x v="0"/>
    <x v="0"/>
    <x v="0"/>
    <x v="0"/>
    <x v="0"/>
    <x v="0"/>
    <x v="0"/>
  </r>
  <r>
    <x v="757"/>
    <x v="0"/>
    <x v="1"/>
    <x v="0"/>
    <x v="0"/>
    <x v="1"/>
    <x v="750"/>
    <x v="635"/>
    <x v="0"/>
    <x v="2"/>
    <x v="1"/>
    <x v="1"/>
    <x v="37"/>
    <x v="0"/>
    <x v="0"/>
    <x v="0"/>
    <x v="88"/>
    <x v="75"/>
    <x v="0"/>
    <x v="286"/>
    <x v="0"/>
    <x v="0"/>
    <x v="0"/>
    <x v="400"/>
    <x v="413"/>
    <x v="17"/>
    <x v="103"/>
    <x v="315"/>
    <x v="427"/>
    <x v="0"/>
    <x v="0"/>
    <x v="426"/>
    <x v="0"/>
    <x v="287"/>
    <x v="0"/>
    <x v="0"/>
    <x v="0"/>
    <x v="0"/>
    <x v="0"/>
    <x v="0"/>
    <x v="0"/>
    <x v="0"/>
  </r>
  <r>
    <x v="758"/>
    <x v="0"/>
    <x v="1"/>
    <x v="0"/>
    <x v="0"/>
    <x v="1"/>
    <x v="751"/>
    <x v="636"/>
    <x v="0"/>
    <x v="2"/>
    <x v="1"/>
    <x v="1"/>
    <x v="6"/>
    <x v="0"/>
    <x v="0"/>
    <x v="0"/>
    <x v="10"/>
    <x v="6"/>
    <x v="0"/>
    <x v="75"/>
    <x v="0"/>
    <x v="0"/>
    <x v="0"/>
    <x v="401"/>
    <x v="414"/>
    <x v="0"/>
    <x v="50"/>
    <x v="72"/>
    <x v="428"/>
    <x v="0"/>
    <x v="0"/>
    <x v="427"/>
    <x v="0"/>
    <x v="12"/>
    <x v="0"/>
    <x v="0"/>
    <x v="0"/>
    <x v="0"/>
    <x v="0"/>
    <x v="0"/>
    <x v="0"/>
    <x v="0"/>
  </r>
  <r>
    <x v="759"/>
    <x v="0"/>
    <x v="1"/>
    <x v="0"/>
    <x v="0"/>
    <x v="1"/>
    <x v="752"/>
    <x v="637"/>
    <x v="0"/>
    <x v="2"/>
    <x v="1"/>
    <x v="1"/>
    <x v="10"/>
    <x v="0"/>
    <x v="0"/>
    <x v="0"/>
    <x v="16"/>
    <x v="11"/>
    <x v="0"/>
    <x v="109"/>
    <x v="0"/>
    <x v="0"/>
    <x v="0"/>
    <x v="66"/>
    <x v="67"/>
    <x v="3"/>
    <x v="51"/>
    <x v="64"/>
    <x v="69"/>
    <x v="0"/>
    <x v="0"/>
    <x v="67"/>
    <x v="0"/>
    <x v="12"/>
    <x v="0"/>
    <x v="0"/>
    <x v="0"/>
    <x v="0"/>
    <x v="0"/>
    <x v="0"/>
    <x v="0"/>
    <x v="0"/>
  </r>
  <r>
    <x v="760"/>
    <x v="0"/>
    <x v="1"/>
    <x v="0"/>
    <x v="0"/>
    <x v="1"/>
    <x v="753"/>
    <x v="638"/>
    <x v="0"/>
    <x v="2"/>
    <x v="1"/>
    <x v="1"/>
    <x v="6"/>
    <x v="0"/>
    <x v="0"/>
    <x v="0"/>
    <x v="10"/>
    <x v="6"/>
    <x v="0"/>
    <x v="221"/>
    <x v="0"/>
    <x v="0"/>
    <x v="0"/>
    <x v="402"/>
    <x v="415"/>
    <x v="8"/>
    <x v="167"/>
    <x v="316"/>
    <x v="429"/>
    <x v="0"/>
    <x v="0"/>
    <x v="428"/>
    <x v="0"/>
    <x v="12"/>
    <x v="0"/>
    <x v="0"/>
    <x v="0"/>
    <x v="0"/>
    <x v="0"/>
    <x v="0"/>
    <x v="0"/>
    <x v="0"/>
  </r>
  <r>
    <x v="761"/>
    <x v="0"/>
    <x v="1"/>
    <x v="0"/>
    <x v="0"/>
    <x v="1"/>
    <x v="754"/>
    <x v="639"/>
    <x v="0"/>
    <x v="2"/>
    <x v="1"/>
    <x v="1"/>
    <x v="6"/>
    <x v="0"/>
    <x v="4"/>
    <x v="0"/>
    <x v="37"/>
    <x v="32"/>
    <x v="4"/>
    <x v="50"/>
    <x v="0"/>
    <x v="0"/>
    <x v="0"/>
    <x v="15"/>
    <x v="15"/>
    <x v="8"/>
    <x v="15"/>
    <x v="15"/>
    <x v="15"/>
    <x v="0"/>
    <x v="0"/>
    <x v="15"/>
    <x v="1"/>
    <x v="15"/>
    <x v="0"/>
    <x v="0"/>
    <x v="0"/>
    <x v="0"/>
    <x v="0"/>
    <x v="0"/>
    <x v="0"/>
    <x v="0"/>
  </r>
  <r>
    <x v="762"/>
    <x v="0"/>
    <x v="1"/>
    <x v="0"/>
    <x v="0"/>
    <x v="1"/>
    <x v="755"/>
    <x v="640"/>
    <x v="0"/>
    <x v="2"/>
    <x v="1"/>
    <x v="1"/>
    <x v="6"/>
    <x v="0"/>
    <x v="0"/>
    <x v="0"/>
    <x v="10"/>
    <x v="6"/>
    <x v="0"/>
    <x v="80"/>
    <x v="0"/>
    <x v="0"/>
    <x v="0"/>
    <x v="403"/>
    <x v="416"/>
    <x v="18"/>
    <x v="101"/>
    <x v="317"/>
    <x v="430"/>
    <x v="0"/>
    <x v="0"/>
    <x v="429"/>
    <x v="0"/>
    <x v="12"/>
    <x v="0"/>
    <x v="0"/>
    <x v="0"/>
    <x v="0"/>
    <x v="0"/>
    <x v="0"/>
    <x v="0"/>
    <x v="0"/>
  </r>
  <r>
    <x v="763"/>
    <x v="0"/>
    <x v="1"/>
    <x v="0"/>
    <x v="0"/>
    <x v="1"/>
    <x v="756"/>
    <x v="641"/>
    <x v="0"/>
    <x v="2"/>
    <x v="1"/>
    <x v="1"/>
    <x v="6"/>
    <x v="0"/>
    <x v="11"/>
    <x v="0"/>
    <x v="60"/>
    <x v="51"/>
    <x v="11"/>
    <x v="50"/>
    <x v="0"/>
    <x v="0"/>
    <x v="0"/>
    <x v="404"/>
    <x v="417"/>
    <x v="19"/>
    <x v="40"/>
    <x v="318"/>
    <x v="431"/>
    <x v="0"/>
    <x v="0"/>
    <x v="430"/>
    <x v="1"/>
    <x v="288"/>
    <x v="0"/>
    <x v="0"/>
    <x v="0"/>
    <x v="0"/>
    <x v="0"/>
    <x v="0"/>
    <x v="0"/>
    <x v="0"/>
  </r>
  <r>
    <x v="764"/>
    <x v="0"/>
    <x v="1"/>
    <x v="0"/>
    <x v="0"/>
    <x v="0"/>
    <x v="757"/>
    <x v="642"/>
    <x v="0"/>
    <x v="0"/>
    <x v="73"/>
    <x v="74"/>
    <x v="6"/>
    <x v="0"/>
    <x v="3"/>
    <x v="0"/>
    <x v="33"/>
    <x v="31"/>
    <x v="3"/>
    <x v="213"/>
    <x v="0"/>
    <x v="0"/>
    <x v="0"/>
    <x v="405"/>
    <x v="418"/>
    <x v="6"/>
    <x v="168"/>
    <x v="319"/>
    <x v="432"/>
    <x v="0"/>
    <x v="0"/>
    <x v="431"/>
    <x v="1"/>
    <x v="289"/>
    <x v="0"/>
    <x v="0"/>
    <x v="0"/>
    <x v="0"/>
    <x v="0"/>
    <x v="0"/>
    <x v="0"/>
    <x v="0"/>
  </r>
  <r>
    <x v="765"/>
    <x v="0"/>
    <x v="1"/>
    <x v="0"/>
    <x v="0"/>
    <x v="0"/>
    <x v="758"/>
    <x v="643"/>
    <x v="0"/>
    <x v="0"/>
    <x v="74"/>
    <x v="75"/>
    <x v="47"/>
    <x v="0"/>
    <x v="0"/>
    <x v="0"/>
    <x v="112"/>
    <x v="97"/>
    <x v="0"/>
    <x v="287"/>
    <x v="0"/>
    <x v="0"/>
    <x v="0"/>
    <x v="404"/>
    <x v="417"/>
    <x v="19"/>
    <x v="40"/>
    <x v="318"/>
    <x v="431"/>
    <x v="0"/>
    <x v="0"/>
    <x v="430"/>
    <x v="1"/>
    <x v="288"/>
    <x v="0"/>
    <x v="0"/>
    <x v="0"/>
    <x v="0"/>
    <x v="0"/>
    <x v="0"/>
    <x v="0"/>
    <x v="0"/>
  </r>
  <r>
    <x v="766"/>
    <x v="0"/>
    <x v="1"/>
    <x v="0"/>
    <x v="0"/>
    <x v="1"/>
    <x v="759"/>
    <x v="644"/>
    <x v="0"/>
    <x v="2"/>
    <x v="1"/>
    <x v="1"/>
    <x v="6"/>
    <x v="0"/>
    <x v="3"/>
    <x v="0"/>
    <x v="33"/>
    <x v="31"/>
    <x v="3"/>
    <x v="197"/>
    <x v="0"/>
    <x v="0"/>
    <x v="0"/>
    <x v="406"/>
    <x v="419"/>
    <x v="8"/>
    <x v="169"/>
    <x v="320"/>
    <x v="433"/>
    <x v="0"/>
    <x v="0"/>
    <x v="432"/>
    <x v="1"/>
    <x v="290"/>
    <x v="0"/>
    <x v="0"/>
    <x v="0"/>
    <x v="0"/>
    <x v="0"/>
    <x v="0"/>
    <x v="0"/>
    <x v="0"/>
  </r>
  <r>
    <x v="767"/>
    <x v="0"/>
    <x v="1"/>
    <x v="0"/>
    <x v="0"/>
    <x v="1"/>
    <x v="760"/>
    <x v="645"/>
    <x v="0"/>
    <x v="2"/>
    <x v="1"/>
    <x v="1"/>
    <x v="34"/>
    <x v="0"/>
    <x v="2"/>
    <x v="0"/>
    <x v="113"/>
    <x v="98"/>
    <x v="2"/>
    <x v="191"/>
    <x v="0"/>
    <x v="0"/>
    <x v="0"/>
    <x v="358"/>
    <x v="369"/>
    <x v="18"/>
    <x v="128"/>
    <x v="292"/>
    <x v="380"/>
    <x v="0"/>
    <x v="0"/>
    <x v="377"/>
    <x v="0"/>
    <x v="260"/>
    <x v="0"/>
    <x v="0"/>
    <x v="0"/>
    <x v="0"/>
    <x v="0"/>
    <x v="0"/>
    <x v="0"/>
    <x v="0"/>
  </r>
  <r>
    <x v="768"/>
    <x v="0"/>
    <x v="1"/>
    <x v="0"/>
    <x v="0"/>
    <x v="0"/>
    <x v="761"/>
    <x v="646"/>
    <x v="0"/>
    <x v="0"/>
    <x v="75"/>
    <x v="76"/>
    <x v="43"/>
    <x v="0"/>
    <x v="0"/>
    <x v="0"/>
    <x v="102"/>
    <x v="86"/>
    <x v="0"/>
    <x v="288"/>
    <x v="0"/>
    <x v="0"/>
    <x v="0"/>
    <x v="407"/>
    <x v="420"/>
    <x v="6"/>
    <x v="124"/>
    <x v="321"/>
    <x v="434"/>
    <x v="0"/>
    <x v="0"/>
    <x v="433"/>
    <x v="0"/>
    <x v="291"/>
    <x v="0"/>
    <x v="0"/>
    <x v="0"/>
    <x v="0"/>
    <x v="0"/>
    <x v="0"/>
    <x v="0"/>
    <x v="0"/>
  </r>
  <r>
    <x v="769"/>
    <x v="0"/>
    <x v="1"/>
    <x v="0"/>
    <x v="0"/>
    <x v="1"/>
    <x v="762"/>
    <x v="647"/>
    <x v="0"/>
    <x v="2"/>
    <x v="1"/>
    <x v="1"/>
    <x v="6"/>
    <x v="0"/>
    <x v="0"/>
    <x v="0"/>
    <x v="10"/>
    <x v="6"/>
    <x v="0"/>
    <x v="50"/>
    <x v="0"/>
    <x v="0"/>
    <x v="0"/>
    <x v="408"/>
    <x v="421"/>
    <x v="6"/>
    <x v="168"/>
    <x v="319"/>
    <x v="435"/>
    <x v="0"/>
    <x v="0"/>
    <x v="434"/>
    <x v="0"/>
    <x v="12"/>
    <x v="0"/>
    <x v="0"/>
    <x v="0"/>
    <x v="0"/>
    <x v="0"/>
    <x v="0"/>
    <x v="0"/>
    <x v="0"/>
  </r>
  <r>
    <x v="770"/>
    <x v="0"/>
    <x v="1"/>
    <x v="1"/>
    <x v="0"/>
    <x v="0"/>
    <x v="763"/>
    <x v="1"/>
    <x v="0"/>
    <x v="1"/>
    <x v="1"/>
    <x v="1"/>
    <x v="43"/>
    <x v="0"/>
    <x v="4"/>
    <x v="0"/>
    <x v="114"/>
    <x v="1"/>
    <x v="4"/>
    <x v="288"/>
    <x v="0"/>
    <x v="0"/>
    <x v="0"/>
    <x v="407"/>
    <x v="420"/>
    <x v="6"/>
    <x v="124"/>
    <x v="321"/>
    <x v="434"/>
    <x v="0"/>
    <x v="0"/>
    <x v="433"/>
    <x v="0"/>
    <x v="291"/>
    <x v="0"/>
    <x v="0"/>
    <x v="0"/>
    <x v="0"/>
    <x v="0"/>
    <x v="0"/>
    <x v="0"/>
    <x v="0"/>
  </r>
  <r>
    <x v="771"/>
    <x v="0"/>
    <x v="1"/>
    <x v="1"/>
    <x v="0"/>
    <x v="1"/>
    <x v="764"/>
    <x v="1"/>
    <x v="0"/>
    <x v="1"/>
    <x v="1"/>
    <x v="1"/>
    <x v="9"/>
    <x v="0"/>
    <x v="0"/>
    <x v="0"/>
    <x v="15"/>
    <x v="1"/>
    <x v="0"/>
    <x v="53"/>
    <x v="0"/>
    <x v="0"/>
    <x v="0"/>
    <x v="409"/>
    <x v="422"/>
    <x v="8"/>
    <x v="170"/>
    <x v="322"/>
    <x v="436"/>
    <x v="0"/>
    <x v="0"/>
    <x v="435"/>
    <x v="1"/>
    <x v="292"/>
    <x v="0"/>
    <x v="0"/>
    <x v="0"/>
    <x v="0"/>
    <x v="0"/>
    <x v="0"/>
    <x v="0"/>
    <x v="0"/>
  </r>
  <r>
    <x v="772"/>
    <x v="0"/>
    <x v="1"/>
    <x v="1"/>
    <x v="0"/>
    <x v="1"/>
    <x v="765"/>
    <x v="1"/>
    <x v="0"/>
    <x v="1"/>
    <x v="1"/>
    <x v="1"/>
    <x v="7"/>
    <x v="0"/>
    <x v="0"/>
    <x v="0"/>
    <x v="11"/>
    <x v="1"/>
    <x v="0"/>
    <x v="14"/>
    <x v="0"/>
    <x v="0"/>
    <x v="0"/>
    <x v="410"/>
    <x v="423"/>
    <x v="17"/>
    <x v="147"/>
    <x v="323"/>
    <x v="437"/>
    <x v="0"/>
    <x v="0"/>
    <x v="436"/>
    <x v="0"/>
    <x v="12"/>
    <x v="0"/>
    <x v="0"/>
    <x v="0"/>
    <x v="0"/>
    <x v="0"/>
    <x v="0"/>
    <x v="0"/>
    <x v="0"/>
  </r>
  <r>
    <x v="773"/>
    <x v="0"/>
    <x v="1"/>
    <x v="0"/>
    <x v="0"/>
    <x v="1"/>
    <x v="766"/>
    <x v="648"/>
    <x v="0"/>
    <x v="2"/>
    <x v="1"/>
    <x v="1"/>
    <x v="7"/>
    <x v="0"/>
    <x v="0"/>
    <x v="0"/>
    <x v="11"/>
    <x v="7"/>
    <x v="0"/>
    <x v="10"/>
    <x v="0"/>
    <x v="0"/>
    <x v="0"/>
    <x v="245"/>
    <x v="252"/>
    <x v="17"/>
    <x v="134"/>
    <x v="213"/>
    <x v="257"/>
    <x v="0"/>
    <x v="0"/>
    <x v="257"/>
    <x v="1"/>
    <x v="188"/>
    <x v="0"/>
    <x v="1"/>
    <x v="0"/>
    <x v="0"/>
    <x v="0"/>
    <x v="0"/>
    <x v="0"/>
    <x v="0"/>
  </r>
  <r>
    <x v="774"/>
    <x v="0"/>
    <x v="1"/>
    <x v="0"/>
    <x v="0"/>
    <x v="1"/>
    <x v="767"/>
    <x v="649"/>
    <x v="0"/>
    <x v="2"/>
    <x v="1"/>
    <x v="1"/>
    <x v="10"/>
    <x v="0"/>
    <x v="4"/>
    <x v="0"/>
    <x v="18"/>
    <x v="13"/>
    <x v="4"/>
    <x v="289"/>
    <x v="0"/>
    <x v="0"/>
    <x v="0"/>
    <x v="99"/>
    <x v="101"/>
    <x v="0"/>
    <x v="50"/>
    <x v="72"/>
    <x v="103"/>
    <x v="0"/>
    <x v="0"/>
    <x v="103"/>
    <x v="0"/>
    <x v="78"/>
    <x v="0"/>
    <x v="0"/>
    <x v="0"/>
    <x v="0"/>
    <x v="0"/>
    <x v="0"/>
    <x v="0"/>
    <x v="0"/>
  </r>
  <r>
    <x v="775"/>
    <x v="0"/>
    <x v="1"/>
    <x v="0"/>
    <x v="0"/>
    <x v="1"/>
    <x v="768"/>
    <x v="650"/>
    <x v="0"/>
    <x v="2"/>
    <x v="1"/>
    <x v="1"/>
    <x v="6"/>
    <x v="0"/>
    <x v="0"/>
    <x v="0"/>
    <x v="10"/>
    <x v="6"/>
    <x v="0"/>
    <x v="186"/>
    <x v="0"/>
    <x v="0"/>
    <x v="0"/>
    <x v="411"/>
    <x v="424"/>
    <x v="17"/>
    <x v="71"/>
    <x v="324"/>
    <x v="438"/>
    <x v="26"/>
    <x v="0"/>
    <x v="437"/>
    <x v="0"/>
    <x v="293"/>
    <x v="0"/>
    <x v="0"/>
    <x v="0"/>
    <x v="0"/>
    <x v="0"/>
    <x v="0"/>
    <x v="0"/>
    <x v="0"/>
  </r>
  <r>
    <x v="776"/>
    <x v="0"/>
    <x v="1"/>
    <x v="0"/>
    <x v="0"/>
    <x v="1"/>
    <x v="769"/>
    <x v="651"/>
    <x v="0"/>
    <x v="2"/>
    <x v="1"/>
    <x v="1"/>
    <x v="12"/>
    <x v="0"/>
    <x v="11"/>
    <x v="0"/>
    <x v="115"/>
    <x v="99"/>
    <x v="11"/>
    <x v="258"/>
    <x v="0"/>
    <x v="0"/>
    <x v="0"/>
    <x v="404"/>
    <x v="417"/>
    <x v="19"/>
    <x v="40"/>
    <x v="318"/>
    <x v="431"/>
    <x v="0"/>
    <x v="0"/>
    <x v="430"/>
    <x v="1"/>
    <x v="288"/>
    <x v="0"/>
    <x v="0"/>
    <x v="0"/>
    <x v="0"/>
    <x v="0"/>
    <x v="0"/>
    <x v="0"/>
    <x v="0"/>
  </r>
  <r>
    <x v="777"/>
    <x v="0"/>
    <x v="1"/>
    <x v="1"/>
    <x v="0"/>
    <x v="1"/>
    <x v="770"/>
    <x v="1"/>
    <x v="0"/>
    <x v="1"/>
    <x v="1"/>
    <x v="1"/>
    <x v="6"/>
    <x v="0"/>
    <x v="0"/>
    <x v="0"/>
    <x v="10"/>
    <x v="1"/>
    <x v="0"/>
    <x v="186"/>
    <x v="0"/>
    <x v="0"/>
    <x v="0"/>
    <x v="411"/>
    <x v="424"/>
    <x v="17"/>
    <x v="71"/>
    <x v="324"/>
    <x v="438"/>
    <x v="26"/>
    <x v="0"/>
    <x v="437"/>
    <x v="0"/>
    <x v="293"/>
    <x v="0"/>
    <x v="0"/>
    <x v="0"/>
    <x v="0"/>
    <x v="0"/>
    <x v="0"/>
    <x v="0"/>
    <x v="0"/>
  </r>
  <r>
    <x v="778"/>
    <x v="0"/>
    <x v="1"/>
    <x v="1"/>
    <x v="0"/>
    <x v="1"/>
    <x v="771"/>
    <x v="1"/>
    <x v="0"/>
    <x v="1"/>
    <x v="1"/>
    <x v="1"/>
    <x v="12"/>
    <x v="0"/>
    <x v="9"/>
    <x v="0"/>
    <x v="116"/>
    <x v="1"/>
    <x v="9"/>
    <x v="290"/>
    <x v="0"/>
    <x v="0"/>
    <x v="0"/>
    <x v="344"/>
    <x v="353"/>
    <x v="16"/>
    <x v="162"/>
    <x v="284"/>
    <x v="364"/>
    <x v="0"/>
    <x v="0"/>
    <x v="361"/>
    <x v="0"/>
    <x v="12"/>
    <x v="0"/>
    <x v="0"/>
    <x v="0"/>
    <x v="0"/>
    <x v="0"/>
    <x v="0"/>
    <x v="0"/>
    <x v="0"/>
  </r>
  <r>
    <x v="779"/>
    <x v="0"/>
    <x v="1"/>
    <x v="0"/>
    <x v="0"/>
    <x v="1"/>
    <x v="772"/>
    <x v="652"/>
    <x v="0"/>
    <x v="2"/>
    <x v="1"/>
    <x v="1"/>
    <x v="6"/>
    <x v="0"/>
    <x v="0"/>
    <x v="0"/>
    <x v="10"/>
    <x v="6"/>
    <x v="0"/>
    <x v="200"/>
    <x v="0"/>
    <x v="0"/>
    <x v="0"/>
    <x v="412"/>
    <x v="425"/>
    <x v="17"/>
    <x v="97"/>
    <x v="147"/>
    <x v="439"/>
    <x v="0"/>
    <x v="0"/>
    <x v="438"/>
    <x v="0"/>
    <x v="12"/>
    <x v="0"/>
    <x v="0"/>
    <x v="0"/>
    <x v="0"/>
    <x v="0"/>
    <x v="0"/>
    <x v="0"/>
    <x v="0"/>
  </r>
  <r>
    <x v="780"/>
    <x v="0"/>
    <x v="1"/>
    <x v="0"/>
    <x v="0"/>
    <x v="1"/>
    <x v="773"/>
    <x v="653"/>
    <x v="0"/>
    <x v="2"/>
    <x v="1"/>
    <x v="1"/>
    <x v="6"/>
    <x v="0"/>
    <x v="0"/>
    <x v="0"/>
    <x v="10"/>
    <x v="6"/>
    <x v="0"/>
    <x v="186"/>
    <x v="0"/>
    <x v="0"/>
    <x v="0"/>
    <x v="413"/>
    <x v="426"/>
    <x v="7"/>
    <x v="171"/>
    <x v="325"/>
    <x v="440"/>
    <x v="0"/>
    <x v="0"/>
    <x v="439"/>
    <x v="0"/>
    <x v="12"/>
    <x v="0"/>
    <x v="0"/>
    <x v="0"/>
    <x v="0"/>
    <x v="0"/>
    <x v="0"/>
    <x v="0"/>
    <x v="0"/>
  </r>
  <r>
    <x v="781"/>
    <x v="0"/>
    <x v="1"/>
    <x v="0"/>
    <x v="0"/>
    <x v="1"/>
    <x v="774"/>
    <x v="654"/>
    <x v="0"/>
    <x v="2"/>
    <x v="1"/>
    <x v="1"/>
    <x v="6"/>
    <x v="0"/>
    <x v="0"/>
    <x v="0"/>
    <x v="10"/>
    <x v="6"/>
    <x v="0"/>
    <x v="186"/>
    <x v="0"/>
    <x v="0"/>
    <x v="0"/>
    <x v="414"/>
    <x v="427"/>
    <x v="1"/>
    <x v="14"/>
    <x v="326"/>
    <x v="441"/>
    <x v="0"/>
    <x v="0"/>
    <x v="440"/>
    <x v="0"/>
    <x v="12"/>
    <x v="0"/>
    <x v="0"/>
    <x v="0"/>
    <x v="0"/>
    <x v="0"/>
    <x v="0"/>
    <x v="0"/>
    <x v="0"/>
  </r>
  <r>
    <x v="782"/>
    <x v="0"/>
    <x v="1"/>
    <x v="0"/>
    <x v="0"/>
    <x v="1"/>
    <x v="775"/>
    <x v="655"/>
    <x v="0"/>
    <x v="2"/>
    <x v="1"/>
    <x v="1"/>
    <x v="6"/>
    <x v="0"/>
    <x v="4"/>
    <x v="0"/>
    <x v="37"/>
    <x v="32"/>
    <x v="4"/>
    <x v="80"/>
    <x v="0"/>
    <x v="0"/>
    <x v="0"/>
    <x v="96"/>
    <x v="98"/>
    <x v="7"/>
    <x v="64"/>
    <x v="90"/>
    <x v="100"/>
    <x v="0"/>
    <x v="0"/>
    <x v="100"/>
    <x v="0"/>
    <x v="76"/>
    <x v="0"/>
    <x v="0"/>
    <x v="0"/>
    <x v="0"/>
    <x v="0"/>
    <x v="0"/>
    <x v="0"/>
    <x v="0"/>
  </r>
  <r>
    <x v="783"/>
    <x v="0"/>
    <x v="1"/>
    <x v="1"/>
    <x v="0"/>
    <x v="4"/>
    <x v="776"/>
    <x v="1"/>
    <x v="0"/>
    <x v="1"/>
    <x v="1"/>
    <x v="1"/>
    <x v="6"/>
    <x v="0"/>
    <x v="0"/>
    <x v="0"/>
    <x v="10"/>
    <x v="1"/>
    <x v="0"/>
    <x v="219"/>
    <x v="0"/>
    <x v="0"/>
    <x v="0"/>
    <x v="411"/>
    <x v="424"/>
    <x v="17"/>
    <x v="71"/>
    <x v="324"/>
    <x v="438"/>
    <x v="27"/>
    <x v="0"/>
    <x v="437"/>
    <x v="0"/>
    <x v="293"/>
    <x v="0"/>
    <x v="0"/>
    <x v="0"/>
    <x v="0"/>
    <x v="0"/>
    <x v="0"/>
    <x v="0"/>
    <x v="0"/>
  </r>
  <r>
    <x v="784"/>
    <x v="0"/>
    <x v="1"/>
    <x v="0"/>
    <x v="0"/>
    <x v="1"/>
    <x v="777"/>
    <x v="656"/>
    <x v="0"/>
    <x v="2"/>
    <x v="1"/>
    <x v="1"/>
    <x v="6"/>
    <x v="0"/>
    <x v="5"/>
    <x v="0"/>
    <x v="41"/>
    <x v="36"/>
    <x v="5"/>
    <x v="197"/>
    <x v="0"/>
    <x v="0"/>
    <x v="0"/>
    <x v="259"/>
    <x v="266"/>
    <x v="12"/>
    <x v="25"/>
    <x v="223"/>
    <x v="271"/>
    <x v="28"/>
    <x v="0"/>
    <x v="271"/>
    <x v="1"/>
    <x v="196"/>
    <x v="0"/>
    <x v="0"/>
    <x v="0"/>
    <x v="0"/>
    <x v="0"/>
    <x v="0"/>
    <x v="0"/>
    <x v="0"/>
  </r>
  <r>
    <x v="785"/>
    <x v="0"/>
    <x v="1"/>
    <x v="1"/>
    <x v="0"/>
    <x v="1"/>
    <x v="778"/>
    <x v="1"/>
    <x v="0"/>
    <x v="1"/>
    <x v="1"/>
    <x v="1"/>
    <x v="6"/>
    <x v="0"/>
    <x v="0"/>
    <x v="0"/>
    <x v="10"/>
    <x v="1"/>
    <x v="0"/>
    <x v="198"/>
    <x v="0"/>
    <x v="0"/>
    <x v="0"/>
    <x v="415"/>
    <x v="428"/>
    <x v="20"/>
    <x v="172"/>
    <x v="327"/>
    <x v="442"/>
    <x v="0"/>
    <x v="0"/>
    <x v="441"/>
    <x v="0"/>
    <x v="12"/>
    <x v="0"/>
    <x v="0"/>
    <x v="0"/>
    <x v="0"/>
    <x v="0"/>
    <x v="0"/>
    <x v="0"/>
    <x v="0"/>
  </r>
  <r>
    <x v="786"/>
    <x v="0"/>
    <x v="1"/>
    <x v="0"/>
    <x v="0"/>
    <x v="1"/>
    <x v="779"/>
    <x v="657"/>
    <x v="0"/>
    <x v="2"/>
    <x v="1"/>
    <x v="1"/>
    <x v="6"/>
    <x v="0"/>
    <x v="14"/>
    <x v="0"/>
    <x v="80"/>
    <x v="68"/>
    <x v="14"/>
    <x v="74"/>
    <x v="0"/>
    <x v="0"/>
    <x v="0"/>
    <x v="259"/>
    <x v="266"/>
    <x v="12"/>
    <x v="25"/>
    <x v="223"/>
    <x v="271"/>
    <x v="28"/>
    <x v="0"/>
    <x v="271"/>
    <x v="1"/>
    <x v="196"/>
    <x v="0"/>
    <x v="0"/>
    <x v="0"/>
    <x v="0"/>
    <x v="0"/>
    <x v="0"/>
    <x v="0"/>
    <x v="0"/>
  </r>
  <r>
    <x v="787"/>
    <x v="0"/>
    <x v="1"/>
    <x v="0"/>
    <x v="0"/>
    <x v="1"/>
    <x v="780"/>
    <x v="658"/>
    <x v="0"/>
    <x v="2"/>
    <x v="1"/>
    <x v="1"/>
    <x v="10"/>
    <x v="0"/>
    <x v="3"/>
    <x v="0"/>
    <x v="30"/>
    <x v="25"/>
    <x v="3"/>
    <x v="111"/>
    <x v="0"/>
    <x v="0"/>
    <x v="0"/>
    <x v="416"/>
    <x v="429"/>
    <x v="9"/>
    <x v="85"/>
    <x v="125"/>
    <x v="443"/>
    <x v="0"/>
    <x v="0"/>
    <x v="442"/>
    <x v="1"/>
    <x v="294"/>
    <x v="0"/>
    <x v="0"/>
    <x v="0"/>
    <x v="0"/>
    <x v="0"/>
    <x v="0"/>
    <x v="0"/>
    <x v="0"/>
  </r>
  <r>
    <x v="788"/>
    <x v="0"/>
    <x v="1"/>
    <x v="0"/>
    <x v="0"/>
    <x v="4"/>
    <x v="781"/>
    <x v="659"/>
    <x v="0"/>
    <x v="2"/>
    <x v="1"/>
    <x v="1"/>
    <x v="9"/>
    <x v="0"/>
    <x v="0"/>
    <x v="0"/>
    <x v="15"/>
    <x v="10"/>
    <x v="0"/>
    <x v="102"/>
    <x v="0"/>
    <x v="0"/>
    <x v="0"/>
    <x v="263"/>
    <x v="270"/>
    <x v="12"/>
    <x v="144"/>
    <x v="227"/>
    <x v="275"/>
    <x v="0"/>
    <x v="0"/>
    <x v="275"/>
    <x v="1"/>
    <x v="200"/>
    <x v="0"/>
    <x v="0"/>
    <x v="0"/>
    <x v="0"/>
    <x v="0"/>
    <x v="0"/>
    <x v="0"/>
    <x v="0"/>
  </r>
  <r>
    <x v="789"/>
    <x v="0"/>
    <x v="1"/>
    <x v="1"/>
    <x v="0"/>
    <x v="1"/>
    <x v="782"/>
    <x v="1"/>
    <x v="0"/>
    <x v="1"/>
    <x v="1"/>
    <x v="1"/>
    <x v="6"/>
    <x v="0"/>
    <x v="0"/>
    <x v="0"/>
    <x v="10"/>
    <x v="1"/>
    <x v="0"/>
    <x v="160"/>
    <x v="0"/>
    <x v="0"/>
    <x v="0"/>
    <x v="417"/>
    <x v="430"/>
    <x v="1"/>
    <x v="4"/>
    <x v="294"/>
    <x v="444"/>
    <x v="0"/>
    <x v="0"/>
    <x v="443"/>
    <x v="1"/>
    <x v="295"/>
    <x v="0"/>
    <x v="0"/>
    <x v="0"/>
    <x v="0"/>
    <x v="0"/>
    <x v="0"/>
    <x v="0"/>
    <x v="0"/>
  </r>
  <r>
    <x v="790"/>
    <x v="0"/>
    <x v="1"/>
    <x v="0"/>
    <x v="0"/>
    <x v="1"/>
    <x v="783"/>
    <x v="660"/>
    <x v="0"/>
    <x v="2"/>
    <x v="1"/>
    <x v="1"/>
    <x v="9"/>
    <x v="0"/>
    <x v="0"/>
    <x v="0"/>
    <x v="15"/>
    <x v="10"/>
    <x v="0"/>
    <x v="169"/>
    <x v="0"/>
    <x v="0"/>
    <x v="0"/>
    <x v="418"/>
    <x v="431"/>
    <x v="0"/>
    <x v="47"/>
    <x v="70"/>
    <x v="445"/>
    <x v="0"/>
    <x v="0"/>
    <x v="444"/>
    <x v="0"/>
    <x v="12"/>
    <x v="0"/>
    <x v="0"/>
    <x v="0"/>
    <x v="0"/>
    <x v="0"/>
    <x v="0"/>
    <x v="0"/>
    <x v="0"/>
  </r>
  <r>
    <x v="791"/>
    <x v="0"/>
    <x v="1"/>
    <x v="0"/>
    <x v="0"/>
    <x v="1"/>
    <x v="784"/>
    <x v="661"/>
    <x v="0"/>
    <x v="2"/>
    <x v="1"/>
    <x v="1"/>
    <x v="9"/>
    <x v="0"/>
    <x v="0"/>
    <x v="0"/>
    <x v="15"/>
    <x v="10"/>
    <x v="0"/>
    <x v="71"/>
    <x v="0"/>
    <x v="0"/>
    <x v="0"/>
    <x v="416"/>
    <x v="429"/>
    <x v="9"/>
    <x v="85"/>
    <x v="125"/>
    <x v="443"/>
    <x v="0"/>
    <x v="0"/>
    <x v="442"/>
    <x v="1"/>
    <x v="294"/>
    <x v="0"/>
    <x v="0"/>
    <x v="0"/>
    <x v="0"/>
    <x v="0"/>
    <x v="0"/>
    <x v="0"/>
    <x v="0"/>
  </r>
  <r>
    <x v="792"/>
    <x v="0"/>
    <x v="1"/>
    <x v="0"/>
    <x v="0"/>
    <x v="1"/>
    <x v="785"/>
    <x v="662"/>
    <x v="0"/>
    <x v="2"/>
    <x v="1"/>
    <x v="1"/>
    <x v="9"/>
    <x v="0"/>
    <x v="0"/>
    <x v="0"/>
    <x v="15"/>
    <x v="10"/>
    <x v="0"/>
    <x v="54"/>
    <x v="0"/>
    <x v="0"/>
    <x v="0"/>
    <x v="328"/>
    <x v="336"/>
    <x v="5"/>
    <x v="41"/>
    <x v="243"/>
    <x v="347"/>
    <x v="0"/>
    <x v="0"/>
    <x v="343"/>
    <x v="0"/>
    <x v="12"/>
    <x v="0"/>
    <x v="0"/>
    <x v="0"/>
    <x v="0"/>
    <x v="0"/>
    <x v="0"/>
    <x v="0"/>
    <x v="0"/>
  </r>
  <r>
    <x v="793"/>
    <x v="0"/>
    <x v="1"/>
    <x v="1"/>
    <x v="0"/>
    <x v="1"/>
    <x v="786"/>
    <x v="1"/>
    <x v="0"/>
    <x v="1"/>
    <x v="1"/>
    <x v="1"/>
    <x v="9"/>
    <x v="0"/>
    <x v="0"/>
    <x v="0"/>
    <x v="15"/>
    <x v="1"/>
    <x v="0"/>
    <x v="23"/>
    <x v="0"/>
    <x v="0"/>
    <x v="0"/>
    <x v="419"/>
    <x v="432"/>
    <x v="17"/>
    <x v="69"/>
    <x v="328"/>
    <x v="446"/>
    <x v="0"/>
    <x v="0"/>
    <x v="445"/>
    <x v="0"/>
    <x v="296"/>
    <x v="0"/>
    <x v="0"/>
    <x v="0"/>
    <x v="0"/>
    <x v="0"/>
    <x v="0"/>
    <x v="0"/>
    <x v="0"/>
  </r>
  <r>
    <x v="794"/>
    <x v="0"/>
    <x v="1"/>
    <x v="0"/>
    <x v="0"/>
    <x v="1"/>
    <x v="787"/>
    <x v="663"/>
    <x v="0"/>
    <x v="2"/>
    <x v="1"/>
    <x v="1"/>
    <x v="9"/>
    <x v="0"/>
    <x v="0"/>
    <x v="0"/>
    <x v="15"/>
    <x v="10"/>
    <x v="0"/>
    <x v="72"/>
    <x v="0"/>
    <x v="0"/>
    <x v="0"/>
    <x v="259"/>
    <x v="266"/>
    <x v="12"/>
    <x v="25"/>
    <x v="223"/>
    <x v="271"/>
    <x v="0"/>
    <x v="0"/>
    <x v="271"/>
    <x v="1"/>
    <x v="196"/>
    <x v="0"/>
    <x v="0"/>
    <x v="0"/>
    <x v="0"/>
    <x v="0"/>
    <x v="0"/>
    <x v="0"/>
    <x v="0"/>
  </r>
  <r>
    <x v="795"/>
    <x v="0"/>
    <x v="1"/>
    <x v="0"/>
    <x v="0"/>
    <x v="1"/>
    <x v="788"/>
    <x v="664"/>
    <x v="0"/>
    <x v="2"/>
    <x v="1"/>
    <x v="1"/>
    <x v="9"/>
    <x v="0"/>
    <x v="0"/>
    <x v="0"/>
    <x v="15"/>
    <x v="10"/>
    <x v="0"/>
    <x v="24"/>
    <x v="0"/>
    <x v="0"/>
    <x v="0"/>
    <x v="420"/>
    <x v="433"/>
    <x v="18"/>
    <x v="173"/>
    <x v="329"/>
    <x v="447"/>
    <x v="0"/>
    <x v="0"/>
    <x v="446"/>
    <x v="0"/>
    <x v="297"/>
    <x v="0"/>
    <x v="0"/>
    <x v="0"/>
    <x v="0"/>
    <x v="0"/>
    <x v="0"/>
    <x v="0"/>
    <x v="0"/>
  </r>
  <r>
    <x v="796"/>
    <x v="0"/>
    <x v="1"/>
    <x v="1"/>
    <x v="0"/>
    <x v="1"/>
    <x v="789"/>
    <x v="1"/>
    <x v="0"/>
    <x v="1"/>
    <x v="1"/>
    <x v="1"/>
    <x v="9"/>
    <x v="0"/>
    <x v="0"/>
    <x v="0"/>
    <x v="15"/>
    <x v="1"/>
    <x v="0"/>
    <x v="73"/>
    <x v="0"/>
    <x v="0"/>
    <x v="0"/>
    <x v="328"/>
    <x v="336"/>
    <x v="5"/>
    <x v="41"/>
    <x v="243"/>
    <x v="347"/>
    <x v="0"/>
    <x v="0"/>
    <x v="343"/>
    <x v="0"/>
    <x v="12"/>
    <x v="0"/>
    <x v="0"/>
    <x v="0"/>
    <x v="0"/>
    <x v="0"/>
    <x v="0"/>
    <x v="0"/>
    <x v="0"/>
  </r>
  <r>
    <x v="797"/>
    <x v="0"/>
    <x v="1"/>
    <x v="0"/>
    <x v="0"/>
    <x v="1"/>
    <x v="790"/>
    <x v="665"/>
    <x v="0"/>
    <x v="2"/>
    <x v="1"/>
    <x v="1"/>
    <x v="9"/>
    <x v="0"/>
    <x v="0"/>
    <x v="0"/>
    <x v="15"/>
    <x v="10"/>
    <x v="0"/>
    <x v="23"/>
    <x v="0"/>
    <x v="0"/>
    <x v="0"/>
    <x v="315"/>
    <x v="324"/>
    <x v="7"/>
    <x v="36"/>
    <x v="43"/>
    <x v="333"/>
    <x v="0"/>
    <x v="0"/>
    <x v="330"/>
    <x v="0"/>
    <x v="12"/>
    <x v="0"/>
    <x v="0"/>
    <x v="0"/>
    <x v="0"/>
    <x v="0"/>
    <x v="0"/>
    <x v="0"/>
    <x v="0"/>
  </r>
  <r>
    <x v="798"/>
    <x v="0"/>
    <x v="1"/>
    <x v="0"/>
    <x v="0"/>
    <x v="4"/>
    <x v="791"/>
    <x v="666"/>
    <x v="0"/>
    <x v="2"/>
    <x v="1"/>
    <x v="1"/>
    <x v="9"/>
    <x v="0"/>
    <x v="0"/>
    <x v="0"/>
    <x v="15"/>
    <x v="10"/>
    <x v="0"/>
    <x v="26"/>
    <x v="0"/>
    <x v="0"/>
    <x v="0"/>
    <x v="259"/>
    <x v="266"/>
    <x v="12"/>
    <x v="25"/>
    <x v="223"/>
    <x v="271"/>
    <x v="0"/>
    <x v="0"/>
    <x v="271"/>
    <x v="1"/>
    <x v="196"/>
    <x v="0"/>
    <x v="0"/>
    <x v="0"/>
    <x v="0"/>
    <x v="0"/>
    <x v="0"/>
    <x v="0"/>
    <x v="0"/>
  </r>
  <r>
    <x v="799"/>
    <x v="0"/>
    <x v="1"/>
    <x v="0"/>
    <x v="0"/>
    <x v="0"/>
    <x v="792"/>
    <x v="667"/>
    <x v="0"/>
    <x v="0"/>
    <x v="76"/>
    <x v="77"/>
    <x v="48"/>
    <x v="0"/>
    <x v="0"/>
    <x v="0"/>
    <x v="117"/>
    <x v="100"/>
    <x v="0"/>
    <x v="291"/>
    <x v="0"/>
    <x v="0"/>
    <x v="0"/>
    <x v="147"/>
    <x v="434"/>
    <x v="0"/>
    <x v="50"/>
    <x v="330"/>
    <x v="448"/>
    <x v="0"/>
    <x v="0"/>
    <x v="447"/>
    <x v="0"/>
    <x v="298"/>
    <x v="0"/>
    <x v="0"/>
    <x v="0"/>
    <x v="0"/>
    <x v="0"/>
    <x v="0"/>
    <x v="0"/>
    <x v="0"/>
  </r>
  <r>
    <x v="800"/>
    <x v="0"/>
    <x v="1"/>
    <x v="0"/>
    <x v="0"/>
    <x v="1"/>
    <x v="793"/>
    <x v="668"/>
    <x v="0"/>
    <x v="2"/>
    <x v="1"/>
    <x v="1"/>
    <x v="37"/>
    <x v="0"/>
    <x v="0"/>
    <x v="0"/>
    <x v="88"/>
    <x v="75"/>
    <x v="0"/>
    <x v="286"/>
    <x v="0"/>
    <x v="0"/>
    <x v="0"/>
    <x v="421"/>
    <x v="435"/>
    <x v="26"/>
    <x v="174"/>
    <x v="331"/>
    <x v="449"/>
    <x v="29"/>
    <x v="0"/>
    <x v="448"/>
    <x v="0"/>
    <x v="12"/>
    <x v="0"/>
    <x v="0"/>
    <x v="0"/>
    <x v="0"/>
    <x v="0"/>
    <x v="0"/>
    <x v="0"/>
    <x v="0"/>
  </r>
  <r>
    <x v="801"/>
    <x v="0"/>
    <x v="1"/>
    <x v="0"/>
    <x v="0"/>
    <x v="1"/>
    <x v="794"/>
    <x v="669"/>
    <x v="0"/>
    <x v="2"/>
    <x v="1"/>
    <x v="1"/>
    <x v="37"/>
    <x v="0"/>
    <x v="0"/>
    <x v="0"/>
    <x v="88"/>
    <x v="75"/>
    <x v="0"/>
    <x v="292"/>
    <x v="0"/>
    <x v="0"/>
    <x v="0"/>
    <x v="422"/>
    <x v="436"/>
    <x v="19"/>
    <x v="40"/>
    <x v="332"/>
    <x v="450"/>
    <x v="30"/>
    <x v="0"/>
    <x v="449"/>
    <x v="0"/>
    <x v="12"/>
    <x v="0"/>
    <x v="1"/>
    <x v="0"/>
    <x v="0"/>
    <x v="0"/>
    <x v="0"/>
    <x v="0"/>
    <x v="0"/>
  </r>
  <r>
    <x v="802"/>
    <x v="0"/>
    <x v="1"/>
    <x v="0"/>
    <x v="0"/>
    <x v="1"/>
    <x v="795"/>
    <x v="670"/>
    <x v="0"/>
    <x v="2"/>
    <x v="1"/>
    <x v="1"/>
    <x v="49"/>
    <x v="0"/>
    <x v="5"/>
    <x v="0"/>
    <x v="118"/>
    <x v="101"/>
    <x v="5"/>
    <x v="197"/>
    <x v="0"/>
    <x v="0"/>
    <x v="0"/>
    <x v="423"/>
    <x v="437"/>
    <x v="8"/>
    <x v="170"/>
    <x v="333"/>
    <x v="451"/>
    <x v="0"/>
    <x v="0"/>
    <x v="450"/>
    <x v="0"/>
    <x v="12"/>
    <x v="0"/>
    <x v="0"/>
    <x v="0"/>
    <x v="0"/>
    <x v="0"/>
    <x v="0"/>
    <x v="0"/>
    <x v="0"/>
  </r>
  <r>
    <x v="803"/>
    <x v="0"/>
    <x v="1"/>
    <x v="0"/>
    <x v="0"/>
    <x v="1"/>
    <x v="796"/>
    <x v="671"/>
    <x v="0"/>
    <x v="2"/>
    <x v="1"/>
    <x v="1"/>
    <x v="50"/>
    <x v="0"/>
    <x v="0"/>
    <x v="0"/>
    <x v="119"/>
    <x v="102"/>
    <x v="0"/>
    <x v="293"/>
    <x v="0"/>
    <x v="0"/>
    <x v="0"/>
    <x v="424"/>
    <x v="438"/>
    <x v="7"/>
    <x v="107"/>
    <x v="167"/>
    <x v="452"/>
    <x v="0"/>
    <x v="0"/>
    <x v="451"/>
    <x v="0"/>
    <x v="12"/>
    <x v="0"/>
    <x v="0"/>
    <x v="0"/>
    <x v="0"/>
    <x v="0"/>
    <x v="0"/>
    <x v="0"/>
    <x v="0"/>
  </r>
  <r>
    <x v="804"/>
    <x v="0"/>
    <x v="1"/>
    <x v="0"/>
    <x v="0"/>
    <x v="1"/>
    <x v="797"/>
    <x v="672"/>
    <x v="0"/>
    <x v="2"/>
    <x v="1"/>
    <x v="1"/>
    <x v="49"/>
    <x v="0"/>
    <x v="0"/>
    <x v="0"/>
    <x v="120"/>
    <x v="103"/>
    <x v="0"/>
    <x v="74"/>
    <x v="0"/>
    <x v="0"/>
    <x v="0"/>
    <x v="423"/>
    <x v="437"/>
    <x v="8"/>
    <x v="170"/>
    <x v="333"/>
    <x v="451"/>
    <x v="0"/>
    <x v="0"/>
    <x v="450"/>
    <x v="0"/>
    <x v="12"/>
    <x v="0"/>
    <x v="0"/>
    <x v="0"/>
    <x v="0"/>
    <x v="0"/>
    <x v="0"/>
    <x v="0"/>
    <x v="0"/>
  </r>
  <r>
    <x v="805"/>
    <x v="0"/>
    <x v="1"/>
    <x v="0"/>
    <x v="0"/>
    <x v="1"/>
    <x v="798"/>
    <x v="673"/>
    <x v="0"/>
    <x v="2"/>
    <x v="1"/>
    <x v="1"/>
    <x v="49"/>
    <x v="0"/>
    <x v="0"/>
    <x v="0"/>
    <x v="120"/>
    <x v="103"/>
    <x v="0"/>
    <x v="50"/>
    <x v="0"/>
    <x v="0"/>
    <x v="0"/>
    <x v="425"/>
    <x v="439"/>
    <x v="0"/>
    <x v="121"/>
    <x v="334"/>
    <x v="453"/>
    <x v="31"/>
    <x v="0"/>
    <x v="452"/>
    <x v="0"/>
    <x v="12"/>
    <x v="0"/>
    <x v="0"/>
    <x v="0"/>
    <x v="0"/>
    <x v="0"/>
    <x v="0"/>
    <x v="0"/>
    <x v="0"/>
  </r>
  <r>
    <x v="806"/>
    <x v="0"/>
    <x v="1"/>
    <x v="0"/>
    <x v="0"/>
    <x v="1"/>
    <x v="799"/>
    <x v="674"/>
    <x v="0"/>
    <x v="2"/>
    <x v="1"/>
    <x v="1"/>
    <x v="49"/>
    <x v="0"/>
    <x v="0"/>
    <x v="0"/>
    <x v="120"/>
    <x v="103"/>
    <x v="0"/>
    <x v="74"/>
    <x v="0"/>
    <x v="0"/>
    <x v="0"/>
    <x v="426"/>
    <x v="440"/>
    <x v="10"/>
    <x v="19"/>
    <x v="335"/>
    <x v="454"/>
    <x v="0"/>
    <x v="0"/>
    <x v="453"/>
    <x v="0"/>
    <x v="12"/>
    <x v="0"/>
    <x v="0"/>
    <x v="0"/>
    <x v="39"/>
    <x v="0"/>
    <x v="0"/>
    <x v="0"/>
    <x v="0"/>
  </r>
  <r>
    <x v="807"/>
    <x v="0"/>
    <x v="1"/>
    <x v="0"/>
    <x v="0"/>
    <x v="1"/>
    <x v="800"/>
    <x v="675"/>
    <x v="0"/>
    <x v="2"/>
    <x v="1"/>
    <x v="1"/>
    <x v="49"/>
    <x v="0"/>
    <x v="5"/>
    <x v="0"/>
    <x v="118"/>
    <x v="101"/>
    <x v="5"/>
    <x v="186"/>
    <x v="0"/>
    <x v="0"/>
    <x v="0"/>
    <x v="391"/>
    <x v="404"/>
    <x v="0"/>
    <x v="165"/>
    <x v="311"/>
    <x v="418"/>
    <x v="0"/>
    <x v="0"/>
    <x v="417"/>
    <x v="1"/>
    <x v="283"/>
    <x v="0"/>
    <x v="0"/>
    <x v="0"/>
    <x v="0"/>
    <x v="0"/>
    <x v="0"/>
    <x v="0"/>
    <x v="0"/>
  </r>
  <r>
    <x v="808"/>
    <x v="0"/>
    <x v="1"/>
    <x v="0"/>
    <x v="0"/>
    <x v="1"/>
    <x v="801"/>
    <x v="676"/>
    <x v="0"/>
    <x v="2"/>
    <x v="1"/>
    <x v="1"/>
    <x v="46"/>
    <x v="0"/>
    <x v="0"/>
    <x v="0"/>
    <x v="109"/>
    <x v="95"/>
    <x v="0"/>
    <x v="294"/>
    <x v="0"/>
    <x v="0"/>
    <x v="0"/>
    <x v="109"/>
    <x v="111"/>
    <x v="3"/>
    <x v="51"/>
    <x v="64"/>
    <x v="113"/>
    <x v="0"/>
    <x v="0"/>
    <x v="113"/>
    <x v="1"/>
    <x v="87"/>
    <x v="0"/>
    <x v="0"/>
    <x v="0"/>
    <x v="0"/>
    <x v="0"/>
    <x v="0"/>
    <x v="0"/>
    <x v="0"/>
  </r>
  <r>
    <x v="809"/>
    <x v="0"/>
    <x v="1"/>
    <x v="2"/>
    <x v="0"/>
    <x v="1"/>
    <x v="802"/>
    <x v="1"/>
    <x v="0"/>
    <x v="1"/>
    <x v="1"/>
    <x v="1"/>
    <x v="49"/>
    <x v="0"/>
    <x v="5"/>
    <x v="0"/>
    <x v="118"/>
    <x v="1"/>
    <x v="5"/>
    <x v="186"/>
    <x v="0"/>
    <x v="0"/>
    <x v="0"/>
    <x v="391"/>
    <x v="404"/>
    <x v="0"/>
    <x v="165"/>
    <x v="311"/>
    <x v="418"/>
    <x v="0"/>
    <x v="0"/>
    <x v="417"/>
    <x v="1"/>
    <x v="283"/>
    <x v="0"/>
    <x v="0"/>
    <x v="0"/>
    <x v="0"/>
    <x v="0"/>
    <x v="0"/>
    <x v="0"/>
    <x v="0"/>
  </r>
  <r>
    <x v="810"/>
    <x v="0"/>
    <x v="1"/>
    <x v="0"/>
    <x v="0"/>
    <x v="1"/>
    <x v="803"/>
    <x v="677"/>
    <x v="0"/>
    <x v="2"/>
    <x v="1"/>
    <x v="1"/>
    <x v="46"/>
    <x v="0"/>
    <x v="5"/>
    <x v="0"/>
    <x v="111"/>
    <x v="104"/>
    <x v="5"/>
    <x v="295"/>
    <x v="0"/>
    <x v="0"/>
    <x v="0"/>
    <x v="427"/>
    <x v="441"/>
    <x v="24"/>
    <x v="79"/>
    <x v="244"/>
    <x v="455"/>
    <x v="0"/>
    <x v="0"/>
    <x v="454"/>
    <x v="0"/>
    <x v="12"/>
    <x v="0"/>
    <x v="0"/>
    <x v="0"/>
    <x v="0"/>
    <x v="0"/>
    <x v="0"/>
    <x v="0"/>
    <x v="0"/>
  </r>
  <r>
    <x v="811"/>
    <x v="0"/>
    <x v="1"/>
    <x v="1"/>
    <x v="0"/>
    <x v="1"/>
    <x v="804"/>
    <x v="1"/>
    <x v="0"/>
    <x v="1"/>
    <x v="1"/>
    <x v="1"/>
    <x v="49"/>
    <x v="0"/>
    <x v="0"/>
    <x v="0"/>
    <x v="120"/>
    <x v="1"/>
    <x v="0"/>
    <x v="184"/>
    <x v="0"/>
    <x v="0"/>
    <x v="0"/>
    <x v="428"/>
    <x v="442"/>
    <x v="9"/>
    <x v="16"/>
    <x v="17"/>
    <x v="456"/>
    <x v="0"/>
    <x v="0"/>
    <x v="455"/>
    <x v="0"/>
    <x v="12"/>
    <x v="0"/>
    <x v="0"/>
    <x v="0"/>
    <x v="0"/>
    <x v="0"/>
    <x v="0"/>
    <x v="0"/>
    <x v="0"/>
  </r>
  <r>
    <x v="812"/>
    <x v="0"/>
    <x v="1"/>
    <x v="0"/>
    <x v="0"/>
    <x v="1"/>
    <x v="805"/>
    <x v="678"/>
    <x v="0"/>
    <x v="2"/>
    <x v="1"/>
    <x v="1"/>
    <x v="49"/>
    <x v="1"/>
    <x v="13"/>
    <x v="0"/>
    <x v="121"/>
    <x v="105"/>
    <x v="13"/>
    <x v="75"/>
    <x v="0"/>
    <x v="0"/>
    <x v="0"/>
    <x v="429"/>
    <x v="443"/>
    <x v="22"/>
    <x v="149"/>
    <x v="336"/>
    <x v="457"/>
    <x v="0"/>
    <x v="0"/>
    <x v="456"/>
    <x v="0"/>
    <x v="12"/>
    <x v="0"/>
    <x v="0"/>
    <x v="0"/>
    <x v="0"/>
    <x v="0"/>
    <x v="0"/>
    <x v="0"/>
    <x v="0"/>
  </r>
  <r>
    <x v="813"/>
    <x v="0"/>
    <x v="1"/>
    <x v="1"/>
    <x v="0"/>
    <x v="1"/>
    <x v="806"/>
    <x v="1"/>
    <x v="0"/>
    <x v="1"/>
    <x v="1"/>
    <x v="1"/>
    <x v="49"/>
    <x v="0"/>
    <x v="0"/>
    <x v="0"/>
    <x v="120"/>
    <x v="1"/>
    <x v="0"/>
    <x v="212"/>
    <x v="0"/>
    <x v="0"/>
    <x v="0"/>
    <x v="430"/>
    <x v="444"/>
    <x v="0"/>
    <x v="47"/>
    <x v="337"/>
    <x v="458"/>
    <x v="32"/>
    <x v="0"/>
    <x v="457"/>
    <x v="0"/>
    <x v="12"/>
    <x v="0"/>
    <x v="0"/>
    <x v="0"/>
    <x v="0"/>
    <x v="0"/>
    <x v="0"/>
    <x v="0"/>
    <x v="0"/>
  </r>
  <r>
    <x v="814"/>
    <x v="0"/>
    <x v="1"/>
    <x v="0"/>
    <x v="0"/>
    <x v="1"/>
    <x v="807"/>
    <x v="679"/>
    <x v="0"/>
    <x v="2"/>
    <x v="1"/>
    <x v="1"/>
    <x v="49"/>
    <x v="0"/>
    <x v="0"/>
    <x v="0"/>
    <x v="120"/>
    <x v="103"/>
    <x v="0"/>
    <x v="197"/>
    <x v="0"/>
    <x v="0"/>
    <x v="0"/>
    <x v="431"/>
    <x v="445"/>
    <x v="2"/>
    <x v="139"/>
    <x v="338"/>
    <x v="459"/>
    <x v="0"/>
    <x v="0"/>
    <x v="458"/>
    <x v="0"/>
    <x v="12"/>
    <x v="0"/>
    <x v="0"/>
    <x v="0"/>
    <x v="0"/>
    <x v="0"/>
    <x v="0"/>
    <x v="0"/>
    <x v="0"/>
  </r>
  <r>
    <x v="815"/>
    <x v="0"/>
    <x v="1"/>
    <x v="0"/>
    <x v="0"/>
    <x v="1"/>
    <x v="808"/>
    <x v="680"/>
    <x v="0"/>
    <x v="2"/>
    <x v="1"/>
    <x v="1"/>
    <x v="37"/>
    <x v="1"/>
    <x v="1"/>
    <x v="0"/>
    <x v="122"/>
    <x v="106"/>
    <x v="1"/>
    <x v="296"/>
    <x v="0"/>
    <x v="0"/>
    <x v="0"/>
    <x v="429"/>
    <x v="443"/>
    <x v="22"/>
    <x v="149"/>
    <x v="336"/>
    <x v="457"/>
    <x v="33"/>
    <x v="0"/>
    <x v="456"/>
    <x v="0"/>
    <x v="12"/>
    <x v="0"/>
    <x v="0"/>
    <x v="0"/>
    <x v="0"/>
    <x v="0"/>
    <x v="0"/>
    <x v="0"/>
    <x v="0"/>
  </r>
  <r>
    <x v="816"/>
    <x v="0"/>
    <x v="1"/>
    <x v="0"/>
    <x v="0"/>
    <x v="1"/>
    <x v="809"/>
    <x v="681"/>
    <x v="0"/>
    <x v="2"/>
    <x v="1"/>
    <x v="1"/>
    <x v="46"/>
    <x v="0"/>
    <x v="3"/>
    <x v="0"/>
    <x v="123"/>
    <x v="107"/>
    <x v="3"/>
    <x v="297"/>
    <x v="0"/>
    <x v="0"/>
    <x v="0"/>
    <x v="30"/>
    <x v="243"/>
    <x v="6"/>
    <x v="113"/>
    <x v="204"/>
    <x v="248"/>
    <x v="0"/>
    <x v="0"/>
    <x v="247"/>
    <x v="0"/>
    <x v="299"/>
    <x v="0"/>
    <x v="0"/>
    <x v="0"/>
    <x v="0"/>
    <x v="0"/>
    <x v="0"/>
    <x v="0"/>
    <x v="0"/>
  </r>
  <r>
    <x v="817"/>
    <x v="0"/>
    <x v="1"/>
    <x v="0"/>
    <x v="0"/>
    <x v="1"/>
    <x v="810"/>
    <x v="682"/>
    <x v="0"/>
    <x v="2"/>
    <x v="1"/>
    <x v="1"/>
    <x v="49"/>
    <x v="0"/>
    <x v="5"/>
    <x v="0"/>
    <x v="118"/>
    <x v="101"/>
    <x v="5"/>
    <x v="87"/>
    <x v="0"/>
    <x v="0"/>
    <x v="0"/>
    <x v="427"/>
    <x v="441"/>
    <x v="24"/>
    <x v="79"/>
    <x v="244"/>
    <x v="455"/>
    <x v="0"/>
    <x v="0"/>
    <x v="459"/>
    <x v="0"/>
    <x v="12"/>
    <x v="0"/>
    <x v="0"/>
    <x v="0"/>
    <x v="0"/>
    <x v="0"/>
    <x v="0"/>
    <x v="0"/>
    <x v="0"/>
  </r>
  <r>
    <x v="818"/>
    <x v="0"/>
    <x v="1"/>
    <x v="0"/>
    <x v="0"/>
    <x v="1"/>
    <x v="811"/>
    <x v="683"/>
    <x v="0"/>
    <x v="2"/>
    <x v="1"/>
    <x v="1"/>
    <x v="46"/>
    <x v="1"/>
    <x v="9"/>
    <x v="0"/>
    <x v="51"/>
    <x v="45"/>
    <x v="9"/>
    <x v="298"/>
    <x v="0"/>
    <x v="0"/>
    <x v="0"/>
    <x v="429"/>
    <x v="443"/>
    <x v="22"/>
    <x v="149"/>
    <x v="336"/>
    <x v="457"/>
    <x v="34"/>
    <x v="0"/>
    <x v="456"/>
    <x v="0"/>
    <x v="12"/>
    <x v="0"/>
    <x v="0"/>
    <x v="0"/>
    <x v="0"/>
    <x v="0"/>
    <x v="0"/>
    <x v="0"/>
    <x v="0"/>
  </r>
  <r>
    <x v="819"/>
    <x v="0"/>
    <x v="1"/>
    <x v="0"/>
    <x v="0"/>
    <x v="1"/>
    <x v="812"/>
    <x v="684"/>
    <x v="0"/>
    <x v="2"/>
    <x v="1"/>
    <x v="1"/>
    <x v="34"/>
    <x v="1"/>
    <x v="5"/>
    <x v="0"/>
    <x v="124"/>
    <x v="108"/>
    <x v="5"/>
    <x v="191"/>
    <x v="0"/>
    <x v="0"/>
    <x v="0"/>
    <x v="429"/>
    <x v="443"/>
    <x v="22"/>
    <x v="149"/>
    <x v="336"/>
    <x v="457"/>
    <x v="0"/>
    <x v="0"/>
    <x v="456"/>
    <x v="0"/>
    <x v="12"/>
    <x v="0"/>
    <x v="0"/>
    <x v="0"/>
    <x v="0"/>
    <x v="0"/>
    <x v="0"/>
    <x v="0"/>
    <x v="0"/>
  </r>
  <r>
    <x v="820"/>
    <x v="0"/>
    <x v="1"/>
    <x v="0"/>
    <x v="0"/>
    <x v="1"/>
    <x v="813"/>
    <x v="685"/>
    <x v="0"/>
    <x v="2"/>
    <x v="1"/>
    <x v="1"/>
    <x v="46"/>
    <x v="0"/>
    <x v="0"/>
    <x v="0"/>
    <x v="109"/>
    <x v="95"/>
    <x v="0"/>
    <x v="299"/>
    <x v="0"/>
    <x v="0"/>
    <x v="0"/>
    <x v="432"/>
    <x v="446"/>
    <x v="6"/>
    <x v="175"/>
    <x v="339"/>
    <x v="460"/>
    <x v="35"/>
    <x v="0"/>
    <x v="460"/>
    <x v="0"/>
    <x v="12"/>
    <x v="0"/>
    <x v="0"/>
    <x v="0"/>
    <x v="0"/>
    <x v="0"/>
    <x v="0"/>
    <x v="0"/>
    <x v="0"/>
  </r>
  <r>
    <x v="821"/>
    <x v="0"/>
    <x v="1"/>
    <x v="0"/>
    <x v="0"/>
    <x v="1"/>
    <x v="814"/>
    <x v="686"/>
    <x v="0"/>
    <x v="2"/>
    <x v="1"/>
    <x v="1"/>
    <x v="46"/>
    <x v="1"/>
    <x v="5"/>
    <x v="0"/>
    <x v="41"/>
    <x v="36"/>
    <x v="5"/>
    <x v="300"/>
    <x v="0"/>
    <x v="0"/>
    <x v="0"/>
    <x v="429"/>
    <x v="443"/>
    <x v="22"/>
    <x v="149"/>
    <x v="336"/>
    <x v="457"/>
    <x v="34"/>
    <x v="0"/>
    <x v="456"/>
    <x v="0"/>
    <x v="12"/>
    <x v="0"/>
    <x v="0"/>
    <x v="0"/>
    <x v="0"/>
    <x v="0"/>
    <x v="0"/>
    <x v="0"/>
    <x v="0"/>
  </r>
  <r>
    <x v="822"/>
    <x v="0"/>
    <x v="1"/>
    <x v="0"/>
    <x v="0"/>
    <x v="1"/>
    <x v="815"/>
    <x v="687"/>
    <x v="0"/>
    <x v="2"/>
    <x v="1"/>
    <x v="1"/>
    <x v="46"/>
    <x v="0"/>
    <x v="5"/>
    <x v="0"/>
    <x v="111"/>
    <x v="104"/>
    <x v="5"/>
    <x v="301"/>
    <x v="0"/>
    <x v="0"/>
    <x v="0"/>
    <x v="427"/>
    <x v="441"/>
    <x v="24"/>
    <x v="79"/>
    <x v="244"/>
    <x v="455"/>
    <x v="0"/>
    <x v="0"/>
    <x v="459"/>
    <x v="0"/>
    <x v="12"/>
    <x v="0"/>
    <x v="0"/>
    <x v="0"/>
    <x v="0"/>
    <x v="0"/>
    <x v="0"/>
    <x v="0"/>
    <x v="0"/>
  </r>
  <r>
    <x v="823"/>
    <x v="0"/>
    <x v="1"/>
    <x v="0"/>
    <x v="0"/>
    <x v="1"/>
    <x v="816"/>
    <x v="688"/>
    <x v="0"/>
    <x v="2"/>
    <x v="1"/>
    <x v="1"/>
    <x v="46"/>
    <x v="0"/>
    <x v="9"/>
    <x v="0"/>
    <x v="125"/>
    <x v="109"/>
    <x v="9"/>
    <x v="302"/>
    <x v="0"/>
    <x v="0"/>
    <x v="0"/>
    <x v="133"/>
    <x v="135"/>
    <x v="13"/>
    <x v="55"/>
    <x v="119"/>
    <x v="138"/>
    <x v="0"/>
    <x v="0"/>
    <x v="138"/>
    <x v="1"/>
    <x v="104"/>
    <x v="0"/>
    <x v="0"/>
    <x v="0"/>
    <x v="0"/>
    <x v="0"/>
    <x v="0"/>
    <x v="0"/>
    <x v="0"/>
  </r>
  <r>
    <x v="824"/>
    <x v="0"/>
    <x v="1"/>
    <x v="0"/>
    <x v="0"/>
    <x v="1"/>
    <x v="817"/>
    <x v="689"/>
    <x v="0"/>
    <x v="2"/>
    <x v="1"/>
    <x v="1"/>
    <x v="12"/>
    <x v="0"/>
    <x v="5"/>
    <x v="0"/>
    <x v="101"/>
    <x v="88"/>
    <x v="5"/>
    <x v="303"/>
    <x v="0"/>
    <x v="0"/>
    <x v="0"/>
    <x v="433"/>
    <x v="447"/>
    <x v="1"/>
    <x v="14"/>
    <x v="326"/>
    <x v="461"/>
    <x v="0"/>
    <x v="0"/>
    <x v="461"/>
    <x v="1"/>
    <x v="300"/>
    <x v="0"/>
    <x v="0"/>
    <x v="0"/>
    <x v="0"/>
    <x v="0"/>
    <x v="0"/>
    <x v="0"/>
    <x v="0"/>
  </r>
  <r>
    <x v="825"/>
    <x v="0"/>
    <x v="1"/>
    <x v="0"/>
    <x v="0"/>
    <x v="1"/>
    <x v="818"/>
    <x v="690"/>
    <x v="0"/>
    <x v="2"/>
    <x v="1"/>
    <x v="1"/>
    <x v="46"/>
    <x v="0"/>
    <x v="5"/>
    <x v="0"/>
    <x v="111"/>
    <x v="104"/>
    <x v="5"/>
    <x v="304"/>
    <x v="0"/>
    <x v="0"/>
    <x v="0"/>
    <x v="427"/>
    <x v="441"/>
    <x v="24"/>
    <x v="79"/>
    <x v="244"/>
    <x v="455"/>
    <x v="0"/>
    <x v="0"/>
    <x v="459"/>
    <x v="0"/>
    <x v="12"/>
    <x v="0"/>
    <x v="0"/>
    <x v="0"/>
    <x v="0"/>
    <x v="0"/>
    <x v="0"/>
    <x v="0"/>
    <x v="0"/>
  </r>
  <r>
    <x v="826"/>
    <x v="0"/>
    <x v="1"/>
    <x v="0"/>
    <x v="0"/>
    <x v="1"/>
    <x v="819"/>
    <x v="691"/>
    <x v="0"/>
    <x v="2"/>
    <x v="1"/>
    <x v="1"/>
    <x v="6"/>
    <x v="0"/>
    <x v="4"/>
    <x v="0"/>
    <x v="37"/>
    <x v="32"/>
    <x v="4"/>
    <x v="305"/>
    <x v="0"/>
    <x v="0"/>
    <x v="0"/>
    <x v="434"/>
    <x v="448"/>
    <x v="0"/>
    <x v="5"/>
    <x v="5"/>
    <x v="462"/>
    <x v="0"/>
    <x v="0"/>
    <x v="462"/>
    <x v="0"/>
    <x v="301"/>
    <x v="0"/>
    <x v="0"/>
    <x v="0"/>
    <x v="0"/>
    <x v="0"/>
    <x v="0"/>
    <x v="0"/>
    <x v="0"/>
  </r>
  <r>
    <x v="827"/>
    <x v="0"/>
    <x v="1"/>
    <x v="0"/>
    <x v="0"/>
    <x v="1"/>
    <x v="820"/>
    <x v="692"/>
    <x v="0"/>
    <x v="2"/>
    <x v="1"/>
    <x v="1"/>
    <x v="46"/>
    <x v="0"/>
    <x v="3"/>
    <x v="0"/>
    <x v="123"/>
    <x v="107"/>
    <x v="3"/>
    <x v="306"/>
    <x v="0"/>
    <x v="0"/>
    <x v="0"/>
    <x v="435"/>
    <x v="449"/>
    <x v="0"/>
    <x v="18"/>
    <x v="28"/>
    <x v="463"/>
    <x v="0"/>
    <x v="0"/>
    <x v="463"/>
    <x v="1"/>
    <x v="302"/>
    <x v="0"/>
    <x v="0"/>
    <x v="0"/>
    <x v="0"/>
    <x v="0"/>
    <x v="0"/>
    <x v="0"/>
    <x v="0"/>
  </r>
  <r>
    <x v="828"/>
    <x v="0"/>
    <x v="1"/>
    <x v="2"/>
    <x v="0"/>
    <x v="1"/>
    <x v="821"/>
    <x v="1"/>
    <x v="0"/>
    <x v="1"/>
    <x v="1"/>
    <x v="1"/>
    <x v="46"/>
    <x v="0"/>
    <x v="0"/>
    <x v="0"/>
    <x v="109"/>
    <x v="1"/>
    <x v="0"/>
    <x v="306"/>
    <x v="0"/>
    <x v="0"/>
    <x v="0"/>
    <x v="435"/>
    <x v="449"/>
    <x v="0"/>
    <x v="18"/>
    <x v="28"/>
    <x v="464"/>
    <x v="0"/>
    <x v="0"/>
    <x v="463"/>
    <x v="1"/>
    <x v="302"/>
    <x v="0"/>
    <x v="0"/>
    <x v="0"/>
    <x v="0"/>
    <x v="0"/>
    <x v="0"/>
    <x v="0"/>
    <x v="0"/>
  </r>
  <r>
    <x v="829"/>
    <x v="0"/>
    <x v="1"/>
    <x v="0"/>
    <x v="0"/>
    <x v="1"/>
    <x v="822"/>
    <x v="693"/>
    <x v="0"/>
    <x v="2"/>
    <x v="1"/>
    <x v="1"/>
    <x v="46"/>
    <x v="1"/>
    <x v="5"/>
    <x v="0"/>
    <x v="41"/>
    <x v="36"/>
    <x v="5"/>
    <x v="307"/>
    <x v="0"/>
    <x v="0"/>
    <x v="0"/>
    <x v="429"/>
    <x v="443"/>
    <x v="22"/>
    <x v="149"/>
    <x v="336"/>
    <x v="457"/>
    <x v="0"/>
    <x v="0"/>
    <x v="456"/>
    <x v="0"/>
    <x v="12"/>
    <x v="0"/>
    <x v="0"/>
    <x v="0"/>
    <x v="0"/>
    <x v="0"/>
    <x v="0"/>
    <x v="0"/>
    <x v="0"/>
  </r>
  <r>
    <x v="830"/>
    <x v="0"/>
    <x v="1"/>
    <x v="0"/>
    <x v="0"/>
    <x v="1"/>
    <x v="823"/>
    <x v="694"/>
    <x v="0"/>
    <x v="2"/>
    <x v="1"/>
    <x v="1"/>
    <x v="50"/>
    <x v="0"/>
    <x v="0"/>
    <x v="0"/>
    <x v="119"/>
    <x v="102"/>
    <x v="0"/>
    <x v="308"/>
    <x v="0"/>
    <x v="0"/>
    <x v="0"/>
    <x v="427"/>
    <x v="441"/>
    <x v="24"/>
    <x v="79"/>
    <x v="244"/>
    <x v="455"/>
    <x v="0"/>
    <x v="0"/>
    <x v="459"/>
    <x v="0"/>
    <x v="12"/>
    <x v="0"/>
    <x v="0"/>
    <x v="0"/>
    <x v="0"/>
    <x v="0"/>
    <x v="0"/>
    <x v="0"/>
    <x v="0"/>
  </r>
  <r>
    <x v="831"/>
    <x v="0"/>
    <x v="1"/>
    <x v="0"/>
    <x v="0"/>
    <x v="1"/>
    <x v="824"/>
    <x v="695"/>
    <x v="0"/>
    <x v="2"/>
    <x v="1"/>
    <x v="1"/>
    <x v="12"/>
    <x v="0"/>
    <x v="2"/>
    <x v="0"/>
    <x v="26"/>
    <x v="21"/>
    <x v="2"/>
    <x v="309"/>
    <x v="0"/>
    <x v="0"/>
    <x v="0"/>
    <x v="433"/>
    <x v="447"/>
    <x v="1"/>
    <x v="14"/>
    <x v="326"/>
    <x v="461"/>
    <x v="0"/>
    <x v="0"/>
    <x v="461"/>
    <x v="1"/>
    <x v="300"/>
    <x v="0"/>
    <x v="0"/>
    <x v="0"/>
    <x v="0"/>
    <x v="0"/>
    <x v="0"/>
    <x v="0"/>
    <x v="0"/>
  </r>
  <r>
    <x v="832"/>
    <x v="0"/>
    <x v="1"/>
    <x v="0"/>
    <x v="0"/>
    <x v="1"/>
    <x v="825"/>
    <x v="696"/>
    <x v="0"/>
    <x v="2"/>
    <x v="1"/>
    <x v="1"/>
    <x v="6"/>
    <x v="1"/>
    <x v="5"/>
    <x v="0"/>
    <x v="101"/>
    <x v="88"/>
    <x v="5"/>
    <x v="310"/>
    <x v="0"/>
    <x v="0"/>
    <x v="0"/>
    <x v="429"/>
    <x v="443"/>
    <x v="22"/>
    <x v="149"/>
    <x v="336"/>
    <x v="457"/>
    <x v="0"/>
    <x v="0"/>
    <x v="456"/>
    <x v="0"/>
    <x v="12"/>
    <x v="0"/>
    <x v="1"/>
    <x v="0"/>
    <x v="0"/>
    <x v="0"/>
    <x v="0"/>
    <x v="0"/>
    <x v="0"/>
  </r>
  <r>
    <x v="833"/>
    <x v="0"/>
    <x v="1"/>
    <x v="0"/>
    <x v="0"/>
    <x v="1"/>
    <x v="826"/>
    <x v="697"/>
    <x v="0"/>
    <x v="2"/>
    <x v="1"/>
    <x v="1"/>
    <x v="50"/>
    <x v="0"/>
    <x v="6"/>
    <x v="0"/>
    <x v="126"/>
    <x v="110"/>
    <x v="6"/>
    <x v="311"/>
    <x v="0"/>
    <x v="0"/>
    <x v="0"/>
    <x v="436"/>
    <x v="450"/>
    <x v="1"/>
    <x v="164"/>
    <x v="304"/>
    <x v="465"/>
    <x v="0"/>
    <x v="0"/>
    <x v="464"/>
    <x v="0"/>
    <x v="303"/>
    <x v="0"/>
    <x v="0"/>
    <x v="0"/>
    <x v="0"/>
    <x v="0"/>
    <x v="0"/>
    <x v="0"/>
    <x v="0"/>
  </r>
  <r>
    <x v="834"/>
    <x v="0"/>
    <x v="1"/>
    <x v="0"/>
    <x v="0"/>
    <x v="1"/>
    <x v="827"/>
    <x v="698"/>
    <x v="0"/>
    <x v="2"/>
    <x v="1"/>
    <x v="1"/>
    <x v="34"/>
    <x v="0"/>
    <x v="0"/>
    <x v="0"/>
    <x v="78"/>
    <x v="66"/>
    <x v="0"/>
    <x v="312"/>
    <x v="0"/>
    <x v="0"/>
    <x v="0"/>
    <x v="437"/>
    <x v="451"/>
    <x v="5"/>
    <x v="41"/>
    <x v="340"/>
    <x v="466"/>
    <x v="36"/>
    <x v="0"/>
    <x v="465"/>
    <x v="0"/>
    <x v="12"/>
    <x v="0"/>
    <x v="0"/>
    <x v="0"/>
    <x v="0"/>
    <x v="0"/>
    <x v="0"/>
    <x v="0"/>
    <x v="0"/>
  </r>
  <r>
    <x v="835"/>
    <x v="0"/>
    <x v="1"/>
    <x v="0"/>
    <x v="0"/>
    <x v="1"/>
    <x v="828"/>
    <x v="699"/>
    <x v="0"/>
    <x v="2"/>
    <x v="1"/>
    <x v="1"/>
    <x v="50"/>
    <x v="0"/>
    <x v="0"/>
    <x v="0"/>
    <x v="119"/>
    <x v="102"/>
    <x v="0"/>
    <x v="313"/>
    <x v="0"/>
    <x v="0"/>
    <x v="0"/>
    <x v="436"/>
    <x v="450"/>
    <x v="1"/>
    <x v="164"/>
    <x v="304"/>
    <x v="465"/>
    <x v="0"/>
    <x v="0"/>
    <x v="466"/>
    <x v="0"/>
    <x v="12"/>
    <x v="0"/>
    <x v="0"/>
    <x v="0"/>
    <x v="0"/>
    <x v="0"/>
    <x v="0"/>
    <x v="0"/>
    <x v="0"/>
  </r>
  <r>
    <x v="836"/>
    <x v="0"/>
    <x v="1"/>
    <x v="2"/>
    <x v="0"/>
    <x v="1"/>
    <x v="829"/>
    <x v="1"/>
    <x v="0"/>
    <x v="1"/>
    <x v="1"/>
    <x v="1"/>
    <x v="46"/>
    <x v="0"/>
    <x v="3"/>
    <x v="0"/>
    <x v="123"/>
    <x v="1"/>
    <x v="3"/>
    <x v="314"/>
    <x v="0"/>
    <x v="0"/>
    <x v="0"/>
    <x v="435"/>
    <x v="449"/>
    <x v="0"/>
    <x v="18"/>
    <x v="28"/>
    <x v="463"/>
    <x v="0"/>
    <x v="0"/>
    <x v="463"/>
    <x v="1"/>
    <x v="302"/>
    <x v="0"/>
    <x v="0"/>
    <x v="0"/>
    <x v="0"/>
    <x v="0"/>
    <x v="0"/>
    <x v="0"/>
    <x v="0"/>
  </r>
  <r>
    <x v="837"/>
    <x v="0"/>
    <x v="1"/>
    <x v="0"/>
    <x v="0"/>
    <x v="1"/>
    <x v="830"/>
    <x v="700"/>
    <x v="0"/>
    <x v="2"/>
    <x v="1"/>
    <x v="1"/>
    <x v="50"/>
    <x v="0"/>
    <x v="0"/>
    <x v="0"/>
    <x v="119"/>
    <x v="102"/>
    <x v="0"/>
    <x v="293"/>
    <x v="0"/>
    <x v="0"/>
    <x v="0"/>
    <x v="438"/>
    <x v="452"/>
    <x v="13"/>
    <x v="55"/>
    <x v="341"/>
    <x v="467"/>
    <x v="0"/>
    <x v="0"/>
    <x v="467"/>
    <x v="0"/>
    <x v="12"/>
    <x v="0"/>
    <x v="0"/>
    <x v="0"/>
    <x v="0"/>
    <x v="0"/>
    <x v="0"/>
    <x v="0"/>
    <x v="0"/>
  </r>
  <r>
    <x v="838"/>
    <x v="0"/>
    <x v="1"/>
    <x v="0"/>
    <x v="0"/>
    <x v="1"/>
    <x v="831"/>
    <x v="701"/>
    <x v="0"/>
    <x v="2"/>
    <x v="1"/>
    <x v="1"/>
    <x v="50"/>
    <x v="1"/>
    <x v="6"/>
    <x v="0"/>
    <x v="127"/>
    <x v="111"/>
    <x v="6"/>
    <x v="315"/>
    <x v="0"/>
    <x v="0"/>
    <x v="0"/>
    <x v="429"/>
    <x v="443"/>
    <x v="22"/>
    <x v="149"/>
    <x v="336"/>
    <x v="457"/>
    <x v="0"/>
    <x v="0"/>
    <x v="456"/>
    <x v="0"/>
    <x v="12"/>
    <x v="0"/>
    <x v="0"/>
    <x v="0"/>
    <x v="0"/>
    <x v="0"/>
    <x v="0"/>
    <x v="0"/>
    <x v="0"/>
  </r>
  <r>
    <x v="839"/>
    <x v="0"/>
    <x v="1"/>
    <x v="0"/>
    <x v="0"/>
    <x v="1"/>
    <x v="832"/>
    <x v="702"/>
    <x v="0"/>
    <x v="2"/>
    <x v="1"/>
    <x v="1"/>
    <x v="50"/>
    <x v="1"/>
    <x v="9"/>
    <x v="0"/>
    <x v="128"/>
    <x v="112"/>
    <x v="9"/>
    <x v="316"/>
    <x v="0"/>
    <x v="0"/>
    <x v="0"/>
    <x v="429"/>
    <x v="443"/>
    <x v="22"/>
    <x v="149"/>
    <x v="336"/>
    <x v="457"/>
    <x v="0"/>
    <x v="0"/>
    <x v="456"/>
    <x v="0"/>
    <x v="12"/>
    <x v="0"/>
    <x v="0"/>
    <x v="0"/>
    <x v="0"/>
    <x v="0"/>
    <x v="0"/>
    <x v="0"/>
    <x v="0"/>
  </r>
  <r>
    <x v="840"/>
    <x v="0"/>
    <x v="1"/>
    <x v="0"/>
    <x v="0"/>
    <x v="1"/>
    <x v="833"/>
    <x v="703"/>
    <x v="0"/>
    <x v="2"/>
    <x v="1"/>
    <x v="1"/>
    <x v="50"/>
    <x v="0"/>
    <x v="6"/>
    <x v="0"/>
    <x v="126"/>
    <x v="110"/>
    <x v="6"/>
    <x v="293"/>
    <x v="0"/>
    <x v="0"/>
    <x v="0"/>
    <x v="439"/>
    <x v="453"/>
    <x v="14"/>
    <x v="108"/>
    <x v="170"/>
    <x v="468"/>
    <x v="0"/>
    <x v="0"/>
    <x v="468"/>
    <x v="0"/>
    <x v="12"/>
    <x v="0"/>
    <x v="0"/>
    <x v="0"/>
    <x v="0"/>
    <x v="0"/>
    <x v="0"/>
    <x v="0"/>
    <x v="0"/>
  </r>
  <r>
    <x v="841"/>
    <x v="0"/>
    <x v="1"/>
    <x v="1"/>
    <x v="0"/>
    <x v="1"/>
    <x v="834"/>
    <x v="1"/>
    <x v="0"/>
    <x v="1"/>
    <x v="1"/>
    <x v="1"/>
    <x v="12"/>
    <x v="0"/>
    <x v="0"/>
    <x v="0"/>
    <x v="24"/>
    <x v="1"/>
    <x v="0"/>
    <x v="317"/>
    <x v="0"/>
    <x v="0"/>
    <x v="0"/>
    <x v="440"/>
    <x v="454"/>
    <x v="1"/>
    <x v="26"/>
    <x v="342"/>
    <x v="469"/>
    <x v="0"/>
    <x v="0"/>
    <x v="469"/>
    <x v="1"/>
    <x v="304"/>
    <x v="0"/>
    <x v="0"/>
    <x v="0"/>
    <x v="0"/>
    <x v="0"/>
    <x v="0"/>
    <x v="0"/>
    <x v="0"/>
  </r>
  <r>
    <x v="842"/>
    <x v="0"/>
    <x v="1"/>
    <x v="0"/>
    <x v="0"/>
    <x v="1"/>
    <x v="835"/>
    <x v="704"/>
    <x v="0"/>
    <x v="2"/>
    <x v="1"/>
    <x v="1"/>
    <x v="12"/>
    <x v="0"/>
    <x v="16"/>
    <x v="0"/>
    <x v="80"/>
    <x v="68"/>
    <x v="16"/>
    <x v="318"/>
    <x v="0"/>
    <x v="0"/>
    <x v="0"/>
    <x v="441"/>
    <x v="455"/>
    <x v="6"/>
    <x v="11"/>
    <x v="11"/>
    <x v="470"/>
    <x v="0"/>
    <x v="0"/>
    <x v="470"/>
    <x v="1"/>
    <x v="305"/>
    <x v="0"/>
    <x v="0"/>
    <x v="0"/>
    <x v="0"/>
    <x v="0"/>
    <x v="0"/>
    <x v="0"/>
    <x v="0"/>
  </r>
  <r>
    <x v="843"/>
    <x v="0"/>
    <x v="1"/>
    <x v="0"/>
    <x v="0"/>
    <x v="1"/>
    <x v="836"/>
    <x v="705"/>
    <x v="0"/>
    <x v="2"/>
    <x v="1"/>
    <x v="1"/>
    <x v="50"/>
    <x v="0"/>
    <x v="0"/>
    <x v="0"/>
    <x v="119"/>
    <x v="102"/>
    <x v="0"/>
    <x v="319"/>
    <x v="0"/>
    <x v="0"/>
    <x v="0"/>
    <x v="261"/>
    <x v="268"/>
    <x v="8"/>
    <x v="142"/>
    <x v="225"/>
    <x v="273"/>
    <x v="0"/>
    <x v="0"/>
    <x v="273"/>
    <x v="1"/>
    <x v="198"/>
    <x v="0"/>
    <x v="0"/>
    <x v="0"/>
    <x v="0"/>
    <x v="0"/>
    <x v="0"/>
    <x v="0"/>
    <x v="0"/>
  </r>
  <r>
    <x v="844"/>
    <x v="0"/>
    <x v="1"/>
    <x v="0"/>
    <x v="0"/>
    <x v="1"/>
    <x v="837"/>
    <x v="706"/>
    <x v="0"/>
    <x v="2"/>
    <x v="1"/>
    <x v="1"/>
    <x v="50"/>
    <x v="0"/>
    <x v="5"/>
    <x v="0"/>
    <x v="129"/>
    <x v="113"/>
    <x v="5"/>
    <x v="320"/>
    <x v="0"/>
    <x v="0"/>
    <x v="0"/>
    <x v="439"/>
    <x v="453"/>
    <x v="14"/>
    <x v="108"/>
    <x v="170"/>
    <x v="468"/>
    <x v="0"/>
    <x v="0"/>
    <x v="468"/>
    <x v="0"/>
    <x v="12"/>
    <x v="0"/>
    <x v="0"/>
    <x v="0"/>
    <x v="0"/>
    <x v="0"/>
    <x v="0"/>
    <x v="0"/>
    <x v="0"/>
  </r>
  <r>
    <x v="845"/>
    <x v="0"/>
    <x v="1"/>
    <x v="1"/>
    <x v="0"/>
    <x v="1"/>
    <x v="838"/>
    <x v="1"/>
    <x v="0"/>
    <x v="1"/>
    <x v="1"/>
    <x v="1"/>
    <x v="12"/>
    <x v="0"/>
    <x v="0"/>
    <x v="0"/>
    <x v="24"/>
    <x v="1"/>
    <x v="0"/>
    <x v="321"/>
    <x v="0"/>
    <x v="0"/>
    <x v="0"/>
    <x v="261"/>
    <x v="268"/>
    <x v="8"/>
    <x v="142"/>
    <x v="225"/>
    <x v="273"/>
    <x v="0"/>
    <x v="0"/>
    <x v="273"/>
    <x v="1"/>
    <x v="198"/>
    <x v="0"/>
    <x v="0"/>
    <x v="0"/>
    <x v="0"/>
    <x v="0"/>
    <x v="0"/>
    <x v="0"/>
    <x v="0"/>
  </r>
  <r>
    <x v="846"/>
    <x v="0"/>
    <x v="1"/>
    <x v="0"/>
    <x v="0"/>
    <x v="1"/>
    <x v="839"/>
    <x v="707"/>
    <x v="0"/>
    <x v="2"/>
    <x v="1"/>
    <x v="1"/>
    <x v="34"/>
    <x v="1"/>
    <x v="5"/>
    <x v="0"/>
    <x v="124"/>
    <x v="108"/>
    <x v="5"/>
    <x v="322"/>
    <x v="0"/>
    <x v="0"/>
    <x v="0"/>
    <x v="429"/>
    <x v="443"/>
    <x v="22"/>
    <x v="149"/>
    <x v="336"/>
    <x v="457"/>
    <x v="37"/>
    <x v="0"/>
    <x v="456"/>
    <x v="0"/>
    <x v="12"/>
    <x v="0"/>
    <x v="0"/>
    <x v="0"/>
    <x v="0"/>
    <x v="0"/>
    <x v="0"/>
    <x v="0"/>
    <x v="0"/>
  </r>
  <r>
    <x v="847"/>
    <x v="0"/>
    <x v="1"/>
    <x v="0"/>
    <x v="0"/>
    <x v="1"/>
    <x v="840"/>
    <x v="708"/>
    <x v="0"/>
    <x v="2"/>
    <x v="1"/>
    <x v="1"/>
    <x v="12"/>
    <x v="0"/>
    <x v="0"/>
    <x v="0"/>
    <x v="24"/>
    <x v="19"/>
    <x v="0"/>
    <x v="323"/>
    <x v="0"/>
    <x v="0"/>
    <x v="0"/>
    <x v="262"/>
    <x v="269"/>
    <x v="13"/>
    <x v="143"/>
    <x v="226"/>
    <x v="274"/>
    <x v="0"/>
    <x v="0"/>
    <x v="274"/>
    <x v="0"/>
    <x v="199"/>
    <x v="0"/>
    <x v="0"/>
    <x v="0"/>
    <x v="0"/>
    <x v="0"/>
    <x v="0"/>
    <x v="0"/>
    <x v="0"/>
  </r>
  <r>
    <x v="848"/>
    <x v="0"/>
    <x v="1"/>
    <x v="0"/>
    <x v="0"/>
    <x v="1"/>
    <x v="841"/>
    <x v="709"/>
    <x v="0"/>
    <x v="2"/>
    <x v="1"/>
    <x v="1"/>
    <x v="12"/>
    <x v="0"/>
    <x v="0"/>
    <x v="0"/>
    <x v="24"/>
    <x v="19"/>
    <x v="0"/>
    <x v="324"/>
    <x v="0"/>
    <x v="0"/>
    <x v="0"/>
    <x v="129"/>
    <x v="131"/>
    <x v="0"/>
    <x v="24"/>
    <x v="116"/>
    <x v="134"/>
    <x v="0"/>
    <x v="0"/>
    <x v="471"/>
    <x v="0"/>
    <x v="12"/>
    <x v="0"/>
    <x v="0"/>
    <x v="0"/>
    <x v="0"/>
    <x v="0"/>
    <x v="0"/>
    <x v="0"/>
    <x v="0"/>
  </r>
  <r>
    <x v="849"/>
    <x v="0"/>
    <x v="1"/>
    <x v="1"/>
    <x v="0"/>
    <x v="1"/>
    <x v="842"/>
    <x v="1"/>
    <x v="0"/>
    <x v="1"/>
    <x v="1"/>
    <x v="1"/>
    <x v="12"/>
    <x v="0"/>
    <x v="0"/>
    <x v="0"/>
    <x v="24"/>
    <x v="1"/>
    <x v="0"/>
    <x v="325"/>
    <x v="0"/>
    <x v="0"/>
    <x v="0"/>
    <x v="129"/>
    <x v="131"/>
    <x v="0"/>
    <x v="24"/>
    <x v="116"/>
    <x v="134"/>
    <x v="0"/>
    <x v="0"/>
    <x v="471"/>
    <x v="0"/>
    <x v="12"/>
    <x v="0"/>
    <x v="0"/>
    <x v="0"/>
    <x v="0"/>
    <x v="0"/>
    <x v="0"/>
    <x v="0"/>
    <x v="0"/>
  </r>
  <r>
    <x v="850"/>
    <x v="0"/>
    <x v="1"/>
    <x v="1"/>
    <x v="0"/>
    <x v="1"/>
    <x v="843"/>
    <x v="1"/>
    <x v="0"/>
    <x v="1"/>
    <x v="1"/>
    <x v="1"/>
    <x v="12"/>
    <x v="0"/>
    <x v="6"/>
    <x v="0"/>
    <x v="130"/>
    <x v="1"/>
    <x v="6"/>
    <x v="325"/>
    <x v="0"/>
    <x v="0"/>
    <x v="0"/>
    <x v="129"/>
    <x v="131"/>
    <x v="0"/>
    <x v="24"/>
    <x v="116"/>
    <x v="134"/>
    <x v="0"/>
    <x v="0"/>
    <x v="471"/>
    <x v="0"/>
    <x v="12"/>
    <x v="0"/>
    <x v="0"/>
    <x v="0"/>
    <x v="0"/>
    <x v="0"/>
    <x v="0"/>
    <x v="0"/>
    <x v="0"/>
  </r>
  <r>
    <x v="851"/>
    <x v="0"/>
    <x v="1"/>
    <x v="1"/>
    <x v="0"/>
    <x v="1"/>
    <x v="844"/>
    <x v="1"/>
    <x v="0"/>
    <x v="1"/>
    <x v="1"/>
    <x v="1"/>
    <x v="12"/>
    <x v="0"/>
    <x v="17"/>
    <x v="0"/>
    <x v="111"/>
    <x v="1"/>
    <x v="17"/>
    <x v="326"/>
    <x v="0"/>
    <x v="0"/>
    <x v="0"/>
    <x v="238"/>
    <x v="245"/>
    <x v="25"/>
    <x v="132"/>
    <x v="206"/>
    <x v="250"/>
    <x v="0"/>
    <x v="0"/>
    <x v="250"/>
    <x v="1"/>
    <x v="186"/>
    <x v="0"/>
    <x v="0"/>
    <x v="0"/>
    <x v="0"/>
    <x v="0"/>
    <x v="0"/>
    <x v="0"/>
    <x v="0"/>
  </r>
  <r>
    <x v="852"/>
    <x v="0"/>
    <x v="1"/>
    <x v="0"/>
    <x v="0"/>
    <x v="1"/>
    <x v="845"/>
    <x v="710"/>
    <x v="0"/>
    <x v="2"/>
    <x v="1"/>
    <x v="1"/>
    <x v="49"/>
    <x v="0"/>
    <x v="5"/>
    <x v="0"/>
    <x v="118"/>
    <x v="101"/>
    <x v="5"/>
    <x v="327"/>
    <x v="0"/>
    <x v="0"/>
    <x v="0"/>
    <x v="315"/>
    <x v="324"/>
    <x v="7"/>
    <x v="36"/>
    <x v="43"/>
    <x v="333"/>
    <x v="0"/>
    <x v="0"/>
    <x v="472"/>
    <x v="0"/>
    <x v="12"/>
    <x v="0"/>
    <x v="0"/>
    <x v="0"/>
    <x v="0"/>
    <x v="0"/>
    <x v="0"/>
    <x v="0"/>
    <x v="0"/>
  </r>
  <r>
    <x v="853"/>
    <x v="0"/>
    <x v="1"/>
    <x v="0"/>
    <x v="0"/>
    <x v="1"/>
    <x v="846"/>
    <x v="711"/>
    <x v="0"/>
    <x v="2"/>
    <x v="1"/>
    <x v="1"/>
    <x v="12"/>
    <x v="0"/>
    <x v="5"/>
    <x v="0"/>
    <x v="101"/>
    <x v="88"/>
    <x v="5"/>
    <x v="328"/>
    <x v="0"/>
    <x v="0"/>
    <x v="0"/>
    <x v="315"/>
    <x v="324"/>
    <x v="7"/>
    <x v="36"/>
    <x v="43"/>
    <x v="333"/>
    <x v="0"/>
    <x v="0"/>
    <x v="472"/>
    <x v="0"/>
    <x v="12"/>
    <x v="0"/>
    <x v="0"/>
    <x v="0"/>
    <x v="0"/>
    <x v="0"/>
    <x v="0"/>
    <x v="0"/>
    <x v="0"/>
  </r>
  <r>
    <x v="854"/>
    <x v="0"/>
    <x v="1"/>
    <x v="0"/>
    <x v="0"/>
    <x v="4"/>
    <x v="847"/>
    <x v="712"/>
    <x v="0"/>
    <x v="2"/>
    <x v="1"/>
    <x v="1"/>
    <x v="51"/>
    <x v="0"/>
    <x v="4"/>
    <x v="0"/>
    <x v="131"/>
    <x v="114"/>
    <x v="4"/>
    <x v="329"/>
    <x v="0"/>
    <x v="0"/>
    <x v="0"/>
    <x v="77"/>
    <x v="96"/>
    <x v="12"/>
    <x v="25"/>
    <x v="88"/>
    <x v="98"/>
    <x v="0"/>
    <x v="0"/>
    <x v="98"/>
    <x v="1"/>
    <x v="75"/>
    <x v="0"/>
    <x v="0"/>
    <x v="0"/>
    <x v="0"/>
    <x v="0"/>
    <x v="0"/>
    <x v="0"/>
    <x v="0"/>
  </r>
  <r>
    <x v="855"/>
    <x v="0"/>
    <x v="1"/>
    <x v="0"/>
    <x v="0"/>
    <x v="1"/>
    <x v="848"/>
    <x v="713"/>
    <x v="0"/>
    <x v="2"/>
    <x v="1"/>
    <x v="1"/>
    <x v="12"/>
    <x v="1"/>
    <x v="5"/>
    <x v="0"/>
    <x v="118"/>
    <x v="101"/>
    <x v="5"/>
    <x v="330"/>
    <x v="0"/>
    <x v="0"/>
    <x v="0"/>
    <x v="429"/>
    <x v="443"/>
    <x v="22"/>
    <x v="130"/>
    <x v="202"/>
    <x v="471"/>
    <x v="0"/>
    <x v="0"/>
    <x v="456"/>
    <x v="0"/>
    <x v="12"/>
    <x v="0"/>
    <x v="0"/>
    <x v="0"/>
    <x v="0"/>
    <x v="0"/>
    <x v="0"/>
    <x v="0"/>
    <x v="0"/>
  </r>
  <r>
    <x v="856"/>
    <x v="0"/>
    <x v="1"/>
    <x v="0"/>
    <x v="0"/>
    <x v="1"/>
    <x v="849"/>
    <x v="714"/>
    <x v="0"/>
    <x v="2"/>
    <x v="1"/>
    <x v="1"/>
    <x v="46"/>
    <x v="0"/>
    <x v="13"/>
    <x v="0"/>
    <x v="132"/>
    <x v="115"/>
    <x v="13"/>
    <x v="331"/>
    <x v="0"/>
    <x v="0"/>
    <x v="0"/>
    <x v="315"/>
    <x v="324"/>
    <x v="7"/>
    <x v="36"/>
    <x v="43"/>
    <x v="333"/>
    <x v="0"/>
    <x v="0"/>
    <x v="472"/>
    <x v="0"/>
    <x v="12"/>
    <x v="0"/>
    <x v="0"/>
    <x v="0"/>
    <x v="0"/>
    <x v="0"/>
    <x v="0"/>
    <x v="0"/>
    <x v="0"/>
  </r>
  <r>
    <x v="857"/>
    <x v="0"/>
    <x v="1"/>
    <x v="0"/>
    <x v="0"/>
    <x v="1"/>
    <x v="850"/>
    <x v="715"/>
    <x v="0"/>
    <x v="2"/>
    <x v="1"/>
    <x v="1"/>
    <x v="46"/>
    <x v="1"/>
    <x v="3"/>
    <x v="0"/>
    <x v="33"/>
    <x v="31"/>
    <x v="3"/>
    <x v="332"/>
    <x v="0"/>
    <x v="0"/>
    <x v="0"/>
    <x v="429"/>
    <x v="443"/>
    <x v="22"/>
    <x v="149"/>
    <x v="336"/>
    <x v="457"/>
    <x v="0"/>
    <x v="0"/>
    <x v="456"/>
    <x v="0"/>
    <x v="12"/>
    <x v="0"/>
    <x v="0"/>
    <x v="0"/>
    <x v="0"/>
    <x v="0"/>
    <x v="0"/>
    <x v="0"/>
    <x v="0"/>
  </r>
  <r>
    <x v="858"/>
    <x v="0"/>
    <x v="1"/>
    <x v="0"/>
    <x v="0"/>
    <x v="1"/>
    <x v="851"/>
    <x v="716"/>
    <x v="0"/>
    <x v="2"/>
    <x v="1"/>
    <x v="1"/>
    <x v="52"/>
    <x v="1"/>
    <x v="0"/>
    <x v="0"/>
    <x v="102"/>
    <x v="86"/>
    <x v="0"/>
    <x v="90"/>
    <x v="0"/>
    <x v="0"/>
    <x v="0"/>
    <x v="429"/>
    <x v="443"/>
    <x v="22"/>
    <x v="149"/>
    <x v="336"/>
    <x v="457"/>
    <x v="0"/>
    <x v="0"/>
    <x v="456"/>
    <x v="0"/>
    <x v="12"/>
    <x v="0"/>
    <x v="0"/>
    <x v="0"/>
    <x v="0"/>
    <x v="0"/>
    <x v="0"/>
    <x v="0"/>
    <x v="0"/>
  </r>
  <r>
    <x v="859"/>
    <x v="0"/>
    <x v="1"/>
    <x v="0"/>
    <x v="0"/>
    <x v="1"/>
    <x v="852"/>
    <x v="717"/>
    <x v="0"/>
    <x v="2"/>
    <x v="1"/>
    <x v="1"/>
    <x v="37"/>
    <x v="0"/>
    <x v="0"/>
    <x v="0"/>
    <x v="88"/>
    <x v="75"/>
    <x v="0"/>
    <x v="333"/>
    <x v="0"/>
    <x v="0"/>
    <x v="0"/>
    <x v="442"/>
    <x v="456"/>
    <x v="18"/>
    <x v="128"/>
    <x v="343"/>
    <x v="472"/>
    <x v="0"/>
    <x v="0"/>
    <x v="473"/>
    <x v="0"/>
    <x v="12"/>
    <x v="0"/>
    <x v="0"/>
    <x v="0"/>
    <x v="0"/>
    <x v="0"/>
    <x v="0"/>
    <x v="0"/>
    <x v="0"/>
  </r>
  <r>
    <x v="860"/>
    <x v="0"/>
    <x v="1"/>
    <x v="2"/>
    <x v="0"/>
    <x v="1"/>
    <x v="853"/>
    <x v="1"/>
    <x v="0"/>
    <x v="1"/>
    <x v="1"/>
    <x v="1"/>
    <x v="37"/>
    <x v="0"/>
    <x v="0"/>
    <x v="0"/>
    <x v="88"/>
    <x v="1"/>
    <x v="0"/>
    <x v="292"/>
    <x v="0"/>
    <x v="0"/>
    <x v="0"/>
    <x v="315"/>
    <x v="324"/>
    <x v="7"/>
    <x v="36"/>
    <x v="43"/>
    <x v="333"/>
    <x v="0"/>
    <x v="0"/>
    <x v="472"/>
    <x v="0"/>
    <x v="12"/>
    <x v="0"/>
    <x v="0"/>
    <x v="0"/>
    <x v="0"/>
    <x v="0"/>
    <x v="0"/>
    <x v="0"/>
    <x v="0"/>
  </r>
  <r>
    <x v="861"/>
    <x v="0"/>
    <x v="1"/>
    <x v="0"/>
    <x v="0"/>
    <x v="1"/>
    <x v="854"/>
    <x v="718"/>
    <x v="0"/>
    <x v="2"/>
    <x v="1"/>
    <x v="1"/>
    <x v="37"/>
    <x v="0"/>
    <x v="5"/>
    <x v="0"/>
    <x v="103"/>
    <x v="87"/>
    <x v="5"/>
    <x v="292"/>
    <x v="0"/>
    <x v="0"/>
    <x v="0"/>
    <x v="443"/>
    <x v="457"/>
    <x v="23"/>
    <x v="75"/>
    <x v="106"/>
    <x v="473"/>
    <x v="0"/>
    <x v="0"/>
    <x v="474"/>
    <x v="1"/>
    <x v="306"/>
    <x v="0"/>
    <x v="0"/>
    <x v="0"/>
    <x v="0"/>
    <x v="0"/>
    <x v="0"/>
    <x v="0"/>
    <x v="0"/>
  </r>
  <r>
    <x v="862"/>
    <x v="0"/>
    <x v="1"/>
    <x v="0"/>
    <x v="0"/>
    <x v="1"/>
    <x v="855"/>
    <x v="719"/>
    <x v="0"/>
    <x v="2"/>
    <x v="1"/>
    <x v="1"/>
    <x v="37"/>
    <x v="0"/>
    <x v="5"/>
    <x v="0"/>
    <x v="103"/>
    <x v="87"/>
    <x v="5"/>
    <x v="292"/>
    <x v="0"/>
    <x v="0"/>
    <x v="0"/>
    <x v="315"/>
    <x v="324"/>
    <x v="7"/>
    <x v="36"/>
    <x v="43"/>
    <x v="333"/>
    <x v="0"/>
    <x v="0"/>
    <x v="472"/>
    <x v="0"/>
    <x v="12"/>
    <x v="0"/>
    <x v="0"/>
    <x v="0"/>
    <x v="0"/>
    <x v="0"/>
    <x v="0"/>
    <x v="0"/>
    <x v="0"/>
  </r>
  <r>
    <x v="863"/>
    <x v="0"/>
    <x v="1"/>
    <x v="0"/>
    <x v="0"/>
    <x v="1"/>
    <x v="856"/>
    <x v="720"/>
    <x v="0"/>
    <x v="2"/>
    <x v="1"/>
    <x v="1"/>
    <x v="5"/>
    <x v="0"/>
    <x v="6"/>
    <x v="0"/>
    <x v="108"/>
    <x v="93"/>
    <x v="6"/>
    <x v="126"/>
    <x v="0"/>
    <x v="0"/>
    <x v="0"/>
    <x v="443"/>
    <x v="457"/>
    <x v="23"/>
    <x v="75"/>
    <x v="106"/>
    <x v="473"/>
    <x v="0"/>
    <x v="0"/>
    <x v="474"/>
    <x v="1"/>
    <x v="306"/>
    <x v="0"/>
    <x v="0"/>
    <x v="0"/>
    <x v="0"/>
    <x v="0"/>
    <x v="0"/>
    <x v="0"/>
    <x v="0"/>
  </r>
  <r>
    <x v="864"/>
    <x v="0"/>
    <x v="1"/>
    <x v="0"/>
    <x v="0"/>
    <x v="1"/>
    <x v="857"/>
    <x v="721"/>
    <x v="0"/>
    <x v="2"/>
    <x v="1"/>
    <x v="1"/>
    <x v="49"/>
    <x v="0"/>
    <x v="0"/>
    <x v="0"/>
    <x v="120"/>
    <x v="103"/>
    <x v="0"/>
    <x v="50"/>
    <x v="0"/>
    <x v="0"/>
    <x v="0"/>
    <x v="439"/>
    <x v="453"/>
    <x v="14"/>
    <x v="108"/>
    <x v="170"/>
    <x v="468"/>
    <x v="0"/>
    <x v="0"/>
    <x v="468"/>
    <x v="0"/>
    <x v="12"/>
    <x v="0"/>
    <x v="0"/>
    <x v="0"/>
    <x v="0"/>
    <x v="0"/>
    <x v="0"/>
    <x v="0"/>
    <x v="0"/>
  </r>
  <r>
    <x v="865"/>
    <x v="0"/>
    <x v="1"/>
    <x v="0"/>
    <x v="0"/>
    <x v="1"/>
    <x v="858"/>
    <x v="722"/>
    <x v="0"/>
    <x v="2"/>
    <x v="1"/>
    <x v="1"/>
    <x v="9"/>
    <x v="0"/>
    <x v="0"/>
    <x v="0"/>
    <x v="15"/>
    <x v="10"/>
    <x v="0"/>
    <x v="37"/>
    <x v="0"/>
    <x v="0"/>
    <x v="0"/>
    <x v="129"/>
    <x v="131"/>
    <x v="0"/>
    <x v="24"/>
    <x v="116"/>
    <x v="134"/>
    <x v="0"/>
    <x v="0"/>
    <x v="471"/>
    <x v="0"/>
    <x v="12"/>
    <x v="0"/>
    <x v="0"/>
    <x v="0"/>
    <x v="0"/>
    <x v="0"/>
    <x v="0"/>
    <x v="0"/>
    <x v="0"/>
  </r>
  <r>
    <x v="866"/>
    <x v="0"/>
    <x v="1"/>
    <x v="0"/>
    <x v="0"/>
    <x v="1"/>
    <x v="859"/>
    <x v="723"/>
    <x v="0"/>
    <x v="2"/>
    <x v="1"/>
    <x v="1"/>
    <x v="9"/>
    <x v="0"/>
    <x v="0"/>
    <x v="0"/>
    <x v="15"/>
    <x v="10"/>
    <x v="0"/>
    <x v="15"/>
    <x v="0"/>
    <x v="0"/>
    <x v="0"/>
    <x v="129"/>
    <x v="131"/>
    <x v="0"/>
    <x v="24"/>
    <x v="116"/>
    <x v="134"/>
    <x v="0"/>
    <x v="0"/>
    <x v="471"/>
    <x v="0"/>
    <x v="12"/>
    <x v="0"/>
    <x v="0"/>
    <x v="0"/>
    <x v="0"/>
    <x v="0"/>
    <x v="0"/>
    <x v="0"/>
    <x v="0"/>
  </r>
  <r>
    <x v="867"/>
    <x v="0"/>
    <x v="1"/>
    <x v="0"/>
    <x v="0"/>
    <x v="1"/>
    <x v="860"/>
    <x v="724"/>
    <x v="0"/>
    <x v="2"/>
    <x v="1"/>
    <x v="1"/>
    <x v="9"/>
    <x v="0"/>
    <x v="0"/>
    <x v="0"/>
    <x v="15"/>
    <x v="10"/>
    <x v="0"/>
    <x v="15"/>
    <x v="0"/>
    <x v="0"/>
    <x v="0"/>
    <x v="315"/>
    <x v="324"/>
    <x v="7"/>
    <x v="36"/>
    <x v="43"/>
    <x v="333"/>
    <x v="0"/>
    <x v="0"/>
    <x v="330"/>
    <x v="0"/>
    <x v="12"/>
    <x v="0"/>
    <x v="0"/>
    <x v="0"/>
    <x v="0"/>
    <x v="0"/>
    <x v="0"/>
    <x v="0"/>
    <x v="0"/>
  </r>
  <r>
    <x v="868"/>
    <x v="0"/>
    <x v="1"/>
    <x v="0"/>
    <x v="0"/>
    <x v="1"/>
    <x v="861"/>
    <x v="725"/>
    <x v="0"/>
    <x v="2"/>
    <x v="1"/>
    <x v="1"/>
    <x v="12"/>
    <x v="0"/>
    <x v="10"/>
    <x v="0"/>
    <x v="10"/>
    <x v="6"/>
    <x v="10"/>
    <x v="334"/>
    <x v="0"/>
    <x v="0"/>
    <x v="0"/>
    <x v="365"/>
    <x v="376"/>
    <x v="13"/>
    <x v="28"/>
    <x v="32"/>
    <x v="387"/>
    <x v="0"/>
    <x v="0"/>
    <x v="384"/>
    <x v="1"/>
    <x v="265"/>
    <x v="0"/>
    <x v="0"/>
    <x v="0"/>
    <x v="0"/>
    <x v="0"/>
    <x v="0"/>
    <x v="0"/>
    <x v="0"/>
  </r>
  <r>
    <x v="869"/>
    <x v="0"/>
    <x v="1"/>
    <x v="0"/>
    <x v="0"/>
    <x v="1"/>
    <x v="862"/>
    <x v="726"/>
    <x v="0"/>
    <x v="2"/>
    <x v="1"/>
    <x v="1"/>
    <x v="12"/>
    <x v="0"/>
    <x v="5"/>
    <x v="0"/>
    <x v="101"/>
    <x v="88"/>
    <x v="5"/>
    <x v="335"/>
    <x v="0"/>
    <x v="0"/>
    <x v="0"/>
    <x v="315"/>
    <x v="324"/>
    <x v="7"/>
    <x v="36"/>
    <x v="43"/>
    <x v="333"/>
    <x v="38"/>
    <x v="0"/>
    <x v="330"/>
    <x v="0"/>
    <x v="12"/>
    <x v="0"/>
    <x v="0"/>
    <x v="0"/>
    <x v="40"/>
    <x v="0"/>
    <x v="0"/>
    <x v="0"/>
    <x v="0"/>
  </r>
  <r>
    <x v="870"/>
    <x v="0"/>
    <x v="1"/>
    <x v="0"/>
    <x v="0"/>
    <x v="1"/>
    <x v="863"/>
    <x v="727"/>
    <x v="0"/>
    <x v="2"/>
    <x v="1"/>
    <x v="1"/>
    <x v="10"/>
    <x v="0"/>
    <x v="4"/>
    <x v="0"/>
    <x v="18"/>
    <x v="13"/>
    <x v="4"/>
    <x v="336"/>
    <x v="0"/>
    <x v="0"/>
    <x v="0"/>
    <x v="56"/>
    <x v="204"/>
    <x v="14"/>
    <x v="44"/>
    <x v="53"/>
    <x v="58"/>
    <x v="0"/>
    <x v="0"/>
    <x v="56"/>
    <x v="0"/>
    <x v="48"/>
    <x v="0"/>
    <x v="0"/>
    <x v="0"/>
    <x v="0"/>
    <x v="0"/>
    <x v="0"/>
    <x v="0"/>
    <x v="0"/>
  </r>
  <r>
    <x v="871"/>
    <x v="0"/>
    <x v="1"/>
    <x v="0"/>
    <x v="0"/>
    <x v="1"/>
    <x v="864"/>
    <x v="728"/>
    <x v="0"/>
    <x v="2"/>
    <x v="1"/>
    <x v="1"/>
    <x v="10"/>
    <x v="0"/>
    <x v="4"/>
    <x v="0"/>
    <x v="18"/>
    <x v="13"/>
    <x v="4"/>
    <x v="337"/>
    <x v="0"/>
    <x v="0"/>
    <x v="0"/>
    <x v="444"/>
    <x v="458"/>
    <x v="3"/>
    <x v="66"/>
    <x v="344"/>
    <x v="474"/>
    <x v="0"/>
    <x v="0"/>
    <x v="475"/>
    <x v="1"/>
    <x v="307"/>
    <x v="0"/>
    <x v="0"/>
    <x v="0"/>
    <x v="0"/>
    <x v="0"/>
    <x v="0"/>
    <x v="0"/>
    <x v="0"/>
  </r>
  <r>
    <x v="872"/>
    <x v="0"/>
    <x v="1"/>
    <x v="0"/>
    <x v="0"/>
    <x v="0"/>
    <x v="865"/>
    <x v="729"/>
    <x v="0"/>
    <x v="0"/>
    <x v="77"/>
    <x v="78"/>
    <x v="53"/>
    <x v="0"/>
    <x v="0"/>
    <x v="0"/>
    <x v="6"/>
    <x v="92"/>
    <x v="0"/>
    <x v="338"/>
    <x v="0"/>
    <x v="0"/>
    <x v="0"/>
    <x v="445"/>
    <x v="459"/>
    <x v="1"/>
    <x v="164"/>
    <x v="345"/>
    <x v="475"/>
    <x v="0"/>
    <x v="0"/>
    <x v="476"/>
    <x v="1"/>
    <x v="308"/>
    <x v="0"/>
    <x v="0"/>
    <x v="0"/>
    <x v="0"/>
    <x v="0"/>
    <x v="0"/>
    <x v="0"/>
    <x v="0"/>
  </r>
  <r>
    <x v="873"/>
    <x v="0"/>
    <x v="1"/>
    <x v="0"/>
    <x v="0"/>
    <x v="1"/>
    <x v="866"/>
    <x v="730"/>
    <x v="0"/>
    <x v="2"/>
    <x v="1"/>
    <x v="1"/>
    <x v="51"/>
    <x v="0"/>
    <x v="2"/>
    <x v="0"/>
    <x v="133"/>
    <x v="116"/>
    <x v="2"/>
    <x v="339"/>
    <x v="0"/>
    <x v="0"/>
    <x v="0"/>
    <x v="316"/>
    <x v="244"/>
    <x v="27"/>
    <x v="124"/>
    <x v="205"/>
    <x v="334"/>
    <x v="0"/>
    <x v="0"/>
    <x v="249"/>
    <x v="1"/>
    <x v="185"/>
    <x v="0"/>
    <x v="0"/>
    <x v="0"/>
    <x v="0"/>
    <x v="0"/>
    <x v="0"/>
    <x v="0"/>
    <x v="0"/>
  </r>
  <r>
    <x v="874"/>
    <x v="0"/>
    <x v="1"/>
    <x v="0"/>
    <x v="0"/>
    <x v="1"/>
    <x v="867"/>
    <x v="731"/>
    <x v="0"/>
    <x v="2"/>
    <x v="1"/>
    <x v="1"/>
    <x v="51"/>
    <x v="0"/>
    <x v="2"/>
    <x v="0"/>
    <x v="133"/>
    <x v="116"/>
    <x v="2"/>
    <x v="340"/>
    <x v="0"/>
    <x v="0"/>
    <x v="0"/>
    <x v="444"/>
    <x v="458"/>
    <x v="3"/>
    <x v="66"/>
    <x v="344"/>
    <x v="474"/>
    <x v="0"/>
    <x v="0"/>
    <x v="475"/>
    <x v="1"/>
    <x v="307"/>
    <x v="0"/>
    <x v="0"/>
    <x v="0"/>
    <x v="0"/>
    <x v="0"/>
    <x v="0"/>
    <x v="0"/>
    <x v="0"/>
  </r>
  <r>
    <x v="875"/>
    <x v="0"/>
    <x v="1"/>
    <x v="0"/>
    <x v="0"/>
    <x v="1"/>
    <x v="868"/>
    <x v="732"/>
    <x v="0"/>
    <x v="2"/>
    <x v="1"/>
    <x v="1"/>
    <x v="51"/>
    <x v="0"/>
    <x v="3"/>
    <x v="0"/>
    <x v="134"/>
    <x v="117"/>
    <x v="3"/>
    <x v="341"/>
    <x v="0"/>
    <x v="0"/>
    <x v="0"/>
    <x v="88"/>
    <x v="89"/>
    <x v="8"/>
    <x v="61"/>
    <x v="81"/>
    <x v="91"/>
    <x v="0"/>
    <x v="0"/>
    <x v="91"/>
    <x v="1"/>
    <x v="70"/>
    <x v="0"/>
    <x v="0"/>
    <x v="0"/>
    <x v="0"/>
    <x v="0"/>
    <x v="0"/>
    <x v="0"/>
    <x v="0"/>
  </r>
  <r>
    <x v="876"/>
    <x v="0"/>
    <x v="1"/>
    <x v="0"/>
    <x v="0"/>
    <x v="1"/>
    <x v="869"/>
    <x v="733"/>
    <x v="0"/>
    <x v="2"/>
    <x v="1"/>
    <x v="1"/>
    <x v="9"/>
    <x v="0"/>
    <x v="0"/>
    <x v="0"/>
    <x v="15"/>
    <x v="10"/>
    <x v="0"/>
    <x v="15"/>
    <x v="0"/>
    <x v="0"/>
    <x v="0"/>
    <x v="446"/>
    <x v="460"/>
    <x v="7"/>
    <x v="176"/>
    <x v="346"/>
    <x v="476"/>
    <x v="0"/>
    <x v="0"/>
    <x v="477"/>
    <x v="0"/>
    <x v="309"/>
    <x v="0"/>
    <x v="0"/>
    <x v="0"/>
    <x v="0"/>
    <x v="0"/>
    <x v="0"/>
    <x v="0"/>
    <x v="0"/>
  </r>
  <r>
    <x v="877"/>
    <x v="0"/>
    <x v="1"/>
    <x v="0"/>
    <x v="0"/>
    <x v="2"/>
    <x v="870"/>
    <x v="734"/>
    <x v="0"/>
    <x v="2"/>
    <x v="1"/>
    <x v="1"/>
    <x v="15"/>
    <x v="1"/>
    <x v="0"/>
    <x v="0"/>
    <x v="85"/>
    <x v="73"/>
    <x v="0"/>
    <x v="342"/>
    <x v="0"/>
    <x v="0"/>
    <x v="0"/>
    <x v="429"/>
    <x v="443"/>
    <x v="22"/>
    <x v="149"/>
    <x v="336"/>
    <x v="457"/>
    <x v="0"/>
    <x v="0"/>
    <x v="478"/>
    <x v="0"/>
    <x v="310"/>
    <x v="0"/>
    <x v="0"/>
    <x v="0"/>
    <x v="0"/>
    <x v="0"/>
    <x v="0"/>
    <x v="0"/>
    <x v="0"/>
  </r>
  <r>
    <x v="878"/>
    <x v="0"/>
    <x v="1"/>
    <x v="0"/>
    <x v="0"/>
    <x v="2"/>
    <x v="871"/>
    <x v="735"/>
    <x v="0"/>
    <x v="2"/>
    <x v="1"/>
    <x v="1"/>
    <x v="10"/>
    <x v="0"/>
    <x v="2"/>
    <x v="0"/>
    <x v="17"/>
    <x v="12"/>
    <x v="2"/>
    <x v="343"/>
    <x v="0"/>
    <x v="0"/>
    <x v="0"/>
    <x v="238"/>
    <x v="245"/>
    <x v="25"/>
    <x v="132"/>
    <x v="206"/>
    <x v="250"/>
    <x v="0"/>
    <x v="0"/>
    <x v="250"/>
    <x v="1"/>
    <x v="186"/>
    <x v="0"/>
    <x v="0"/>
    <x v="0"/>
    <x v="0"/>
    <x v="0"/>
    <x v="0"/>
    <x v="0"/>
    <x v="0"/>
  </r>
  <r>
    <x v="879"/>
    <x v="0"/>
    <x v="1"/>
    <x v="0"/>
    <x v="0"/>
    <x v="0"/>
    <x v="872"/>
    <x v="736"/>
    <x v="0"/>
    <x v="0"/>
    <x v="78"/>
    <x v="79"/>
    <x v="54"/>
    <x v="0"/>
    <x v="5"/>
    <x v="0"/>
    <x v="135"/>
    <x v="118"/>
    <x v="5"/>
    <x v="344"/>
    <x v="0"/>
    <x v="0"/>
    <x v="0"/>
    <x v="447"/>
    <x v="461"/>
    <x v="3"/>
    <x v="119"/>
    <x v="347"/>
    <x v="477"/>
    <x v="0"/>
    <x v="0"/>
    <x v="479"/>
    <x v="1"/>
    <x v="311"/>
    <x v="0"/>
    <x v="0"/>
    <x v="0"/>
    <x v="0"/>
    <x v="0"/>
    <x v="0"/>
    <x v="0"/>
    <x v="0"/>
  </r>
  <r>
    <x v="880"/>
    <x v="0"/>
    <x v="1"/>
    <x v="0"/>
    <x v="0"/>
    <x v="0"/>
    <x v="873"/>
    <x v="737"/>
    <x v="0"/>
    <x v="0"/>
    <x v="79"/>
    <x v="80"/>
    <x v="54"/>
    <x v="0"/>
    <x v="9"/>
    <x v="0"/>
    <x v="136"/>
    <x v="119"/>
    <x v="9"/>
    <x v="345"/>
    <x v="0"/>
    <x v="0"/>
    <x v="0"/>
    <x v="447"/>
    <x v="461"/>
    <x v="3"/>
    <x v="119"/>
    <x v="347"/>
    <x v="477"/>
    <x v="0"/>
    <x v="0"/>
    <x v="479"/>
    <x v="1"/>
    <x v="311"/>
    <x v="0"/>
    <x v="0"/>
    <x v="0"/>
    <x v="0"/>
    <x v="0"/>
    <x v="0"/>
    <x v="0"/>
    <x v="0"/>
  </r>
  <r>
    <x v="881"/>
    <x v="0"/>
    <x v="1"/>
    <x v="0"/>
    <x v="0"/>
    <x v="0"/>
    <x v="874"/>
    <x v="738"/>
    <x v="0"/>
    <x v="0"/>
    <x v="80"/>
    <x v="81"/>
    <x v="55"/>
    <x v="0"/>
    <x v="6"/>
    <x v="0"/>
    <x v="137"/>
    <x v="120"/>
    <x v="6"/>
    <x v="346"/>
    <x v="0"/>
    <x v="0"/>
    <x v="0"/>
    <x v="447"/>
    <x v="461"/>
    <x v="3"/>
    <x v="119"/>
    <x v="347"/>
    <x v="477"/>
    <x v="0"/>
    <x v="0"/>
    <x v="479"/>
    <x v="1"/>
    <x v="311"/>
    <x v="0"/>
    <x v="0"/>
    <x v="0"/>
    <x v="0"/>
    <x v="0"/>
    <x v="0"/>
    <x v="0"/>
    <x v="0"/>
  </r>
  <r>
    <x v="882"/>
    <x v="0"/>
    <x v="1"/>
    <x v="0"/>
    <x v="0"/>
    <x v="1"/>
    <x v="875"/>
    <x v="739"/>
    <x v="0"/>
    <x v="2"/>
    <x v="1"/>
    <x v="1"/>
    <x v="10"/>
    <x v="0"/>
    <x v="0"/>
    <x v="0"/>
    <x v="16"/>
    <x v="11"/>
    <x v="0"/>
    <x v="347"/>
    <x v="0"/>
    <x v="0"/>
    <x v="0"/>
    <x v="448"/>
    <x v="462"/>
    <x v="4"/>
    <x v="17"/>
    <x v="18"/>
    <x v="478"/>
    <x v="0"/>
    <x v="0"/>
    <x v="480"/>
    <x v="0"/>
    <x v="12"/>
    <x v="0"/>
    <x v="0"/>
    <x v="0"/>
    <x v="0"/>
    <x v="0"/>
    <x v="0"/>
    <x v="0"/>
    <x v="0"/>
  </r>
  <r>
    <x v="883"/>
    <x v="0"/>
    <x v="1"/>
    <x v="0"/>
    <x v="0"/>
    <x v="1"/>
    <x v="876"/>
    <x v="740"/>
    <x v="0"/>
    <x v="2"/>
    <x v="1"/>
    <x v="1"/>
    <x v="10"/>
    <x v="0"/>
    <x v="2"/>
    <x v="0"/>
    <x v="17"/>
    <x v="12"/>
    <x v="2"/>
    <x v="348"/>
    <x v="0"/>
    <x v="0"/>
    <x v="0"/>
    <x v="449"/>
    <x v="463"/>
    <x v="5"/>
    <x v="45"/>
    <x v="348"/>
    <x v="479"/>
    <x v="0"/>
    <x v="0"/>
    <x v="481"/>
    <x v="1"/>
    <x v="312"/>
    <x v="0"/>
    <x v="0"/>
    <x v="0"/>
    <x v="0"/>
    <x v="0"/>
    <x v="0"/>
    <x v="0"/>
    <x v="0"/>
  </r>
  <r>
    <x v="884"/>
    <x v="0"/>
    <x v="1"/>
    <x v="0"/>
    <x v="0"/>
    <x v="1"/>
    <x v="877"/>
    <x v="741"/>
    <x v="0"/>
    <x v="2"/>
    <x v="1"/>
    <x v="1"/>
    <x v="6"/>
    <x v="0"/>
    <x v="5"/>
    <x v="0"/>
    <x v="41"/>
    <x v="36"/>
    <x v="5"/>
    <x v="349"/>
    <x v="0"/>
    <x v="0"/>
    <x v="0"/>
    <x v="324"/>
    <x v="332"/>
    <x v="8"/>
    <x v="157"/>
    <x v="269"/>
    <x v="398"/>
    <x v="0"/>
    <x v="0"/>
    <x v="339"/>
    <x v="0"/>
    <x v="12"/>
    <x v="0"/>
    <x v="0"/>
    <x v="0"/>
    <x v="41"/>
    <x v="0"/>
    <x v="0"/>
    <x v="0"/>
    <x v="0"/>
  </r>
  <r>
    <x v="885"/>
    <x v="0"/>
    <x v="1"/>
    <x v="0"/>
    <x v="0"/>
    <x v="0"/>
    <x v="878"/>
    <x v="742"/>
    <x v="0"/>
    <x v="0"/>
    <x v="81"/>
    <x v="82"/>
    <x v="56"/>
    <x v="0"/>
    <x v="0"/>
    <x v="0"/>
    <x v="114"/>
    <x v="121"/>
    <x v="0"/>
    <x v="350"/>
    <x v="0"/>
    <x v="0"/>
    <x v="0"/>
    <x v="447"/>
    <x v="461"/>
    <x v="3"/>
    <x v="119"/>
    <x v="347"/>
    <x v="477"/>
    <x v="0"/>
    <x v="0"/>
    <x v="479"/>
    <x v="1"/>
    <x v="311"/>
    <x v="0"/>
    <x v="0"/>
    <x v="0"/>
    <x v="0"/>
    <x v="0"/>
    <x v="0"/>
    <x v="0"/>
    <x v="0"/>
  </r>
  <r>
    <x v="886"/>
    <x v="0"/>
    <x v="1"/>
    <x v="0"/>
    <x v="0"/>
    <x v="1"/>
    <x v="879"/>
    <x v="743"/>
    <x v="0"/>
    <x v="2"/>
    <x v="1"/>
    <x v="1"/>
    <x v="10"/>
    <x v="0"/>
    <x v="2"/>
    <x v="0"/>
    <x v="17"/>
    <x v="12"/>
    <x v="2"/>
    <x v="351"/>
    <x v="0"/>
    <x v="0"/>
    <x v="0"/>
    <x v="424"/>
    <x v="438"/>
    <x v="7"/>
    <x v="107"/>
    <x v="167"/>
    <x v="452"/>
    <x v="0"/>
    <x v="0"/>
    <x v="451"/>
    <x v="0"/>
    <x v="12"/>
    <x v="0"/>
    <x v="0"/>
    <x v="0"/>
    <x v="0"/>
    <x v="0"/>
    <x v="0"/>
    <x v="0"/>
    <x v="0"/>
  </r>
  <r>
    <x v="887"/>
    <x v="0"/>
    <x v="1"/>
    <x v="0"/>
    <x v="0"/>
    <x v="1"/>
    <x v="880"/>
    <x v="744"/>
    <x v="0"/>
    <x v="2"/>
    <x v="1"/>
    <x v="1"/>
    <x v="10"/>
    <x v="0"/>
    <x v="2"/>
    <x v="0"/>
    <x v="17"/>
    <x v="12"/>
    <x v="2"/>
    <x v="351"/>
    <x v="0"/>
    <x v="0"/>
    <x v="0"/>
    <x v="450"/>
    <x v="464"/>
    <x v="1"/>
    <x v="14"/>
    <x v="224"/>
    <x v="480"/>
    <x v="0"/>
    <x v="0"/>
    <x v="482"/>
    <x v="1"/>
    <x v="313"/>
    <x v="0"/>
    <x v="0"/>
    <x v="0"/>
    <x v="0"/>
    <x v="0"/>
    <x v="0"/>
    <x v="0"/>
    <x v="0"/>
  </r>
  <r>
    <x v="888"/>
    <x v="0"/>
    <x v="1"/>
    <x v="0"/>
    <x v="0"/>
    <x v="1"/>
    <x v="881"/>
    <x v="745"/>
    <x v="0"/>
    <x v="2"/>
    <x v="1"/>
    <x v="1"/>
    <x v="10"/>
    <x v="0"/>
    <x v="2"/>
    <x v="0"/>
    <x v="17"/>
    <x v="12"/>
    <x v="2"/>
    <x v="352"/>
    <x v="0"/>
    <x v="0"/>
    <x v="0"/>
    <x v="424"/>
    <x v="438"/>
    <x v="7"/>
    <x v="107"/>
    <x v="167"/>
    <x v="452"/>
    <x v="0"/>
    <x v="0"/>
    <x v="451"/>
    <x v="0"/>
    <x v="12"/>
    <x v="0"/>
    <x v="0"/>
    <x v="0"/>
    <x v="0"/>
    <x v="0"/>
    <x v="0"/>
    <x v="0"/>
    <x v="0"/>
  </r>
  <r>
    <x v="889"/>
    <x v="0"/>
    <x v="1"/>
    <x v="0"/>
    <x v="0"/>
    <x v="4"/>
    <x v="882"/>
    <x v="746"/>
    <x v="0"/>
    <x v="2"/>
    <x v="1"/>
    <x v="1"/>
    <x v="49"/>
    <x v="0"/>
    <x v="0"/>
    <x v="0"/>
    <x v="120"/>
    <x v="103"/>
    <x v="0"/>
    <x v="75"/>
    <x v="0"/>
    <x v="0"/>
    <x v="0"/>
    <x v="451"/>
    <x v="465"/>
    <x v="18"/>
    <x v="177"/>
    <x v="349"/>
    <x v="481"/>
    <x v="0"/>
    <x v="0"/>
    <x v="483"/>
    <x v="0"/>
    <x v="12"/>
    <x v="0"/>
    <x v="0"/>
    <x v="0"/>
    <x v="0"/>
    <x v="0"/>
    <x v="0"/>
    <x v="0"/>
    <x v="0"/>
  </r>
  <r>
    <x v="890"/>
    <x v="0"/>
    <x v="1"/>
    <x v="0"/>
    <x v="0"/>
    <x v="0"/>
    <x v="883"/>
    <x v="747"/>
    <x v="0"/>
    <x v="0"/>
    <x v="82"/>
    <x v="83"/>
    <x v="57"/>
    <x v="0"/>
    <x v="0"/>
    <x v="0"/>
    <x v="8"/>
    <x v="5"/>
    <x v="0"/>
    <x v="353"/>
    <x v="0"/>
    <x v="0"/>
    <x v="0"/>
    <x v="452"/>
    <x v="466"/>
    <x v="0"/>
    <x v="165"/>
    <x v="350"/>
    <x v="482"/>
    <x v="0"/>
    <x v="0"/>
    <x v="484"/>
    <x v="0"/>
    <x v="314"/>
    <x v="0"/>
    <x v="0"/>
    <x v="0"/>
    <x v="0"/>
    <x v="0"/>
    <x v="0"/>
    <x v="0"/>
    <x v="0"/>
  </r>
  <r>
    <x v="891"/>
    <x v="0"/>
    <x v="1"/>
    <x v="0"/>
    <x v="0"/>
    <x v="1"/>
    <x v="884"/>
    <x v="748"/>
    <x v="0"/>
    <x v="2"/>
    <x v="1"/>
    <x v="1"/>
    <x v="10"/>
    <x v="0"/>
    <x v="0"/>
    <x v="0"/>
    <x v="16"/>
    <x v="11"/>
    <x v="0"/>
    <x v="354"/>
    <x v="0"/>
    <x v="0"/>
    <x v="0"/>
    <x v="453"/>
    <x v="467"/>
    <x v="13"/>
    <x v="46"/>
    <x v="351"/>
    <x v="483"/>
    <x v="0"/>
    <x v="0"/>
    <x v="485"/>
    <x v="1"/>
    <x v="315"/>
    <x v="0"/>
    <x v="0"/>
    <x v="0"/>
    <x v="0"/>
    <x v="0"/>
    <x v="0"/>
    <x v="0"/>
    <x v="0"/>
  </r>
  <r>
    <x v="892"/>
    <x v="0"/>
    <x v="1"/>
    <x v="1"/>
    <x v="0"/>
    <x v="1"/>
    <x v="885"/>
    <x v="1"/>
    <x v="0"/>
    <x v="1"/>
    <x v="1"/>
    <x v="1"/>
    <x v="6"/>
    <x v="0"/>
    <x v="4"/>
    <x v="0"/>
    <x v="37"/>
    <x v="1"/>
    <x v="4"/>
    <x v="355"/>
    <x v="0"/>
    <x v="0"/>
    <x v="0"/>
    <x v="316"/>
    <x v="244"/>
    <x v="27"/>
    <x v="124"/>
    <x v="205"/>
    <x v="334"/>
    <x v="0"/>
    <x v="0"/>
    <x v="249"/>
    <x v="1"/>
    <x v="185"/>
    <x v="0"/>
    <x v="0"/>
    <x v="0"/>
    <x v="0"/>
    <x v="0"/>
    <x v="0"/>
    <x v="0"/>
    <x v="0"/>
  </r>
  <r>
    <x v="893"/>
    <x v="0"/>
    <x v="1"/>
    <x v="0"/>
    <x v="0"/>
    <x v="1"/>
    <x v="886"/>
    <x v="749"/>
    <x v="0"/>
    <x v="2"/>
    <x v="1"/>
    <x v="1"/>
    <x v="10"/>
    <x v="0"/>
    <x v="0"/>
    <x v="0"/>
    <x v="16"/>
    <x v="11"/>
    <x v="0"/>
    <x v="356"/>
    <x v="0"/>
    <x v="0"/>
    <x v="0"/>
    <x v="183"/>
    <x v="187"/>
    <x v="6"/>
    <x v="74"/>
    <x v="105"/>
    <x v="191"/>
    <x v="0"/>
    <x v="0"/>
    <x v="191"/>
    <x v="1"/>
    <x v="145"/>
    <x v="0"/>
    <x v="0"/>
    <x v="0"/>
    <x v="0"/>
    <x v="0"/>
    <x v="0"/>
    <x v="0"/>
    <x v="0"/>
  </r>
  <r>
    <x v="894"/>
    <x v="0"/>
    <x v="1"/>
    <x v="0"/>
    <x v="0"/>
    <x v="1"/>
    <x v="887"/>
    <x v="750"/>
    <x v="0"/>
    <x v="2"/>
    <x v="1"/>
    <x v="1"/>
    <x v="12"/>
    <x v="0"/>
    <x v="1"/>
    <x v="0"/>
    <x v="27"/>
    <x v="22"/>
    <x v="1"/>
    <x v="325"/>
    <x v="0"/>
    <x v="0"/>
    <x v="0"/>
    <x v="278"/>
    <x v="285"/>
    <x v="9"/>
    <x v="120"/>
    <x v="237"/>
    <x v="291"/>
    <x v="0"/>
    <x v="0"/>
    <x v="290"/>
    <x v="1"/>
    <x v="211"/>
    <x v="0"/>
    <x v="0"/>
    <x v="0"/>
    <x v="0"/>
    <x v="0"/>
    <x v="0"/>
    <x v="0"/>
    <x v="0"/>
  </r>
  <r>
    <x v="895"/>
    <x v="0"/>
    <x v="1"/>
    <x v="0"/>
    <x v="0"/>
    <x v="1"/>
    <x v="888"/>
    <x v="751"/>
    <x v="0"/>
    <x v="2"/>
    <x v="1"/>
    <x v="1"/>
    <x v="12"/>
    <x v="0"/>
    <x v="3"/>
    <x v="0"/>
    <x v="79"/>
    <x v="67"/>
    <x v="3"/>
    <x v="357"/>
    <x v="0"/>
    <x v="0"/>
    <x v="0"/>
    <x v="133"/>
    <x v="135"/>
    <x v="13"/>
    <x v="55"/>
    <x v="119"/>
    <x v="138"/>
    <x v="0"/>
    <x v="0"/>
    <x v="138"/>
    <x v="1"/>
    <x v="104"/>
    <x v="0"/>
    <x v="0"/>
    <x v="0"/>
    <x v="0"/>
    <x v="0"/>
    <x v="0"/>
    <x v="0"/>
    <x v="0"/>
  </r>
  <r>
    <x v="896"/>
    <x v="0"/>
    <x v="1"/>
    <x v="0"/>
    <x v="0"/>
    <x v="1"/>
    <x v="889"/>
    <x v="752"/>
    <x v="0"/>
    <x v="2"/>
    <x v="1"/>
    <x v="1"/>
    <x v="49"/>
    <x v="0"/>
    <x v="0"/>
    <x v="0"/>
    <x v="120"/>
    <x v="103"/>
    <x v="0"/>
    <x v="197"/>
    <x v="0"/>
    <x v="0"/>
    <x v="0"/>
    <x v="414"/>
    <x v="468"/>
    <x v="0"/>
    <x v="165"/>
    <x v="352"/>
    <x v="484"/>
    <x v="39"/>
    <x v="0"/>
    <x v="486"/>
    <x v="0"/>
    <x v="12"/>
    <x v="0"/>
    <x v="0"/>
    <x v="0"/>
    <x v="0"/>
    <x v="0"/>
    <x v="0"/>
    <x v="0"/>
    <x v="0"/>
  </r>
  <r>
    <x v="897"/>
    <x v="0"/>
    <x v="1"/>
    <x v="0"/>
    <x v="0"/>
    <x v="4"/>
    <x v="890"/>
    <x v="753"/>
    <x v="0"/>
    <x v="2"/>
    <x v="1"/>
    <x v="1"/>
    <x v="10"/>
    <x v="0"/>
    <x v="2"/>
    <x v="0"/>
    <x v="17"/>
    <x v="12"/>
    <x v="2"/>
    <x v="358"/>
    <x v="0"/>
    <x v="0"/>
    <x v="0"/>
    <x v="247"/>
    <x v="254"/>
    <x v="5"/>
    <x v="41"/>
    <x v="215"/>
    <x v="259"/>
    <x v="0"/>
    <x v="0"/>
    <x v="259"/>
    <x v="1"/>
    <x v="190"/>
    <x v="0"/>
    <x v="0"/>
    <x v="0"/>
    <x v="0"/>
    <x v="0"/>
    <x v="0"/>
    <x v="0"/>
    <x v="0"/>
  </r>
  <r>
    <x v="898"/>
    <x v="0"/>
    <x v="1"/>
    <x v="0"/>
    <x v="0"/>
    <x v="1"/>
    <x v="891"/>
    <x v="754"/>
    <x v="0"/>
    <x v="2"/>
    <x v="1"/>
    <x v="1"/>
    <x v="10"/>
    <x v="0"/>
    <x v="0"/>
    <x v="0"/>
    <x v="16"/>
    <x v="11"/>
    <x v="0"/>
    <x v="359"/>
    <x v="0"/>
    <x v="0"/>
    <x v="0"/>
    <x v="454"/>
    <x v="469"/>
    <x v="12"/>
    <x v="178"/>
    <x v="353"/>
    <x v="485"/>
    <x v="0"/>
    <x v="0"/>
    <x v="487"/>
    <x v="1"/>
    <x v="316"/>
    <x v="0"/>
    <x v="0"/>
    <x v="0"/>
    <x v="0"/>
    <x v="0"/>
    <x v="0"/>
    <x v="0"/>
    <x v="0"/>
  </r>
  <r>
    <x v="899"/>
    <x v="0"/>
    <x v="1"/>
    <x v="0"/>
    <x v="0"/>
    <x v="1"/>
    <x v="892"/>
    <x v="755"/>
    <x v="0"/>
    <x v="2"/>
    <x v="1"/>
    <x v="1"/>
    <x v="10"/>
    <x v="0"/>
    <x v="2"/>
    <x v="0"/>
    <x v="17"/>
    <x v="12"/>
    <x v="2"/>
    <x v="360"/>
    <x v="0"/>
    <x v="0"/>
    <x v="0"/>
    <x v="133"/>
    <x v="135"/>
    <x v="13"/>
    <x v="55"/>
    <x v="119"/>
    <x v="138"/>
    <x v="0"/>
    <x v="0"/>
    <x v="138"/>
    <x v="1"/>
    <x v="104"/>
    <x v="0"/>
    <x v="0"/>
    <x v="0"/>
    <x v="0"/>
    <x v="0"/>
    <x v="0"/>
    <x v="0"/>
    <x v="0"/>
  </r>
  <r>
    <x v="900"/>
    <x v="0"/>
    <x v="1"/>
    <x v="0"/>
    <x v="0"/>
    <x v="1"/>
    <x v="893"/>
    <x v="756"/>
    <x v="0"/>
    <x v="2"/>
    <x v="1"/>
    <x v="1"/>
    <x v="49"/>
    <x v="0"/>
    <x v="4"/>
    <x v="0"/>
    <x v="138"/>
    <x v="122"/>
    <x v="4"/>
    <x v="171"/>
    <x v="0"/>
    <x v="0"/>
    <x v="0"/>
    <x v="455"/>
    <x v="470"/>
    <x v="18"/>
    <x v="90"/>
    <x v="133"/>
    <x v="486"/>
    <x v="0"/>
    <x v="0"/>
    <x v="488"/>
    <x v="0"/>
    <x v="317"/>
    <x v="0"/>
    <x v="0"/>
    <x v="0"/>
    <x v="0"/>
    <x v="0"/>
    <x v="0"/>
    <x v="0"/>
    <x v="0"/>
  </r>
  <r>
    <x v="901"/>
    <x v="0"/>
    <x v="1"/>
    <x v="0"/>
    <x v="0"/>
    <x v="1"/>
    <x v="894"/>
    <x v="757"/>
    <x v="0"/>
    <x v="2"/>
    <x v="1"/>
    <x v="1"/>
    <x v="49"/>
    <x v="0"/>
    <x v="0"/>
    <x v="0"/>
    <x v="120"/>
    <x v="103"/>
    <x v="0"/>
    <x v="361"/>
    <x v="0"/>
    <x v="0"/>
    <x v="0"/>
    <x v="456"/>
    <x v="471"/>
    <x v="19"/>
    <x v="114"/>
    <x v="354"/>
    <x v="487"/>
    <x v="0"/>
    <x v="0"/>
    <x v="489"/>
    <x v="0"/>
    <x v="12"/>
    <x v="0"/>
    <x v="1"/>
    <x v="0"/>
    <x v="0"/>
    <x v="0"/>
    <x v="0"/>
    <x v="0"/>
    <x v="0"/>
  </r>
  <r>
    <x v="902"/>
    <x v="0"/>
    <x v="1"/>
    <x v="0"/>
    <x v="0"/>
    <x v="0"/>
    <x v="895"/>
    <x v="758"/>
    <x v="0"/>
    <x v="0"/>
    <x v="83"/>
    <x v="84"/>
    <x v="58"/>
    <x v="0"/>
    <x v="0"/>
    <x v="0"/>
    <x v="139"/>
    <x v="123"/>
    <x v="0"/>
    <x v="362"/>
    <x v="1"/>
    <x v="0"/>
    <x v="0"/>
    <x v="457"/>
    <x v="472"/>
    <x v="5"/>
    <x v="83"/>
    <x v="122"/>
    <x v="488"/>
    <x v="0"/>
    <x v="0"/>
    <x v="490"/>
    <x v="0"/>
    <x v="318"/>
    <x v="0"/>
    <x v="0"/>
    <x v="0"/>
    <x v="0"/>
    <x v="0"/>
    <x v="0"/>
    <x v="0"/>
    <x v="0"/>
  </r>
  <r>
    <x v="903"/>
    <x v="0"/>
    <x v="1"/>
    <x v="1"/>
    <x v="0"/>
    <x v="1"/>
    <x v="896"/>
    <x v="1"/>
    <x v="0"/>
    <x v="1"/>
    <x v="1"/>
    <x v="1"/>
    <x v="37"/>
    <x v="0"/>
    <x v="0"/>
    <x v="0"/>
    <x v="88"/>
    <x v="1"/>
    <x v="0"/>
    <x v="363"/>
    <x v="0"/>
    <x v="0"/>
    <x v="0"/>
    <x v="458"/>
    <x v="473"/>
    <x v="16"/>
    <x v="160"/>
    <x v="277"/>
    <x v="489"/>
    <x v="0"/>
    <x v="0"/>
    <x v="491"/>
    <x v="0"/>
    <x v="12"/>
    <x v="0"/>
    <x v="0"/>
    <x v="0"/>
    <x v="0"/>
    <x v="0"/>
    <x v="0"/>
    <x v="0"/>
    <x v="0"/>
  </r>
  <r>
    <x v="904"/>
    <x v="0"/>
    <x v="1"/>
    <x v="0"/>
    <x v="0"/>
    <x v="1"/>
    <x v="897"/>
    <x v="759"/>
    <x v="0"/>
    <x v="2"/>
    <x v="1"/>
    <x v="1"/>
    <x v="37"/>
    <x v="0"/>
    <x v="0"/>
    <x v="0"/>
    <x v="88"/>
    <x v="75"/>
    <x v="0"/>
    <x v="364"/>
    <x v="0"/>
    <x v="0"/>
    <x v="0"/>
    <x v="459"/>
    <x v="474"/>
    <x v="13"/>
    <x v="53"/>
    <x v="66"/>
    <x v="490"/>
    <x v="0"/>
    <x v="0"/>
    <x v="492"/>
    <x v="0"/>
    <x v="12"/>
    <x v="0"/>
    <x v="0"/>
    <x v="0"/>
    <x v="0"/>
    <x v="0"/>
    <x v="0"/>
    <x v="0"/>
    <x v="0"/>
  </r>
  <r>
    <x v="905"/>
    <x v="0"/>
    <x v="1"/>
    <x v="0"/>
    <x v="0"/>
    <x v="1"/>
    <x v="898"/>
    <x v="760"/>
    <x v="0"/>
    <x v="2"/>
    <x v="1"/>
    <x v="1"/>
    <x v="49"/>
    <x v="0"/>
    <x v="6"/>
    <x v="0"/>
    <x v="140"/>
    <x v="124"/>
    <x v="6"/>
    <x v="170"/>
    <x v="0"/>
    <x v="0"/>
    <x v="0"/>
    <x v="460"/>
    <x v="475"/>
    <x v="8"/>
    <x v="22"/>
    <x v="355"/>
    <x v="491"/>
    <x v="40"/>
    <x v="0"/>
    <x v="493"/>
    <x v="0"/>
    <x v="12"/>
    <x v="0"/>
    <x v="0"/>
    <x v="0"/>
    <x v="0"/>
    <x v="0"/>
    <x v="0"/>
    <x v="0"/>
    <x v="0"/>
  </r>
  <r>
    <x v="906"/>
    <x v="0"/>
    <x v="1"/>
    <x v="0"/>
    <x v="0"/>
    <x v="1"/>
    <x v="899"/>
    <x v="761"/>
    <x v="0"/>
    <x v="2"/>
    <x v="1"/>
    <x v="1"/>
    <x v="49"/>
    <x v="0"/>
    <x v="0"/>
    <x v="0"/>
    <x v="120"/>
    <x v="103"/>
    <x v="0"/>
    <x v="184"/>
    <x v="0"/>
    <x v="0"/>
    <x v="0"/>
    <x v="461"/>
    <x v="476"/>
    <x v="0"/>
    <x v="0"/>
    <x v="356"/>
    <x v="492"/>
    <x v="0"/>
    <x v="0"/>
    <x v="494"/>
    <x v="0"/>
    <x v="12"/>
    <x v="0"/>
    <x v="0"/>
    <x v="0"/>
    <x v="0"/>
    <x v="0"/>
    <x v="0"/>
    <x v="0"/>
    <x v="0"/>
  </r>
  <r>
    <x v="907"/>
    <x v="0"/>
    <x v="1"/>
    <x v="0"/>
    <x v="0"/>
    <x v="0"/>
    <x v="900"/>
    <x v="762"/>
    <x v="0"/>
    <x v="0"/>
    <x v="84"/>
    <x v="85"/>
    <x v="47"/>
    <x v="0"/>
    <x v="0"/>
    <x v="0"/>
    <x v="112"/>
    <x v="97"/>
    <x v="0"/>
    <x v="365"/>
    <x v="0"/>
    <x v="0"/>
    <x v="0"/>
    <x v="462"/>
    <x v="477"/>
    <x v="0"/>
    <x v="127"/>
    <x v="208"/>
    <x v="493"/>
    <x v="0"/>
    <x v="0"/>
    <x v="495"/>
    <x v="1"/>
    <x v="319"/>
    <x v="0"/>
    <x v="0"/>
    <x v="0"/>
    <x v="0"/>
    <x v="0"/>
    <x v="0"/>
    <x v="0"/>
    <x v="0"/>
  </r>
  <r>
    <x v="908"/>
    <x v="0"/>
    <x v="1"/>
    <x v="2"/>
    <x v="0"/>
    <x v="0"/>
    <x v="901"/>
    <x v="1"/>
    <x v="0"/>
    <x v="1"/>
    <x v="1"/>
    <x v="1"/>
    <x v="47"/>
    <x v="0"/>
    <x v="0"/>
    <x v="0"/>
    <x v="112"/>
    <x v="1"/>
    <x v="0"/>
    <x v="365"/>
    <x v="0"/>
    <x v="0"/>
    <x v="0"/>
    <x v="462"/>
    <x v="477"/>
    <x v="0"/>
    <x v="127"/>
    <x v="357"/>
    <x v="494"/>
    <x v="0"/>
    <x v="0"/>
    <x v="495"/>
    <x v="1"/>
    <x v="319"/>
    <x v="0"/>
    <x v="0"/>
    <x v="0"/>
    <x v="0"/>
    <x v="0"/>
    <x v="0"/>
    <x v="0"/>
    <x v="0"/>
  </r>
  <r>
    <x v="909"/>
    <x v="0"/>
    <x v="1"/>
    <x v="0"/>
    <x v="0"/>
    <x v="0"/>
    <x v="902"/>
    <x v="763"/>
    <x v="0"/>
    <x v="0"/>
    <x v="85"/>
    <x v="86"/>
    <x v="59"/>
    <x v="0"/>
    <x v="1"/>
    <x v="0"/>
    <x v="141"/>
    <x v="125"/>
    <x v="1"/>
    <x v="366"/>
    <x v="0"/>
    <x v="0"/>
    <x v="0"/>
    <x v="367"/>
    <x v="378"/>
    <x v="23"/>
    <x v="75"/>
    <x v="106"/>
    <x v="495"/>
    <x v="0"/>
    <x v="0"/>
    <x v="496"/>
    <x v="1"/>
    <x v="320"/>
    <x v="0"/>
    <x v="0"/>
    <x v="0"/>
    <x v="0"/>
    <x v="0"/>
    <x v="0"/>
    <x v="0"/>
    <x v="0"/>
  </r>
  <r>
    <x v="910"/>
    <x v="0"/>
    <x v="1"/>
    <x v="0"/>
    <x v="0"/>
    <x v="1"/>
    <x v="903"/>
    <x v="764"/>
    <x v="0"/>
    <x v="2"/>
    <x v="1"/>
    <x v="1"/>
    <x v="49"/>
    <x v="0"/>
    <x v="0"/>
    <x v="0"/>
    <x v="120"/>
    <x v="103"/>
    <x v="0"/>
    <x v="197"/>
    <x v="0"/>
    <x v="0"/>
    <x v="0"/>
    <x v="460"/>
    <x v="475"/>
    <x v="8"/>
    <x v="22"/>
    <x v="355"/>
    <x v="491"/>
    <x v="0"/>
    <x v="0"/>
    <x v="493"/>
    <x v="0"/>
    <x v="12"/>
    <x v="0"/>
    <x v="1"/>
    <x v="0"/>
    <x v="0"/>
    <x v="0"/>
    <x v="0"/>
    <x v="0"/>
    <x v="0"/>
  </r>
  <r>
    <x v="911"/>
    <x v="0"/>
    <x v="1"/>
    <x v="2"/>
    <x v="0"/>
    <x v="1"/>
    <x v="904"/>
    <x v="1"/>
    <x v="0"/>
    <x v="1"/>
    <x v="1"/>
    <x v="1"/>
    <x v="49"/>
    <x v="0"/>
    <x v="0"/>
    <x v="0"/>
    <x v="120"/>
    <x v="1"/>
    <x v="0"/>
    <x v="197"/>
    <x v="0"/>
    <x v="0"/>
    <x v="0"/>
    <x v="460"/>
    <x v="475"/>
    <x v="8"/>
    <x v="22"/>
    <x v="355"/>
    <x v="491"/>
    <x v="41"/>
    <x v="0"/>
    <x v="493"/>
    <x v="0"/>
    <x v="12"/>
    <x v="0"/>
    <x v="0"/>
    <x v="0"/>
    <x v="0"/>
    <x v="0"/>
    <x v="0"/>
    <x v="0"/>
    <x v="0"/>
  </r>
  <r>
    <x v="912"/>
    <x v="0"/>
    <x v="1"/>
    <x v="0"/>
    <x v="0"/>
    <x v="1"/>
    <x v="905"/>
    <x v="765"/>
    <x v="0"/>
    <x v="2"/>
    <x v="1"/>
    <x v="1"/>
    <x v="49"/>
    <x v="0"/>
    <x v="0"/>
    <x v="0"/>
    <x v="120"/>
    <x v="103"/>
    <x v="0"/>
    <x v="221"/>
    <x v="0"/>
    <x v="0"/>
    <x v="0"/>
    <x v="463"/>
    <x v="478"/>
    <x v="7"/>
    <x v="107"/>
    <x v="358"/>
    <x v="496"/>
    <x v="0"/>
    <x v="0"/>
    <x v="497"/>
    <x v="0"/>
    <x v="12"/>
    <x v="0"/>
    <x v="0"/>
    <x v="0"/>
    <x v="0"/>
    <x v="0"/>
    <x v="0"/>
    <x v="0"/>
    <x v="0"/>
  </r>
  <r>
    <x v="913"/>
    <x v="0"/>
    <x v="1"/>
    <x v="0"/>
    <x v="0"/>
    <x v="1"/>
    <x v="906"/>
    <x v="766"/>
    <x v="0"/>
    <x v="2"/>
    <x v="1"/>
    <x v="1"/>
    <x v="51"/>
    <x v="0"/>
    <x v="4"/>
    <x v="0"/>
    <x v="131"/>
    <x v="114"/>
    <x v="4"/>
    <x v="367"/>
    <x v="0"/>
    <x v="0"/>
    <x v="0"/>
    <x v="464"/>
    <x v="479"/>
    <x v="18"/>
    <x v="90"/>
    <x v="359"/>
    <x v="497"/>
    <x v="0"/>
    <x v="0"/>
    <x v="498"/>
    <x v="1"/>
    <x v="321"/>
    <x v="0"/>
    <x v="0"/>
    <x v="0"/>
    <x v="0"/>
    <x v="0"/>
    <x v="0"/>
    <x v="0"/>
    <x v="0"/>
  </r>
  <r>
    <x v="914"/>
    <x v="0"/>
    <x v="1"/>
    <x v="1"/>
    <x v="0"/>
    <x v="1"/>
    <x v="907"/>
    <x v="1"/>
    <x v="0"/>
    <x v="1"/>
    <x v="1"/>
    <x v="1"/>
    <x v="37"/>
    <x v="0"/>
    <x v="0"/>
    <x v="0"/>
    <x v="88"/>
    <x v="1"/>
    <x v="0"/>
    <x v="368"/>
    <x v="0"/>
    <x v="0"/>
    <x v="0"/>
    <x v="465"/>
    <x v="480"/>
    <x v="26"/>
    <x v="94"/>
    <x v="140"/>
    <x v="498"/>
    <x v="0"/>
    <x v="0"/>
    <x v="499"/>
    <x v="0"/>
    <x v="12"/>
    <x v="0"/>
    <x v="0"/>
    <x v="0"/>
    <x v="0"/>
    <x v="0"/>
    <x v="0"/>
    <x v="0"/>
    <x v="0"/>
  </r>
  <r>
    <x v="915"/>
    <x v="0"/>
    <x v="1"/>
    <x v="0"/>
    <x v="0"/>
    <x v="2"/>
    <x v="908"/>
    <x v="767"/>
    <x v="0"/>
    <x v="2"/>
    <x v="1"/>
    <x v="1"/>
    <x v="60"/>
    <x v="0"/>
    <x v="1"/>
    <x v="0"/>
    <x v="142"/>
    <x v="126"/>
    <x v="1"/>
    <x v="369"/>
    <x v="0"/>
    <x v="0"/>
    <x v="0"/>
    <x v="133"/>
    <x v="135"/>
    <x v="13"/>
    <x v="55"/>
    <x v="119"/>
    <x v="138"/>
    <x v="0"/>
    <x v="0"/>
    <x v="138"/>
    <x v="1"/>
    <x v="104"/>
    <x v="0"/>
    <x v="0"/>
    <x v="0"/>
    <x v="0"/>
    <x v="0"/>
    <x v="0"/>
    <x v="0"/>
    <x v="0"/>
  </r>
  <r>
    <x v="916"/>
    <x v="0"/>
    <x v="1"/>
    <x v="0"/>
    <x v="0"/>
    <x v="1"/>
    <x v="909"/>
    <x v="768"/>
    <x v="0"/>
    <x v="2"/>
    <x v="1"/>
    <x v="1"/>
    <x v="10"/>
    <x v="0"/>
    <x v="0"/>
    <x v="0"/>
    <x v="16"/>
    <x v="11"/>
    <x v="0"/>
    <x v="360"/>
    <x v="0"/>
    <x v="0"/>
    <x v="0"/>
    <x v="460"/>
    <x v="475"/>
    <x v="8"/>
    <x v="22"/>
    <x v="355"/>
    <x v="491"/>
    <x v="0"/>
    <x v="0"/>
    <x v="493"/>
    <x v="0"/>
    <x v="12"/>
    <x v="0"/>
    <x v="0"/>
    <x v="0"/>
    <x v="0"/>
    <x v="0"/>
    <x v="0"/>
    <x v="0"/>
    <x v="0"/>
  </r>
  <r>
    <x v="917"/>
    <x v="0"/>
    <x v="1"/>
    <x v="0"/>
    <x v="0"/>
    <x v="3"/>
    <x v="910"/>
    <x v="769"/>
    <x v="0"/>
    <x v="0"/>
    <x v="86"/>
    <x v="87"/>
    <x v="61"/>
    <x v="0"/>
    <x v="4"/>
    <x v="0"/>
    <x v="7"/>
    <x v="4"/>
    <x v="4"/>
    <x v="370"/>
    <x v="0"/>
    <x v="0"/>
    <x v="0"/>
    <x v="466"/>
    <x v="481"/>
    <x v="5"/>
    <x v="179"/>
    <x v="360"/>
    <x v="499"/>
    <x v="0"/>
    <x v="0"/>
    <x v="500"/>
    <x v="0"/>
    <x v="322"/>
    <x v="0"/>
    <x v="0"/>
    <x v="0"/>
    <x v="0"/>
    <x v="0"/>
    <x v="0"/>
    <x v="0"/>
    <x v="0"/>
  </r>
  <r>
    <x v="918"/>
    <x v="0"/>
    <x v="1"/>
    <x v="0"/>
    <x v="0"/>
    <x v="1"/>
    <x v="911"/>
    <x v="770"/>
    <x v="0"/>
    <x v="2"/>
    <x v="1"/>
    <x v="1"/>
    <x v="12"/>
    <x v="0"/>
    <x v="18"/>
    <x v="0"/>
    <x v="143"/>
    <x v="127"/>
    <x v="18"/>
    <x v="371"/>
    <x v="0"/>
    <x v="0"/>
    <x v="0"/>
    <x v="133"/>
    <x v="135"/>
    <x v="13"/>
    <x v="55"/>
    <x v="119"/>
    <x v="138"/>
    <x v="42"/>
    <x v="0"/>
    <x v="138"/>
    <x v="1"/>
    <x v="104"/>
    <x v="0"/>
    <x v="0"/>
    <x v="0"/>
    <x v="0"/>
    <x v="1"/>
    <x v="0"/>
    <x v="0"/>
    <x v="0"/>
  </r>
  <r>
    <x v="919"/>
    <x v="0"/>
    <x v="1"/>
    <x v="0"/>
    <x v="0"/>
    <x v="1"/>
    <x v="912"/>
    <x v="771"/>
    <x v="0"/>
    <x v="2"/>
    <x v="1"/>
    <x v="1"/>
    <x v="49"/>
    <x v="0"/>
    <x v="0"/>
    <x v="0"/>
    <x v="120"/>
    <x v="103"/>
    <x v="0"/>
    <x v="170"/>
    <x v="0"/>
    <x v="0"/>
    <x v="0"/>
    <x v="467"/>
    <x v="286"/>
    <x v="6"/>
    <x v="138"/>
    <x v="219"/>
    <x v="292"/>
    <x v="0"/>
    <x v="0"/>
    <x v="291"/>
    <x v="0"/>
    <x v="12"/>
    <x v="0"/>
    <x v="0"/>
    <x v="0"/>
    <x v="0"/>
    <x v="0"/>
    <x v="0"/>
    <x v="0"/>
    <x v="0"/>
  </r>
  <r>
    <x v="920"/>
    <x v="0"/>
    <x v="1"/>
    <x v="0"/>
    <x v="0"/>
    <x v="0"/>
    <x v="913"/>
    <x v="772"/>
    <x v="0"/>
    <x v="0"/>
    <x v="87"/>
    <x v="88"/>
    <x v="62"/>
    <x v="0"/>
    <x v="3"/>
    <x v="0"/>
    <x v="144"/>
    <x v="128"/>
    <x v="3"/>
    <x v="372"/>
    <x v="0"/>
    <x v="0"/>
    <x v="0"/>
    <x v="468"/>
    <x v="482"/>
    <x v="3"/>
    <x v="109"/>
    <x v="285"/>
    <x v="500"/>
    <x v="0"/>
    <x v="0"/>
    <x v="501"/>
    <x v="1"/>
    <x v="323"/>
    <x v="0"/>
    <x v="0"/>
    <x v="0"/>
    <x v="0"/>
    <x v="0"/>
    <x v="0"/>
    <x v="0"/>
    <x v="0"/>
  </r>
  <r>
    <x v="921"/>
    <x v="0"/>
    <x v="1"/>
    <x v="0"/>
    <x v="0"/>
    <x v="0"/>
    <x v="914"/>
    <x v="773"/>
    <x v="0"/>
    <x v="0"/>
    <x v="88"/>
    <x v="89"/>
    <x v="63"/>
    <x v="0"/>
    <x v="5"/>
    <x v="0"/>
    <x v="145"/>
    <x v="129"/>
    <x v="5"/>
    <x v="373"/>
    <x v="0"/>
    <x v="0"/>
    <x v="0"/>
    <x v="468"/>
    <x v="482"/>
    <x v="3"/>
    <x v="109"/>
    <x v="285"/>
    <x v="500"/>
    <x v="0"/>
    <x v="0"/>
    <x v="501"/>
    <x v="1"/>
    <x v="323"/>
    <x v="0"/>
    <x v="0"/>
    <x v="0"/>
    <x v="0"/>
    <x v="0"/>
    <x v="0"/>
    <x v="0"/>
    <x v="0"/>
  </r>
  <r>
    <x v="922"/>
    <x v="0"/>
    <x v="1"/>
    <x v="0"/>
    <x v="0"/>
    <x v="0"/>
    <x v="915"/>
    <x v="774"/>
    <x v="0"/>
    <x v="0"/>
    <x v="89"/>
    <x v="90"/>
    <x v="49"/>
    <x v="0"/>
    <x v="5"/>
    <x v="0"/>
    <x v="118"/>
    <x v="101"/>
    <x v="5"/>
    <x v="200"/>
    <x v="0"/>
    <x v="0"/>
    <x v="0"/>
    <x v="468"/>
    <x v="482"/>
    <x v="3"/>
    <x v="109"/>
    <x v="285"/>
    <x v="500"/>
    <x v="0"/>
    <x v="0"/>
    <x v="501"/>
    <x v="1"/>
    <x v="323"/>
    <x v="0"/>
    <x v="0"/>
    <x v="0"/>
    <x v="0"/>
    <x v="0"/>
    <x v="0"/>
    <x v="0"/>
    <x v="0"/>
  </r>
  <r>
    <x v="923"/>
    <x v="0"/>
    <x v="0"/>
    <x v="0"/>
    <x v="0"/>
    <x v="0"/>
    <x v="916"/>
    <x v="775"/>
    <x v="0"/>
    <x v="0"/>
    <x v="90"/>
    <x v="91"/>
    <x v="44"/>
    <x v="0"/>
    <x v="0"/>
    <x v="0"/>
    <x v="70"/>
    <x v="60"/>
    <x v="0"/>
    <x v="374"/>
    <x v="0"/>
    <x v="0"/>
    <x v="0"/>
    <x v="468"/>
    <x v="482"/>
    <x v="3"/>
    <x v="109"/>
    <x v="285"/>
    <x v="500"/>
    <x v="0"/>
    <x v="0"/>
    <x v="501"/>
    <x v="1"/>
    <x v="323"/>
    <x v="0"/>
    <x v="0"/>
    <x v="0"/>
    <x v="0"/>
    <x v="0"/>
    <x v="0"/>
    <x v="0"/>
    <x v="0"/>
  </r>
  <r>
    <x v="924"/>
    <x v="0"/>
    <x v="1"/>
    <x v="0"/>
    <x v="0"/>
    <x v="1"/>
    <x v="917"/>
    <x v="776"/>
    <x v="0"/>
    <x v="2"/>
    <x v="1"/>
    <x v="1"/>
    <x v="37"/>
    <x v="0"/>
    <x v="14"/>
    <x v="0"/>
    <x v="146"/>
    <x v="130"/>
    <x v="14"/>
    <x v="375"/>
    <x v="0"/>
    <x v="0"/>
    <x v="0"/>
    <x v="299"/>
    <x v="307"/>
    <x v="8"/>
    <x v="142"/>
    <x v="252"/>
    <x v="316"/>
    <x v="0"/>
    <x v="0"/>
    <x v="313"/>
    <x v="1"/>
    <x v="221"/>
    <x v="0"/>
    <x v="0"/>
    <x v="0"/>
    <x v="0"/>
    <x v="0"/>
    <x v="0"/>
    <x v="0"/>
    <x v="0"/>
  </r>
  <r>
    <x v="925"/>
    <x v="0"/>
    <x v="1"/>
    <x v="0"/>
    <x v="0"/>
    <x v="1"/>
    <x v="918"/>
    <x v="777"/>
    <x v="0"/>
    <x v="2"/>
    <x v="1"/>
    <x v="1"/>
    <x v="37"/>
    <x v="0"/>
    <x v="5"/>
    <x v="0"/>
    <x v="103"/>
    <x v="87"/>
    <x v="5"/>
    <x v="376"/>
    <x v="0"/>
    <x v="0"/>
    <x v="0"/>
    <x v="30"/>
    <x v="243"/>
    <x v="6"/>
    <x v="113"/>
    <x v="204"/>
    <x v="248"/>
    <x v="0"/>
    <x v="0"/>
    <x v="247"/>
    <x v="0"/>
    <x v="299"/>
    <x v="0"/>
    <x v="0"/>
    <x v="0"/>
    <x v="42"/>
    <x v="0"/>
    <x v="0"/>
    <x v="0"/>
    <x v="0"/>
  </r>
  <r>
    <x v="926"/>
    <x v="0"/>
    <x v="1"/>
    <x v="1"/>
    <x v="0"/>
    <x v="1"/>
    <x v="919"/>
    <x v="1"/>
    <x v="0"/>
    <x v="1"/>
    <x v="1"/>
    <x v="1"/>
    <x v="12"/>
    <x v="0"/>
    <x v="0"/>
    <x v="0"/>
    <x v="24"/>
    <x v="1"/>
    <x v="0"/>
    <x v="377"/>
    <x v="0"/>
    <x v="0"/>
    <x v="0"/>
    <x v="469"/>
    <x v="483"/>
    <x v="6"/>
    <x v="11"/>
    <x v="11"/>
    <x v="501"/>
    <x v="0"/>
    <x v="0"/>
    <x v="502"/>
    <x v="0"/>
    <x v="12"/>
    <x v="0"/>
    <x v="0"/>
    <x v="0"/>
    <x v="0"/>
    <x v="0"/>
    <x v="0"/>
    <x v="0"/>
    <x v="0"/>
  </r>
  <r>
    <x v="927"/>
    <x v="0"/>
    <x v="1"/>
    <x v="1"/>
    <x v="0"/>
    <x v="1"/>
    <x v="920"/>
    <x v="1"/>
    <x v="0"/>
    <x v="1"/>
    <x v="1"/>
    <x v="1"/>
    <x v="12"/>
    <x v="0"/>
    <x v="0"/>
    <x v="0"/>
    <x v="24"/>
    <x v="1"/>
    <x v="0"/>
    <x v="378"/>
    <x v="0"/>
    <x v="0"/>
    <x v="0"/>
    <x v="469"/>
    <x v="483"/>
    <x v="6"/>
    <x v="11"/>
    <x v="11"/>
    <x v="501"/>
    <x v="0"/>
    <x v="0"/>
    <x v="502"/>
    <x v="0"/>
    <x v="12"/>
    <x v="0"/>
    <x v="0"/>
    <x v="0"/>
    <x v="0"/>
    <x v="0"/>
    <x v="0"/>
    <x v="0"/>
    <x v="0"/>
  </r>
  <r>
    <x v="928"/>
    <x v="0"/>
    <x v="1"/>
    <x v="0"/>
    <x v="0"/>
    <x v="1"/>
    <x v="921"/>
    <x v="778"/>
    <x v="0"/>
    <x v="2"/>
    <x v="1"/>
    <x v="1"/>
    <x v="37"/>
    <x v="0"/>
    <x v="0"/>
    <x v="0"/>
    <x v="88"/>
    <x v="75"/>
    <x v="0"/>
    <x v="379"/>
    <x v="0"/>
    <x v="0"/>
    <x v="0"/>
    <x v="470"/>
    <x v="484"/>
    <x v="5"/>
    <x v="70"/>
    <x v="97"/>
    <x v="502"/>
    <x v="0"/>
    <x v="0"/>
    <x v="503"/>
    <x v="1"/>
    <x v="324"/>
    <x v="0"/>
    <x v="0"/>
    <x v="0"/>
    <x v="0"/>
    <x v="0"/>
    <x v="0"/>
    <x v="0"/>
    <x v="0"/>
  </r>
  <r>
    <x v="929"/>
    <x v="0"/>
    <x v="1"/>
    <x v="1"/>
    <x v="0"/>
    <x v="1"/>
    <x v="922"/>
    <x v="1"/>
    <x v="0"/>
    <x v="1"/>
    <x v="1"/>
    <x v="1"/>
    <x v="37"/>
    <x v="0"/>
    <x v="0"/>
    <x v="0"/>
    <x v="88"/>
    <x v="1"/>
    <x v="0"/>
    <x v="380"/>
    <x v="0"/>
    <x v="0"/>
    <x v="0"/>
    <x v="320"/>
    <x v="328"/>
    <x v="13"/>
    <x v="55"/>
    <x v="119"/>
    <x v="339"/>
    <x v="0"/>
    <x v="0"/>
    <x v="415"/>
    <x v="0"/>
    <x v="281"/>
    <x v="0"/>
    <x v="0"/>
    <x v="0"/>
    <x v="0"/>
    <x v="0"/>
    <x v="0"/>
    <x v="0"/>
    <x v="0"/>
  </r>
  <r>
    <x v="930"/>
    <x v="0"/>
    <x v="1"/>
    <x v="2"/>
    <x v="0"/>
    <x v="1"/>
    <x v="923"/>
    <x v="1"/>
    <x v="0"/>
    <x v="1"/>
    <x v="1"/>
    <x v="1"/>
    <x v="37"/>
    <x v="0"/>
    <x v="3"/>
    <x v="0"/>
    <x v="147"/>
    <x v="1"/>
    <x v="3"/>
    <x v="381"/>
    <x v="0"/>
    <x v="0"/>
    <x v="0"/>
    <x v="320"/>
    <x v="328"/>
    <x v="13"/>
    <x v="55"/>
    <x v="119"/>
    <x v="339"/>
    <x v="43"/>
    <x v="0"/>
    <x v="415"/>
    <x v="0"/>
    <x v="281"/>
    <x v="0"/>
    <x v="0"/>
    <x v="0"/>
    <x v="0"/>
    <x v="0"/>
    <x v="0"/>
    <x v="0"/>
    <x v="0"/>
  </r>
  <r>
    <x v="931"/>
    <x v="0"/>
    <x v="1"/>
    <x v="0"/>
    <x v="0"/>
    <x v="3"/>
    <x v="924"/>
    <x v="779"/>
    <x v="0"/>
    <x v="0"/>
    <x v="91"/>
    <x v="92"/>
    <x v="64"/>
    <x v="0"/>
    <x v="0"/>
    <x v="0"/>
    <x v="148"/>
    <x v="131"/>
    <x v="0"/>
    <x v="382"/>
    <x v="0"/>
    <x v="0"/>
    <x v="0"/>
    <x v="471"/>
    <x v="485"/>
    <x v="12"/>
    <x v="180"/>
    <x v="361"/>
    <x v="503"/>
    <x v="0"/>
    <x v="0"/>
    <x v="504"/>
    <x v="0"/>
    <x v="325"/>
    <x v="0"/>
    <x v="0"/>
    <x v="0"/>
    <x v="0"/>
    <x v="0"/>
    <x v="0"/>
    <x v="0"/>
    <x v="0"/>
  </r>
  <r>
    <x v="932"/>
    <x v="0"/>
    <x v="1"/>
    <x v="1"/>
    <x v="0"/>
    <x v="1"/>
    <x v="925"/>
    <x v="1"/>
    <x v="0"/>
    <x v="1"/>
    <x v="1"/>
    <x v="1"/>
    <x v="12"/>
    <x v="0"/>
    <x v="3"/>
    <x v="0"/>
    <x v="79"/>
    <x v="1"/>
    <x v="3"/>
    <x v="383"/>
    <x v="0"/>
    <x v="0"/>
    <x v="0"/>
    <x v="297"/>
    <x v="304"/>
    <x v="0"/>
    <x v="50"/>
    <x v="72"/>
    <x v="313"/>
    <x v="0"/>
    <x v="0"/>
    <x v="310"/>
    <x v="1"/>
    <x v="219"/>
    <x v="0"/>
    <x v="0"/>
    <x v="0"/>
    <x v="0"/>
    <x v="0"/>
    <x v="0"/>
    <x v="0"/>
    <x v="0"/>
  </r>
  <r>
    <x v="933"/>
    <x v="0"/>
    <x v="1"/>
    <x v="1"/>
    <x v="0"/>
    <x v="1"/>
    <x v="926"/>
    <x v="1"/>
    <x v="0"/>
    <x v="1"/>
    <x v="1"/>
    <x v="1"/>
    <x v="12"/>
    <x v="0"/>
    <x v="9"/>
    <x v="0"/>
    <x v="116"/>
    <x v="1"/>
    <x v="9"/>
    <x v="384"/>
    <x v="0"/>
    <x v="0"/>
    <x v="0"/>
    <x v="344"/>
    <x v="353"/>
    <x v="16"/>
    <x v="162"/>
    <x v="284"/>
    <x v="364"/>
    <x v="0"/>
    <x v="0"/>
    <x v="361"/>
    <x v="0"/>
    <x v="12"/>
    <x v="0"/>
    <x v="0"/>
    <x v="0"/>
    <x v="0"/>
    <x v="0"/>
    <x v="0"/>
    <x v="0"/>
    <x v="0"/>
  </r>
  <r>
    <x v="934"/>
    <x v="0"/>
    <x v="1"/>
    <x v="0"/>
    <x v="0"/>
    <x v="2"/>
    <x v="927"/>
    <x v="780"/>
    <x v="0"/>
    <x v="2"/>
    <x v="1"/>
    <x v="1"/>
    <x v="9"/>
    <x v="0"/>
    <x v="0"/>
    <x v="0"/>
    <x v="15"/>
    <x v="10"/>
    <x v="0"/>
    <x v="15"/>
    <x v="0"/>
    <x v="0"/>
    <x v="0"/>
    <x v="354"/>
    <x v="364"/>
    <x v="21"/>
    <x v="67"/>
    <x v="229"/>
    <x v="375"/>
    <x v="0"/>
    <x v="0"/>
    <x v="372"/>
    <x v="0"/>
    <x v="257"/>
    <x v="0"/>
    <x v="0"/>
    <x v="0"/>
    <x v="0"/>
    <x v="0"/>
    <x v="0"/>
    <x v="0"/>
    <x v="0"/>
  </r>
  <r>
    <x v="935"/>
    <x v="0"/>
    <x v="1"/>
    <x v="0"/>
    <x v="0"/>
    <x v="1"/>
    <x v="928"/>
    <x v="781"/>
    <x v="0"/>
    <x v="2"/>
    <x v="1"/>
    <x v="1"/>
    <x v="49"/>
    <x v="0"/>
    <x v="0"/>
    <x v="0"/>
    <x v="120"/>
    <x v="103"/>
    <x v="0"/>
    <x v="385"/>
    <x v="0"/>
    <x v="0"/>
    <x v="0"/>
    <x v="109"/>
    <x v="111"/>
    <x v="3"/>
    <x v="51"/>
    <x v="64"/>
    <x v="113"/>
    <x v="0"/>
    <x v="0"/>
    <x v="113"/>
    <x v="1"/>
    <x v="87"/>
    <x v="0"/>
    <x v="0"/>
    <x v="0"/>
    <x v="0"/>
    <x v="0"/>
    <x v="0"/>
    <x v="0"/>
    <x v="0"/>
  </r>
  <r>
    <x v="936"/>
    <x v="0"/>
    <x v="1"/>
    <x v="0"/>
    <x v="0"/>
    <x v="1"/>
    <x v="929"/>
    <x v="782"/>
    <x v="0"/>
    <x v="2"/>
    <x v="1"/>
    <x v="1"/>
    <x v="37"/>
    <x v="0"/>
    <x v="0"/>
    <x v="0"/>
    <x v="88"/>
    <x v="75"/>
    <x v="0"/>
    <x v="386"/>
    <x v="0"/>
    <x v="0"/>
    <x v="0"/>
    <x v="472"/>
    <x v="486"/>
    <x v="8"/>
    <x v="22"/>
    <x v="23"/>
    <x v="504"/>
    <x v="44"/>
    <x v="0"/>
    <x v="505"/>
    <x v="0"/>
    <x v="326"/>
    <x v="0"/>
    <x v="0"/>
    <x v="0"/>
    <x v="0"/>
    <x v="0"/>
    <x v="0"/>
    <x v="0"/>
    <x v="0"/>
  </r>
  <r>
    <x v="937"/>
    <x v="0"/>
    <x v="1"/>
    <x v="0"/>
    <x v="0"/>
    <x v="1"/>
    <x v="930"/>
    <x v="783"/>
    <x v="0"/>
    <x v="2"/>
    <x v="1"/>
    <x v="1"/>
    <x v="37"/>
    <x v="0"/>
    <x v="0"/>
    <x v="0"/>
    <x v="88"/>
    <x v="75"/>
    <x v="0"/>
    <x v="387"/>
    <x v="0"/>
    <x v="0"/>
    <x v="0"/>
    <x v="473"/>
    <x v="487"/>
    <x v="0"/>
    <x v="0"/>
    <x v="63"/>
    <x v="505"/>
    <x v="0"/>
    <x v="0"/>
    <x v="506"/>
    <x v="0"/>
    <x v="12"/>
    <x v="0"/>
    <x v="0"/>
    <x v="0"/>
    <x v="0"/>
    <x v="0"/>
    <x v="0"/>
    <x v="0"/>
    <x v="0"/>
  </r>
  <r>
    <x v="938"/>
    <x v="0"/>
    <x v="1"/>
    <x v="0"/>
    <x v="0"/>
    <x v="1"/>
    <x v="931"/>
    <x v="784"/>
    <x v="0"/>
    <x v="2"/>
    <x v="1"/>
    <x v="1"/>
    <x v="50"/>
    <x v="0"/>
    <x v="0"/>
    <x v="0"/>
    <x v="119"/>
    <x v="102"/>
    <x v="0"/>
    <x v="80"/>
    <x v="0"/>
    <x v="0"/>
    <x v="0"/>
    <x v="474"/>
    <x v="488"/>
    <x v="13"/>
    <x v="152"/>
    <x v="362"/>
    <x v="506"/>
    <x v="0"/>
    <x v="0"/>
    <x v="507"/>
    <x v="0"/>
    <x v="12"/>
    <x v="0"/>
    <x v="0"/>
    <x v="0"/>
    <x v="0"/>
    <x v="0"/>
    <x v="0"/>
    <x v="0"/>
    <x v="0"/>
  </r>
  <r>
    <x v="939"/>
    <x v="0"/>
    <x v="1"/>
    <x v="0"/>
    <x v="0"/>
    <x v="0"/>
    <x v="932"/>
    <x v="785"/>
    <x v="0"/>
    <x v="0"/>
    <x v="92"/>
    <x v="93"/>
    <x v="65"/>
    <x v="0"/>
    <x v="1"/>
    <x v="0"/>
    <x v="149"/>
    <x v="132"/>
    <x v="1"/>
    <x v="388"/>
    <x v="0"/>
    <x v="0"/>
    <x v="0"/>
    <x v="475"/>
    <x v="489"/>
    <x v="1"/>
    <x v="26"/>
    <x v="363"/>
    <x v="507"/>
    <x v="0"/>
    <x v="0"/>
    <x v="508"/>
    <x v="0"/>
    <x v="327"/>
    <x v="0"/>
    <x v="0"/>
    <x v="0"/>
    <x v="0"/>
    <x v="0"/>
    <x v="0"/>
    <x v="0"/>
    <x v="0"/>
  </r>
  <r>
    <x v="940"/>
    <x v="0"/>
    <x v="1"/>
    <x v="0"/>
    <x v="0"/>
    <x v="1"/>
    <x v="933"/>
    <x v="786"/>
    <x v="0"/>
    <x v="2"/>
    <x v="1"/>
    <x v="1"/>
    <x v="49"/>
    <x v="0"/>
    <x v="0"/>
    <x v="0"/>
    <x v="120"/>
    <x v="103"/>
    <x v="0"/>
    <x v="389"/>
    <x v="0"/>
    <x v="0"/>
    <x v="0"/>
    <x v="476"/>
    <x v="490"/>
    <x v="13"/>
    <x v="46"/>
    <x v="102"/>
    <x v="508"/>
    <x v="45"/>
    <x v="0"/>
    <x v="509"/>
    <x v="0"/>
    <x v="12"/>
    <x v="0"/>
    <x v="0"/>
    <x v="0"/>
    <x v="0"/>
    <x v="0"/>
    <x v="0"/>
    <x v="0"/>
    <x v="0"/>
  </r>
  <r>
    <x v="941"/>
    <x v="0"/>
    <x v="0"/>
    <x v="0"/>
    <x v="0"/>
    <x v="0"/>
    <x v="934"/>
    <x v="787"/>
    <x v="0"/>
    <x v="0"/>
    <x v="93"/>
    <x v="94"/>
    <x v="5"/>
    <x v="0"/>
    <x v="0"/>
    <x v="0"/>
    <x v="32"/>
    <x v="27"/>
    <x v="0"/>
    <x v="46"/>
    <x v="0"/>
    <x v="0"/>
    <x v="0"/>
    <x v="475"/>
    <x v="489"/>
    <x v="1"/>
    <x v="26"/>
    <x v="363"/>
    <x v="507"/>
    <x v="0"/>
    <x v="0"/>
    <x v="508"/>
    <x v="0"/>
    <x v="327"/>
    <x v="0"/>
    <x v="0"/>
    <x v="0"/>
    <x v="0"/>
    <x v="0"/>
    <x v="0"/>
    <x v="0"/>
    <x v="0"/>
  </r>
  <r>
    <x v="942"/>
    <x v="0"/>
    <x v="1"/>
    <x v="1"/>
    <x v="0"/>
    <x v="1"/>
    <x v="935"/>
    <x v="1"/>
    <x v="0"/>
    <x v="1"/>
    <x v="1"/>
    <x v="1"/>
    <x v="37"/>
    <x v="0"/>
    <x v="0"/>
    <x v="0"/>
    <x v="88"/>
    <x v="1"/>
    <x v="0"/>
    <x v="386"/>
    <x v="0"/>
    <x v="0"/>
    <x v="0"/>
    <x v="472"/>
    <x v="486"/>
    <x v="8"/>
    <x v="22"/>
    <x v="23"/>
    <x v="504"/>
    <x v="0"/>
    <x v="0"/>
    <x v="505"/>
    <x v="0"/>
    <x v="326"/>
    <x v="0"/>
    <x v="0"/>
    <x v="0"/>
    <x v="0"/>
    <x v="0"/>
    <x v="0"/>
    <x v="0"/>
    <x v="0"/>
  </r>
  <r>
    <x v="943"/>
    <x v="0"/>
    <x v="1"/>
    <x v="0"/>
    <x v="0"/>
    <x v="0"/>
    <x v="936"/>
    <x v="788"/>
    <x v="0"/>
    <x v="0"/>
    <x v="94"/>
    <x v="95"/>
    <x v="51"/>
    <x v="0"/>
    <x v="0"/>
    <x v="0"/>
    <x v="150"/>
    <x v="133"/>
    <x v="0"/>
    <x v="390"/>
    <x v="0"/>
    <x v="0"/>
    <x v="0"/>
    <x v="364"/>
    <x v="375"/>
    <x v="0"/>
    <x v="0"/>
    <x v="0"/>
    <x v="509"/>
    <x v="0"/>
    <x v="0"/>
    <x v="510"/>
    <x v="0"/>
    <x v="328"/>
    <x v="0"/>
    <x v="0"/>
    <x v="0"/>
    <x v="43"/>
    <x v="0"/>
    <x v="0"/>
    <x v="0"/>
    <x v="0"/>
  </r>
  <r>
    <x v="944"/>
    <x v="0"/>
    <x v="1"/>
    <x v="1"/>
    <x v="0"/>
    <x v="1"/>
    <x v="937"/>
    <x v="1"/>
    <x v="0"/>
    <x v="1"/>
    <x v="1"/>
    <x v="1"/>
    <x v="37"/>
    <x v="0"/>
    <x v="0"/>
    <x v="0"/>
    <x v="88"/>
    <x v="1"/>
    <x v="0"/>
    <x v="386"/>
    <x v="0"/>
    <x v="0"/>
    <x v="0"/>
    <x v="472"/>
    <x v="486"/>
    <x v="8"/>
    <x v="22"/>
    <x v="23"/>
    <x v="504"/>
    <x v="46"/>
    <x v="0"/>
    <x v="505"/>
    <x v="0"/>
    <x v="326"/>
    <x v="0"/>
    <x v="0"/>
    <x v="0"/>
    <x v="0"/>
    <x v="0"/>
    <x v="0"/>
    <x v="0"/>
    <x v="0"/>
  </r>
  <r>
    <x v="945"/>
    <x v="0"/>
    <x v="1"/>
    <x v="1"/>
    <x v="0"/>
    <x v="1"/>
    <x v="938"/>
    <x v="1"/>
    <x v="0"/>
    <x v="1"/>
    <x v="1"/>
    <x v="1"/>
    <x v="50"/>
    <x v="0"/>
    <x v="6"/>
    <x v="0"/>
    <x v="126"/>
    <x v="1"/>
    <x v="6"/>
    <x v="391"/>
    <x v="0"/>
    <x v="0"/>
    <x v="0"/>
    <x v="36"/>
    <x v="37"/>
    <x v="15"/>
    <x v="32"/>
    <x v="36"/>
    <x v="37"/>
    <x v="0"/>
    <x v="0"/>
    <x v="37"/>
    <x v="1"/>
    <x v="32"/>
    <x v="0"/>
    <x v="0"/>
    <x v="0"/>
    <x v="0"/>
    <x v="0"/>
    <x v="0"/>
    <x v="0"/>
    <x v="0"/>
  </r>
  <r>
    <x v="946"/>
    <x v="0"/>
    <x v="1"/>
    <x v="0"/>
    <x v="0"/>
    <x v="1"/>
    <x v="939"/>
    <x v="789"/>
    <x v="0"/>
    <x v="2"/>
    <x v="1"/>
    <x v="1"/>
    <x v="66"/>
    <x v="0"/>
    <x v="5"/>
    <x v="0"/>
    <x v="151"/>
    <x v="134"/>
    <x v="5"/>
    <x v="392"/>
    <x v="0"/>
    <x v="0"/>
    <x v="0"/>
    <x v="475"/>
    <x v="489"/>
    <x v="1"/>
    <x v="26"/>
    <x v="363"/>
    <x v="507"/>
    <x v="0"/>
    <x v="0"/>
    <x v="508"/>
    <x v="0"/>
    <x v="327"/>
    <x v="0"/>
    <x v="0"/>
    <x v="0"/>
    <x v="0"/>
    <x v="0"/>
    <x v="0"/>
    <x v="0"/>
    <x v="0"/>
  </r>
  <r>
    <x v="947"/>
    <x v="0"/>
    <x v="1"/>
    <x v="0"/>
    <x v="0"/>
    <x v="0"/>
    <x v="940"/>
    <x v="790"/>
    <x v="0"/>
    <x v="0"/>
    <x v="95"/>
    <x v="96"/>
    <x v="67"/>
    <x v="0"/>
    <x v="0"/>
    <x v="0"/>
    <x v="26"/>
    <x v="21"/>
    <x v="0"/>
    <x v="393"/>
    <x v="0"/>
    <x v="0"/>
    <x v="0"/>
    <x v="475"/>
    <x v="489"/>
    <x v="1"/>
    <x v="26"/>
    <x v="363"/>
    <x v="507"/>
    <x v="0"/>
    <x v="0"/>
    <x v="508"/>
    <x v="0"/>
    <x v="327"/>
    <x v="0"/>
    <x v="0"/>
    <x v="0"/>
    <x v="0"/>
    <x v="0"/>
    <x v="0"/>
    <x v="0"/>
    <x v="0"/>
  </r>
  <r>
    <x v="948"/>
    <x v="0"/>
    <x v="1"/>
    <x v="0"/>
    <x v="0"/>
    <x v="1"/>
    <x v="941"/>
    <x v="791"/>
    <x v="0"/>
    <x v="2"/>
    <x v="1"/>
    <x v="1"/>
    <x v="50"/>
    <x v="0"/>
    <x v="0"/>
    <x v="0"/>
    <x v="119"/>
    <x v="102"/>
    <x v="0"/>
    <x v="394"/>
    <x v="0"/>
    <x v="0"/>
    <x v="0"/>
    <x v="477"/>
    <x v="491"/>
    <x v="12"/>
    <x v="100"/>
    <x v="150"/>
    <x v="510"/>
    <x v="0"/>
    <x v="0"/>
    <x v="511"/>
    <x v="0"/>
    <x v="12"/>
    <x v="0"/>
    <x v="0"/>
    <x v="0"/>
    <x v="0"/>
    <x v="0"/>
    <x v="0"/>
    <x v="0"/>
    <x v="0"/>
  </r>
  <r>
    <x v="949"/>
    <x v="0"/>
    <x v="1"/>
    <x v="0"/>
    <x v="0"/>
    <x v="1"/>
    <x v="942"/>
    <x v="792"/>
    <x v="0"/>
    <x v="2"/>
    <x v="1"/>
    <x v="1"/>
    <x v="50"/>
    <x v="0"/>
    <x v="0"/>
    <x v="0"/>
    <x v="119"/>
    <x v="102"/>
    <x v="0"/>
    <x v="395"/>
    <x v="0"/>
    <x v="0"/>
    <x v="0"/>
    <x v="478"/>
    <x v="492"/>
    <x v="0"/>
    <x v="0"/>
    <x v="0"/>
    <x v="511"/>
    <x v="0"/>
    <x v="0"/>
    <x v="512"/>
    <x v="0"/>
    <x v="12"/>
    <x v="0"/>
    <x v="0"/>
    <x v="0"/>
    <x v="0"/>
    <x v="0"/>
    <x v="0"/>
    <x v="0"/>
    <x v="0"/>
  </r>
  <r>
    <x v="950"/>
    <x v="0"/>
    <x v="0"/>
    <x v="0"/>
    <x v="0"/>
    <x v="0"/>
    <x v="943"/>
    <x v="793"/>
    <x v="0"/>
    <x v="0"/>
    <x v="96"/>
    <x v="97"/>
    <x v="0"/>
    <x v="0"/>
    <x v="0"/>
    <x v="0"/>
    <x v="0"/>
    <x v="0"/>
    <x v="0"/>
    <x v="396"/>
    <x v="0"/>
    <x v="0"/>
    <x v="0"/>
    <x v="479"/>
    <x v="493"/>
    <x v="23"/>
    <x v="75"/>
    <x v="364"/>
    <x v="512"/>
    <x v="0"/>
    <x v="0"/>
    <x v="513"/>
    <x v="0"/>
    <x v="329"/>
    <x v="0"/>
    <x v="0"/>
    <x v="0"/>
    <x v="0"/>
    <x v="0"/>
    <x v="0"/>
    <x v="0"/>
    <x v="0"/>
  </r>
  <r>
    <x v="951"/>
    <x v="0"/>
    <x v="0"/>
    <x v="0"/>
    <x v="0"/>
    <x v="0"/>
    <x v="944"/>
    <x v="794"/>
    <x v="0"/>
    <x v="0"/>
    <x v="97"/>
    <x v="98"/>
    <x v="0"/>
    <x v="0"/>
    <x v="0"/>
    <x v="0"/>
    <x v="0"/>
    <x v="0"/>
    <x v="0"/>
    <x v="397"/>
    <x v="0"/>
    <x v="0"/>
    <x v="0"/>
    <x v="480"/>
    <x v="494"/>
    <x v="7"/>
    <x v="76"/>
    <x v="365"/>
    <x v="513"/>
    <x v="0"/>
    <x v="0"/>
    <x v="514"/>
    <x v="1"/>
    <x v="330"/>
    <x v="0"/>
    <x v="0"/>
    <x v="0"/>
    <x v="0"/>
    <x v="0"/>
    <x v="0"/>
    <x v="0"/>
    <x v="0"/>
  </r>
  <r>
    <x v="952"/>
    <x v="0"/>
    <x v="1"/>
    <x v="0"/>
    <x v="0"/>
    <x v="1"/>
    <x v="945"/>
    <x v="795"/>
    <x v="0"/>
    <x v="2"/>
    <x v="1"/>
    <x v="1"/>
    <x v="49"/>
    <x v="0"/>
    <x v="0"/>
    <x v="0"/>
    <x v="120"/>
    <x v="103"/>
    <x v="0"/>
    <x v="398"/>
    <x v="0"/>
    <x v="0"/>
    <x v="0"/>
    <x v="481"/>
    <x v="495"/>
    <x v="13"/>
    <x v="143"/>
    <x v="366"/>
    <x v="514"/>
    <x v="0"/>
    <x v="0"/>
    <x v="515"/>
    <x v="0"/>
    <x v="331"/>
    <x v="0"/>
    <x v="0"/>
    <x v="0"/>
    <x v="0"/>
    <x v="0"/>
    <x v="0"/>
    <x v="0"/>
    <x v="0"/>
  </r>
  <r>
    <x v="953"/>
    <x v="0"/>
    <x v="1"/>
    <x v="0"/>
    <x v="0"/>
    <x v="0"/>
    <x v="946"/>
    <x v="796"/>
    <x v="0"/>
    <x v="0"/>
    <x v="98"/>
    <x v="99"/>
    <x v="56"/>
    <x v="0"/>
    <x v="3"/>
    <x v="0"/>
    <x v="67"/>
    <x v="56"/>
    <x v="3"/>
    <x v="399"/>
    <x v="0"/>
    <x v="0"/>
    <x v="0"/>
    <x v="482"/>
    <x v="496"/>
    <x v="2"/>
    <x v="181"/>
    <x v="367"/>
    <x v="515"/>
    <x v="0"/>
    <x v="0"/>
    <x v="516"/>
    <x v="0"/>
    <x v="332"/>
    <x v="0"/>
    <x v="0"/>
    <x v="0"/>
    <x v="43"/>
    <x v="0"/>
    <x v="0"/>
    <x v="0"/>
    <x v="0"/>
  </r>
  <r>
    <x v="954"/>
    <x v="0"/>
    <x v="1"/>
    <x v="1"/>
    <x v="0"/>
    <x v="1"/>
    <x v="947"/>
    <x v="1"/>
    <x v="0"/>
    <x v="1"/>
    <x v="1"/>
    <x v="1"/>
    <x v="37"/>
    <x v="0"/>
    <x v="0"/>
    <x v="0"/>
    <x v="88"/>
    <x v="1"/>
    <x v="0"/>
    <x v="400"/>
    <x v="0"/>
    <x v="0"/>
    <x v="0"/>
    <x v="483"/>
    <x v="497"/>
    <x v="0"/>
    <x v="12"/>
    <x v="123"/>
    <x v="516"/>
    <x v="0"/>
    <x v="0"/>
    <x v="517"/>
    <x v="0"/>
    <x v="12"/>
    <x v="0"/>
    <x v="0"/>
    <x v="0"/>
    <x v="0"/>
    <x v="0"/>
    <x v="0"/>
    <x v="0"/>
    <x v="0"/>
  </r>
  <r>
    <x v="955"/>
    <x v="0"/>
    <x v="1"/>
    <x v="0"/>
    <x v="0"/>
    <x v="1"/>
    <x v="948"/>
    <x v="797"/>
    <x v="0"/>
    <x v="2"/>
    <x v="1"/>
    <x v="1"/>
    <x v="37"/>
    <x v="0"/>
    <x v="6"/>
    <x v="0"/>
    <x v="104"/>
    <x v="135"/>
    <x v="6"/>
    <x v="400"/>
    <x v="0"/>
    <x v="0"/>
    <x v="0"/>
    <x v="484"/>
    <x v="498"/>
    <x v="18"/>
    <x v="90"/>
    <x v="368"/>
    <x v="517"/>
    <x v="0"/>
    <x v="0"/>
    <x v="518"/>
    <x v="0"/>
    <x v="12"/>
    <x v="0"/>
    <x v="0"/>
    <x v="0"/>
    <x v="0"/>
    <x v="0"/>
    <x v="0"/>
    <x v="0"/>
    <x v="0"/>
  </r>
  <r>
    <x v="956"/>
    <x v="0"/>
    <x v="0"/>
    <x v="0"/>
    <x v="0"/>
    <x v="0"/>
    <x v="949"/>
    <x v="798"/>
    <x v="0"/>
    <x v="0"/>
    <x v="99"/>
    <x v="100"/>
    <x v="5"/>
    <x v="0"/>
    <x v="0"/>
    <x v="0"/>
    <x v="32"/>
    <x v="27"/>
    <x v="0"/>
    <x v="46"/>
    <x v="0"/>
    <x v="0"/>
    <x v="0"/>
    <x v="485"/>
    <x v="499"/>
    <x v="5"/>
    <x v="41"/>
    <x v="369"/>
    <x v="518"/>
    <x v="0"/>
    <x v="0"/>
    <x v="519"/>
    <x v="0"/>
    <x v="333"/>
    <x v="0"/>
    <x v="0"/>
    <x v="0"/>
    <x v="0"/>
    <x v="0"/>
    <x v="0"/>
    <x v="0"/>
    <x v="0"/>
  </r>
  <r>
    <x v="957"/>
    <x v="0"/>
    <x v="0"/>
    <x v="0"/>
    <x v="0"/>
    <x v="0"/>
    <x v="950"/>
    <x v="799"/>
    <x v="0"/>
    <x v="0"/>
    <x v="100"/>
    <x v="101"/>
    <x v="64"/>
    <x v="0"/>
    <x v="0"/>
    <x v="0"/>
    <x v="148"/>
    <x v="131"/>
    <x v="0"/>
    <x v="401"/>
    <x v="0"/>
    <x v="0"/>
    <x v="0"/>
    <x v="486"/>
    <x v="500"/>
    <x v="18"/>
    <x v="155"/>
    <x v="272"/>
    <x v="519"/>
    <x v="47"/>
    <x v="0"/>
    <x v="520"/>
    <x v="1"/>
    <x v="334"/>
    <x v="0"/>
    <x v="0"/>
    <x v="0"/>
    <x v="0"/>
    <x v="0"/>
    <x v="0"/>
    <x v="0"/>
    <x v="0"/>
  </r>
  <r>
    <x v="958"/>
    <x v="0"/>
    <x v="1"/>
    <x v="0"/>
    <x v="0"/>
    <x v="0"/>
    <x v="951"/>
    <x v="800"/>
    <x v="0"/>
    <x v="0"/>
    <x v="101"/>
    <x v="102"/>
    <x v="68"/>
    <x v="0"/>
    <x v="0"/>
    <x v="0"/>
    <x v="152"/>
    <x v="136"/>
    <x v="0"/>
    <x v="402"/>
    <x v="0"/>
    <x v="0"/>
    <x v="0"/>
    <x v="482"/>
    <x v="496"/>
    <x v="2"/>
    <x v="181"/>
    <x v="367"/>
    <x v="515"/>
    <x v="0"/>
    <x v="0"/>
    <x v="516"/>
    <x v="0"/>
    <x v="332"/>
    <x v="0"/>
    <x v="0"/>
    <x v="0"/>
    <x v="0"/>
    <x v="0"/>
    <x v="0"/>
    <x v="0"/>
    <x v="0"/>
  </r>
  <r>
    <x v="959"/>
    <x v="0"/>
    <x v="0"/>
    <x v="0"/>
    <x v="0"/>
    <x v="0"/>
    <x v="952"/>
    <x v="801"/>
    <x v="0"/>
    <x v="0"/>
    <x v="102"/>
    <x v="103"/>
    <x v="0"/>
    <x v="0"/>
    <x v="0"/>
    <x v="0"/>
    <x v="0"/>
    <x v="0"/>
    <x v="0"/>
    <x v="403"/>
    <x v="0"/>
    <x v="0"/>
    <x v="0"/>
    <x v="487"/>
    <x v="501"/>
    <x v="7"/>
    <x v="99"/>
    <x v="370"/>
    <x v="520"/>
    <x v="0"/>
    <x v="0"/>
    <x v="521"/>
    <x v="0"/>
    <x v="335"/>
    <x v="0"/>
    <x v="0"/>
    <x v="0"/>
    <x v="0"/>
    <x v="0"/>
    <x v="0"/>
    <x v="0"/>
    <x v="0"/>
  </r>
  <r>
    <x v="960"/>
    <x v="0"/>
    <x v="1"/>
    <x v="0"/>
    <x v="0"/>
    <x v="5"/>
    <x v="953"/>
    <x v="802"/>
    <x v="0"/>
    <x v="0"/>
    <x v="103"/>
    <x v="104"/>
    <x v="20"/>
    <x v="0"/>
    <x v="0"/>
    <x v="0"/>
    <x v="46"/>
    <x v="41"/>
    <x v="0"/>
    <x v="404"/>
    <x v="0"/>
    <x v="0"/>
    <x v="0"/>
    <x v="488"/>
    <x v="502"/>
    <x v="24"/>
    <x v="79"/>
    <x v="113"/>
    <x v="521"/>
    <x v="0"/>
    <x v="0"/>
    <x v="522"/>
    <x v="0"/>
    <x v="336"/>
    <x v="0"/>
    <x v="0"/>
    <x v="0"/>
    <x v="43"/>
    <x v="0"/>
    <x v="0"/>
    <x v="0"/>
    <x v="0"/>
  </r>
  <r>
    <x v="961"/>
    <x v="0"/>
    <x v="1"/>
    <x v="0"/>
    <x v="0"/>
    <x v="1"/>
    <x v="954"/>
    <x v="803"/>
    <x v="0"/>
    <x v="2"/>
    <x v="1"/>
    <x v="1"/>
    <x v="66"/>
    <x v="0"/>
    <x v="0"/>
    <x v="0"/>
    <x v="153"/>
    <x v="137"/>
    <x v="0"/>
    <x v="405"/>
    <x v="0"/>
    <x v="0"/>
    <x v="0"/>
    <x v="489"/>
    <x v="503"/>
    <x v="18"/>
    <x v="155"/>
    <x v="371"/>
    <x v="522"/>
    <x v="0"/>
    <x v="0"/>
    <x v="523"/>
    <x v="0"/>
    <x v="12"/>
    <x v="0"/>
    <x v="0"/>
    <x v="0"/>
    <x v="0"/>
    <x v="0"/>
    <x v="0"/>
    <x v="0"/>
    <x v="0"/>
  </r>
  <r>
    <x v="962"/>
    <x v="0"/>
    <x v="1"/>
    <x v="1"/>
    <x v="0"/>
    <x v="1"/>
    <x v="955"/>
    <x v="1"/>
    <x v="0"/>
    <x v="1"/>
    <x v="1"/>
    <x v="1"/>
    <x v="31"/>
    <x v="0"/>
    <x v="0"/>
    <x v="0"/>
    <x v="72"/>
    <x v="1"/>
    <x v="0"/>
    <x v="406"/>
    <x v="0"/>
    <x v="0"/>
    <x v="0"/>
    <x v="490"/>
    <x v="504"/>
    <x v="18"/>
    <x v="163"/>
    <x v="372"/>
    <x v="523"/>
    <x v="0"/>
    <x v="0"/>
    <x v="524"/>
    <x v="0"/>
    <x v="12"/>
    <x v="0"/>
    <x v="0"/>
    <x v="0"/>
    <x v="0"/>
    <x v="0"/>
    <x v="0"/>
    <x v="0"/>
    <x v="0"/>
  </r>
  <r>
    <x v="963"/>
    <x v="0"/>
    <x v="1"/>
    <x v="0"/>
    <x v="0"/>
    <x v="1"/>
    <x v="956"/>
    <x v="804"/>
    <x v="0"/>
    <x v="2"/>
    <x v="1"/>
    <x v="1"/>
    <x v="50"/>
    <x v="0"/>
    <x v="0"/>
    <x v="0"/>
    <x v="119"/>
    <x v="102"/>
    <x v="0"/>
    <x v="407"/>
    <x v="0"/>
    <x v="0"/>
    <x v="0"/>
    <x v="410"/>
    <x v="423"/>
    <x v="17"/>
    <x v="147"/>
    <x v="323"/>
    <x v="437"/>
    <x v="0"/>
    <x v="0"/>
    <x v="436"/>
    <x v="0"/>
    <x v="12"/>
    <x v="0"/>
    <x v="0"/>
    <x v="0"/>
    <x v="44"/>
    <x v="0"/>
    <x v="0"/>
    <x v="0"/>
    <x v="0"/>
  </r>
  <r>
    <x v="964"/>
    <x v="0"/>
    <x v="1"/>
    <x v="0"/>
    <x v="0"/>
    <x v="1"/>
    <x v="957"/>
    <x v="805"/>
    <x v="0"/>
    <x v="2"/>
    <x v="1"/>
    <x v="1"/>
    <x v="31"/>
    <x v="0"/>
    <x v="11"/>
    <x v="0"/>
    <x v="154"/>
    <x v="138"/>
    <x v="11"/>
    <x v="320"/>
    <x v="0"/>
    <x v="0"/>
    <x v="0"/>
    <x v="36"/>
    <x v="37"/>
    <x v="15"/>
    <x v="32"/>
    <x v="36"/>
    <x v="37"/>
    <x v="0"/>
    <x v="0"/>
    <x v="37"/>
    <x v="1"/>
    <x v="32"/>
    <x v="0"/>
    <x v="0"/>
    <x v="0"/>
    <x v="0"/>
    <x v="0"/>
    <x v="0"/>
    <x v="0"/>
    <x v="0"/>
  </r>
  <r>
    <x v="965"/>
    <x v="0"/>
    <x v="1"/>
    <x v="0"/>
    <x v="0"/>
    <x v="1"/>
    <x v="958"/>
    <x v="806"/>
    <x v="0"/>
    <x v="2"/>
    <x v="1"/>
    <x v="1"/>
    <x v="69"/>
    <x v="0"/>
    <x v="0"/>
    <x v="0"/>
    <x v="155"/>
    <x v="139"/>
    <x v="0"/>
    <x v="408"/>
    <x v="0"/>
    <x v="0"/>
    <x v="0"/>
    <x v="491"/>
    <x v="505"/>
    <x v="10"/>
    <x v="19"/>
    <x v="236"/>
    <x v="524"/>
    <x v="48"/>
    <x v="0"/>
    <x v="525"/>
    <x v="0"/>
    <x v="12"/>
    <x v="0"/>
    <x v="0"/>
    <x v="0"/>
    <x v="45"/>
    <x v="0"/>
    <x v="0"/>
    <x v="0"/>
    <x v="0"/>
  </r>
  <r>
    <x v="966"/>
    <x v="0"/>
    <x v="1"/>
    <x v="0"/>
    <x v="0"/>
    <x v="1"/>
    <x v="959"/>
    <x v="807"/>
    <x v="0"/>
    <x v="2"/>
    <x v="1"/>
    <x v="1"/>
    <x v="34"/>
    <x v="0"/>
    <x v="0"/>
    <x v="0"/>
    <x v="78"/>
    <x v="66"/>
    <x v="0"/>
    <x v="293"/>
    <x v="0"/>
    <x v="0"/>
    <x v="0"/>
    <x v="36"/>
    <x v="37"/>
    <x v="15"/>
    <x v="32"/>
    <x v="36"/>
    <x v="37"/>
    <x v="0"/>
    <x v="0"/>
    <x v="37"/>
    <x v="1"/>
    <x v="32"/>
    <x v="0"/>
    <x v="0"/>
    <x v="0"/>
    <x v="0"/>
    <x v="0"/>
    <x v="0"/>
    <x v="0"/>
    <x v="0"/>
  </r>
  <r>
    <x v="967"/>
    <x v="0"/>
    <x v="1"/>
    <x v="1"/>
    <x v="0"/>
    <x v="1"/>
    <x v="960"/>
    <x v="1"/>
    <x v="0"/>
    <x v="1"/>
    <x v="1"/>
    <x v="1"/>
    <x v="50"/>
    <x v="0"/>
    <x v="0"/>
    <x v="0"/>
    <x v="119"/>
    <x v="1"/>
    <x v="0"/>
    <x v="407"/>
    <x v="0"/>
    <x v="0"/>
    <x v="0"/>
    <x v="410"/>
    <x v="423"/>
    <x v="17"/>
    <x v="147"/>
    <x v="323"/>
    <x v="437"/>
    <x v="0"/>
    <x v="0"/>
    <x v="436"/>
    <x v="0"/>
    <x v="12"/>
    <x v="0"/>
    <x v="0"/>
    <x v="0"/>
    <x v="0"/>
    <x v="0"/>
    <x v="0"/>
    <x v="0"/>
    <x v="0"/>
  </r>
  <r>
    <x v="968"/>
    <x v="0"/>
    <x v="1"/>
    <x v="0"/>
    <x v="0"/>
    <x v="4"/>
    <x v="961"/>
    <x v="808"/>
    <x v="0"/>
    <x v="2"/>
    <x v="1"/>
    <x v="1"/>
    <x v="70"/>
    <x v="0"/>
    <x v="3"/>
    <x v="0"/>
    <x v="156"/>
    <x v="140"/>
    <x v="3"/>
    <x v="409"/>
    <x v="0"/>
    <x v="0"/>
    <x v="0"/>
    <x v="492"/>
    <x v="506"/>
    <x v="18"/>
    <x v="155"/>
    <x v="373"/>
    <x v="525"/>
    <x v="49"/>
    <x v="0"/>
    <x v="526"/>
    <x v="1"/>
    <x v="337"/>
    <x v="0"/>
    <x v="0"/>
    <x v="0"/>
    <x v="0"/>
    <x v="0"/>
    <x v="0"/>
    <x v="0"/>
    <x v="0"/>
  </r>
  <r>
    <x v="969"/>
    <x v="0"/>
    <x v="1"/>
    <x v="0"/>
    <x v="0"/>
    <x v="1"/>
    <x v="962"/>
    <x v="809"/>
    <x v="0"/>
    <x v="2"/>
    <x v="1"/>
    <x v="1"/>
    <x v="69"/>
    <x v="0"/>
    <x v="0"/>
    <x v="0"/>
    <x v="155"/>
    <x v="139"/>
    <x v="0"/>
    <x v="410"/>
    <x v="0"/>
    <x v="0"/>
    <x v="0"/>
    <x v="77"/>
    <x v="507"/>
    <x v="10"/>
    <x v="19"/>
    <x v="236"/>
    <x v="526"/>
    <x v="50"/>
    <x v="0"/>
    <x v="527"/>
    <x v="0"/>
    <x v="12"/>
    <x v="0"/>
    <x v="0"/>
    <x v="0"/>
    <x v="0"/>
    <x v="0"/>
    <x v="0"/>
    <x v="0"/>
    <x v="0"/>
  </r>
  <r>
    <x v="970"/>
    <x v="0"/>
    <x v="1"/>
    <x v="0"/>
    <x v="0"/>
    <x v="1"/>
    <x v="963"/>
    <x v="810"/>
    <x v="0"/>
    <x v="2"/>
    <x v="1"/>
    <x v="1"/>
    <x v="69"/>
    <x v="0"/>
    <x v="0"/>
    <x v="0"/>
    <x v="155"/>
    <x v="139"/>
    <x v="0"/>
    <x v="409"/>
    <x v="0"/>
    <x v="0"/>
    <x v="0"/>
    <x v="493"/>
    <x v="508"/>
    <x v="23"/>
    <x v="75"/>
    <x v="374"/>
    <x v="527"/>
    <x v="51"/>
    <x v="0"/>
    <x v="528"/>
    <x v="0"/>
    <x v="338"/>
    <x v="0"/>
    <x v="0"/>
    <x v="0"/>
    <x v="0"/>
    <x v="0"/>
    <x v="0"/>
    <x v="0"/>
    <x v="0"/>
  </r>
  <r>
    <x v="971"/>
    <x v="0"/>
    <x v="0"/>
    <x v="0"/>
    <x v="0"/>
    <x v="0"/>
    <x v="964"/>
    <x v="811"/>
    <x v="0"/>
    <x v="0"/>
    <x v="104"/>
    <x v="105"/>
    <x v="0"/>
    <x v="0"/>
    <x v="0"/>
    <x v="0"/>
    <x v="0"/>
    <x v="0"/>
    <x v="0"/>
    <x v="396"/>
    <x v="0"/>
    <x v="0"/>
    <x v="0"/>
    <x v="494"/>
    <x v="509"/>
    <x v="11"/>
    <x v="182"/>
    <x v="375"/>
    <x v="528"/>
    <x v="0"/>
    <x v="0"/>
    <x v="529"/>
    <x v="0"/>
    <x v="339"/>
    <x v="0"/>
    <x v="0"/>
    <x v="0"/>
    <x v="0"/>
    <x v="0"/>
    <x v="0"/>
    <x v="0"/>
    <x v="0"/>
  </r>
  <r>
    <x v="972"/>
    <x v="0"/>
    <x v="0"/>
    <x v="0"/>
    <x v="0"/>
    <x v="0"/>
    <x v="965"/>
    <x v="812"/>
    <x v="0"/>
    <x v="0"/>
    <x v="105"/>
    <x v="106"/>
    <x v="0"/>
    <x v="0"/>
    <x v="0"/>
    <x v="0"/>
    <x v="0"/>
    <x v="0"/>
    <x v="0"/>
    <x v="411"/>
    <x v="0"/>
    <x v="0"/>
    <x v="0"/>
    <x v="495"/>
    <x v="510"/>
    <x v="0"/>
    <x v="50"/>
    <x v="135"/>
    <x v="529"/>
    <x v="0"/>
    <x v="0"/>
    <x v="530"/>
    <x v="0"/>
    <x v="340"/>
    <x v="0"/>
    <x v="0"/>
    <x v="0"/>
    <x v="0"/>
    <x v="0"/>
    <x v="0"/>
    <x v="0"/>
    <x v="0"/>
  </r>
  <r>
    <x v="973"/>
    <x v="0"/>
    <x v="1"/>
    <x v="2"/>
    <x v="0"/>
    <x v="1"/>
    <x v="966"/>
    <x v="813"/>
    <x v="0"/>
    <x v="2"/>
    <x v="1"/>
    <x v="1"/>
    <x v="50"/>
    <x v="0"/>
    <x v="5"/>
    <x v="0"/>
    <x v="129"/>
    <x v="113"/>
    <x v="5"/>
    <x v="412"/>
    <x v="0"/>
    <x v="0"/>
    <x v="0"/>
    <x v="484"/>
    <x v="498"/>
    <x v="18"/>
    <x v="90"/>
    <x v="368"/>
    <x v="517"/>
    <x v="0"/>
    <x v="0"/>
    <x v="518"/>
    <x v="0"/>
    <x v="12"/>
    <x v="0"/>
    <x v="2"/>
    <x v="19"/>
    <x v="0"/>
    <x v="0"/>
    <x v="0"/>
    <x v="0"/>
    <x v="0"/>
  </r>
  <r>
    <x v="974"/>
    <x v="0"/>
    <x v="1"/>
    <x v="1"/>
    <x v="0"/>
    <x v="1"/>
    <x v="967"/>
    <x v="1"/>
    <x v="0"/>
    <x v="1"/>
    <x v="1"/>
    <x v="1"/>
    <x v="50"/>
    <x v="0"/>
    <x v="0"/>
    <x v="0"/>
    <x v="119"/>
    <x v="1"/>
    <x v="0"/>
    <x v="407"/>
    <x v="0"/>
    <x v="0"/>
    <x v="0"/>
    <x v="410"/>
    <x v="423"/>
    <x v="17"/>
    <x v="147"/>
    <x v="323"/>
    <x v="437"/>
    <x v="0"/>
    <x v="0"/>
    <x v="436"/>
    <x v="0"/>
    <x v="12"/>
    <x v="0"/>
    <x v="0"/>
    <x v="0"/>
    <x v="0"/>
    <x v="0"/>
    <x v="0"/>
    <x v="0"/>
    <x v="0"/>
  </r>
  <r>
    <x v="975"/>
    <x v="0"/>
    <x v="1"/>
    <x v="1"/>
    <x v="0"/>
    <x v="1"/>
    <x v="968"/>
    <x v="1"/>
    <x v="0"/>
    <x v="1"/>
    <x v="1"/>
    <x v="1"/>
    <x v="50"/>
    <x v="0"/>
    <x v="0"/>
    <x v="0"/>
    <x v="119"/>
    <x v="1"/>
    <x v="0"/>
    <x v="413"/>
    <x v="0"/>
    <x v="0"/>
    <x v="0"/>
    <x v="496"/>
    <x v="511"/>
    <x v="16"/>
    <x v="183"/>
    <x v="376"/>
    <x v="530"/>
    <x v="0"/>
    <x v="0"/>
    <x v="531"/>
    <x v="0"/>
    <x v="12"/>
    <x v="0"/>
    <x v="0"/>
    <x v="0"/>
    <x v="0"/>
    <x v="0"/>
    <x v="0"/>
    <x v="0"/>
    <x v="0"/>
  </r>
  <r>
    <x v="976"/>
    <x v="0"/>
    <x v="1"/>
    <x v="0"/>
    <x v="0"/>
    <x v="5"/>
    <x v="969"/>
    <x v="814"/>
    <x v="0"/>
    <x v="0"/>
    <x v="106"/>
    <x v="107"/>
    <x v="56"/>
    <x v="0"/>
    <x v="0"/>
    <x v="0"/>
    <x v="114"/>
    <x v="121"/>
    <x v="0"/>
    <x v="414"/>
    <x v="0"/>
    <x v="0"/>
    <x v="0"/>
    <x v="497"/>
    <x v="512"/>
    <x v="13"/>
    <x v="53"/>
    <x v="377"/>
    <x v="531"/>
    <x v="0"/>
    <x v="0"/>
    <x v="532"/>
    <x v="0"/>
    <x v="341"/>
    <x v="0"/>
    <x v="0"/>
    <x v="0"/>
    <x v="0"/>
    <x v="0"/>
    <x v="0"/>
    <x v="0"/>
    <x v="0"/>
  </r>
  <r>
    <x v="977"/>
    <x v="0"/>
    <x v="0"/>
    <x v="0"/>
    <x v="0"/>
    <x v="0"/>
    <x v="970"/>
    <x v="815"/>
    <x v="0"/>
    <x v="0"/>
    <x v="107"/>
    <x v="108"/>
    <x v="5"/>
    <x v="0"/>
    <x v="0"/>
    <x v="0"/>
    <x v="32"/>
    <x v="27"/>
    <x v="0"/>
    <x v="46"/>
    <x v="0"/>
    <x v="0"/>
    <x v="0"/>
    <x v="498"/>
    <x v="513"/>
    <x v="19"/>
    <x v="184"/>
    <x v="378"/>
    <x v="532"/>
    <x v="0"/>
    <x v="0"/>
    <x v="533"/>
    <x v="1"/>
    <x v="342"/>
    <x v="0"/>
    <x v="0"/>
    <x v="0"/>
    <x v="0"/>
    <x v="0"/>
    <x v="0"/>
    <x v="0"/>
    <x v="0"/>
  </r>
  <r>
    <x v="978"/>
    <x v="0"/>
    <x v="1"/>
    <x v="1"/>
    <x v="0"/>
    <x v="1"/>
    <x v="971"/>
    <x v="1"/>
    <x v="0"/>
    <x v="1"/>
    <x v="1"/>
    <x v="1"/>
    <x v="50"/>
    <x v="0"/>
    <x v="0"/>
    <x v="0"/>
    <x v="119"/>
    <x v="1"/>
    <x v="0"/>
    <x v="415"/>
    <x v="0"/>
    <x v="0"/>
    <x v="0"/>
    <x v="410"/>
    <x v="423"/>
    <x v="17"/>
    <x v="147"/>
    <x v="323"/>
    <x v="437"/>
    <x v="0"/>
    <x v="0"/>
    <x v="436"/>
    <x v="0"/>
    <x v="12"/>
    <x v="0"/>
    <x v="0"/>
    <x v="0"/>
    <x v="0"/>
    <x v="0"/>
    <x v="0"/>
    <x v="0"/>
    <x v="0"/>
  </r>
  <r>
    <x v="979"/>
    <x v="0"/>
    <x v="1"/>
    <x v="1"/>
    <x v="0"/>
    <x v="1"/>
    <x v="972"/>
    <x v="1"/>
    <x v="0"/>
    <x v="1"/>
    <x v="1"/>
    <x v="1"/>
    <x v="49"/>
    <x v="0"/>
    <x v="3"/>
    <x v="0"/>
    <x v="121"/>
    <x v="1"/>
    <x v="3"/>
    <x v="416"/>
    <x v="0"/>
    <x v="0"/>
    <x v="0"/>
    <x v="36"/>
    <x v="37"/>
    <x v="15"/>
    <x v="32"/>
    <x v="36"/>
    <x v="37"/>
    <x v="0"/>
    <x v="0"/>
    <x v="37"/>
    <x v="1"/>
    <x v="32"/>
    <x v="0"/>
    <x v="0"/>
    <x v="0"/>
    <x v="0"/>
    <x v="0"/>
    <x v="0"/>
    <x v="0"/>
    <x v="0"/>
  </r>
  <r>
    <x v="980"/>
    <x v="0"/>
    <x v="0"/>
    <x v="0"/>
    <x v="0"/>
    <x v="0"/>
    <x v="973"/>
    <x v="816"/>
    <x v="0"/>
    <x v="0"/>
    <x v="108"/>
    <x v="109"/>
    <x v="5"/>
    <x v="0"/>
    <x v="0"/>
    <x v="0"/>
    <x v="32"/>
    <x v="27"/>
    <x v="0"/>
    <x v="46"/>
    <x v="0"/>
    <x v="0"/>
    <x v="0"/>
    <x v="499"/>
    <x v="514"/>
    <x v="9"/>
    <x v="85"/>
    <x v="125"/>
    <x v="533"/>
    <x v="0"/>
    <x v="0"/>
    <x v="534"/>
    <x v="0"/>
    <x v="343"/>
    <x v="0"/>
    <x v="0"/>
    <x v="0"/>
    <x v="0"/>
    <x v="0"/>
    <x v="0"/>
    <x v="0"/>
    <x v="0"/>
  </r>
  <r>
    <x v="981"/>
    <x v="0"/>
    <x v="1"/>
    <x v="0"/>
    <x v="0"/>
    <x v="0"/>
    <x v="974"/>
    <x v="817"/>
    <x v="0"/>
    <x v="0"/>
    <x v="109"/>
    <x v="110"/>
    <x v="2"/>
    <x v="0"/>
    <x v="0"/>
    <x v="0"/>
    <x v="5"/>
    <x v="3"/>
    <x v="0"/>
    <x v="417"/>
    <x v="0"/>
    <x v="0"/>
    <x v="0"/>
    <x v="500"/>
    <x v="515"/>
    <x v="5"/>
    <x v="179"/>
    <x v="379"/>
    <x v="534"/>
    <x v="0"/>
    <x v="0"/>
    <x v="535"/>
    <x v="0"/>
    <x v="344"/>
    <x v="0"/>
    <x v="0"/>
    <x v="0"/>
    <x v="0"/>
    <x v="0"/>
    <x v="0"/>
    <x v="0"/>
    <x v="0"/>
  </r>
  <r>
    <x v="982"/>
    <x v="0"/>
    <x v="1"/>
    <x v="1"/>
    <x v="0"/>
    <x v="1"/>
    <x v="975"/>
    <x v="1"/>
    <x v="0"/>
    <x v="1"/>
    <x v="1"/>
    <x v="1"/>
    <x v="66"/>
    <x v="0"/>
    <x v="0"/>
    <x v="0"/>
    <x v="153"/>
    <x v="1"/>
    <x v="0"/>
    <x v="418"/>
    <x v="0"/>
    <x v="0"/>
    <x v="0"/>
    <x v="315"/>
    <x v="324"/>
    <x v="7"/>
    <x v="36"/>
    <x v="43"/>
    <x v="333"/>
    <x v="52"/>
    <x v="0"/>
    <x v="472"/>
    <x v="0"/>
    <x v="345"/>
    <x v="0"/>
    <x v="0"/>
    <x v="0"/>
    <x v="0"/>
    <x v="0"/>
    <x v="0"/>
    <x v="0"/>
    <x v="0"/>
  </r>
  <r>
    <x v="983"/>
    <x v="0"/>
    <x v="1"/>
    <x v="0"/>
    <x v="0"/>
    <x v="1"/>
    <x v="976"/>
    <x v="818"/>
    <x v="0"/>
    <x v="2"/>
    <x v="1"/>
    <x v="1"/>
    <x v="12"/>
    <x v="0"/>
    <x v="4"/>
    <x v="0"/>
    <x v="22"/>
    <x v="17"/>
    <x v="4"/>
    <x v="419"/>
    <x v="0"/>
    <x v="0"/>
    <x v="0"/>
    <x v="501"/>
    <x v="516"/>
    <x v="3"/>
    <x v="119"/>
    <x v="380"/>
    <x v="535"/>
    <x v="0"/>
    <x v="0"/>
    <x v="536"/>
    <x v="1"/>
    <x v="346"/>
    <x v="0"/>
    <x v="0"/>
    <x v="0"/>
    <x v="0"/>
    <x v="0"/>
    <x v="0"/>
    <x v="0"/>
    <x v="0"/>
  </r>
  <r>
    <x v="984"/>
    <x v="0"/>
    <x v="1"/>
    <x v="2"/>
    <x v="0"/>
    <x v="1"/>
    <x v="977"/>
    <x v="819"/>
    <x v="0"/>
    <x v="2"/>
    <x v="1"/>
    <x v="1"/>
    <x v="12"/>
    <x v="0"/>
    <x v="0"/>
    <x v="0"/>
    <x v="24"/>
    <x v="19"/>
    <x v="0"/>
    <x v="420"/>
    <x v="0"/>
    <x v="0"/>
    <x v="0"/>
    <x v="484"/>
    <x v="498"/>
    <x v="18"/>
    <x v="90"/>
    <x v="368"/>
    <x v="517"/>
    <x v="0"/>
    <x v="0"/>
    <x v="518"/>
    <x v="0"/>
    <x v="12"/>
    <x v="0"/>
    <x v="2"/>
    <x v="20"/>
    <x v="0"/>
    <x v="0"/>
    <x v="0"/>
    <x v="0"/>
    <x v="0"/>
  </r>
  <r>
    <x v="985"/>
    <x v="0"/>
    <x v="1"/>
    <x v="0"/>
    <x v="0"/>
    <x v="1"/>
    <x v="978"/>
    <x v="820"/>
    <x v="0"/>
    <x v="2"/>
    <x v="1"/>
    <x v="1"/>
    <x v="12"/>
    <x v="0"/>
    <x v="0"/>
    <x v="0"/>
    <x v="24"/>
    <x v="19"/>
    <x v="0"/>
    <x v="421"/>
    <x v="0"/>
    <x v="0"/>
    <x v="0"/>
    <x v="502"/>
    <x v="517"/>
    <x v="13"/>
    <x v="95"/>
    <x v="381"/>
    <x v="536"/>
    <x v="0"/>
    <x v="0"/>
    <x v="537"/>
    <x v="0"/>
    <x v="12"/>
    <x v="0"/>
    <x v="0"/>
    <x v="0"/>
    <x v="0"/>
    <x v="0"/>
    <x v="0"/>
    <x v="0"/>
    <x v="0"/>
  </r>
  <r>
    <x v="986"/>
    <x v="0"/>
    <x v="1"/>
    <x v="0"/>
    <x v="0"/>
    <x v="1"/>
    <x v="979"/>
    <x v="821"/>
    <x v="0"/>
    <x v="2"/>
    <x v="1"/>
    <x v="1"/>
    <x v="66"/>
    <x v="0"/>
    <x v="0"/>
    <x v="0"/>
    <x v="153"/>
    <x v="137"/>
    <x v="0"/>
    <x v="422"/>
    <x v="0"/>
    <x v="0"/>
    <x v="0"/>
    <x v="503"/>
    <x v="518"/>
    <x v="0"/>
    <x v="185"/>
    <x v="382"/>
    <x v="537"/>
    <x v="0"/>
    <x v="0"/>
    <x v="538"/>
    <x v="0"/>
    <x v="12"/>
    <x v="0"/>
    <x v="0"/>
    <x v="0"/>
    <x v="0"/>
    <x v="0"/>
    <x v="0"/>
    <x v="0"/>
    <x v="0"/>
  </r>
  <r>
    <x v="987"/>
    <x v="0"/>
    <x v="0"/>
    <x v="0"/>
    <x v="0"/>
    <x v="0"/>
    <x v="980"/>
    <x v="822"/>
    <x v="0"/>
    <x v="0"/>
    <x v="110"/>
    <x v="111"/>
    <x v="71"/>
    <x v="0"/>
    <x v="0"/>
    <x v="0"/>
    <x v="157"/>
    <x v="141"/>
    <x v="0"/>
    <x v="423"/>
    <x v="2"/>
    <x v="0"/>
    <x v="0"/>
    <x v="504"/>
    <x v="519"/>
    <x v="0"/>
    <x v="0"/>
    <x v="0"/>
    <x v="538"/>
    <x v="0"/>
    <x v="0"/>
    <x v="539"/>
    <x v="0"/>
    <x v="347"/>
    <x v="0"/>
    <x v="0"/>
    <x v="0"/>
    <x v="0"/>
    <x v="0"/>
    <x v="0"/>
    <x v="0"/>
    <x v="0"/>
  </r>
  <r>
    <x v="988"/>
    <x v="0"/>
    <x v="1"/>
    <x v="0"/>
    <x v="0"/>
    <x v="0"/>
    <x v="981"/>
    <x v="823"/>
    <x v="0"/>
    <x v="0"/>
    <x v="111"/>
    <x v="112"/>
    <x v="72"/>
    <x v="0"/>
    <x v="0"/>
    <x v="0"/>
    <x v="158"/>
    <x v="142"/>
    <x v="0"/>
    <x v="424"/>
    <x v="0"/>
    <x v="0"/>
    <x v="0"/>
    <x v="505"/>
    <x v="520"/>
    <x v="13"/>
    <x v="152"/>
    <x v="383"/>
    <x v="539"/>
    <x v="0"/>
    <x v="0"/>
    <x v="540"/>
    <x v="0"/>
    <x v="348"/>
    <x v="0"/>
    <x v="0"/>
    <x v="0"/>
    <x v="0"/>
    <x v="0"/>
    <x v="0"/>
    <x v="0"/>
    <x v="0"/>
  </r>
  <r>
    <x v="989"/>
    <x v="0"/>
    <x v="1"/>
    <x v="0"/>
    <x v="0"/>
    <x v="1"/>
    <x v="982"/>
    <x v="824"/>
    <x v="0"/>
    <x v="2"/>
    <x v="1"/>
    <x v="1"/>
    <x v="66"/>
    <x v="0"/>
    <x v="10"/>
    <x v="0"/>
    <x v="72"/>
    <x v="62"/>
    <x v="10"/>
    <x v="425"/>
    <x v="0"/>
    <x v="0"/>
    <x v="0"/>
    <x v="506"/>
    <x v="521"/>
    <x v="23"/>
    <x v="186"/>
    <x v="384"/>
    <x v="540"/>
    <x v="0"/>
    <x v="0"/>
    <x v="541"/>
    <x v="1"/>
    <x v="349"/>
    <x v="0"/>
    <x v="1"/>
    <x v="0"/>
    <x v="46"/>
    <x v="0"/>
    <x v="0"/>
    <x v="0"/>
    <x v="0"/>
  </r>
  <r>
    <x v="990"/>
    <x v="0"/>
    <x v="1"/>
    <x v="0"/>
    <x v="0"/>
    <x v="1"/>
    <x v="983"/>
    <x v="825"/>
    <x v="0"/>
    <x v="2"/>
    <x v="1"/>
    <x v="1"/>
    <x v="66"/>
    <x v="0"/>
    <x v="0"/>
    <x v="0"/>
    <x v="153"/>
    <x v="137"/>
    <x v="0"/>
    <x v="418"/>
    <x v="0"/>
    <x v="0"/>
    <x v="0"/>
    <x v="324"/>
    <x v="332"/>
    <x v="8"/>
    <x v="157"/>
    <x v="269"/>
    <x v="343"/>
    <x v="0"/>
    <x v="0"/>
    <x v="339"/>
    <x v="0"/>
    <x v="12"/>
    <x v="0"/>
    <x v="0"/>
    <x v="0"/>
    <x v="0"/>
    <x v="0"/>
    <x v="0"/>
    <x v="0"/>
    <x v="0"/>
  </r>
  <r>
    <x v="991"/>
    <x v="0"/>
    <x v="1"/>
    <x v="0"/>
    <x v="0"/>
    <x v="0"/>
    <x v="984"/>
    <x v="826"/>
    <x v="0"/>
    <x v="0"/>
    <x v="112"/>
    <x v="113"/>
    <x v="73"/>
    <x v="0"/>
    <x v="0"/>
    <x v="0"/>
    <x v="29"/>
    <x v="24"/>
    <x v="0"/>
    <x v="426"/>
    <x v="0"/>
    <x v="0"/>
    <x v="0"/>
    <x v="245"/>
    <x v="522"/>
    <x v="5"/>
    <x v="96"/>
    <x v="385"/>
    <x v="541"/>
    <x v="0"/>
    <x v="0"/>
    <x v="542"/>
    <x v="1"/>
    <x v="350"/>
    <x v="0"/>
    <x v="0"/>
    <x v="0"/>
    <x v="0"/>
    <x v="0"/>
    <x v="0"/>
    <x v="0"/>
    <x v="0"/>
  </r>
  <r>
    <x v="992"/>
    <x v="0"/>
    <x v="0"/>
    <x v="0"/>
    <x v="0"/>
    <x v="0"/>
    <x v="985"/>
    <x v="827"/>
    <x v="0"/>
    <x v="0"/>
    <x v="113"/>
    <x v="114"/>
    <x v="64"/>
    <x v="0"/>
    <x v="0"/>
    <x v="0"/>
    <x v="148"/>
    <x v="131"/>
    <x v="0"/>
    <x v="427"/>
    <x v="0"/>
    <x v="0"/>
    <x v="0"/>
    <x v="507"/>
    <x v="523"/>
    <x v="0"/>
    <x v="7"/>
    <x v="300"/>
    <x v="542"/>
    <x v="0"/>
    <x v="0"/>
    <x v="543"/>
    <x v="0"/>
    <x v="351"/>
    <x v="0"/>
    <x v="0"/>
    <x v="0"/>
    <x v="0"/>
    <x v="0"/>
    <x v="0"/>
    <x v="0"/>
    <x v="0"/>
  </r>
  <r>
    <x v="993"/>
    <x v="0"/>
    <x v="0"/>
    <x v="0"/>
    <x v="0"/>
    <x v="0"/>
    <x v="986"/>
    <x v="828"/>
    <x v="0"/>
    <x v="0"/>
    <x v="114"/>
    <x v="115"/>
    <x v="5"/>
    <x v="0"/>
    <x v="0"/>
    <x v="0"/>
    <x v="32"/>
    <x v="27"/>
    <x v="0"/>
    <x v="46"/>
    <x v="0"/>
    <x v="0"/>
    <x v="0"/>
    <x v="508"/>
    <x v="524"/>
    <x v="0"/>
    <x v="0"/>
    <x v="93"/>
    <x v="543"/>
    <x v="0"/>
    <x v="0"/>
    <x v="544"/>
    <x v="0"/>
    <x v="352"/>
    <x v="0"/>
    <x v="0"/>
    <x v="0"/>
    <x v="0"/>
    <x v="0"/>
    <x v="0"/>
    <x v="0"/>
    <x v="0"/>
  </r>
  <r>
    <x v="994"/>
    <x v="0"/>
    <x v="0"/>
    <x v="0"/>
    <x v="0"/>
    <x v="0"/>
    <x v="987"/>
    <x v="829"/>
    <x v="0"/>
    <x v="0"/>
    <x v="115"/>
    <x v="116"/>
    <x v="0"/>
    <x v="0"/>
    <x v="0"/>
    <x v="0"/>
    <x v="0"/>
    <x v="0"/>
    <x v="0"/>
    <x v="403"/>
    <x v="0"/>
    <x v="0"/>
    <x v="0"/>
    <x v="115"/>
    <x v="117"/>
    <x v="13"/>
    <x v="53"/>
    <x v="103"/>
    <x v="119"/>
    <x v="0"/>
    <x v="0"/>
    <x v="119"/>
    <x v="1"/>
    <x v="92"/>
    <x v="0"/>
    <x v="0"/>
    <x v="0"/>
    <x v="0"/>
    <x v="0"/>
    <x v="0"/>
    <x v="0"/>
    <x v="0"/>
  </r>
  <r>
    <x v="995"/>
    <x v="0"/>
    <x v="0"/>
    <x v="0"/>
    <x v="0"/>
    <x v="0"/>
    <x v="988"/>
    <x v="830"/>
    <x v="0"/>
    <x v="0"/>
    <x v="116"/>
    <x v="117"/>
    <x v="0"/>
    <x v="0"/>
    <x v="0"/>
    <x v="0"/>
    <x v="0"/>
    <x v="0"/>
    <x v="0"/>
    <x v="403"/>
    <x v="0"/>
    <x v="0"/>
    <x v="0"/>
    <x v="509"/>
    <x v="525"/>
    <x v="5"/>
    <x v="187"/>
    <x v="386"/>
    <x v="544"/>
    <x v="0"/>
    <x v="0"/>
    <x v="545"/>
    <x v="0"/>
    <x v="353"/>
    <x v="0"/>
    <x v="0"/>
    <x v="0"/>
    <x v="0"/>
    <x v="0"/>
    <x v="0"/>
    <x v="0"/>
    <x v="0"/>
  </r>
  <r>
    <x v="996"/>
    <x v="0"/>
    <x v="1"/>
    <x v="0"/>
    <x v="0"/>
    <x v="1"/>
    <x v="989"/>
    <x v="831"/>
    <x v="0"/>
    <x v="2"/>
    <x v="1"/>
    <x v="1"/>
    <x v="69"/>
    <x v="0"/>
    <x v="9"/>
    <x v="0"/>
    <x v="159"/>
    <x v="143"/>
    <x v="9"/>
    <x v="428"/>
    <x v="0"/>
    <x v="0"/>
    <x v="0"/>
    <x v="129"/>
    <x v="131"/>
    <x v="0"/>
    <x v="24"/>
    <x v="116"/>
    <x v="134"/>
    <x v="53"/>
    <x v="0"/>
    <x v="471"/>
    <x v="0"/>
    <x v="354"/>
    <x v="0"/>
    <x v="0"/>
    <x v="0"/>
    <x v="0"/>
    <x v="0"/>
    <x v="0"/>
    <x v="0"/>
    <x v="0"/>
  </r>
  <r>
    <x v="997"/>
    <x v="0"/>
    <x v="1"/>
    <x v="0"/>
    <x v="0"/>
    <x v="1"/>
    <x v="990"/>
    <x v="832"/>
    <x v="0"/>
    <x v="2"/>
    <x v="1"/>
    <x v="1"/>
    <x v="74"/>
    <x v="0"/>
    <x v="6"/>
    <x v="0"/>
    <x v="160"/>
    <x v="144"/>
    <x v="6"/>
    <x v="429"/>
    <x v="0"/>
    <x v="0"/>
    <x v="0"/>
    <x v="245"/>
    <x v="522"/>
    <x v="5"/>
    <x v="96"/>
    <x v="385"/>
    <x v="541"/>
    <x v="54"/>
    <x v="0"/>
    <x v="542"/>
    <x v="1"/>
    <x v="350"/>
    <x v="0"/>
    <x v="0"/>
    <x v="0"/>
    <x v="0"/>
    <x v="0"/>
    <x v="0"/>
    <x v="0"/>
    <x v="0"/>
  </r>
  <r>
    <x v="998"/>
    <x v="0"/>
    <x v="0"/>
    <x v="0"/>
    <x v="0"/>
    <x v="0"/>
    <x v="991"/>
    <x v="833"/>
    <x v="0"/>
    <x v="0"/>
    <x v="117"/>
    <x v="118"/>
    <x v="0"/>
    <x v="1"/>
    <x v="0"/>
    <x v="0"/>
    <x v="32"/>
    <x v="27"/>
    <x v="0"/>
    <x v="430"/>
    <x v="0"/>
    <x v="0"/>
    <x v="0"/>
    <x v="510"/>
    <x v="526"/>
    <x v="4"/>
    <x v="17"/>
    <x v="18"/>
    <x v="545"/>
    <x v="0"/>
    <x v="0"/>
    <x v="546"/>
    <x v="0"/>
    <x v="355"/>
    <x v="0"/>
    <x v="0"/>
    <x v="0"/>
    <x v="0"/>
    <x v="0"/>
    <x v="0"/>
    <x v="0"/>
    <x v="0"/>
  </r>
  <r>
    <x v="999"/>
    <x v="0"/>
    <x v="1"/>
    <x v="0"/>
    <x v="0"/>
    <x v="1"/>
    <x v="992"/>
    <x v="834"/>
    <x v="0"/>
    <x v="2"/>
    <x v="1"/>
    <x v="1"/>
    <x v="70"/>
    <x v="0"/>
    <x v="0"/>
    <x v="0"/>
    <x v="161"/>
    <x v="145"/>
    <x v="0"/>
    <x v="428"/>
    <x v="0"/>
    <x v="0"/>
    <x v="0"/>
    <x v="511"/>
    <x v="527"/>
    <x v="14"/>
    <x v="78"/>
    <x v="387"/>
    <x v="546"/>
    <x v="0"/>
    <x v="0"/>
    <x v="547"/>
    <x v="1"/>
    <x v="356"/>
    <x v="0"/>
    <x v="0"/>
    <x v="0"/>
    <x v="47"/>
    <x v="0"/>
    <x v="0"/>
    <x v="0"/>
    <x v="0"/>
  </r>
  <r>
    <x v="1000"/>
    <x v="0"/>
    <x v="1"/>
    <x v="1"/>
    <x v="0"/>
    <x v="1"/>
    <x v="993"/>
    <x v="1"/>
    <x v="0"/>
    <x v="1"/>
    <x v="1"/>
    <x v="1"/>
    <x v="10"/>
    <x v="0"/>
    <x v="4"/>
    <x v="0"/>
    <x v="18"/>
    <x v="1"/>
    <x v="4"/>
    <x v="431"/>
    <x v="0"/>
    <x v="0"/>
    <x v="0"/>
    <x v="512"/>
    <x v="528"/>
    <x v="7"/>
    <x v="188"/>
    <x v="388"/>
    <x v="547"/>
    <x v="0"/>
    <x v="0"/>
    <x v="548"/>
    <x v="1"/>
    <x v="357"/>
    <x v="0"/>
    <x v="0"/>
    <x v="0"/>
    <x v="0"/>
    <x v="0"/>
    <x v="0"/>
    <x v="0"/>
    <x v="0"/>
  </r>
  <r>
    <x v="1001"/>
    <x v="0"/>
    <x v="1"/>
    <x v="1"/>
    <x v="0"/>
    <x v="1"/>
    <x v="994"/>
    <x v="1"/>
    <x v="0"/>
    <x v="1"/>
    <x v="1"/>
    <x v="1"/>
    <x v="46"/>
    <x v="0"/>
    <x v="0"/>
    <x v="0"/>
    <x v="109"/>
    <x v="1"/>
    <x v="0"/>
    <x v="432"/>
    <x v="0"/>
    <x v="0"/>
    <x v="0"/>
    <x v="324"/>
    <x v="332"/>
    <x v="8"/>
    <x v="157"/>
    <x v="269"/>
    <x v="343"/>
    <x v="0"/>
    <x v="0"/>
    <x v="339"/>
    <x v="0"/>
    <x v="12"/>
    <x v="0"/>
    <x v="0"/>
    <x v="0"/>
    <x v="0"/>
    <x v="0"/>
    <x v="0"/>
    <x v="0"/>
    <x v="0"/>
  </r>
  <r>
    <x v="1002"/>
    <x v="0"/>
    <x v="1"/>
    <x v="1"/>
    <x v="0"/>
    <x v="1"/>
    <x v="995"/>
    <x v="1"/>
    <x v="0"/>
    <x v="1"/>
    <x v="1"/>
    <x v="1"/>
    <x v="46"/>
    <x v="0"/>
    <x v="0"/>
    <x v="0"/>
    <x v="109"/>
    <x v="1"/>
    <x v="0"/>
    <x v="433"/>
    <x v="0"/>
    <x v="0"/>
    <x v="0"/>
    <x v="5"/>
    <x v="5"/>
    <x v="0"/>
    <x v="5"/>
    <x v="5"/>
    <x v="5"/>
    <x v="0"/>
    <x v="0"/>
    <x v="5"/>
    <x v="0"/>
    <x v="5"/>
    <x v="0"/>
    <x v="0"/>
    <x v="0"/>
    <x v="0"/>
    <x v="0"/>
    <x v="0"/>
    <x v="0"/>
    <x v="0"/>
  </r>
  <r>
    <x v="1003"/>
    <x v="0"/>
    <x v="1"/>
    <x v="2"/>
    <x v="0"/>
    <x v="1"/>
    <x v="996"/>
    <x v="835"/>
    <x v="0"/>
    <x v="2"/>
    <x v="1"/>
    <x v="1"/>
    <x v="46"/>
    <x v="0"/>
    <x v="6"/>
    <x v="0"/>
    <x v="162"/>
    <x v="146"/>
    <x v="6"/>
    <x v="434"/>
    <x v="0"/>
    <x v="0"/>
    <x v="0"/>
    <x v="311"/>
    <x v="320"/>
    <x v="15"/>
    <x v="151"/>
    <x v="255"/>
    <x v="329"/>
    <x v="0"/>
    <x v="0"/>
    <x v="326"/>
    <x v="1"/>
    <x v="230"/>
    <x v="0"/>
    <x v="2"/>
    <x v="21"/>
    <x v="48"/>
    <x v="0"/>
    <x v="0"/>
    <x v="0"/>
    <x v="0"/>
  </r>
  <r>
    <x v="1004"/>
    <x v="0"/>
    <x v="1"/>
    <x v="0"/>
    <x v="0"/>
    <x v="4"/>
    <x v="997"/>
    <x v="836"/>
    <x v="0"/>
    <x v="2"/>
    <x v="1"/>
    <x v="1"/>
    <x v="50"/>
    <x v="0"/>
    <x v="0"/>
    <x v="0"/>
    <x v="119"/>
    <x v="102"/>
    <x v="0"/>
    <x v="249"/>
    <x v="0"/>
    <x v="0"/>
    <x v="0"/>
    <x v="513"/>
    <x v="529"/>
    <x v="7"/>
    <x v="64"/>
    <x v="155"/>
    <x v="548"/>
    <x v="0"/>
    <x v="0"/>
    <x v="549"/>
    <x v="0"/>
    <x v="12"/>
    <x v="0"/>
    <x v="0"/>
    <x v="0"/>
    <x v="0"/>
    <x v="0"/>
    <x v="0"/>
    <x v="0"/>
    <x v="0"/>
  </r>
  <r>
    <x v="1005"/>
    <x v="0"/>
    <x v="1"/>
    <x v="1"/>
    <x v="0"/>
    <x v="1"/>
    <x v="998"/>
    <x v="1"/>
    <x v="0"/>
    <x v="1"/>
    <x v="1"/>
    <x v="1"/>
    <x v="50"/>
    <x v="0"/>
    <x v="0"/>
    <x v="0"/>
    <x v="119"/>
    <x v="1"/>
    <x v="0"/>
    <x v="170"/>
    <x v="0"/>
    <x v="0"/>
    <x v="0"/>
    <x v="514"/>
    <x v="530"/>
    <x v="23"/>
    <x v="75"/>
    <x v="106"/>
    <x v="549"/>
    <x v="0"/>
    <x v="0"/>
    <x v="550"/>
    <x v="0"/>
    <x v="358"/>
    <x v="0"/>
    <x v="0"/>
    <x v="0"/>
    <x v="0"/>
    <x v="0"/>
    <x v="0"/>
    <x v="0"/>
    <x v="0"/>
  </r>
  <r>
    <x v="1006"/>
    <x v="0"/>
    <x v="0"/>
    <x v="0"/>
    <x v="0"/>
    <x v="0"/>
    <x v="999"/>
    <x v="837"/>
    <x v="0"/>
    <x v="0"/>
    <x v="118"/>
    <x v="119"/>
    <x v="20"/>
    <x v="0"/>
    <x v="0"/>
    <x v="0"/>
    <x v="46"/>
    <x v="41"/>
    <x v="0"/>
    <x v="435"/>
    <x v="0"/>
    <x v="0"/>
    <x v="0"/>
    <x v="515"/>
    <x v="531"/>
    <x v="0"/>
    <x v="24"/>
    <x v="25"/>
    <x v="550"/>
    <x v="0"/>
    <x v="0"/>
    <x v="551"/>
    <x v="0"/>
    <x v="359"/>
    <x v="0"/>
    <x v="0"/>
    <x v="0"/>
    <x v="0"/>
    <x v="0"/>
    <x v="0"/>
    <x v="0"/>
    <x v="0"/>
  </r>
  <r>
    <x v="1007"/>
    <x v="0"/>
    <x v="1"/>
    <x v="0"/>
    <x v="0"/>
    <x v="1"/>
    <x v="1000"/>
    <x v="838"/>
    <x v="0"/>
    <x v="2"/>
    <x v="1"/>
    <x v="1"/>
    <x v="50"/>
    <x v="0"/>
    <x v="4"/>
    <x v="0"/>
    <x v="163"/>
    <x v="147"/>
    <x v="4"/>
    <x v="186"/>
    <x v="0"/>
    <x v="0"/>
    <x v="0"/>
    <x v="245"/>
    <x v="522"/>
    <x v="5"/>
    <x v="96"/>
    <x v="385"/>
    <x v="541"/>
    <x v="0"/>
    <x v="0"/>
    <x v="542"/>
    <x v="1"/>
    <x v="350"/>
    <x v="0"/>
    <x v="0"/>
    <x v="0"/>
    <x v="0"/>
    <x v="0"/>
    <x v="0"/>
    <x v="0"/>
    <x v="0"/>
  </r>
  <r>
    <x v="1008"/>
    <x v="0"/>
    <x v="0"/>
    <x v="1"/>
    <x v="0"/>
    <x v="0"/>
    <x v="1001"/>
    <x v="1"/>
    <x v="0"/>
    <x v="1"/>
    <x v="1"/>
    <x v="1"/>
    <x v="0"/>
    <x v="0"/>
    <x v="0"/>
    <x v="0"/>
    <x v="0"/>
    <x v="1"/>
    <x v="0"/>
    <x v="436"/>
    <x v="0"/>
    <x v="0"/>
    <x v="0"/>
    <x v="516"/>
    <x v="532"/>
    <x v="13"/>
    <x v="136"/>
    <x v="291"/>
    <x v="551"/>
    <x v="0"/>
    <x v="0"/>
    <x v="552"/>
    <x v="1"/>
    <x v="360"/>
    <x v="0"/>
    <x v="0"/>
    <x v="0"/>
    <x v="0"/>
    <x v="0"/>
    <x v="0"/>
    <x v="0"/>
    <x v="0"/>
  </r>
  <r>
    <x v="1009"/>
    <x v="0"/>
    <x v="0"/>
    <x v="0"/>
    <x v="0"/>
    <x v="0"/>
    <x v="1002"/>
    <x v="839"/>
    <x v="0"/>
    <x v="0"/>
    <x v="119"/>
    <x v="120"/>
    <x v="5"/>
    <x v="0"/>
    <x v="0"/>
    <x v="0"/>
    <x v="32"/>
    <x v="27"/>
    <x v="0"/>
    <x v="46"/>
    <x v="0"/>
    <x v="0"/>
    <x v="0"/>
    <x v="510"/>
    <x v="526"/>
    <x v="4"/>
    <x v="17"/>
    <x v="18"/>
    <x v="545"/>
    <x v="0"/>
    <x v="0"/>
    <x v="546"/>
    <x v="0"/>
    <x v="355"/>
    <x v="0"/>
    <x v="0"/>
    <x v="0"/>
    <x v="0"/>
    <x v="0"/>
    <x v="0"/>
    <x v="0"/>
    <x v="0"/>
  </r>
  <r>
    <x v="1010"/>
    <x v="0"/>
    <x v="0"/>
    <x v="0"/>
    <x v="0"/>
    <x v="0"/>
    <x v="1003"/>
    <x v="840"/>
    <x v="0"/>
    <x v="0"/>
    <x v="120"/>
    <x v="121"/>
    <x v="5"/>
    <x v="0"/>
    <x v="0"/>
    <x v="0"/>
    <x v="32"/>
    <x v="27"/>
    <x v="0"/>
    <x v="46"/>
    <x v="0"/>
    <x v="0"/>
    <x v="0"/>
    <x v="517"/>
    <x v="533"/>
    <x v="2"/>
    <x v="57"/>
    <x v="389"/>
    <x v="552"/>
    <x v="0"/>
    <x v="0"/>
    <x v="553"/>
    <x v="0"/>
    <x v="361"/>
    <x v="0"/>
    <x v="0"/>
    <x v="0"/>
    <x v="0"/>
    <x v="0"/>
    <x v="0"/>
    <x v="0"/>
    <x v="0"/>
  </r>
  <r>
    <x v="1011"/>
    <x v="0"/>
    <x v="0"/>
    <x v="0"/>
    <x v="0"/>
    <x v="0"/>
    <x v="1004"/>
    <x v="841"/>
    <x v="0"/>
    <x v="0"/>
    <x v="121"/>
    <x v="122"/>
    <x v="36"/>
    <x v="0"/>
    <x v="0"/>
    <x v="0"/>
    <x v="164"/>
    <x v="148"/>
    <x v="0"/>
    <x v="437"/>
    <x v="0"/>
    <x v="0"/>
    <x v="0"/>
    <x v="362"/>
    <x v="373"/>
    <x v="9"/>
    <x v="112"/>
    <x v="296"/>
    <x v="384"/>
    <x v="0"/>
    <x v="0"/>
    <x v="381"/>
    <x v="0"/>
    <x v="263"/>
    <x v="0"/>
    <x v="0"/>
    <x v="0"/>
    <x v="0"/>
    <x v="0"/>
    <x v="0"/>
    <x v="0"/>
    <x v="0"/>
  </r>
  <r>
    <x v="1012"/>
    <x v="0"/>
    <x v="0"/>
    <x v="1"/>
    <x v="0"/>
    <x v="0"/>
    <x v="1005"/>
    <x v="1"/>
    <x v="0"/>
    <x v="1"/>
    <x v="1"/>
    <x v="1"/>
    <x v="5"/>
    <x v="0"/>
    <x v="0"/>
    <x v="0"/>
    <x v="32"/>
    <x v="1"/>
    <x v="0"/>
    <x v="46"/>
    <x v="0"/>
    <x v="0"/>
    <x v="0"/>
    <x v="517"/>
    <x v="533"/>
    <x v="2"/>
    <x v="57"/>
    <x v="389"/>
    <x v="552"/>
    <x v="0"/>
    <x v="0"/>
    <x v="553"/>
    <x v="0"/>
    <x v="361"/>
    <x v="0"/>
    <x v="0"/>
    <x v="0"/>
    <x v="0"/>
    <x v="0"/>
    <x v="0"/>
    <x v="0"/>
    <x v="0"/>
  </r>
  <r>
    <x v="1013"/>
    <x v="0"/>
    <x v="1"/>
    <x v="1"/>
    <x v="0"/>
    <x v="0"/>
    <x v="1006"/>
    <x v="1"/>
    <x v="0"/>
    <x v="1"/>
    <x v="1"/>
    <x v="1"/>
    <x v="75"/>
    <x v="0"/>
    <x v="3"/>
    <x v="0"/>
    <x v="165"/>
    <x v="1"/>
    <x v="3"/>
    <x v="438"/>
    <x v="0"/>
    <x v="0"/>
    <x v="0"/>
    <x v="518"/>
    <x v="534"/>
    <x v="1"/>
    <x v="189"/>
    <x v="390"/>
    <x v="553"/>
    <x v="0"/>
    <x v="0"/>
    <x v="554"/>
    <x v="1"/>
    <x v="362"/>
    <x v="0"/>
    <x v="0"/>
    <x v="0"/>
    <x v="0"/>
    <x v="0"/>
    <x v="0"/>
    <x v="0"/>
    <x v="0"/>
  </r>
  <r>
    <x v="1014"/>
    <x v="0"/>
    <x v="0"/>
    <x v="0"/>
    <x v="0"/>
    <x v="0"/>
    <x v="1007"/>
    <x v="842"/>
    <x v="0"/>
    <x v="0"/>
    <x v="122"/>
    <x v="123"/>
    <x v="0"/>
    <x v="0"/>
    <x v="0"/>
    <x v="0"/>
    <x v="0"/>
    <x v="0"/>
    <x v="0"/>
    <x v="403"/>
    <x v="0"/>
    <x v="0"/>
    <x v="0"/>
    <x v="519"/>
    <x v="535"/>
    <x v="23"/>
    <x v="75"/>
    <x v="391"/>
    <x v="554"/>
    <x v="0"/>
    <x v="0"/>
    <x v="555"/>
    <x v="1"/>
    <x v="363"/>
    <x v="0"/>
    <x v="0"/>
    <x v="0"/>
    <x v="0"/>
    <x v="0"/>
    <x v="0"/>
    <x v="0"/>
    <x v="0"/>
  </r>
  <r>
    <x v="1015"/>
    <x v="0"/>
    <x v="1"/>
    <x v="0"/>
    <x v="0"/>
    <x v="1"/>
    <x v="1008"/>
    <x v="843"/>
    <x v="0"/>
    <x v="2"/>
    <x v="1"/>
    <x v="1"/>
    <x v="66"/>
    <x v="0"/>
    <x v="0"/>
    <x v="0"/>
    <x v="153"/>
    <x v="137"/>
    <x v="0"/>
    <x v="405"/>
    <x v="0"/>
    <x v="0"/>
    <x v="0"/>
    <x v="520"/>
    <x v="536"/>
    <x v="26"/>
    <x v="94"/>
    <x v="392"/>
    <x v="555"/>
    <x v="0"/>
    <x v="0"/>
    <x v="556"/>
    <x v="0"/>
    <x v="12"/>
    <x v="0"/>
    <x v="0"/>
    <x v="0"/>
    <x v="0"/>
    <x v="0"/>
    <x v="0"/>
    <x v="0"/>
    <x v="0"/>
  </r>
  <r>
    <x v="1016"/>
    <x v="0"/>
    <x v="0"/>
    <x v="0"/>
    <x v="0"/>
    <x v="0"/>
    <x v="1009"/>
    <x v="844"/>
    <x v="0"/>
    <x v="0"/>
    <x v="123"/>
    <x v="124"/>
    <x v="5"/>
    <x v="0"/>
    <x v="0"/>
    <x v="0"/>
    <x v="32"/>
    <x v="27"/>
    <x v="0"/>
    <x v="46"/>
    <x v="0"/>
    <x v="0"/>
    <x v="0"/>
    <x v="521"/>
    <x v="537"/>
    <x v="23"/>
    <x v="75"/>
    <x v="106"/>
    <x v="556"/>
    <x v="0"/>
    <x v="0"/>
    <x v="557"/>
    <x v="0"/>
    <x v="364"/>
    <x v="0"/>
    <x v="0"/>
    <x v="0"/>
    <x v="0"/>
    <x v="0"/>
    <x v="0"/>
    <x v="0"/>
    <x v="0"/>
  </r>
  <r>
    <x v="1017"/>
    <x v="0"/>
    <x v="1"/>
    <x v="1"/>
    <x v="0"/>
    <x v="1"/>
    <x v="1010"/>
    <x v="1"/>
    <x v="0"/>
    <x v="1"/>
    <x v="1"/>
    <x v="1"/>
    <x v="66"/>
    <x v="0"/>
    <x v="3"/>
    <x v="0"/>
    <x v="166"/>
    <x v="1"/>
    <x v="3"/>
    <x v="439"/>
    <x v="0"/>
    <x v="0"/>
    <x v="0"/>
    <x v="522"/>
    <x v="538"/>
    <x v="17"/>
    <x v="69"/>
    <x v="328"/>
    <x v="557"/>
    <x v="0"/>
    <x v="0"/>
    <x v="558"/>
    <x v="1"/>
    <x v="365"/>
    <x v="0"/>
    <x v="0"/>
    <x v="0"/>
    <x v="0"/>
    <x v="0"/>
    <x v="0"/>
    <x v="0"/>
    <x v="0"/>
  </r>
  <r>
    <x v="1018"/>
    <x v="0"/>
    <x v="1"/>
    <x v="0"/>
    <x v="0"/>
    <x v="0"/>
    <x v="1011"/>
    <x v="845"/>
    <x v="0"/>
    <x v="0"/>
    <x v="124"/>
    <x v="125"/>
    <x v="76"/>
    <x v="0"/>
    <x v="2"/>
    <x v="0"/>
    <x v="167"/>
    <x v="149"/>
    <x v="2"/>
    <x v="440"/>
    <x v="0"/>
    <x v="0"/>
    <x v="0"/>
    <x v="523"/>
    <x v="539"/>
    <x v="3"/>
    <x v="51"/>
    <x v="393"/>
    <x v="558"/>
    <x v="0"/>
    <x v="0"/>
    <x v="559"/>
    <x v="1"/>
    <x v="366"/>
    <x v="0"/>
    <x v="0"/>
    <x v="0"/>
    <x v="0"/>
    <x v="0"/>
    <x v="0"/>
    <x v="0"/>
    <x v="0"/>
  </r>
  <r>
    <x v="1019"/>
    <x v="0"/>
    <x v="0"/>
    <x v="0"/>
    <x v="0"/>
    <x v="0"/>
    <x v="1012"/>
    <x v="846"/>
    <x v="0"/>
    <x v="0"/>
    <x v="125"/>
    <x v="126"/>
    <x v="0"/>
    <x v="0"/>
    <x v="0"/>
    <x v="0"/>
    <x v="0"/>
    <x v="0"/>
    <x v="0"/>
    <x v="441"/>
    <x v="0"/>
    <x v="0"/>
    <x v="0"/>
    <x v="524"/>
    <x v="540"/>
    <x v="17"/>
    <x v="71"/>
    <x v="394"/>
    <x v="559"/>
    <x v="0"/>
    <x v="0"/>
    <x v="560"/>
    <x v="0"/>
    <x v="367"/>
    <x v="0"/>
    <x v="0"/>
    <x v="0"/>
    <x v="0"/>
    <x v="0"/>
    <x v="0"/>
    <x v="0"/>
    <x v="0"/>
  </r>
  <r>
    <x v="1020"/>
    <x v="0"/>
    <x v="1"/>
    <x v="0"/>
    <x v="0"/>
    <x v="1"/>
    <x v="1013"/>
    <x v="847"/>
    <x v="0"/>
    <x v="2"/>
    <x v="1"/>
    <x v="1"/>
    <x v="66"/>
    <x v="0"/>
    <x v="0"/>
    <x v="0"/>
    <x v="153"/>
    <x v="137"/>
    <x v="0"/>
    <x v="405"/>
    <x v="0"/>
    <x v="0"/>
    <x v="0"/>
    <x v="30"/>
    <x v="243"/>
    <x v="6"/>
    <x v="113"/>
    <x v="204"/>
    <x v="248"/>
    <x v="55"/>
    <x v="0"/>
    <x v="247"/>
    <x v="1"/>
    <x v="299"/>
    <x v="0"/>
    <x v="0"/>
    <x v="0"/>
    <x v="49"/>
    <x v="0"/>
    <x v="0"/>
    <x v="0"/>
    <x v="0"/>
  </r>
  <r>
    <x v="1021"/>
    <x v="0"/>
    <x v="1"/>
    <x v="0"/>
    <x v="0"/>
    <x v="1"/>
    <x v="1014"/>
    <x v="848"/>
    <x v="0"/>
    <x v="2"/>
    <x v="1"/>
    <x v="1"/>
    <x v="66"/>
    <x v="0"/>
    <x v="4"/>
    <x v="0"/>
    <x v="168"/>
    <x v="150"/>
    <x v="4"/>
    <x v="418"/>
    <x v="0"/>
    <x v="0"/>
    <x v="0"/>
    <x v="129"/>
    <x v="131"/>
    <x v="0"/>
    <x v="24"/>
    <x v="116"/>
    <x v="134"/>
    <x v="0"/>
    <x v="0"/>
    <x v="471"/>
    <x v="0"/>
    <x v="354"/>
    <x v="0"/>
    <x v="0"/>
    <x v="0"/>
    <x v="11"/>
    <x v="0"/>
    <x v="0"/>
    <x v="0"/>
    <x v="0"/>
  </r>
  <r>
    <x v="1022"/>
    <x v="0"/>
    <x v="1"/>
    <x v="0"/>
    <x v="0"/>
    <x v="1"/>
    <x v="1015"/>
    <x v="849"/>
    <x v="0"/>
    <x v="2"/>
    <x v="1"/>
    <x v="1"/>
    <x v="66"/>
    <x v="0"/>
    <x v="5"/>
    <x v="0"/>
    <x v="151"/>
    <x v="134"/>
    <x v="5"/>
    <x v="418"/>
    <x v="0"/>
    <x v="0"/>
    <x v="0"/>
    <x v="356"/>
    <x v="366"/>
    <x v="0"/>
    <x v="50"/>
    <x v="72"/>
    <x v="377"/>
    <x v="0"/>
    <x v="0"/>
    <x v="374"/>
    <x v="0"/>
    <x v="258"/>
    <x v="0"/>
    <x v="0"/>
    <x v="0"/>
    <x v="0"/>
    <x v="0"/>
    <x v="0"/>
    <x v="0"/>
    <x v="0"/>
  </r>
  <r>
    <x v="1023"/>
    <x v="0"/>
    <x v="1"/>
    <x v="0"/>
    <x v="0"/>
    <x v="1"/>
    <x v="1016"/>
    <x v="850"/>
    <x v="0"/>
    <x v="2"/>
    <x v="1"/>
    <x v="1"/>
    <x v="66"/>
    <x v="0"/>
    <x v="0"/>
    <x v="0"/>
    <x v="153"/>
    <x v="137"/>
    <x v="0"/>
    <x v="442"/>
    <x v="0"/>
    <x v="0"/>
    <x v="0"/>
    <x v="525"/>
    <x v="541"/>
    <x v="0"/>
    <x v="47"/>
    <x v="56"/>
    <x v="560"/>
    <x v="0"/>
    <x v="0"/>
    <x v="561"/>
    <x v="0"/>
    <x v="12"/>
    <x v="0"/>
    <x v="0"/>
    <x v="0"/>
    <x v="0"/>
    <x v="0"/>
    <x v="0"/>
    <x v="0"/>
    <x v="0"/>
  </r>
  <r>
    <x v="1024"/>
    <x v="0"/>
    <x v="0"/>
    <x v="0"/>
    <x v="0"/>
    <x v="0"/>
    <x v="1017"/>
    <x v="851"/>
    <x v="0"/>
    <x v="0"/>
    <x v="126"/>
    <x v="127"/>
    <x v="0"/>
    <x v="0"/>
    <x v="0"/>
    <x v="0"/>
    <x v="0"/>
    <x v="0"/>
    <x v="0"/>
    <x v="403"/>
    <x v="0"/>
    <x v="0"/>
    <x v="0"/>
    <x v="523"/>
    <x v="539"/>
    <x v="3"/>
    <x v="51"/>
    <x v="393"/>
    <x v="558"/>
    <x v="0"/>
    <x v="0"/>
    <x v="559"/>
    <x v="1"/>
    <x v="366"/>
    <x v="0"/>
    <x v="0"/>
    <x v="0"/>
    <x v="0"/>
    <x v="0"/>
    <x v="0"/>
    <x v="0"/>
    <x v="0"/>
  </r>
  <r>
    <x v="1025"/>
    <x v="0"/>
    <x v="1"/>
    <x v="0"/>
    <x v="0"/>
    <x v="1"/>
    <x v="1018"/>
    <x v="852"/>
    <x v="0"/>
    <x v="2"/>
    <x v="1"/>
    <x v="1"/>
    <x v="50"/>
    <x v="0"/>
    <x v="0"/>
    <x v="0"/>
    <x v="119"/>
    <x v="102"/>
    <x v="0"/>
    <x v="186"/>
    <x v="0"/>
    <x v="0"/>
    <x v="0"/>
    <x v="526"/>
    <x v="542"/>
    <x v="25"/>
    <x v="190"/>
    <x v="395"/>
    <x v="561"/>
    <x v="0"/>
    <x v="0"/>
    <x v="562"/>
    <x v="0"/>
    <x v="12"/>
    <x v="0"/>
    <x v="0"/>
    <x v="0"/>
    <x v="0"/>
    <x v="0"/>
    <x v="0"/>
    <x v="0"/>
    <x v="0"/>
  </r>
  <r>
    <x v="1026"/>
    <x v="0"/>
    <x v="0"/>
    <x v="0"/>
    <x v="0"/>
    <x v="0"/>
    <x v="1019"/>
    <x v="853"/>
    <x v="0"/>
    <x v="0"/>
    <x v="127"/>
    <x v="128"/>
    <x v="5"/>
    <x v="0"/>
    <x v="0"/>
    <x v="0"/>
    <x v="32"/>
    <x v="27"/>
    <x v="0"/>
    <x v="46"/>
    <x v="0"/>
    <x v="0"/>
    <x v="0"/>
    <x v="527"/>
    <x v="543"/>
    <x v="1"/>
    <x v="26"/>
    <x v="396"/>
    <x v="562"/>
    <x v="0"/>
    <x v="0"/>
    <x v="563"/>
    <x v="0"/>
    <x v="368"/>
    <x v="0"/>
    <x v="0"/>
    <x v="0"/>
    <x v="0"/>
    <x v="0"/>
    <x v="0"/>
    <x v="0"/>
    <x v="0"/>
  </r>
  <r>
    <x v="1027"/>
    <x v="0"/>
    <x v="0"/>
    <x v="0"/>
    <x v="0"/>
    <x v="0"/>
    <x v="1020"/>
    <x v="854"/>
    <x v="0"/>
    <x v="0"/>
    <x v="128"/>
    <x v="129"/>
    <x v="5"/>
    <x v="0"/>
    <x v="0"/>
    <x v="0"/>
    <x v="32"/>
    <x v="27"/>
    <x v="0"/>
    <x v="46"/>
    <x v="0"/>
    <x v="0"/>
    <x v="0"/>
    <x v="528"/>
    <x v="544"/>
    <x v="1"/>
    <x v="191"/>
    <x v="397"/>
    <x v="563"/>
    <x v="0"/>
    <x v="0"/>
    <x v="564"/>
    <x v="0"/>
    <x v="369"/>
    <x v="0"/>
    <x v="0"/>
    <x v="0"/>
    <x v="0"/>
    <x v="0"/>
    <x v="0"/>
    <x v="0"/>
    <x v="0"/>
  </r>
  <r>
    <x v="1028"/>
    <x v="0"/>
    <x v="0"/>
    <x v="0"/>
    <x v="0"/>
    <x v="0"/>
    <x v="1021"/>
    <x v="855"/>
    <x v="0"/>
    <x v="0"/>
    <x v="129"/>
    <x v="130"/>
    <x v="0"/>
    <x v="0"/>
    <x v="0"/>
    <x v="0"/>
    <x v="0"/>
    <x v="0"/>
    <x v="0"/>
    <x v="403"/>
    <x v="0"/>
    <x v="0"/>
    <x v="0"/>
    <x v="529"/>
    <x v="545"/>
    <x v="8"/>
    <x v="133"/>
    <x v="398"/>
    <x v="564"/>
    <x v="0"/>
    <x v="0"/>
    <x v="565"/>
    <x v="0"/>
    <x v="370"/>
    <x v="0"/>
    <x v="0"/>
    <x v="0"/>
    <x v="0"/>
    <x v="0"/>
    <x v="0"/>
    <x v="0"/>
    <x v="0"/>
  </r>
  <r>
    <x v="1029"/>
    <x v="0"/>
    <x v="0"/>
    <x v="0"/>
    <x v="0"/>
    <x v="0"/>
    <x v="1022"/>
    <x v="856"/>
    <x v="0"/>
    <x v="0"/>
    <x v="130"/>
    <x v="131"/>
    <x v="0"/>
    <x v="0"/>
    <x v="0"/>
    <x v="0"/>
    <x v="0"/>
    <x v="0"/>
    <x v="0"/>
    <x v="411"/>
    <x v="0"/>
    <x v="0"/>
    <x v="0"/>
    <x v="530"/>
    <x v="546"/>
    <x v="0"/>
    <x v="50"/>
    <x v="61"/>
    <x v="565"/>
    <x v="0"/>
    <x v="0"/>
    <x v="566"/>
    <x v="1"/>
    <x v="371"/>
    <x v="0"/>
    <x v="0"/>
    <x v="0"/>
    <x v="0"/>
    <x v="0"/>
    <x v="0"/>
    <x v="0"/>
    <x v="0"/>
  </r>
  <r>
    <x v="1030"/>
    <x v="0"/>
    <x v="0"/>
    <x v="0"/>
    <x v="0"/>
    <x v="0"/>
    <x v="1023"/>
    <x v="857"/>
    <x v="0"/>
    <x v="0"/>
    <x v="131"/>
    <x v="132"/>
    <x v="0"/>
    <x v="0"/>
    <x v="0"/>
    <x v="0"/>
    <x v="0"/>
    <x v="0"/>
    <x v="0"/>
    <x v="430"/>
    <x v="0"/>
    <x v="0"/>
    <x v="0"/>
    <x v="531"/>
    <x v="547"/>
    <x v="23"/>
    <x v="75"/>
    <x v="391"/>
    <x v="566"/>
    <x v="0"/>
    <x v="0"/>
    <x v="567"/>
    <x v="0"/>
    <x v="372"/>
    <x v="0"/>
    <x v="0"/>
    <x v="0"/>
    <x v="0"/>
    <x v="0"/>
    <x v="0"/>
    <x v="0"/>
    <x v="0"/>
  </r>
  <r>
    <x v="1031"/>
    <x v="0"/>
    <x v="0"/>
    <x v="0"/>
    <x v="0"/>
    <x v="0"/>
    <x v="1024"/>
    <x v="858"/>
    <x v="0"/>
    <x v="0"/>
    <x v="132"/>
    <x v="133"/>
    <x v="5"/>
    <x v="0"/>
    <x v="0"/>
    <x v="0"/>
    <x v="32"/>
    <x v="27"/>
    <x v="0"/>
    <x v="46"/>
    <x v="0"/>
    <x v="0"/>
    <x v="0"/>
    <x v="532"/>
    <x v="548"/>
    <x v="0"/>
    <x v="60"/>
    <x v="399"/>
    <x v="567"/>
    <x v="0"/>
    <x v="0"/>
    <x v="568"/>
    <x v="1"/>
    <x v="373"/>
    <x v="0"/>
    <x v="0"/>
    <x v="0"/>
    <x v="0"/>
    <x v="0"/>
    <x v="0"/>
    <x v="0"/>
    <x v="0"/>
  </r>
  <r>
    <x v="1032"/>
    <x v="0"/>
    <x v="1"/>
    <x v="1"/>
    <x v="0"/>
    <x v="1"/>
    <x v="1025"/>
    <x v="1"/>
    <x v="0"/>
    <x v="1"/>
    <x v="1"/>
    <x v="1"/>
    <x v="46"/>
    <x v="0"/>
    <x v="2"/>
    <x v="0"/>
    <x v="169"/>
    <x v="1"/>
    <x v="2"/>
    <x v="443"/>
    <x v="0"/>
    <x v="0"/>
    <x v="0"/>
    <x v="320"/>
    <x v="328"/>
    <x v="13"/>
    <x v="55"/>
    <x v="119"/>
    <x v="339"/>
    <x v="0"/>
    <x v="0"/>
    <x v="415"/>
    <x v="0"/>
    <x v="281"/>
    <x v="0"/>
    <x v="0"/>
    <x v="0"/>
    <x v="0"/>
    <x v="0"/>
    <x v="0"/>
    <x v="0"/>
    <x v="0"/>
  </r>
  <r>
    <x v="1033"/>
    <x v="0"/>
    <x v="1"/>
    <x v="0"/>
    <x v="0"/>
    <x v="1"/>
    <x v="1026"/>
    <x v="859"/>
    <x v="0"/>
    <x v="2"/>
    <x v="1"/>
    <x v="1"/>
    <x v="46"/>
    <x v="0"/>
    <x v="0"/>
    <x v="0"/>
    <x v="109"/>
    <x v="95"/>
    <x v="0"/>
    <x v="444"/>
    <x v="0"/>
    <x v="0"/>
    <x v="0"/>
    <x v="533"/>
    <x v="549"/>
    <x v="7"/>
    <x v="36"/>
    <x v="400"/>
    <x v="568"/>
    <x v="0"/>
    <x v="0"/>
    <x v="569"/>
    <x v="0"/>
    <x v="12"/>
    <x v="0"/>
    <x v="0"/>
    <x v="0"/>
    <x v="0"/>
    <x v="0"/>
    <x v="0"/>
    <x v="0"/>
    <x v="0"/>
  </r>
  <r>
    <x v="1034"/>
    <x v="0"/>
    <x v="1"/>
    <x v="0"/>
    <x v="0"/>
    <x v="1"/>
    <x v="1027"/>
    <x v="860"/>
    <x v="0"/>
    <x v="2"/>
    <x v="1"/>
    <x v="1"/>
    <x v="46"/>
    <x v="0"/>
    <x v="2"/>
    <x v="0"/>
    <x v="169"/>
    <x v="151"/>
    <x v="2"/>
    <x v="445"/>
    <x v="0"/>
    <x v="0"/>
    <x v="0"/>
    <x v="534"/>
    <x v="550"/>
    <x v="7"/>
    <x v="99"/>
    <x v="149"/>
    <x v="569"/>
    <x v="0"/>
    <x v="0"/>
    <x v="570"/>
    <x v="0"/>
    <x v="374"/>
    <x v="0"/>
    <x v="0"/>
    <x v="0"/>
    <x v="0"/>
    <x v="0"/>
    <x v="0"/>
    <x v="0"/>
    <x v="0"/>
  </r>
  <r>
    <x v="1035"/>
    <x v="0"/>
    <x v="0"/>
    <x v="0"/>
    <x v="0"/>
    <x v="0"/>
    <x v="1028"/>
    <x v="861"/>
    <x v="0"/>
    <x v="0"/>
    <x v="133"/>
    <x v="134"/>
    <x v="0"/>
    <x v="0"/>
    <x v="0"/>
    <x v="0"/>
    <x v="0"/>
    <x v="0"/>
    <x v="0"/>
    <x v="403"/>
    <x v="0"/>
    <x v="0"/>
    <x v="0"/>
    <x v="52"/>
    <x v="551"/>
    <x v="0"/>
    <x v="192"/>
    <x v="401"/>
    <x v="570"/>
    <x v="0"/>
    <x v="0"/>
    <x v="571"/>
    <x v="0"/>
    <x v="375"/>
    <x v="0"/>
    <x v="0"/>
    <x v="0"/>
    <x v="0"/>
    <x v="0"/>
    <x v="0"/>
    <x v="0"/>
    <x v="0"/>
  </r>
  <r>
    <x v="1036"/>
    <x v="0"/>
    <x v="0"/>
    <x v="0"/>
    <x v="0"/>
    <x v="0"/>
    <x v="1029"/>
    <x v="862"/>
    <x v="0"/>
    <x v="0"/>
    <x v="134"/>
    <x v="135"/>
    <x v="5"/>
    <x v="0"/>
    <x v="0"/>
    <x v="0"/>
    <x v="32"/>
    <x v="27"/>
    <x v="0"/>
    <x v="46"/>
    <x v="0"/>
    <x v="0"/>
    <x v="0"/>
    <x v="535"/>
    <x v="552"/>
    <x v="0"/>
    <x v="24"/>
    <x v="37"/>
    <x v="571"/>
    <x v="0"/>
    <x v="0"/>
    <x v="572"/>
    <x v="0"/>
    <x v="376"/>
    <x v="0"/>
    <x v="0"/>
    <x v="0"/>
    <x v="0"/>
    <x v="0"/>
    <x v="0"/>
    <x v="0"/>
    <x v="0"/>
  </r>
  <r>
    <x v="1037"/>
    <x v="0"/>
    <x v="1"/>
    <x v="0"/>
    <x v="0"/>
    <x v="1"/>
    <x v="1030"/>
    <x v="863"/>
    <x v="0"/>
    <x v="2"/>
    <x v="1"/>
    <x v="1"/>
    <x v="46"/>
    <x v="0"/>
    <x v="1"/>
    <x v="0"/>
    <x v="110"/>
    <x v="96"/>
    <x v="1"/>
    <x v="446"/>
    <x v="0"/>
    <x v="0"/>
    <x v="0"/>
    <x v="399"/>
    <x v="412"/>
    <x v="3"/>
    <x v="119"/>
    <x v="186"/>
    <x v="426"/>
    <x v="0"/>
    <x v="0"/>
    <x v="425"/>
    <x v="0"/>
    <x v="286"/>
    <x v="0"/>
    <x v="0"/>
    <x v="0"/>
    <x v="0"/>
    <x v="0"/>
    <x v="0"/>
    <x v="0"/>
    <x v="0"/>
  </r>
  <r>
    <x v="1038"/>
    <x v="0"/>
    <x v="0"/>
    <x v="0"/>
    <x v="0"/>
    <x v="0"/>
    <x v="1031"/>
    <x v="864"/>
    <x v="0"/>
    <x v="0"/>
    <x v="135"/>
    <x v="136"/>
    <x v="20"/>
    <x v="0"/>
    <x v="0"/>
    <x v="0"/>
    <x v="46"/>
    <x v="41"/>
    <x v="0"/>
    <x v="447"/>
    <x v="0"/>
    <x v="0"/>
    <x v="0"/>
    <x v="536"/>
    <x v="553"/>
    <x v="6"/>
    <x v="74"/>
    <x v="402"/>
    <x v="572"/>
    <x v="0"/>
    <x v="0"/>
    <x v="573"/>
    <x v="0"/>
    <x v="377"/>
    <x v="0"/>
    <x v="0"/>
    <x v="0"/>
    <x v="0"/>
    <x v="0"/>
    <x v="0"/>
    <x v="0"/>
    <x v="0"/>
  </r>
  <r>
    <x v="1039"/>
    <x v="0"/>
    <x v="1"/>
    <x v="0"/>
    <x v="0"/>
    <x v="1"/>
    <x v="1032"/>
    <x v="865"/>
    <x v="0"/>
    <x v="2"/>
    <x v="1"/>
    <x v="1"/>
    <x v="69"/>
    <x v="0"/>
    <x v="0"/>
    <x v="0"/>
    <x v="155"/>
    <x v="139"/>
    <x v="0"/>
    <x v="448"/>
    <x v="0"/>
    <x v="0"/>
    <x v="0"/>
    <x v="537"/>
    <x v="554"/>
    <x v="0"/>
    <x v="185"/>
    <x v="403"/>
    <x v="573"/>
    <x v="56"/>
    <x v="0"/>
    <x v="574"/>
    <x v="0"/>
    <x v="12"/>
    <x v="0"/>
    <x v="0"/>
    <x v="0"/>
    <x v="50"/>
    <x v="0"/>
    <x v="0"/>
    <x v="0"/>
    <x v="0"/>
  </r>
  <r>
    <x v="1040"/>
    <x v="0"/>
    <x v="1"/>
    <x v="0"/>
    <x v="0"/>
    <x v="1"/>
    <x v="1033"/>
    <x v="866"/>
    <x v="0"/>
    <x v="2"/>
    <x v="1"/>
    <x v="1"/>
    <x v="69"/>
    <x v="0"/>
    <x v="3"/>
    <x v="0"/>
    <x v="170"/>
    <x v="152"/>
    <x v="3"/>
    <x v="429"/>
    <x v="0"/>
    <x v="0"/>
    <x v="0"/>
    <x v="320"/>
    <x v="328"/>
    <x v="13"/>
    <x v="55"/>
    <x v="119"/>
    <x v="339"/>
    <x v="57"/>
    <x v="0"/>
    <x v="415"/>
    <x v="0"/>
    <x v="281"/>
    <x v="0"/>
    <x v="0"/>
    <x v="0"/>
    <x v="51"/>
    <x v="0"/>
    <x v="0"/>
    <x v="0"/>
    <x v="0"/>
  </r>
  <r>
    <x v="1041"/>
    <x v="0"/>
    <x v="1"/>
    <x v="0"/>
    <x v="0"/>
    <x v="1"/>
    <x v="1034"/>
    <x v="867"/>
    <x v="0"/>
    <x v="2"/>
    <x v="1"/>
    <x v="1"/>
    <x v="77"/>
    <x v="0"/>
    <x v="0"/>
    <x v="0"/>
    <x v="171"/>
    <x v="153"/>
    <x v="0"/>
    <x v="449"/>
    <x v="0"/>
    <x v="0"/>
    <x v="0"/>
    <x v="49"/>
    <x v="49"/>
    <x v="13"/>
    <x v="39"/>
    <x v="47"/>
    <x v="50"/>
    <x v="58"/>
    <x v="0"/>
    <x v="49"/>
    <x v="1"/>
    <x v="41"/>
    <x v="0"/>
    <x v="0"/>
    <x v="0"/>
    <x v="0"/>
    <x v="0"/>
    <x v="0"/>
    <x v="0"/>
    <x v="0"/>
  </r>
  <r>
    <x v="1042"/>
    <x v="0"/>
    <x v="0"/>
    <x v="1"/>
    <x v="0"/>
    <x v="0"/>
    <x v="1035"/>
    <x v="1"/>
    <x v="0"/>
    <x v="1"/>
    <x v="1"/>
    <x v="1"/>
    <x v="0"/>
    <x v="0"/>
    <x v="0"/>
    <x v="0"/>
    <x v="0"/>
    <x v="1"/>
    <x v="0"/>
    <x v="403"/>
    <x v="0"/>
    <x v="0"/>
    <x v="0"/>
    <x v="538"/>
    <x v="555"/>
    <x v="0"/>
    <x v="24"/>
    <x v="129"/>
    <x v="574"/>
    <x v="0"/>
    <x v="0"/>
    <x v="575"/>
    <x v="0"/>
    <x v="378"/>
    <x v="0"/>
    <x v="0"/>
    <x v="0"/>
    <x v="0"/>
    <x v="0"/>
    <x v="0"/>
    <x v="0"/>
    <x v="0"/>
  </r>
  <r>
    <x v="1043"/>
    <x v="0"/>
    <x v="1"/>
    <x v="0"/>
    <x v="0"/>
    <x v="1"/>
    <x v="1036"/>
    <x v="868"/>
    <x v="0"/>
    <x v="2"/>
    <x v="1"/>
    <x v="1"/>
    <x v="78"/>
    <x v="0"/>
    <x v="3"/>
    <x v="0"/>
    <x v="172"/>
    <x v="154"/>
    <x v="3"/>
    <x v="408"/>
    <x v="0"/>
    <x v="0"/>
    <x v="0"/>
    <x v="539"/>
    <x v="556"/>
    <x v="5"/>
    <x v="41"/>
    <x v="404"/>
    <x v="575"/>
    <x v="59"/>
    <x v="0"/>
    <x v="576"/>
    <x v="1"/>
    <x v="379"/>
    <x v="0"/>
    <x v="0"/>
    <x v="0"/>
    <x v="0"/>
    <x v="0"/>
    <x v="0"/>
    <x v="0"/>
    <x v="0"/>
  </r>
  <r>
    <x v="1044"/>
    <x v="0"/>
    <x v="1"/>
    <x v="0"/>
    <x v="0"/>
    <x v="1"/>
    <x v="1037"/>
    <x v="869"/>
    <x v="0"/>
    <x v="2"/>
    <x v="1"/>
    <x v="1"/>
    <x v="78"/>
    <x v="0"/>
    <x v="11"/>
    <x v="0"/>
    <x v="173"/>
    <x v="155"/>
    <x v="11"/>
    <x v="449"/>
    <x v="0"/>
    <x v="0"/>
    <x v="0"/>
    <x v="39"/>
    <x v="40"/>
    <x v="7"/>
    <x v="33"/>
    <x v="38"/>
    <x v="40"/>
    <x v="60"/>
    <x v="0"/>
    <x v="40"/>
    <x v="1"/>
    <x v="34"/>
    <x v="0"/>
    <x v="0"/>
    <x v="0"/>
    <x v="0"/>
    <x v="0"/>
    <x v="0"/>
    <x v="0"/>
    <x v="0"/>
  </r>
  <r>
    <x v="1045"/>
    <x v="0"/>
    <x v="1"/>
    <x v="0"/>
    <x v="0"/>
    <x v="1"/>
    <x v="1038"/>
    <x v="870"/>
    <x v="0"/>
    <x v="2"/>
    <x v="1"/>
    <x v="1"/>
    <x v="79"/>
    <x v="0"/>
    <x v="0"/>
    <x v="0"/>
    <x v="174"/>
    <x v="156"/>
    <x v="0"/>
    <x v="410"/>
    <x v="0"/>
    <x v="0"/>
    <x v="0"/>
    <x v="540"/>
    <x v="557"/>
    <x v="5"/>
    <x v="83"/>
    <x v="122"/>
    <x v="576"/>
    <x v="61"/>
    <x v="0"/>
    <x v="577"/>
    <x v="1"/>
    <x v="380"/>
    <x v="0"/>
    <x v="0"/>
    <x v="0"/>
    <x v="0"/>
    <x v="0"/>
    <x v="0"/>
    <x v="0"/>
    <x v="0"/>
  </r>
  <r>
    <x v="1046"/>
    <x v="0"/>
    <x v="1"/>
    <x v="0"/>
    <x v="0"/>
    <x v="1"/>
    <x v="1039"/>
    <x v="871"/>
    <x v="0"/>
    <x v="2"/>
    <x v="1"/>
    <x v="1"/>
    <x v="69"/>
    <x v="0"/>
    <x v="2"/>
    <x v="0"/>
    <x v="175"/>
    <x v="157"/>
    <x v="2"/>
    <x v="409"/>
    <x v="0"/>
    <x v="0"/>
    <x v="0"/>
    <x v="534"/>
    <x v="550"/>
    <x v="7"/>
    <x v="99"/>
    <x v="149"/>
    <x v="569"/>
    <x v="62"/>
    <x v="0"/>
    <x v="570"/>
    <x v="0"/>
    <x v="374"/>
    <x v="0"/>
    <x v="0"/>
    <x v="0"/>
    <x v="0"/>
    <x v="0"/>
    <x v="0"/>
    <x v="0"/>
    <x v="0"/>
  </r>
  <r>
    <x v="1047"/>
    <x v="0"/>
    <x v="1"/>
    <x v="0"/>
    <x v="0"/>
    <x v="1"/>
    <x v="1040"/>
    <x v="872"/>
    <x v="0"/>
    <x v="2"/>
    <x v="1"/>
    <x v="1"/>
    <x v="69"/>
    <x v="0"/>
    <x v="0"/>
    <x v="0"/>
    <x v="155"/>
    <x v="139"/>
    <x v="0"/>
    <x v="408"/>
    <x v="0"/>
    <x v="0"/>
    <x v="0"/>
    <x v="541"/>
    <x v="558"/>
    <x v="1"/>
    <x v="93"/>
    <x v="405"/>
    <x v="577"/>
    <x v="63"/>
    <x v="0"/>
    <x v="578"/>
    <x v="0"/>
    <x v="381"/>
    <x v="0"/>
    <x v="0"/>
    <x v="0"/>
    <x v="0"/>
    <x v="0"/>
    <x v="0"/>
    <x v="0"/>
    <x v="0"/>
  </r>
  <r>
    <x v="1048"/>
    <x v="0"/>
    <x v="1"/>
    <x v="0"/>
    <x v="0"/>
    <x v="1"/>
    <x v="1041"/>
    <x v="873"/>
    <x v="0"/>
    <x v="2"/>
    <x v="1"/>
    <x v="1"/>
    <x v="79"/>
    <x v="0"/>
    <x v="3"/>
    <x v="0"/>
    <x v="176"/>
    <x v="158"/>
    <x v="3"/>
    <x v="429"/>
    <x v="0"/>
    <x v="0"/>
    <x v="0"/>
    <x v="183"/>
    <x v="187"/>
    <x v="6"/>
    <x v="74"/>
    <x v="105"/>
    <x v="191"/>
    <x v="64"/>
    <x v="0"/>
    <x v="191"/>
    <x v="1"/>
    <x v="145"/>
    <x v="0"/>
    <x v="0"/>
    <x v="0"/>
    <x v="0"/>
    <x v="0"/>
    <x v="0"/>
    <x v="0"/>
    <x v="0"/>
  </r>
  <r>
    <x v="1049"/>
    <x v="0"/>
    <x v="1"/>
    <x v="0"/>
    <x v="0"/>
    <x v="1"/>
    <x v="1042"/>
    <x v="874"/>
    <x v="0"/>
    <x v="2"/>
    <x v="1"/>
    <x v="1"/>
    <x v="10"/>
    <x v="0"/>
    <x v="0"/>
    <x v="0"/>
    <x v="16"/>
    <x v="11"/>
    <x v="0"/>
    <x v="347"/>
    <x v="0"/>
    <x v="0"/>
    <x v="0"/>
    <x v="542"/>
    <x v="559"/>
    <x v="21"/>
    <x v="63"/>
    <x v="85"/>
    <x v="578"/>
    <x v="0"/>
    <x v="0"/>
    <x v="579"/>
    <x v="0"/>
    <x v="12"/>
    <x v="0"/>
    <x v="0"/>
    <x v="0"/>
    <x v="0"/>
    <x v="0"/>
    <x v="0"/>
    <x v="0"/>
    <x v="0"/>
  </r>
  <r>
    <x v="1050"/>
    <x v="0"/>
    <x v="1"/>
    <x v="0"/>
    <x v="0"/>
    <x v="1"/>
    <x v="1043"/>
    <x v="875"/>
    <x v="0"/>
    <x v="2"/>
    <x v="1"/>
    <x v="1"/>
    <x v="10"/>
    <x v="0"/>
    <x v="4"/>
    <x v="0"/>
    <x v="18"/>
    <x v="13"/>
    <x v="4"/>
    <x v="450"/>
    <x v="0"/>
    <x v="0"/>
    <x v="0"/>
    <x v="543"/>
    <x v="560"/>
    <x v="0"/>
    <x v="12"/>
    <x v="12"/>
    <x v="579"/>
    <x v="0"/>
    <x v="0"/>
    <x v="580"/>
    <x v="1"/>
    <x v="382"/>
    <x v="0"/>
    <x v="0"/>
    <x v="0"/>
    <x v="0"/>
    <x v="0"/>
    <x v="0"/>
    <x v="0"/>
    <x v="0"/>
  </r>
  <r>
    <x v="1051"/>
    <x v="0"/>
    <x v="1"/>
    <x v="0"/>
    <x v="0"/>
    <x v="1"/>
    <x v="1044"/>
    <x v="876"/>
    <x v="0"/>
    <x v="2"/>
    <x v="1"/>
    <x v="1"/>
    <x v="10"/>
    <x v="0"/>
    <x v="0"/>
    <x v="0"/>
    <x v="16"/>
    <x v="11"/>
    <x v="0"/>
    <x v="451"/>
    <x v="0"/>
    <x v="0"/>
    <x v="0"/>
    <x v="537"/>
    <x v="554"/>
    <x v="0"/>
    <x v="185"/>
    <x v="403"/>
    <x v="573"/>
    <x v="0"/>
    <x v="0"/>
    <x v="574"/>
    <x v="0"/>
    <x v="12"/>
    <x v="0"/>
    <x v="0"/>
    <x v="0"/>
    <x v="0"/>
    <x v="0"/>
    <x v="0"/>
    <x v="0"/>
    <x v="0"/>
  </r>
  <r>
    <x v="1052"/>
    <x v="0"/>
    <x v="1"/>
    <x v="0"/>
    <x v="0"/>
    <x v="1"/>
    <x v="1045"/>
    <x v="877"/>
    <x v="0"/>
    <x v="2"/>
    <x v="1"/>
    <x v="1"/>
    <x v="10"/>
    <x v="0"/>
    <x v="0"/>
    <x v="0"/>
    <x v="16"/>
    <x v="11"/>
    <x v="0"/>
    <x v="358"/>
    <x v="0"/>
    <x v="0"/>
    <x v="0"/>
    <x v="541"/>
    <x v="558"/>
    <x v="1"/>
    <x v="93"/>
    <x v="405"/>
    <x v="577"/>
    <x v="0"/>
    <x v="0"/>
    <x v="578"/>
    <x v="0"/>
    <x v="381"/>
    <x v="0"/>
    <x v="0"/>
    <x v="0"/>
    <x v="0"/>
    <x v="0"/>
    <x v="0"/>
    <x v="0"/>
    <x v="0"/>
  </r>
  <r>
    <x v="1053"/>
    <x v="0"/>
    <x v="1"/>
    <x v="0"/>
    <x v="0"/>
    <x v="1"/>
    <x v="1046"/>
    <x v="878"/>
    <x v="0"/>
    <x v="2"/>
    <x v="1"/>
    <x v="1"/>
    <x v="10"/>
    <x v="0"/>
    <x v="4"/>
    <x v="0"/>
    <x v="18"/>
    <x v="13"/>
    <x v="4"/>
    <x v="452"/>
    <x v="0"/>
    <x v="0"/>
    <x v="0"/>
    <x v="39"/>
    <x v="40"/>
    <x v="7"/>
    <x v="33"/>
    <x v="38"/>
    <x v="40"/>
    <x v="0"/>
    <x v="0"/>
    <x v="40"/>
    <x v="1"/>
    <x v="34"/>
    <x v="0"/>
    <x v="0"/>
    <x v="0"/>
    <x v="0"/>
    <x v="0"/>
    <x v="0"/>
    <x v="0"/>
    <x v="0"/>
  </r>
  <r>
    <x v="1054"/>
    <x v="0"/>
    <x v="1"/>
    <x v="0"/>
    <x v="0"/>
    <x v="1"/>
    <x v="1047"/>
    <x v="879"/>
    <x v="0"/>
    <x v="2"/>
    <x v="1"/>
    <x v="1"/>
    <x v="10"/>
    <x v="0"/>
    <x v="4"/>
    <x v="0"/>
    <x v="18"/>
    <x v="13"/>
    <x v="4"/>
    <x v="356"/>
    <x v="0"/>
    <x v="0"/>
    <x v="0"/>
    <x v="310"/>
    <x v="319"/>
    <x v="1"/>
    <x v="14"/>
    <x v="326"/>
    <x v="580"/>
    <x v="0"/>
    <x v="0"/>
    <x v="581"/>
    <x v="1"/>
    <x v="229"/>
    <x v="0"/>
    <x v="0"/>
    <x v="0"/>
    <x v="0"/>
    <x v="0"/>
    <x v="0"/>
    <x v="0"/>
    <x v="0"/>
  </r>
  <r>
    <x v="1055"/>
    <x v="0"/>
    <x v="1"/>
    <x v="0"/>
    <x v="0"/>
    <x v="4"/>
    <x v="1048"/>
    <x v="880"/>
    <x v="0"/>
    <x v="2"/>
    <x v="1"/>
    <x v="1"/>
    <x v="10"/>
    <x v="0"/>
    <x v="4"/>
    <x v="0"/>
    <x v="18"/>
    <x v="13"/>
    <x v="4"/>
    <x v="431"/>
    <x v="0"/>
    <x v="0"/>
    <x v="0"/>
    <x v="544"/>
    <x v="561"/>
    <x v="1"/>
    <x v="26"/>
    <x v="27"/>
    <x v="581"/>
    <x v="0"/>
    <x v="0"/>
    <x v="582"/>
    <x v="1"/>
    <x v="383"/>
    <x v="0"/>
    <x v="0"/>
    <x v="0"/>
    <x v="52"/>
    <x v="0"/>
    <x v="0"/>
    <x v="0"/>
    <x v="0"/>
  </r>
  <r>
    <x v="1056"/>
    <x v="0"/>
    <x v="1"/>
    <x v="0"/>
    <x v="0"/>
    <x v="1"/>
    <x v="1049"/>
    <x v="881"/>
    <x v="0"/>
    <x v="2"/>
    <x v="1"/>
    <x v="1"/>
    <x v="10"/>
    <x v="0"/>
    <x v="4"/>
    <x v="0"/>
    <x v="18"/>
    <x v="13"/>
    <x v="4"/>
    <x v="453"/>
    <x v="0"/>
    <x v="0"/>
    <x v="0"/>
    <x v="399"/>
    <x v="412"/>
    <x v="3"/>
    <x v="119"/>
    <x v="186"/>
    <x v="426"/>
    <x v="0"/>
    <x v="0"/>
    <x v="425"/>
    <x v="0"/>
    <x v="286"/>
    <x v="0"/>
    <x v="0"/>
    <x v="0"/>
    <x v="0"/>
    <x v="0"/>
    <x v="0"/>
    <x v="0"/>
    <x v="0"/>
  </r>
  <r>
    <x v="1057"/>
    <x v="0"/>
    <x v="1"/>
    <x v="0"/>
    <x v="0"/>
    <x v="4"/>
    <x v="1050"/>
    <x v="882"/>
    <x v="0"/>
    <x v="2"/>
    <x v="1"/>
    <x v="1"/>
    <x v="10"/>
    <x v="0"/>
    <x v="0"/>
    <x v="0"/>
    <x v="16"/>
    <x v="11"/>
    <x v="0"/>
    <x v="451"/>
    <x v="0"/>
    <x v="0"/>
    <x v="0"/>
    <x v="49"/>
    <x v="49"/>
    <x v="13"/>
    <x v="39"/>
    <x v="47"/>
    <x v="50"/>
    <x v="0"/>
    <x v="0"/>
    <x v="49"/>
    <x v="1"/>
    <x v="41"/>
    <x v="0"/>
    <x v="0"/>
    <x v="0"/>
    <x v="0"/>
    <x v="0"/>
    <x v="0"/>
    <x v="0"/>
    <x v="0"/>
  </r>
  <r>
    <x v="1058"/>
    <x v="0"/>
    <x v="1"/>
    <x v="0"/>
    <x v="0"/>
    <x v="1"/>
    <x v="1051"/>
    <x v="883"/>
    <x v="0"/>
    <x v="2"/>
    <x v="1"/>
    <x v="1"/>
    <x v="10"/>
    <x v="0"/>
    <x v="4"/>
    <x v="0"/>
    <x v="18"/>
    <x v="13"/>
    <x v="4"/>
    <x v="454"/>
    <x v="0"/>
    <x v="0"/>
    <x v="0"/>
    <x v="399"/>
    <x v="412"/>
    <x v="3"/>
    <x v="119"/>
    <x v="186"/>
    <x v="426"/>
    <x v="0"/>
    <x v="0"/>
    <x v="425"/>
    <x v="0"/>
    <x v="286"/>
    <x v="0"/>
    <x v="0"/>
    <x v="0"/>
    <x v="0"/>
    <x v="0"/>
    <x v="0"/>
    <x v="0"/>
    <x v="0"/>
  </r>
  <r>
    <x v="1059"/>
    <x v="0"/>
    <x v="0"/>
    <x v="0"/>
    <x v="0"/>
    <x v="0"/>
    <x v="1052"/>
    <x v="884"/>
    <x v="0"/>
    <x v="0"/>
    <x v="136"/>
    <x v="137"/>
    <x v="80"/>
    <x v="0"/>
    <x v="0"/>
    <x v="0"/>
    <x v="177"/>
    <x v="159"/>
    <x v="0"/>
    <x v="455"/>
    <x v="0"/>
    <x v="0"/>
    <x v="0"/>
    <x v="545"/>
    <x v="562"/>
    <x v="3"/>
    <x v="29"/>
    <x v="406"/>
    <x v="582"/>
    <x v="0"/>
    <x v="0"/>
    <x v="583"/>
    <x v="0"/>
    <x v="384"/>
    <x v="0"/>
    <x v="0"/>
    <x v="0"/>
    <x v="0"/>
    <x v="0"/>
    <x v="0"/>
    <x v="0"/>
    <x v="0"/>
  </r>
  <r>
    <x v="1060"/>
    <x v="0"/>
    <x v="1"/>
    <x v="0"/>
    <x v="0"/>
    <x v="2"/>
    <x v="1053"/>
    <x v="885"/>
    <x v="0"/>
    <x v="2"/>
    <x v="1"/>
    <x v="1"/>
    <x v="46"/>
    <x v="0"/>
    <x v="0"/>
    <x v="0"/>
    <x v="109"/>
    <x v="95"/>
    <x v="0"/>
    <x v="456"/>
    <x v="0"/>
    <x v="0"/>
    <x v="0"/>
    <x v="546"/>
    <x v="563"/>
    <x v="13"/>
    <x v="55"/>
    <x v="74"/>
    <x v="583"/>
    <x v="0"/>
    <x v="0"/>
    <x v="584"/>
    <x v="0"/>
    <x v="385"/>
    <x v="0"/>
    <x v="0"/>
    <x v="0"/>
    <x v="0"/>
    <x v="0"/>
    <x v="0"/>
    <x v="0"/>
    <x v="0"/>
  </r>
  <r>
    <x v="1061"/>
    <x v="0"/>
    <x v="1"/>
    <x v="0"/>
    <x v="0"/>
    <x v="0"/>
    <x v="1054"/>
    <x v="886"/>
    <x v="0"/>
    <x v="0"/>
    <x v="137"/>
    <x v="138"/>
    <x v="81"/>
    <x v="0"/>
    <x v="3"/>
    <x v="0"/>
    <x v="178"/>
    <x v="160"/>
    <x v="3"/>
    <x v="457"/>
    <x v="0"/>
    <x v="0"/>
    <x v="0"/>
    <x v="547"/>
    <x v="564"/>
    <x v="6"/>
    <x v="193"/>
    <x v="407"/>
    <x v="584"/>
    <x v="0"/>
    <x v="0"/>
    <x v="585"/>
    <x v="1"/>
    <x v="386"/>
    <x v="0"/>
    <x v="0"/>
    <x v="0"/>
    <x v="0"/>
    <x v="0"/>
    <x v="0"/>
    <x v="0"/>
    <x v="0"/>
  </r>
  <r>
    <x v="1062"/>
    <x v="0"/>
    <x v="1"/>
    <x v="0"/>
    <x v="0"/>
    <x v="1"/>
    <x v="1055"/>
    <x v="887"/>
    <x v="0"/>
    <x v="2"/>
    <x v="1"/>
    <x v="1"/>
    <x v="66"/>
    <x v="0"/>
    <x v="4"/>
    <x v="0"/>
    <x v="168"/>
    <x v="150"/>
    <x v="4"/>
    <x v="458"/>
    <x v="0"/>
    <x v="0"/>
    <x v="0"/>
    <x v="548"/>
    <x v="565"/>
    <x v="13"/>
    <x v="136"/>
    <x v="408"/>
    <x v="585"/>
    <x v="0"/>
    <x v="0"/>
    <x v="586"/>
    <x v="0"/>
    <x v="12"/>
    <x v="0"/>
    <x v="0"/>
    <x v="0"/>
    <x v="0"/>
    <x v="0"/>
    <x v="0"/>
    <x v="0"/>
    <x v="0"/>
  </r>
  <r>
    <x v="1063"/>
    <x v="0"/>
    <x v="1"/>
    <x v="0"/>
    <x v="0"/>
    <x v="1"/>
    <x v="1056"/>
    <x v="888"/>
    <x v="0"/>
    <x v="2"/>
    <x v="1"/>
    <x v="1"/>
    <x v="50"/>
    <x v="0"/>
    <x v="6"/>
    <x v="0"/>
    <x v="126"/>
    <x v="110"/>
    <x v="6"/>
    <x v="101"/>
    <x v="0"/>
    <x v="0"/>
    <x v="0"/>
    <x v="549"/>
    <x v="566"/>
    <x v="0"/>
    <x v="12"/>
    <x v="12"/>
    <x v="586"/>
    <x v="0"/>
    <x v="0"/>
    <x v="587"/>
    <x v="0"/>
    <x v="12"/>
    <x v="0"/>
    <x v="0"/>
    <x v="0"/>
    <x v="0"/>
    <x v="0"/>
    <x v="0"/>
    <x v="0"/>
    <x v="0"/>
  </r>
  <r>
    <x v="1064"/>
    <x v="0"/>
    <x v="1"/>
    <x v="0"/>
    <x v="0"/>
    <x v="1"/>
    <x v="1057"/>
    <x v="889"/>
    <x v="0"/>
    <x v="2"/>
    <x v="1"/>
    <x v="1"/>
    <x v="10"/>
    <x v="0"/>
    <x v="4"/>
    <x v="0"/>
    <x v="18"/>
    <x v="13"/>
    <x v="4"/>
    <x v="359"/>
    <x v="0"/>
    <x v="0"/>
    <x v="0"/>
    <x v="548"/>
    <x v="565"/>
    <x v="13"/>
    <x v="136"/>
    <x v="408"/>
    <x v="585"/>
    <x v="0"/>
    <x v="0"/>
    <x v="586"/>
    <x v="0"/>
    <x v="12"/>
    <x v="0"/>
    <x v="0"/>
    <x v="0"/>
    <x v="0"/>
    <x v="0"/>
    <x v="0"/>
    <x v="0"/>
    <x v="0"/>
  </r>
  <r>
    <x v="1065"/>
    <x v="0"/>
    <x v="1"/>
    <x v="0"/>
    <x v="0"/>
    <x v="0"/>
    <x v="1058"/>
    <x v="890"/>
    <x v="0"/>
    <x v="0"/>
    <x v="138"/>
    <x v="139"/>
    <x v="82"/>
    <x v="0"/>
    <x v="0"/>
    <x v="0"/>
    <x v="179"/>
    <x v="161"/>
    <x v="0"/>
    <x v="459"/>
    <x v="2"/>
    <x v="0"/>
    <x v="0"/>
    <x v="537"/>
    <x v="554"/>
    <x v="0"/>
    <x v="185"/>
    <x v="403"/>
    <x v="573"/>
    <x v="0"/>
    <x v="0"/>
    <x v="588"/>
    <x v="0"/>
    <x v="387"/>
    <x v="0"/>
    <x v="0"/>
    <x v="0"/>
    <x v="0"/>
    <x v="0"/>
    <x v="0"/>
    <x v="0"/>
    <x v="0"/>
  </r>
  <r>
    <x v="1066"/>
    <x v="0"/>
    <x v="1"/>
    <x v="0"/>
    <x v="0"/>
    <x v="1"/>
    <x v="1059"/>
    <x v="891"/>
    <x v="0"/>
    <x v="2"/>
    <x v="1"/>
    <x v="1"/>
    <x v="10"/>
    <x v="0"/>
    <x v="0"/>
    <x v="0"/>
    <x v="16"/>
    <x v="11"/>
    <x v="0"/>
    <x v="460"/>
    <x v="0"/>
    <x v="0"/>
    <x v="0"/>
    <x v="548"/>
    <x v="565"/>
    <x v="13"/>
    <x v="136"/>
    <x v="408"/>
    <x v="585"/>
    <x v="0"/>
    <x v="0"/>
    <x v="586"/>
    <x v="0"/>
    <x v="12"/>
    <x v="0"/>
    <x v="0"/>
    <x v="0"/>
    <x v="0"/>
    <x v="0"/>
    <x v="0"/>
    <x v="0"/>
    <x v="0"/>
  </r>
  <r>
    <x v="1067"/>
    <x v="0"/>
    <x v="1"/>
    <x v="0"/>
    <x v="0"/>
    <x v="1"/>
    <x v="1060"/>
    <x v="892"/>
    <x v="0"/>
    <x v="2"/>
    <x v="1"/>
    <x v="1"/>
    <x v="66"/>
    <x v="0"/>
    <x v="0"/>
    <x v="0"/>
    <x v="153"/>
    <x v="137"/>
    <x v="0"/>
    <x v="392"/>
    <x v="0"/>
    <x v="0"/>
    <x v="0"/>
    <x v="549"/>
    <x v="566"/>
    <x v="0"/>
    <x v="12"/>
    <x v="12"/>
    <x v="586"/>
    <x v="0"/>
    <x v="0"/>
    <x v="587"/>
    <x v="0"/>
    <x v="12"/>
    <x v="0"/>
    <x v="0"/>
    <x v="0"/>
    <x v="0"/>
    <x v="0"/>
    <x v="0"/>
    <x v="0"/>
    <x v="0"/>
  </r>
  <r>
    <x v="1068"/>
    <x v="0"/>
    <x v="1"/>
    <x v="0"/>
    <x v="0"/>
    <x v="1"/>
    <x v="1061"/>
    <x v="893"/>
    <x v="0"/>
    <x v="2"/>
    <x v="1"/>
    <x v="1"/>
    <x v="51"/>
    <x v="0"/>
    <x v="0"/>
    <x v="0"/>
    <x v="150"/>
    <x v="133"/>
    <x v="0"/>
    <x v="461"/>
    <x v="0"/>
    <x v="0"/>
    <x v="0"/>
    <x v="548"/>
    <x v="565"/>
    <x v="13"/>
    <x v="136"/>
    <x v="408"/>
    <x v="585"/>
    <x v="0"/>
    <x v="0"/>
    <x v="586"/>
    <x v="0"/>
    <x v="12"/>
    <x v="0"/>
    <x v="0"/>
    <x v="0"/>
    <x v="0"/>
    <x v="0"/>
    <x v="0"/>
    <x v="0"/>
    <x v="0"/>
  </r>
  <r>
    <x v="1069"/>
    <x v="0"/>
    <x v="1"/>
    <x v="0"/>
    <x v="0"/>
    <x v="1"/>
    <x v="1062"/>
    <x v="894"/>
    <x v="0"/>
    <x v="2"/>
    <x v="1"/>
    <x v="1"/>
    <x v="51"/>
    <x v="0"/>
    <x v="19"/>
    <x v="0"/>
    <x v="180"/>
    <x v="162"/>
    <x v="19"/>
    <x v="462"/>
    <x v="0"/>
    <x v="0"/>
    <x v="0"/>
    <x v="550"/>
    <x v="567"/>
    <x v="13"/>
    <x v="136"/>
    <x v="408"/>
    <x v="587"/>
    <x v="0"/>
    <x v="0"/>
    <x v="589"/>
    <x v="0"/>
    <x v="388"/>
    <x v="0"/>
    <x v="0"/>
    <x v="0"/>
    <x v="0"/>
    <x v="2"/>
    <x v="0"/>
    <x v="0"/>
    <x v="0"/>
  </r>
  <r>
    <x v="1070"/>
    <x v="0"/>
    <x v="1"/>
    <x v="1"/>
    <x v="0"/>
    <x v="1"/>
    <x v="1063"/>
    <x v="1"/>
    <x v="0"/>
    <x v="1"/>
    <x v="1"/>
    <x v="1"/>
    <x v="31"/>
    <x v="0"/>
    <x v="0"/>
    <x v="0"/>
    <x v="72"/>
    <x v="1"/>
    <x v="0"/>
    <x v="319"/>
    <x v="0"/>
    <x v="0"/>
    <x v="0"/>
    <x v="551"/>
    <x v="568"/>
    <x v="21"/>
    <x v="63"/>
    <x v="409"/>
    <x v="588"/>
    <x v="0"/>
    <x v="0"/>
    <x v="590"/>
    <x v="0"/>
    <x v="12"/>
    <x v="0"/>
    <x v="0"/>
    <x v="0"/>
    <x v="0"/>
    <x v="0"/>
    <x v="0"/>
    <x v="0"/>
    <x v="0"/>
  </r>
  <r>
    <x v="1071"/>
    <x v="0"/>
    <x v="1"/>
    <x v="0"/>
    <x v="0"/>
    <x v="2"/>
    <x v="1064"/>
    <x v="895"/>
    <x v="0"/>
    <x v="2"/>
    <x v="1"/>
    <x v="1"/>
    <x v="83"/>
    <x v="0"/>
    <x v="5"/>
    <x v="0"/>
    <x v="181"/>
    <x v="163"/>
    <x v="5"/>
    <x v="463"/>
    <x v="0"/>
    <x v="0"/>
    <x v="0"/>
    <x v="552"/>
    <x v="569"/>
    <x v="7"/>
    <x v="64"/>
    <x v="410"/>
    <x v="589"/>
    <x v="0"/>
    <x v="0"/>
    <x v="591"/>
    <x v="0"/>
    <x v="12"/>
    <x v="0"/>
    <x v="0"/>
    <x v="0"/>
    <x v="0"/>
    <x v="0"/>
    <x v="0"/>
    <x v="0"/>
    <x v="0"/>
  </r>
  <r>
    <x v="1072"/>
    <x v="0"/>
    <x v="1"/>
    <x v="0"/>
    <x v="0"/>
    <x v="0"/>
    <x v="1065"/>
    <x v="896"/>
    <x v="0"/>
    <x v="0"/>
    <x v="139"/>
    <x v="140"/>
    <x v="15"/>
    <x v="0"/>
    <x v="0"/>
    <x v="0"/>
    <x v="31"/>
    <x v="26"/>
    <x v="0"/>
    <x v="464"/>
    <x v="0"/>
    <x v="0"/>
    <x v="0"/>
    <x v="553"/>
    <x v="570"/>
    <x v="1"/>
    <x v="191"/>
    <x v="411"/>
    <x v="590"/>
    <x v="0"/>
    <x v="0"/>
    <x v="592"/>
    <x v="1"/>
    <x v="389"/>
    <x v="0"/>
    <x v="0"/>
    <x v="0"/>
    <x v="0"/>
    <x v="0"/>
    <x v="0"/>
    <x v="0"/>
    <x v="0"/>
  </r>
  <r>
    <x v="1073"/>
    <x v="0"/>
    <x v="1"/>
    <x v="0"/>
    <x v="0"/>
    <x v="1"/>
    <x v="1066"/>
    <x v="897"/>
    <x v="0"/>
    <x v="2"/>
    <x v="1"/>
    <x v="1"/>
    <x v="50"/>
    <x v="0"/>
    <x v="2"/>
    <x v="0"/>
    <x v="182"/>
    <x v="164"/>
    <x v="2"/>
    <x v="465"/>
    <x v="0"/>
    <x v="0"/>
    <x v="0"/>
    <x v="554"/>
    <x v="571"/>
    <x v="5"/>
    <x v="10"/>
    <x v="78"/>
    <x v="591"/>
    <x v="0"/>
    <x v="0"/>
    <x v="593"/>
    <x v="1"/>
    <x v="390"/>
    <x v="0"/>
    <x v="0"/>
    <x v="0"/>
    <x v="0"/>
    <x v="0"/>
    <x v="0"/>
    <x v="0"/>
    <x v="0"/>
  </r>
  <r>
    <x v="1074"/>
    <x v="0"/>
    <x v="1"/>
    <x v="0"/>
    <x v="0"/>
    <x v="1"/>
    <x v="1067"/>
    <x v="898"/>
    <x v="0"/>
    <x v="2"/>
    <x v="1"/>
    <x v="1"/>
    <x v="51"/>
    <x v="0"/>
    <x v="0"/>
    <x v="0"/>
    <x v="150"/>
    <x v="133"/>
    <x v="0"/>
    <x v="466"/>
    <x v="0"/>
    <x v="0"/>
    <x v="0"/>
    <x v="555"/>
    <x v="572"/>
    <x v="13"/>
    <x v="55"/>
    <x v="412"/>
    <x v="592"/>
    <x v="0"/>
    <x v="0"/>
    <x v="594"/>
    <x v="0"/>
    <x v="12"/>
    <x v="0"/>
    <x v="0"/>
    <x v="0"/>
    <x v="0"/>
    <x v="0"/>
    <x v="0"/>
    <x v="0"/>
    <x v="0"/>
  </r>
  <r>
    <x v="1075"/>
    <x v="0"/>
    <x v="1"/>
    <x v="0"/>
    <x v="0"/>
    <x v="1"/>
    <x v="1068"/>
    <x v="899"/>
    <x v="0"/>
    <x v="2"/>
    <x v="1"/>
    <x v="1"/>
    <x v="51"/>
    <x v="0"/>
    <x v="0"/>
    <x v="0"/>
    <x v="150"/>
    <x v="133"/>
    <x v="0"/>
    <x v="467"/>
    <x v="0"/>
    <x v="0"/>
    <x v="0"/>
    <x v="555"/>
    <x v="572"/>
    <x v="13"/>
    <x v="55"/>
    <x v="412"/>
    <x v="592"/>
    <x v="0"/>
    <x v="0"/>
    <x v="594"/>
    <x v="0"/>
    <x v="12"/>
    <x v="0"/>
    <x v="0"/>
    <x v="0"/>
    <x v="0"/>
    <x v="0"/>
    <x v="0"/>
    <x v="0"/>
    <x v="0"/>
  </r>
  <r>
    <x v="1076"/>
    <x v="0"/>
    <x v="1"/>
    <x v="0"/>
    <x v="0"/>
    <x v="1"/>
    <x v="1069"/>
    <x v="900"/>
    <x v="0"/>
    <x v="2"/>
    <x v="1"/>
    <x v="1"/>
    <x v="51"/>
    <x v="0"/>
    <x v="3"/>
    <x v="0"/>
    <x v="134"/>
    <x v="117"/>
    <x v="3"/>
    <x v="468"/>
    <x v="0"/>
    <x v="0"/>
    <x v="0"/>
    <x v="324"/>
    <x v="332"/>
    <x v="8"/>
    <x v="157"/>
    <x v="269"/>
    <x v="343"/>
    <x v="0"/>
    <x v="0"/>
    <x v="339"/>
    <x v="0"/>
    <x v="12"/>
    <x v="0"/>
    <x v="0"/>
    <x v="0"/>
    <x v="0"/>
    <x v="0"/>
    <x v="0"/>
    <x v="0"/>
    <x v="0"/>
  </r>
  <r>
    <x v="1077"/>
    <x v="0"/>
    <x v="1"/>
    <x v="0"/>
    <x v="0"/>
    <x v="4"/>
    <x v="1070"/>
    <x v="901"/>
    <x v="0"/>
    <x v="2"/>
    <x v="1"/>
    <x v="1"/>
    <x v="51"/>
    <x v="0"/>
    <x v="0"/>
    <x v="0"/>
    <x v="150"/>
    <x v="133"/>
    <x v="0"/>
    <x v="469"/>
    <x v="0"/>
    <x v="0"/>
    <x v="0"/>
    <x v="556"/>
    <x v="573"/>
    <x v="8"/>
    <x v="167"/>
    <x v="413"/>
    <x v="593"/>
    <x v="0"/>
    <x v="0"/>
    <x v="595"/>
    <x v="0"/>
    <x v="12"/>
    <x v="0"/>
    <x v="0"/>
    <x v="0"/>
    <x v="0"/>
    <x v="0"/>
    <x v="0"/>
    <x v="0"/>
    <x v="0"/>
  </r>
  <r>
    <x v="1078"/>
    <x v="0"/>
    <x v="1"/>
    <x v="2"/>
    <x v="0"/>
    <x v="2"/>
    <x v="1071"/>
    <x v="1"/>
    <x v="0"/>
    <x v="1"/>
    <x v="1"/>
    <x v="1"/>
    <x v="84"/>
    <x v="0"/>
    <x v="0"/>
    <x v="0"/>
    <x v="131"/>
    <x v="1"/>
    <x v="0"/>
    <x v="470"/>
    <x v="0"/>
    <x v="0"/>
    <x v="0"/>
    <x v="557"/>
    <x v="574"/>
    <x v="0"/>
    <x v="24"/>
    <x v="129"/>
    <x v="594"/>
    <x v="0"/>
    <x v="0"/>
    <x v="596"/>
    <x v="1"/>
    <x v="391"/>
    <x v="0"/>
    <x v="0"/>
    <x v="0"/>
    <x v="0"/>
    <x v="0"/>
    <x v="0"/>
    <x v="0"/>
    <x v="0"/>
  </r>
  <r>
    <x v="1079"/>
    <x v="0"/>
    <x v="1"/>
    <x v="2"/>
    <x v="0"/>
    <x v="1"/>
    <x v="1072"/>
    <x v="1"/>
    <x v="0"/>
    <x v="1"/>
    <x v="1"/>
    <x v="1"/>
    <x v="85"/>
    <x v="0"/>
    <x v="1"/>
    <x v="0"/>
    <x v="183"/>
    <x v="1"/>
    <x v="1"/>
    <x v="471"/>
    <x v="0"/>
    <x v="0"/>
    <x v="0"/>
    <x v="557"/>
    <x v="574"/>
    <x v="0"/>
    <x v="24"/>
    <x v="129"/>
    <x v="594"/>
    <x v="0"/>
    <x v="0"/>
    <x v="596"/>
    <x v="1"/>
    <x v="391"/>
    <x v="0"/>
    <x v="0"/>
    <x v="0"/>
    <x v="0"/>
    <x v="0"/>
    <x v="0"/>
    <x v="0"/>
    <x v="0"/>
  </r>
  <r>
    <x v="1080"/>
    <x v="0"/>
    <x v="1"/>
    <x v="0"/>
    <x v="0"/>
    <x v="1"/>
    <x v="1073"/>
    <x v="902"/>
    <x v="0"/>
    <x v="2"/>
    <x v="1"/>
    <x v="1"/>
    <x v="46"/>
    <x v="0"/>
    <x v="5"/>
    <x v="0"/>
    <x v="111"/>
    <x v="104"/>
    <x v="5"/>
    <x v="472"/>
    <x v="0"/>
    <x v="0"/>
    <x v="0"/>
    <x v="552"/>
    <x v="569"/>
    <x v="7"/>
    <x v="64"/>
    <x v="410"/>
    <x v="589"/>
    <x v="0"/>
    <x v="0"/>
    <x v="591"/>
    <x v="0"/>
    <x v="12"/>
    <x v="0"/>
    <x v="0"/>
    <x v="0"/>
    <x v="0"/>
    <x v="0"/>
    <x v="0"/>
    <x v="0"/>
    <x v="0"/>
  </r>
  <r>
    <x v="1081"/>
    <x v="0"/>
    <x v="1"/>
    <x v="0"/>
    <x v="0"/>
    <x v="1"/>
    <x v="1074"/>
    <x v="903"/>
    <x v="0"/>
    <x v="2"/>
    <x v="1"/>
    <x v="1"/>
    <x v="51"/>
    <x v="0"/>
    <x v="3"/>
    <x v="0"/>
    <x v="134"/>
    <x v="117"/>
    <x v="3"/>
    <x v="473"/>
    <x v="0"/>
    <x v="0"/>
    <x v="0"/>
    <x v="552"/>
    <x v="569"/>
    <x v="7"/>
    <x v="64"/>
    <x v="410"/>
    <x v="589"/>
    <x v="0"/>
    <x v="0"/>
    <x v="591"/>
    <x v="0"/>
    <x v="12"/>
    <x v="0"/>
    <x v="0"/>
    <x v="0"/>
    <x v="0"/>
    <x v="0"/>
    <x v="0"/>
    <x v="0"/>
    <x v="0"/>
  </r>
  <r>
    <x v="1082"/>
    <x v="0"/>
    <x v="1"/>
    <x v="0"/>
    <x v="0"/>
    <x v="1"/>
    <x v="1075"/>
    <x v="904"/>
    <x v="0"/>
    <x v="2"/>
    <x v="1"/>
    <x v="1"/>
    <x v="66"/>
    <x v="0"/>
    <x v="0"/>
    <x v="0"/>
    <x v="153"/>
    <x v="137"/>
    <x v="0"/>
    <x v="442"/>
    <x v="0"/>
    <x v="0"/>
    <x v="0"/>
    <x v="552"/>
    <x v="569"/>
    <x v="7"/>
    <x v="64"/>
    <x v="410"/>
    <x v="589"/>
    <x v="0"/>
    <x v="0"/>
    <x v="591"/>
    <x v="0"/>
    <x v="12"/>
    <x v="0"/>
    <x v="0"/>
    <x v="0"/>
    <x v="0"/>
    <x v="0"/>
    <x v="0"/>
    <x v="0"/>
    <x v="0"/>
  </r>
  <r>
    <x v="1083"/>
    <x v="0"/>
    <x v="1"/>
    <x v="0"/>
    <x v="0"/>
    <x v="1"/>
    <x v="1076"/>
    <x v="905"/>
    <x v="0"/>
    <x v="2"/>
    <x v="1"/>
    <x v="1"/>
    <x v="66"/>
    <x v="0"/>
    <x v="0"/>
    <x v="0"/>
    <x v="153"/>
    <x v="137"/>
    <x v="0"/>
    <x v="392"/>
    <x v="0"/>
    <x v="0"/>
    <x v="0"/>
    <x v="558"/>
    <x v="575"/>
    <x v="26"/>
    <x v="194"/>
    <x v="414"/>
    <x v="595"/>
    <x v="0"/>
    <x v="0"/>
    <x v="597"/>
    <x v="0"/>
    <x v="12"/>
    <x v="0"/>
    <x v="0"/>
    <x v="0"/>
    <x v="0"/>
    <x v="0"/>
    <x v="0"/>
    <x v="0"/>
    <x v="0"/>
  </r>
  <r>
    <x v="1084"/>
    <x v="0"/>
    <x v="1"/>
    <x v="0"/>
    <x v="0"/>
    <x v="1"/>
    <x v="1077"/>
    <x v="906"/>
    <x v="0"/>
    <x v="2"/>
    <x v="1"/>
    <x v="1"/>
    <x v="66"/>
    <x v="0"/>
    <x v="0"/>
    <x v="0"/>
    <x v="153"/>
    <x v="137"/>
    <x v="0"/>
    <x v="442"/>
    <x v="0"/>
    <x v="0"/>
    <x v="0"/>
    <x v="559"/>
    <x v="576"/>
    <x v="23"/>
    <x v="186"/>
    <x v="384"/>
    <x v="596"/>
    <x v="0"/>
    <x v="0"/>
    <x v="598"/>
    <x v="0"/>
    <x v="12"/>
    <x v="0"/>
    <x v="0"/>
    <x v="0"/>
    <x v="0"/>
    <x v="0"/>
    <x v="0"/>
    <x v="0"/>
    <x v="0"/>
  </r>
  <r>
    <x v="1085"/>
    <x v="0"/>
    <x v="1"/>
    <x v="0"/>
    <x v="0"/>
    <x v="0"/>
    <x v="1078"/>
    <x v="907"/>
    <x v="0"/>
    <x v="0"/>
    <x v="140"/>
    <x v="141"/>
    <x v="15"/>
    <x v="0"/>
    <x v="0"/>
    <x v="0"/>
    <x v="31"/>
    <x v="26"/>
    <x v="0"/>
    <x v="474"/>
    <x v="0"/>
    <x v="0"/>
    <x v="0"/>
    <x v="197"/>
    <x v="202"/>
    <x v="11"/>
    <x v="110"/>
    <x v="172"/>
    <x v="207"/>
    <x v="0"/>
    <x v="0"/>
    <x v="207"/>
    <x v="1"/>
    <x v="159"/>
    <x v="0"/>
    <x v="0"/>
    <x v="0"/>
    <x v="0"/>
    <x v="0"/>
    <x v="0"/>
    <x v="0"/>
    <x v="0"/>
  </r>
  <r>
    <x v="1086"/>
    <x v="0"/>
    <x v="1"/>
    <x v="0"/>
    <x v="0"/>
    <x v="1"/>
    <x v="1079"/>
    <x v="908"/>
    <x v="0"/>
    <x v="2"/>
    <x v="1"/>
    <x v="1"/>
    <x v="37"/>
    <x v="0"/>
    <x v="9"/>
    <x v="0"/>
    <x v="184"/>
    <x v="165"/>
    <x v="9"/>
    <x v="475"/>
    <x v="0"/>
    <x v="0"/>
    <x v="0"/>
    <x v="560"/>
    <x v="577"/>
    <x v="1"/>
    <x v="1"/>
    <x v="415"/>
    <x v="597"/>
    <x v="0"/>
    <x v="0"/>
    <x v="599"/>
    <x v="1"/>
    <x v="392"/>
    <x v="0"/>
    <x v="0"/>
    <x v="0"/>
    <x v="0"/>
    <x v="0"/>
    <x v="0"/>
    <x v="0"/>
    <x v="0"/>
  </r>
  <r>
    <x v="1087"/>
    <x v="0"/>
    <x v="1"/>
    <x v="0"/>
    <x v="0"/>
    <x v="1"/>
    <x v="1080"/>
    <x v="909"/>
    <x v="0"/>
    <x v="2"/>
    <x v="1"/>
    <x v="1"/>
    <x v="51"/>
    <x v="0"/>
    <x v="3"/>
    <x v="0"/>
    <x v="134"/>
    <x v="117"/>
    <x v="3"/>
    <x v="476"/>
    <x v="0"/>
    <x v="0"/>
    <x v="0"/>
    <x v="353"/>
    <x v="363"/>
    <x v="19"/>
    <x v="40"/>
    <x v="289"/>
    <x v="374"/>
    <x v="0"/>
    <x v="0"/>
    <x v="600"/>
    <x v="0"/>
    <x v="393"/>
    <x v="0"/>
    <x v="0"/>
    <x v="0"/>
    <x v="0"/>
    <x v="0"/>
    <x v="0"/>
    <x v="0"/>
    <x v="0"/>
  </r>
  <r>
    <x v="1088"/>
    <x v="0"/>
    <x v="1"/>
    <x v="0"/>
    <x v="0"/>
    <x v="1"/>
    <x v="1081"/>
    <x v="910"/>
    <x v="0"/>
    <x v="2"/>
    <x v="1"/>
    <x v="1"/>
    <x v="37"/>
    <x v="0"/>
    <x v="6"/>
    <x v="0"/>
    <x v="104"/>
    <x v="135"/>
    <x v="6"/>
    <x v="364"/>
    <x v="0"/>
    <x v="0"/>
    <x v="0"/>
    <x v="561"/>
    <x v="578"/>
    <x v="27"/>
    <x v="124"/>
    <x v="416"/>
    <x v="598"/>
    <x v="0"/>
    <x v="0"/>
    <x v="601"/>
    <x v="1"/>
    <x v="394"/>
    <x v="0"/>
    <x v="0"/>
    <x v="0"/>
    <x v="0"/>
    <x v="0"/>
    <x v="0"/>
    <x v="0"/>
    <x v="0"/>
  </r>
  <r>
    <x v="1089"/>
    <x v="0"/>
    <x v="1"/>
    <x v="0"/>
    <x v="0"/>
    <x v="1"/>
    <x v="1082"/>
    <x v="911"/>
    <x v="0"/>
    <x v="2"/>
    <x v="1"/>
    <x v="1"/>
    <x v="66"/>
    <x v="0"/>
    <x v="5"/>
    <x v="0"/>
    <x v="151"/>
    <x v="134"/>
    <x v="5"/>
    <x v="392"/>
    <x v="0"/>
    <x v="0"/>
    <x v="0"/>
    <x v="353"/>
    <x v="363"/>
    <x v="19"/>
    <x v="40"/>
    <x v="289"/>
    <x v="374"/>
    <x v="0"/>
    <x v="0"/>
    <x v="600"/>
    <x v="0"/>
    <x v="393"/>
    <x v="0"/>
    <x v="0"/>
    <x v="0"/>
    <x v="0"/>
    <x v="0"/>
    <x v="0"/>
    <x v="0"/>
    <x v="0"/>
  </r>
  <r>
    <x v="1090"/>
    <x v="0"/>
    <x v="1"/>
    <x v="0"/>
    <x v="0"/>
    <x v="1"/>
    <x v="1083"/>
    <x v="912"/>
    <x v="0"/>
    <x v="2"/>
    <x v="1"/>
    <x v="1"/>
    <x v="66"/>
    <x v="0"/>
    <x v="3"/>
    <x v="0"/>
    <x v="166"/>
    <x v="166"/>
    <x v="3"/>
    <x v="392"/>
    <x v="0"/>
    <x v="0"/>
    <x v="0"/>
    <x v="560"/>
    <x v="577"/>
    <x v="1"/>
    <x v="1"/>
    <x v="415"/>
    <x v="597"/>
    <x v="65"/>
    <x v="0"/>
    <x v="599"/>
    <x v="1"/>
    <x v="392"/>
    <x v="0"/>
    <x v="0"/>
    <x v="0"/>
    <x v="0"/>
    <x v="0"/>
    <x v="0"/>
    <x v="0"/>
    <x v="0"/>
  </r>
  <r>
    <x v="1091"/>
    <x v="0"/>
    <x v="0"/>
    <x v="1"/>
    <x v="0"/>
    <x v="0"/>
    <x v="1084"/>
    <x v="1"/>
    <x v="0"/>
    <x v="1"/>
    <x v="1"/>
    <x v="1"/>
    <x v="86"/>
    <x v="0"/>
    <x v="0"/>
    <x v="0"/>
    <x v="44"/>
    <x v="1"/>
    <x v="0"/>
    <x v="477"/>
    <x v="0"/>
    <x v="0"/>
    <x v="0"/>
    <x v="562"/>
    <x v="579"/>
    <x v="7"/>
    <x v="64"/>
    <x v="417"/>
    <x v="599"/>
    <x v="0"/>
    <x v="0"/>
    <x v="602"/>
    <x v="1"/>
    <x v="395"/>
    <x v="0"/>
    <x v="0"/>
    <x v="0"/>
    <x v="0"/>
    <x v="0"/>
    <x v="0"/>
    <x v="0"/>
    <x v="0"/>
  </r>
  <r>
    <x v="1092"/>
    <x v="0"/>
    <x v="1"/>
    <x v="0"/>
    <x v="0"/>
    <x v="1"/>
    <x v="1085"/>
    <x v="913"/>
    <x v="0"/>
    <x v="2"/>
    <x v="1"/>
    <x v="1"/>
    <x v="66"/>
    <x v="0"/>
    <x v="0"/>
    <x v="0"/>
    <x v="153"/>
    <x v="137"/>
    <x v="0"/>
    <x v="418"/>
    <x v="0"/>
    <x v="0"/>
    <x v="0"/>
    <x v="320"/>
    <x v="328"/>
    <x v="13"/>
    <x v="55"/>
    <x v="119"/>
    <x v="339"/>
    <x v="0"/>
    <x v="0"/>
    <x v="415"/>
    <x v="0"/>
    <x v="281"/>
    <x v="0"/>
    <x v="0"/>
    <x v="0"/>
    <x v="53"/>
    <x v="0"/>
    <x v="0"/>
    <x v="0"/>
    <x v="0"/>
  </r>
  <r>
    <x v="1093"/>
    <x v="0"/>
    <x v="1"/>
    <x v="0"/>
    <x v="0"/>
    <x v="1"/>
    <x v="1086"/>
    <x v="914"/>
    <x v="0"/>
    <x v="2"/>
    <x v="1"/>
    <x v="1"/>
    <x v="66"/>
    <x v="0"/>
    <x v="0"/>
    <x v="0"/>
    <x v="153"/>
    <x v="137"/>
    <x v="0"/>
    <x v="425"/>
    <x v="0"/>
    <x v="0"/>
    <x v="0"/>
    <x v="563"/>
    <x v="580"/>
    <x v="6"/>
    <x v="116"/>
    <x v="418"/>
    <x v="600"/>
    <x v="66"/>
    <x v="0"/>
    <x v="603"/>
    <x v="0"/>
    <x v="12"/>
    <x v="0"/>
    <x v="0"/>
    <x v="0"/>
    <x v="0"/>
    <x v="0"/>
    <x v="0"/>
    <x v="0"/>
    <x v="0"/>
  </r>
  <r>
    <x v="1094"/>
    <x v="0"/>
    <x v="1"/>
    <x v="1"/>
    <x v="0"/>
    <x v="1"/>
    <x v="1087"/>
    <x v="1"/>
    <x v="0"/>
    <x v="1"/>
    <x v="1"/>
    <x v="1"/>
    <x v="66"/>
    <x v="0"/>
    <x v="2"/>
    <x v="0"/>
    <x v="185"/>
    <x v="1"/>
    <x v="2"/>
    <x v="418"/>
    <x v="0"/>
    <x v="0"/>
    <x v="0"/>
    <x v="320"/>
    <x v="328"/>
    <x v="13"/>
    <x v="55"/>
    <x v="119"/>
    <x v="339"/>
    <x v="0"/>
    <x v="0"/>
    <x v="415"/>
    <x v="0"/>
    <x v="281"/>
    <x v="0"/>
    <x v="0"/>
    <x v="0"/>
    <x v="0"/>
    <x v="0"/>
    <x v="0"/>
    <x v="0"/>
    <x v="0"/>
  </r>
  <r>
    <x v="1095"/>
    <x v="0"/>
    <x v="1"/>
    <x v="0"/>
    <x v="0"/>
    <x v="1"/>
    <x v="1088"/>
    <x v="915"/>
    <x v="0"/>
    <x v="2"/>
    <x v="1"/>
    <x v="1"/>
    <x v="66"/>
    <x v="0"/>
    <x v="6"/>
    <x v="0"/>
    <x v="186"/>
    <x v="167"/>
    <x v="6"/>
    <x v="442"/>
    <x v="0"/>
    <x v="0"/>
    <x v="0"/>
    <x v="561"/>
    <x v="578"/>
    <x v="27"/>
    <x v="124"/>
    <x v="416"/>
    <x v="598"/>
    <x v="0"/>
    <x v="0"/>
    <x v="601"/>
    <x v="1"/>
    <x v="394"/>
    <x v="0"/>
    <x v="0"/>
    <x v="0"/>
    <x v="0"/>
    <x v="0"/>
    <x v="0"/>
    <x v="0"/>
    <x v="0"/>
  </r>
  <r>
    <x v="1096"/>
    <x v="0"/>
    <x v="1"/>
    <x v="0"/>
    <x v="0"/>
    <x v="1"/>
    <x v="1089"/>
    <x v="916"/>
    <x v="0"/>
    <x v="2"/>
    <x v="1"/>
    <x v="1"/>
    <x v="66"/>
    <x v="0"/>
    <x v="3"/>
    <x v="0"/>
    <x v="166"/>
    <x v="166"/>
    <x v="3"/>
    <x v="478"/>
    <x v="0"/>
    <x v="0"/>
    <x v="0"/>
    <x v="550"/>
    <x v="567"/>
    <x v="13"/>
    <x v="136"/>
    <x v="408"/>
    <x v="587"/>
    <x v="0"/>
    <x v="0"/>
    <x v="589"/>
    <x v="0"/>
    <x v="388"/>
    <x v="0"/>
    <x v="0"/>
    <x v="0"/>
    <x v="0"/>
    <x v="0"/>
    <x v="0"/>
    <x v="0"/>
    <x v="0"/>
  </r>
  <r>
    <x v="1097"/>
    <x v="0"/>
    <x v="1"/>
    <x v="2"/>
    <x v="0"/>
    <x v="1"/>
    <x v="1090"/>
    <x v="917"/>
    <x v="0"/>
    <x v="2"/>
    <x v="1"/>
    <x v="1"/>
    <x v="10"/>
    <x v="0"/>
    <x v="4"/>
    <x v="0"/>
    <x v="18"/>
    <x v="13"/>
    <x v="4"/>
    <x v="348"/>
    <x v="0"/>
    <x v="0"/>
    <x v="0"/>
    <x v="133"/>
    <x v="135"/>
    <x v="13"/>
    <x v="55"/>
    <x v="119"/>
    <x v="138"/>
    <x v="0"/>
    <x v="0"/>
    <x v="138"/>
    <x v="1"/>
    <x v="104"/>
    <x v="0"/>
    <x v="2"/>
    <x v="22"/>
    <x v="0"/>
    <x v="0"/>
    <x v="0"/>
    <x v="0"/>
    <x v="0"/>
  </r>
  <r>
    <x v="1098"/>
    <x v="0"/>
    <x v="1"/>
    <x v="0"/>
    <x v="0"/>
    <x v="1"/>
    <x v="1091"/>
    <x v="918"/>
    <x v="0"/>
    <x v="2"/>
    <x v="1"/>
    <x v="1"/>
    <x v="10"/>
    <x v="0"/>
    <x v="4"/>
    <x v="0"/>
    <x v="18"/>
    <x v="13"/>
    <x v="4"/>
    <x v="479"/>
    <x v="0"/>
    <x v="0"/>
    <x v="0"/>
    <x v="550"/>
    <x v="567"/>
    <x v="13"/>
    <x v="136"/>
    <x v="408"/>
    <x v="587"/>
    <x v="0"/>
    <x v="0"/>
    <x v="589"/>
    <x v="0"/>
    <x v="388"/>
    <x v="0"/>
    <x v="0"/>
    <x v="0"/>
    <x v="0"/>
    <x v="0"/>
    <x v="0"/>
    <x v="0"/>
    <x v="0"/>
  </r>
  <r>
    <x v="1099"/>
    <x v="0"/>
    <x v="1"/>
    <x v="0"/>
    <x v="0"/>
    <x v="1"/>
    <x v="1092"/>
    <x v="919"/>
    <x v="0"/>
    <x v="2"/>
    <x v="1"/>
    <x v="1"/>
    <x v="46"/>
    <x v="0"/>
    <x v="6"/>
    <x v="0"/>
    <x v="162"/>
    <x v="146"/>
    <x v="6"/>
    <x v="480"/>
    <x v="0"/>
    <x v="0"/>
    <x v="0"/>
    <x v="133"/>
    <x v="135"/>
    <x v="13"/>
    <x v="55"/>
    <x v="119"/>
    <x v="138"/>
    <x v="0"/>
    <x v="0"/>
    <x v="138"/>
    <x v="1"/>
    <x v="104"/>
    <x v="0"/>
    <x v="0"/>
    <x v="0"/>
    <x v="0"/>
    <x v="0"/>
    <x v="0"/>
    <x v="0"/>
    <x v="0"/>
  </r>
  <r>
    <x v="1100"/>
    <x v="0"/>
    <x v="1"/>
    <x v="2"/>
    <x v="0"/>
    <x v="2"/>
    <x v="1093"/>
    <x v="920"/>
    <x v="0"/>
    <x v="2"/>
    <x v="1"/>
    <x v="1"/>
    <x v="87"/>
    <x v="0"/>
    <x v="3"/>
    <x v="0"/>
    <x v="187"/>
    <x v="168"/>
    <x v="3"/>
    <x v="481"/>
    <x v="0"/>
    <x v="0"/>
    <x v="0"/>
    <x v="564"/>
    <x v="581"/>
    <x v="0"/>
    <x v="50"/>
    <x v="135"/>
    <x v="601"/>
    <x v="0"/>
    <x v="0"/>
    <x v="604"/>
    <x v="1"/>
    <x v="396"/>
    <x v="0"/>
    <x v="2"/>
    <x v="23"/>
    <x v="0"/>
    <x v="0"/>
    <x v="0"/>
    <x v="0"/>
    <x v="0"/>
  </r>
  <r>
    <x v="1101"/>
    <x v="0"/>
    <x v="1"/>
    <x v="1"/>
    <x v="0"/>
    <x v="1"/>
    <x v="1094"/>
    <x v="1"/>
    <x v="0"/>
    <x v="1"/>
    <x v="1"/>
    <x v="1"/>
    <x v="66"/>
    <x v="0"/>
    <x v="8"/>
    <x v="0"/>
    <x v="188"/>
    <x v="1"/>
    <x v="8"/>
    <x v="392"/>
    <x v="0"/>
    <x v="0"/>
    <x v="0"/>
    <x v="261"/>
    <x v="268"/>
    <x v="8"/>
    <x v="142"/>
    <x v="225"/>
    <x v="273"/>
    <x v="0"/>
    <x v="0"/>
    <x v="273"/>
    <x v="1"/>
    <x v="198"/>
    <x v="0"/>
    <x v="0"/>
    <x v="0"/>
    <x v="0"/>
    <x v="0"/>
    <x v="0"/>
    <x v="0"/>
    <x v="0"/>
  </r>
  <r>
    <x v="1102"/>
    <x v="0"/>
    <x v="1"/>
    <x v="1"/>
    <x v="0"/>
    <x v="1"/>
    <x v="1095"/>
    <x v="1"/>
    <x v="0"/>
    <x v="1"/>
    <x v="1"/>
    <x v="1"/>
    <x v="66"/>
    <x v="0"/>
    <x v="0"/>
    <x v="0"/>
    <x v="153"/>
    <x v="1"/>
    <x v="0"/>
    <x v="482"/>
    <x v="0"/>
    <x v="0"/>
    <x v="0"/>
    <x v="565"/>
    <x v="582"/>
    <x v="10"/>
    <x v="19"/>
    <x v="229"/>
    <x v="602"/>
    <x v="0"/>
    <x v="0"/>
    <x v="605"/>
    <x v="0"/>
    <x v="12"/>
    <x v="0"/>
    <x v="0"/>
    <x v="0"/>
    <x v="0"/>
    <x v="0"/>
    <x v="0"/>
    <x v="0"/>
    <x v="0"/>
  </r>
  <r>
    <x v="1103"/>
    <x v="0"/>
    <x v="1"/>
    <x v="2"/>
    <x v="0"/>
    <x v="1"/>
    <x v="1096"/>
    <x v="921"/>
    <x v="0"/>
    <x v="2"/>
    <x v="1"/>
    <x v="1"/>
    <x v="66"/>
    <x v="0"/>
    <x v="0"/>
    <x v="0"/>
    <x v="153"/>
    <x v="137"/>
    <x v="0"/>
    <x v="392"/>
    <x v="0"/>
    <x v="0"/>
    <x v="0"/>
    <x v="245"/>
    <x v="252"/>
    <x v="17"/>
    <x v="134"/>
    <x v="213"/>
    <x v="257"/>
    <x v="0"/>
    <x v="0"/>
    <x v="606"/>
    <x v="1"/>
    <x v="188"/>
    <x v="0"/>
    <x v="2"/>
    <x v="24"/>
    <x v="0"/>
    <x v="0"/>
    <x v="0"/>
    <x v="0"/>
    <x v="0"/>
  </r>
  <r>
    <x v="1104"/>
    <x v="0"/>
    <x v="1"/>
    <x v="0"/>
    <x v="0"/>
    <x v="1"/>
    <x v="1097"/>
    <x v="922"/>
    <x v="0"/>
    <x v="2"/>
    <x v="1"/>
    <x v="1"/>
    <x v="51"/>
    <x v="0"/>
    <x v="20"/>
    <x v="0"/>
    <x v="189"/>
    <x v="169"/>
    <x v="20"/>
    <x v="473"/>
    <x v="0"/>
    <x v="0"/>
    <x v="0"/>
    <x v="275"/>
    <x v="282"/>
    <x v="10"/>
    <x v="19"/>
    <x v="236"/>
    <x v="288"/>
    <x v="0"/>
    <x v="0"/>
    <x v="287"/>
    <x v="0"/>
    <x v="209"/>
    <x v="0"/>
    <x v="0"/>
    <x v="0"/>
    <x v="0"/>
    <x v="2"/>
    <x v="0"/>
    <x v="0"/>
    <x v="0"/>
  </r>
  <r>
    <x v="1105"/>
    <x v="0"/>
    <x v="1"/>
    <x v="0"/>
    <x v="0"/>
    <x v="1"/>
    <x v="1098"/>
    <x v="923"/>
    <x v="0"/>
    <x v="2"/>
    <x v="1"/>
    <x v="1"/>
    <x v="88"/>
    <x v="0"/>
    <x v="3"/>
    <x v="0"/>
    <x v="190"/>
    <x v="170"/>
    <x v="3"/>
    <x v="483"/>
    <x v="0"/>
    <x v="0"/>
    <x v="0"/>
    <x v="30"/>
    <x v="243"/>
    <x v="6"/>
    <x v="113"/>
    <x v="204"/>
    <x v="248"/>
    <x v="0"/>
    <x v="0"/>
    <x v="247"/>
    <x v="1"/>
    <x v="299"/>
    <x v="0"/>
    <x v="0"/>
    <x v="0"/>
    <x v="0"/>
    <x v="0"/>
    <x v="0"/>
    <x v="0"/>
    <x v="0"/>
  </r>
  <r>
    <x v="1106"/>
    <x v="0"/>
    <x v="1"/>
    <x v="0"/>
    <x v="0"/>
    <x v="1"/>
    <x v="1099"/>
    <x v="924"/>
    <x v="0"/>
    <x v="2"/>
    <x v="1"/>
    <x v="1"/>
    <x v="84"/>
    <x v="0"/>
    <x v="0"/>
    <x v="0"/>
    <x v="131"/>
    <x v="114"/>
    <x v="0"/>
    <x v="473"/>
    <x v="0"/>
    <x v="0"/>
    <x v="0"/>
    <x v="17"/>
    <x v="17"/>
    <x v="9"/>
    <x v="16"/>
    <x v="17"/>
    <x v="17"/>
    <x v="0"/>
    <x v="0"/>
    <x v="17"/>
    <x v="1"/>
    <x v="12"/>
    <x v="0"/>
    <x v="0"/>
    <x v="0"/>
    <x v="0"/>
    <x v="0"/>
    <x v="0"/>
    <x v="0"/>
    <x v="0"/>
  </r>
  <r>
    <x v="1107"/>
    <x v="0"/>
    <x v="1"/>
    <x v="0"/>
    <x v="0"/>
    <x v="1"/>
    <x v="1100"/>
    <x v="925"/>
    <x v="0"/>
    <x v="2"/>
    <x v="1"/>
    <x v="1"/>
    <x v="84"/>
    <x v="0"/>
    <x v="3"/>
    <x v="0"/>
    <x v="133"/>
    <x v="116"/>
    <x v="3"/>
    <x v="476"/>
    <x v="0"/>
    <x v="0"/>
    <x v="0"/>
    <x v="554"/>
    <x v="571"/>
    <x v="5"/>
    <x v="10"/>
    <x v="78"/>
    <x v="591"/>
    <x v="0"/>
    <x v="0"/>
    <x v="593"/>
    <x v="1"/>
    <x v="390"/>
    <x v="0"/>
    <x v="0"/>
    <x v="0"/>
    <x v="0"/>
    <x v="0"/>
    <x v="0"/>
    <x v="0"/>
    <x v="0"/>
  </r>
  <r>
    <x v="1108"/>
    <x v="0"/>
    <x v="1"/>
    <x v="0"/>
    <x v="0"/>
    <x v="1"/>
    <x v="1101"/>
    <x v="926"/>
    <x v="0"/>
    <x v="2"/>
    <x v="1"/>
    <x v="1"/>
    <x v="51"/>
    <x v="0"/>
    <x v="3"/>
    <x v="0"/>
    <x v="134"/>
    <x v="117"/>
    <x v="3"/>
    <x v="468"/>
    <x v="0"/>
    <x v="0"/>
    <x v="0"/>
    <x v="129"/>
    <x v="131"/>
    <x v="0"/>
    <x v="24"/>
    <x v="116"/>
    <x v="134"/>
    <x v="0"/>
    <x v="0"/>
    <x v="471"/>
    <x v="0"/>
    <x v="354"/>
    <x v="0"/>
    <x v="0"/>
    <x v="0"/>
    <x v="0"/>
    <x v="0"/>
    <x v="0"/>
    <x v="0"/>
    <x v="0"/>
  </r>
  <r>
    <x v="1109"/>
    <x v="0"/>
    <x v="1"/>
    <x v="0"/>
    <x v="0"/>
    <x v="1"/>
    <x v="1102"/>
    <x v="927"/>
    <x v="0"/>
    <x v="2"/>
    <x v="1"/>
    <x v="1"/>
    <x v="84"/>
    <x v="0"/>
    <x v="0"/>
    <x v="0"/>
    <x v="131"/>
    <x v="114"/>
    <x v="0"/>
    <x v="461"/>
    <x v="0"/>
    <x v="0"/>
    <x v="0"/>
    <x v="17"/>
    <x v="17"/>
    <x v="9"/>
    <x v="16"/>
    <x v="17"/>
    <x v="17"/>
    <x v="0"/>
    <x v="0"/>
    <x v="17"/>
    <x v="1"/>
    <x v="12"/>
    <x v="0"/>
    <x v="0"/>
    <x v="0"/>
    <x v="0"/>
    <x v="0"/>
    <x v="0"/>
    <x v="0"/>
    <x v="0"/>
  </r>
  <r>
    <x v="1110"/>
    <x v="0"/>
    <x v="1"/>
    <x v="0"/>
    <x v="0"/>
    <x v="1"/>
    <x v="1103"/>
    <x v="928"/>
    <x v="0"/>
    <x v="2"/>
    <x v="1"/>
    <x v="1"/>
    <x v="89"/>
    <x v="0"/>
    <x v="3"/>
    <x v="0"/>
    <x v="191"/>
    <x v="171"/>
    <x v="3"/>
    <x v="466"/>
    <x v="0"/>
    <x v="0"/>
    <x v="0"/>
    <x v="193"/>
    <x v="197"/>
    <x v="15"/>
    <x v="32"/>
    <x v="36"/>
    <x v="202"/>
    <x v="0"/>
    <x v="0"/>
    <x v="203"/>
    <x v="1"/>
    <x v="155"/>
    <x v="0"/>
    <x v="0"/>
    <x v="0"/>
    <x v="0"/>
    <x v="0"/>
    <x v="0"/>
    <x v="0"/>
    <x v="0"/>
  </r>
  <r>
    <x v="1111"/>
    <x v="0"/>
    <x v="1"/>
    <x v="0"/>
    <x v="0"/>
    <x v="1"/>
    <x v="1103"/>
    <x v="929"/>
    <x v="0"/>
    <x v="2"/>
    <x v="1"/>
    <x v="1"/>
    <x v="84"/>
    <x v="0"/>
    <x v="3"/>
    <x v="0"/>
    <x v="133"/>
    <x v="116"/>
    <x v="3"/>
    <x v="469"/>
    <x v="0"/>
    <x v="0"/>
    <x v="0"/>
    <x v="554"/>
    <x v="571"/>
    <x v="5"/>
    <x v="10"/>
    <x v="78"/>
    <x v="591"/>
    <x v="0"/>
    <x v="0"/>
    <x v="593"/>
    <x v="1"/>
    <x v="390"/>
    <x v="0"/>
    <x v="0"/>
    <x v="0"/>
    <x v="0"/>
    <x v="0"/>
    <x v="0"/>
    <x v="0"/>
    <x v="0"/>
  </r>
  <r>
    <x v="1112"/>
    <x v="0"/>
    <x v="1"/>
    <x v="0"/>
    <x v="0"/>
    <x v="1"/>
    <x v="1104"/>
    <x v="930"/>
    <x v="0"/>
    <x v="2"/>
    <x v="1"/>
    <x v="1"/>
    <x v="51"/>
    <x v="0"/>
    <x v="0"/>
    <x v="0"/>
    <x v="150"/>
    <x v="133"/>
    <x v="0"/>
    <x v="461"/>
    <x v="0"/>
    <x v="0"/>
    <x v="0"/>
    <x v="565"/>
    <x v="582"/>
    <x v="10"/>
    <x v="19"/>
    <x v="229"/>
    <x v="602"/>
    <x v="0"/>
    <x v="0"/>
    <x v="605"/>
    <x v="0"/>
    <x v="12"/>
    <x v="0"/>
    <x v="0"/>
    <x v="0"/>
    <x v="0"/>
    <x v="0"/>
    <x v="0"/>
    <x v="0"/>
    <x v="0"/>
  </r>
  <r>
    <x v="1113"/>
    <x v="0"/>
    <x v="1"/>
    <x v="1"/>
    <x v="0"/>
    <x v="1"/>
    <x v="1105"/>
    <x v="1"/>
    <x v="0"/>
    <x v="1"/>
    <x v="1"/>
    <x v="1"/>
    <x v="5"/>
    <x v="0"/>
    <x v="0"/>
    <x v="0"/>
    <x v="32"/>
    <x v="1"/>
    <x v="0"/>
    <x v="461"/>
    <x v="0"/>
    <x v="0"/>
    <x v="0"/>
    <x v="565"/>
    <x v="582"/>
    <x v="10"/>
    <x v="19"/>
    <x v="229"/>
    <x v="602"/>
    <x v="0"/>
    <x v="0"/>
    <x v="605"/>
    <x v="0"/>
    <x v="12"/>
    <x v="0"/>
    <x v="0"/>
    <x v="0"/>
    <x v="0"/>
    <x v="0"/>
    <x v="0"/>
    <x v="0"/>
    <x v="0"/>
  </r>
  <r>
    <x v="1114"/>
    <x v="0"/>
    <x v="1"/>
    <x v="0"/>
    <x v="0"/>
    <x v="1"/>
    <x v="1106"/>
    <x v="931"/>
    <x v="0"/>
    <x v="2"/>
    <x v="1"/>
    <x v="1"/>
    <x v="10"/>
    <x v="0"/>
    <x v="4"/>
    <x v="0"/>
    <x v="18"/>
    <x v="13"/>
    <x v="4"/>
    <x v="358"/>
    <x v="0"/>
    <x v="0"/>
    <x v="0"/>
    <x v="129"/>
    <x v="131"/>
    <x v="0"/>
    <x v="24"/>
    <x v="116"/>
    <x v="134"/>
    <x v="0"/>
    <x v="0"/>
    <x v="471"/>
    <x v="0"/>
    <x v="354"/>
    <x v="0"/>
    <x v="0"/>
    <x v="0"/>
    <x v="0"/>
    <x v="0"/>
    <x v="0"/>
    <x v="0"/>
    <x v="0"/>
  </r>
  <r>
    <x v="1115"/>
    <x v="0"/>
    <x v="1"/>
    <x v="1"/>
    <x v="0"/>
    <x v="1"/>
    <x v="1107"/>
    <x v="1"/>
    <x v="0"/>
    <x v="1"/>
    <x v="1"/>
    <x v="1"/>
    <x v="10"/>
    <x v="0"/>
    <x v="0"/>
    <x v="0"/>
    <x v="16"/>
    <x v="1"/>
    <x v="0"/>
    <x v="484"/>
    <x v="0"/>
    <x v="0"/>
    <x v="0"/>
    <x v="565"/>
    <x v="582"/>
    <x v="10"/>
    <x v="19"/>
    <x v="229"/>
    <x v="602"/>
    <x v="0"/>
    <x v="0"/>
    <x v="605"/>
    <x v="0"/>
    <x v="12"/>
    <x v="0"/>
    <x v="0"/>
    <x v="0"/>
    <x v="0"/>
    <x v="0"/>
    <x v="0"/>
    <x v="0"/>
    <x v="0"/>
  </r>
  <r>
    <x v="1116"/>
    <x v="0"/>
    <x v="1"/>
    <x v="0"/>
    <x v="0"/>
    <x v="1"/>
    <x v="1108"/>
    <x v="932"/>
    <x v="0"/>
    <x v="2"/>
    <x v="1"/>
    <x v="1"/>
    <x v="66"/>
    <x v="0"/>
    <x v="6"/>
    <x v="0"/>
    <x v="186"/>
    <x v="167"/>
    <x v="6"/>
    <x v="405"/>
    <x v="0"/>
    <x v="0"/>
    <x v="0"/>
    <x v="193"/>
    <x v="197"/>
    <x v="15"/>
    <x v="32"/>
    <x v="36"/>
    <x v="202"/>
    <x v="0"/>
    <x v="0"/>
    <x v="203"/>
    <x v="1"/>
    <x v="155"/>
    <x v="0"/>
    <x v="0"/>
    <x v="0"/>
    <x v="0"/>
    <x v="0"/>
    <x v="0"/>
    <x v="0"/>
    <x v="0"/>
  </r>
  <r>
    <x v="1117"/>
    <x v="0"/>
    <x v="1"/>
    <x v="0"/>
    <x v="0"/>
    <x v="1"/>
    <x v="1109"/>
    <x v="933"/>
    <x v="0"/>
    <x v="2"/>
    <x v="1"/>
    <x v="1"/>
    <x v="12"/>
    <x v="0"/>
    <x v="0"/>
    <x v="0"/>
    <x v="24"/>
    <x v="19"/>
    <x v="0"/>
    <x v="485"/>
    <x v="0"/>
    <x v="0"/>
    <x v="0"/>
    <x v="566"/>
    <x v="583"/>
    <x v="15"/>
    <x v="158"/>
    <x v="419"/>
    <x v="603"/>
    <x v="0"/>
    <x v="0"/>
    <x v="607"/>
    <x v="0"/>
    <x v="12"/>
    <x v="0"/>
    <x v="0"/>
    <x v="0"/>
    <x v="0"/>
    <x v="0"/>
    <x v="0"/>
    <x v="0"/>
    <x v="0"/>
  </r>
  <r>
    <x v="1118"/>
    <x v="0"/>
    <x v="1"/>
    <x v="0"/>
    <x v="0"/>
    <x v="1"/>
    <x v="1110"/>
    <x v="934"/>
    <x v="0"/>
    <x v="2"/>
    <x v="1"/>
    <x v="1"/>
    <x v="12"/>
    <x v="0"/>
    <x v="2"/>
    <x v="0"/>
    <x v="26"/>
    <x v="21"/>
    <x v="2"/>
    <x v="420"/>
    <x v="0"/>
    <x v="0"/>
    <x v="0"/>
    <x v="129"/>
    <x v="131"/>
    <x v="0"/>
    <x v="24"/>
    <x v="116"/>
    <x v="134"/>
    <x v="0"/>
    <x v="0"/>
    <x v="471"/>
    <x v="0"/>
    <x v="354"/>
    <x v="0"/>
    <x v="0"/>
    <x v="0"/>
    <x v="0"/>
    <x v="0"/>
    <x v="0"/>
    <x v="0"/>
    <x v="0"/>
  </r>
  <r>
    <x v="1119"/>
    <x v="0"/>
    <x v="1"/>
    <x v="0"/>
    <x v="0"/>
    <x v="1"/>
    <x v="1111"/>
    <x v="935"/>
    <x v="0"/>
    <x v="2"/>
    <x v="1"/>
    <x v="1"/>
    <x v="12"/>
    <x v="0"/>
    <x v="5"/>
    <x v="0"/>
    <x v="101"/>
    <x v="88"/>
    <x v="5"/>
    <x v="421"/>
    <x v="0"/>
    <x v="0"/>
    <x v="0"/>
    <x v="554"/>
    <x v="571"/>
    <x v="5"/>
    <x v="10"/>
    <x v="78"/>
    <x v="591"/>
    <x v="0"/>
    <x v="0"/>
    <x v="593"/>
    <x v="1"/>
    <x v="390"/>
    <x v="0"/>
    <x v="0"/>
    <x v="0"/>
    <x v="0"/>
    <x v="0"/>
    <x v="0"/>
    <x v="0"/>
    <x v="0"/>
  </r>
  <r>
    <x v="1120"/>
    <x v="0"/>
    <x v="1"/>
    <x v="0"/>
    <x v="0"/>
    <x v="1"/>
    <x v="1112"/>
    <x v="936"/>
    <x v="0"/>
    <x v="2"/>
    <x v="1"/>
    <x v="1"/>
    <x v="49"/>
    <x v="0"/>
    <x v="2"/>
    <x v="0"/>
    <x v="192"/>
    <x v="172"/>
    <x v="2"/>
    <x v="486"/>
    <x v="0"/>
    <x v="0"/>
    <x v="0"/>
    <x v="554"/>
    <x v="571"/>
    <x v="5"/>
    <x v="10"/>
    <x v="78"/>
    <x v="591"/>
    <x v="0"/>
    <x v="0"/>
    <x v="593"/>
    <x v="1"/>
    <x v="390"/>
    <x v="0"/>
    <x v="0"/>
    <x v="0"/>
    <x v="0"/>
    <x v="0"/>
    <x v="0"/>
    <x v="0"/>
    <x v="0"/>
  </r>
  <r>
    <x v="1121"/>
    <x v="0"/>
    <x v="1"/>
    <x v="1"/>
    <x v="0"/>
    <x v="1"/>
    <x v="1113"/>
    <x v="1"/>
    <x v="0"/>
    <x v="1"/>
    <x v="1"/>
    <x v="1"/>
    <x v="10"/>
    <x v="0"/>
    <x v="4"/>
    <x v="0"/>
    <x v="18"/>
    <x v="1"/>
    <x v="4"/>
    <x v="454"/>
    <x v="0"/>
    <x v="0"/>
    <x v="0"/>
    <x v="567"/>
    <x v="584"/>
    <x v="13"/>
    <x v="53"/>
    <x v="420"/>
    <x v="604"/>
    <x v="0"/>
    <x v="0"/>
    <x v="608"/>
    <x v="1"/>
    <x v="397"/>
    <x v="0"/>
    <x v="0"/>
    <x v="0"/>
    <x v="0"/>
    <x v="0"/>
    <x v="0"/>
    <x v="0"/>
    <x v="0"/>
  </r>
  <r>
    <x v="1122"/>
    <x v="0"/>
    <x v="1"/>
    <x v="0"/>
    <x v="0"/>
    <x v="1"/>
    <x v="1114"/>
    <x v="937"/>
    <x v="0"/>
    <x v="2"/>
    <x v="1"/>
    <x v="1"/>
    <x v="69"/>
    <x v="0"/>
    <x v="2"/>
    <x v="0"/>
    <x v="175"/>
    <x v="157"/>
    <x v="2"/>
    <x v="410"/>
    <x v="0"/>
    <x v="0"/>
    <x v="0"/>
    <x v="554"/>
    <x v="571"/>
    <x v="5"/>
    <x v="10"/>
    <x v="78"/>
    <x v="591"/>
    <x v="0"/>
    <x v="0"/>
    <x v="593"/>
    <x v="1"/>
    <x v="390"/>
    <x v="0"/>
    <x v="0"/>
    <x v="0"/>
    <x v="0"/>
    <x v="0"/>
    <x v="0"/>
    <x v="0"/>
    <x v="0"/>
  </r>
  <r>
    <x v="1123"/>
    <x v="0"/>
    <x v="1"/>
    <x v="1"/>
    <x v="0"/>
    <x v="1"/>
    <x v="1115"/>
    <x v="1"/>
    <x v="0"/>
    <x v="1"/>
    <x v="1"/>
    <x v="1"/>
    <x v="46"/>
    <x v="0"/>
    <x v="0"/>
    <x v="0"/>
    <x v="109"/>
    <x v="1"/>
    <x v="0"/>
    <x v="445"/>
    <x v="0"/>
    <x v="0"/>
    <x v="0"/>
    <x v="568"/>
    <x v="585"/>
    <x v="17"/>
    <x v="147"/>
    <x v="421"/>
    <x v="605"/>
    <x v="0"/>
    <x v="0"/>
    <x v="609"/>
    <x v="0"/>
    <x v="12"/>
    <x v="0"/>
    <x v="0"/>
    <x v="0"/>
    <x v="0"/>
    <x v="0"/>
    <x v="0"/>
    <x v="0"/>
    <x v="0"/>
  </r>
  <r>
    <x v="1124"/>
    <x v="0"/>
    <x v="1"/>
    <x v="0"/>
    <x v="0"/>
    <x v="1"/>
    <x v="1116"/>
    <x v="938"/>
    <x v="0"/>
    <x v="2"/>
    <x v="1"/>
    <x v="1"/>
    <x v="10"/>
    <x v="0"/>
    <x v="0"/>
    <x v="0"/>
    <x v="16"/>
    <x v="11"/>
    <x v="0"/>
    <x v="360"/>
    <x v="0"/>
    <x v="0"/>
    <x v="0"/>
    <x v="569"/>
    <x v="586"/>
    <x v="14"/>
    <x v="195"/>
    <x v="422"/>
    <x v="606"/>
    <x v="0"/>
    <x v="0"/>
    <x v="610"/>
    <x v="1"/>
    <x v="398"/>
    <x v="0"/>
    <x v="0"/>
    <x v="0"/>
    <x v="0"/>
    <x v="0"/>
    <x v="0"/>
    <x v="0"/>
    <x v="0"/>
  </r>
  <r>
    <x v="1125"/>
    <x v="0"/>
    <x v="1"/>
    <x v="0"/>
    <x v="0"/>
    <x v="1"/>
    <x v="1117"/>
    <x v="939"/>
    <x v="0"/>
    <x v="2"/>
    <x v="1"/>
    <x v="1"/>
    <x v="10"/>
    <x v="0"/>
    <x v="4"/>
    <x v="0"/>
    <x v="18"/>
    <x v="13"/>
    <x v="4"/>
    <x v="460"/>
    <x v="0"/>
    <x v="0"/>
    <x v="0"/>
    <x v="567"/>
    <x v="584"/>
    <x v="13"/>
    <x v="53"/>
    <x v="420"/>
    <x v="604"/>
    <x v="0"/>
    <x v="0"/>
    <x v="608"/>
    <x v="1"/>
    <x v="397"/>
    <x v="0"/>
    <x v="0"/>
    <x v="0"/>
    <x v="54"/>
    <x v="0"/>
    <x v="0"/>
    <x v="0"/>
    <x v="0"/>
  </r>
  <r>
    <x v="1126"/>
    <x v="0"/>
    <x v="1"/>
    <x v="0"/>
    <x v="0"/>
    <x v="1"/>
    <x v="1118"/>
    <x v="940"/>
    <x v="0"/>
    <x v="2"/>
    <x v="1"/>
    <x v="1"/>
    <x v="10"/>
    <x v="0"/>
    <x v="0"/>
    <x v="0"/>
    <x v="16"/>
    <x v="11"/>
    <x v="0"/>
    <x v="358"/>
    <x v="0"/>
    <x v="0"/>
    <x v="0"/>
    <x v="570"/>
    <x v="587"/>
    <x v="13"/>
    <x v="39"/>
    <x v="423"/>
    <x v="607"/>
    <x v="0"/>
    <x v="0"/>
    <x v="611"/>
    <x v="0"/>
    <x v="399"/>
    <x v="0"/>
    <x v="0"/>
    <x v="0"/>
    <x v="0"/>
    <x v="0"/>
    <x v="0"/>
    <x v="0"/>
    <x v="0"/>
  </r>
  <r>
    <x v="1127"/>
    <x v="0"/>
    <x v="1"/>
    <x v="0"/>
    <x v="0"/>
    <x v="1"/>
    <x v="1119"/>
    <x v="941"/>
    <x v="0"/>
    <x v="2"/>
    <x v="1"/>
    <x v="1"/>
    <x v="37"/>
    <x v="0"/>
    <x v="0"/>
    <x v="0"/>
    <x v="88"/>
    <x v="75"/>
    <x v="0"/>
    <x v="487"/>
    <x v="0"/>
    <x v="0"/>
    <x v="0"/>
    <x v="571"/>
    <x v="588"/>
    <x v="26"/>
    <x v="196"/>
    <x v="424"/>
    <x v="608"/>
    <x v="0"/>
    <x v="0"/>
    <x v="612"/>
    <x v="0"/>
    <x v="12"/>
    <x v="0"/>
    <x v="0"/>
    <x v="0"/>
    <x v="0"/>
    <x v="0"/>
    <x v="0"/>
    <x v="0"/>
    <x v="0"/>
  </r>
  <r>
    <x v="1128"/>
    <x v="0"/>
    <x v="1"/>
    <x v="0"/>
    <x v="0"/>
    <x v="1"/>
    <x v="1120"/>
    <x v="942"/>
    <x v="0"/>
    <x v="2"/>
    <x v="1"/>
    <x v="1"/>
    <x v="49"/>
    <x v="0"/>
    <x v="0"/>
    <x v="0"/>
    <x v="120"/>
    <x v="103"/>
    <x v="0"/>
    <x v="488"/>
    <x v="0"/>
    <x v="0"/>
    <x v="0"/>
    <x v="572"/>
    <x v="589"/>
    <x v="5"/>
    <x v="41"/>
    <x v="404"/>
    <x v="609"/>
    <x v="0"/>
    <x v="0"/>
    <x v="613"/>
    <x v="0"/>
    <x v="12"/>
    <x v="0"/>
    <x v="0"/>
    <x v="0"/>
    <x v="0"/>
    <x v="0"/>
    <x v="0"/>
    <x v="0"/>
    <x v="0"/>
  </r>
  <r>
    <x v="1129"/>
    <x v="0"/>
    <x v="1"/>
    <x v="0"/>
    <x v="0"/>
    <x v="1"/>
    <x v="1121"/>
    <x v="943"/>
    <x v="0"/>
    <x v="2"/>
    <x v="1"/>
    <x v="1"/>
    <x v="12"/>
    <x v="0"/>
    <x v="0"/>
    <x v="0"/>
    <x v="24"/>
    <x v="19"/>
    <x v="0"/>
    <x v="489"/>
    <x v="0"/>
    <x v="0"/>
    <x v="0"/>
    <x v="573"/>
    <x v="590"/>
    <x v="7"/>
    <x v="36"/>
    <x v="313"/>
    <x v="610"/>
    <x v="0"/>
    <x v="0"/>
    <x v="614"/>
    <x v="0"/>
    <x v="12"/>
    <x v="0"/>
    <x v="0"/>
    <x v="0"/>
    <x v="0"/>
    <x v="0"/>
    <x v="0"/>
    <x v="0"/>
    <x v="0"/>
  </r>
  <r>
    <x v="1130"/>
    <x v="0"/>
    <x v="1"/>
    <x v="1"/>
    <x v="0"/>
    <x v="1"/>
    <x v="1122"/>
    <x v="1"/>
    <x v="0"/>
    <x v="1"/>
    <x v="1"/>
    <x v="1"/>
    <x v="66"/>
    <x v="0"/>
    <x v="13"/>
    <x v="0"/>
    <x v="193"/>
    <x v="1"/>
    <x v="13"/>
    <x v="490"/>
    <x v="0"/>
    <x v="0"/>
    <x v="0"/>
    <x v="573"/>
    <x v="590"/>
    <x v="7"/>
    <x v="36"/>
    <x v="313"/>
    <x v="610"/>
    <x v="0"/>
    <x v="0"/>
    <x v="614"/>
    <x v="0"/>
    <x v="12"/>
    <x v="0"/>
    <x v="0"/>
    <x v="0"/>
    <x v="0"/>
    <x v="0"/>
    <x v="0"/>
    <x v="0"/>
    <x v="0"/>
  </r>
  <r>
    <x v="1131"/>
    <x v="0"/>
    <x v="1"/>
    <x v="0"/>
    <x v="0"/>
    <x v="1"/>
    <x v="1123"/>
    <x v="944"/>
    <x v="0"/>
    <x v="2"/>
    <x v="1"/>
    <x v="1"/>
    <x v="37"/>
    <x v="0"/>
    <x v="6"/>
    <x v="0"/>
    <x v="104"/>
    <x v="135"/>
    <x v="6"/>
    <x v="386"/>
    <x v="0"/>
    <x v="0"/>
    <x v="0"/>
    <x v="573"/>
    <x v="590"/>
    <x v="7"/>
    <x v="36"/>
    <x v="313"/>
    <x v="610"/>
    <x v="0"/>
    <x v="0"/>
    <x v="614"/>
    <x v="0"/>
    <x v="12"/>
    <x v="0"/>
    <x v="0"/>
    <x v="0"/>
    <x v="0"/>
    <x v="0"/>
    <x v="0"/>
    <x v="0"/>
    <x v="0"/>
  </r>
  <r>
    <x v="1132"/>
    <x v="0"/>
    <x v="1"/>
    <x v="0"/>
    <x v="0"/>
    <x v="1"/>
    <x v="1124"/>
    <x v="945"/>
    <x v="0"/>
    <x v="2"/>
    <x v="1"/>
    <x v="1"/>
    <x v="90"/>
    <x v="1"/>
    <x v="1"/>
    <x v="0"/>
    <x v="194"/>
    <x v="173"/>
    <x v="1"/>
    <x v="491"/>
    <x v="0"/>
    <x v="0"/>
    <x v="0"/>
    <x v="337"/>
    <x v="346"/>
    <x v="22"/>
    <x v="149"/>
    <x v="238"/>
    <x v="357"/>
    <x v="0"/>
    <x v="0"/>
    <x v="353"/>
    <x v="0"/>
    <x v="12"/>
    <x v="0"/>
    <x v="0"/>
    <x v="0"/>
    <x v="0"/>
    <x v="0"/>
    <x v="0"/>
    <x v="0"/>
    <x v="0"/>
  </r>
  <r>
    <x v="1133"/>
    <x v="0"/>
    <x v="1"/>
    <x v="0"/>
    <x v="0"/>
    <x v="1"/>
    <x v="1125"/>
    <x v="946"/>
    <x v="0"/>
    <x v="2"/>
    <x v="1"/>
    <x v="1"/>
    <x v="66"/>
    <x v="0"/>
    <x v="0"/>
    <x v="0"/>
    <x v="153"/>
    <x v="137"/>
    <x v="0"/>
    <x v="392"/>
    <x v="0"/>
    <x v="0"/>
    <x v="0"/>
    <x v="574"/>
    <x v="591"/>
    <x v="4"/>
    <x v="8"/>
    <x v="425"/>
    <x v="611"/>
    <x v="0"/>
    <x v="0"/>
    <x v="615"/>
    <x v="0"/>
    <x v="12"/>
    <x v="0"/>
    <x v="0"/>
    <x v="0"/>
    <x v="0"/>
    <x v="0"/>
    <x v="0"/>
    <x v="0"/>
    <x v="0"/>
  </r>
  <r>
    <x v="1134"/>
    <x v="0"/>
    <x v="1"/>
    <x v="0"/>
    <x v="0"/>
    <x v="1"/>
    <x v="1126"/>
    <x v="947"/>
    <x v="0"/>
    <x v="2"/>
    <x v="1"/>
    <x v="1"/>
    <x v="69"/>
    <x v="0"/>
    <x v="0"/>
    <x v="0"/>
    <x v="155"/>
    <x v="139"/>
    <x v="0"/>
    <x v="409"/>
    <x v="0"/>
    <x v="0"/>
    <x v="0"/>
    <x v="437"/>
    <x v="451"/>
    <x v="5"/>
    <x v="41"/>
    <x v="340"/>
    <x v="612"/>
    <x v="0"/>
    <x v="0"/>
    <x v="465"/>
    <x v="0"/>
    <x v="400"/>
    <x v="0"/>
    <x v="0"/>
    <x v="0"/>
    <x v="0"/>
    <x v="0"/>
    <x v="0"/>
    <x v="0"/>
    <x v="0"/>
  </r>
  <r>
    <x v="1135"/>
    <x v="0"/>
    <x v="1"/>
    <x v="0"/>
    <x v="0"/>
    <x v="1"/>
    <x v="1127"/>
    <x v="948"/>
    <x v="0"/>
    <x v="2"/>
    <x v="1"/>
    <x v="1"/>
    <x v="50"/>
    <x v="0"/>
    <x v="5"/>
    <x v="0"/>
    <x v="129"/>
    <x v="113"/>
    <x v="5"/>
    <x v="170"/>
    <x v="0"/>
    <x v="0"/>
    <x v="0"/>
    <x v="573"/>
    <x v="590"/>
    <x v="7"/>
    <x v="36"/>
    <x v="313"/>
    <x v="610"/>
    <x v="0"/>
    <x v="0"/>
    <x v="614"/>
    <x v="0"/>
    <x v="12"/>
    <x v="0"/>
    <x v="1"/>
    <x v="0"/>
    <x v="0"/>
    <x v="0"/>
    <x v="0"/>
    <x v="0"/>
    <x v="0"/>
  </r>
  <r>
    <x v="1136"/>
    <x v="0"/>
    <x v="1"/>
    <x v="0"/>
    <x v="0"/>
    <x v="1"/>
    <x v="1128"/>
    <x v="949"/>
    <x v="0"/>
    <x v="2"/>
    <x v="1"/>
    <x v="1"/>
    <x v="50"/>
    <x v="0"/>
    <x v="0"/>
    <x v="0"/>
    <x v="119"/>
    <x v="102"/>
    <x v="0"/>
    <x v="80"/>
    <x v="0"/>
    <x v="0"/>
    <x v="0"/>
    <x v="573"/>
    <x v="590"/>
    <x v="7"/>
    <x v="36"/>
    <x v="313"/>
    <x v="610"/>
    <x v="0"/>
    <x v="0"/>
    <x v="614"/>
    <x v="0"/>
    <x v="12"/>
    <x v="0"/>
    <x v="0"/>
    <x v="0"/>
    <x v="0"/>
    <x v="0"/>
    <x v="0"/>
    <x v="0"/>
    <x v="0"/>
  </r>
  <r>
    <x v="1137"/>
    <x v="0"/>
    <x v="1"/>
    <x v="0"/>
    <x v="0"/>
    <x v="1"/>
    <x v="1129"/>
    <x v="950"/>
    <x v="0"/>
    <x v="2"/>
    <x v="1"/>
    <x v="1"/>
    <x v="12"/>
    <x v="0"/>
    <x v="0"/>
    <x v="0"/>
    <x v="24"/>
    <x v="19"/>
    <x v="0"/>
    <x v="492"/>
    <x v="0"/>
    <x v="0"/>
    <x v="0"/>
    <x v="575"/>
    <x v="592"/>
    <x v="0"/>
    <x v="18"/>
    <x v="426"/>
    <x v="613"/>
    <x v="0"/>
    <x v="0"/>
    <x v="616"/>
    <x v="0"/>
    <x v="12"/>
    <x v="0"/>
    <x v="0"/>
    <x v="0"/>
    <x v="0"/>
    <x v="0"/>
    <x v="0"/>
    <x v="0"/>
    <x v="0"/>
  </r>
  <r>
    <x v="1138"/>
    <x v="0"/>
    <x v="1"/>
    <x v="0"/>
    <x v="0"/>
    <x v="1"/>
    <x v="1130"/>
    <x v="951"/>
    <x v="0"/>
    <x v="2"/>
    <x v="1"/>
    <x v="1"/>
    <x v="46"/>
    <x v="0"/>
    <x v="3"/>
    <x v="0"/>
    <x v="123"/>
    <x v="107"/>
    <x v="3"/>
    <x v="493"/>
    <x v="0"/>
    <x v="0"/>
    <x v="0"/>
    <x v="427"/>
    <x v="441"/>
    <x v="24"/>
    <x v="79"/>
    <x v="244"/>
    <x v="455"/>
    <x v="0"/>
    <x v="0"/>
    <x v="454"/>
    <x v="0"/>
    <x v="401"/>
    <x v="0"/>
    <x v="0"/>
    <x v="0"/>
    <x v="0"/>
    <x v="0"/>
    <x v="0"/>
    <x v="0"/>
    <x v="0"/>
  </r>
  <r>
    <x v="1139"/>
    <x v="0"/>
    <x v="1"/>
    <x v="0"/>
    <x v="0"/>
    <x v="1"/>
    <x v="1131"/>
    <x v="952"/>
    <x v="0"/>
    <x v="2"/>
    <x v="1"/>
    <x v="1"/>
    <x v="46"/>
    <x v="0"/>
    <x v="0"/>
    <x v="0"/>
    <x v="109"/>
    <x v="95"/>
    <x v="0"/>
    <x v="494"/>
    <x v="0"/>
    <x v="0"/>
    <x v="0"/>
    <x v="210"/>
    <x v="216"/>
    <x v="23"/>
    <x v="75"/>
    <x v="183"/>
    <x v="220"/>
    <x v="0"/>
    <x v="0"/>
    <x v="220"/>
    <x v="1"/>
    <x v="165"/>
    <x v="0"/>
    <x v="0"/>
    <x v="0"/>
    <x v="0"/>
    <x v="0"/>
    <x v="0"/>
    <x v="0"/>
    <x v="0"/>
  </r>
  <r>
    <x v="1140"/>
    <x v="0"/>
    <x v="1"/>
    <x v="1"/>
    <x v="0"/>
    <x v="1"/>
    <x v="1132"/>
    <x v="1"/>
    <x v="0"/>
    <x v="1"/>
    <x v="1"/>
    <x v="1"/>
    <x v="66"/>
    <x v="0"/>
    <x v="5"/>
    <x v="0"/>
    <x v="151"/>
    <x v="1"/>
    <x v="5"/>
    <x v="418"/>
    <x v="0"/>
    <x v="0"/>
    <x v="0"/>
    <x v="334"/>
    <x v="343"/>
    <x v="16"/>
    <x v="160"/>
    <x v="277"/>
    <x v="354"/>
    <x v="0"/>
    <x v="0"/>
    <x v="350"/>
    <x v="0"/>
    <x v="241"/>
    <x v="0"/>
    <x v="0"/>
    <x v="0"/>
    <x v="0"/>
    <x v="0"/>
    <x v="0"/>
    <x v="0"/>
    <x v="0"/>
  </r>
  <r>
    <x v="1141"/>
    <x v="0"/>
    <x v="1"/>
    <x v="1"/>
    <x v="0"/>
    <x v="1"/>
    <x v="1133"/>
    <x v="1"/>
    <x v="0"/>
    <x v="1"/>
    <x v="1"/>
    <x v="1"/>
    <x v="46"/>
    <x v="0"/>
    <x v="3"/>
    <x v="0"/>
    <x v="123"/>
    <x v="1"/>
    <x v="3"/>
    <x v="495"/>
    <x v="0"/>
    <x v="0"/>
    <x v="0"/>
    <x v="210"/>
    <x v="216"/>
    <x v="23"/>
    <x v="75"/>
    <x v="183"/>
    <x v="220"/>
    <x v="0"/>
    <x v="0"/>
    <x v="220"/>
    <x v="1"/>
    <x v="165"/>
    <x v="0"/>
    <x v="0"/>
    <x v="0"/>
    <x v="0"/>
    <x v="0"/>
    <x v="0"/>
    <x v="0"/>
    <x v="0"/>
  </r>
  <r>
    <x v="1142"/>
    <x v="0"/>
    <x v="1"/>
    <x v="1"/>
    <x v="0"/>
    <x v="1"/>
    <x v="1134"/>
    <x v="1"/>
    <x v="0"/>
    <x v="1"/>
    <x v="1"/>
    <x v="1"/>
    <x v="46"/>
    <x v="0"/>
    <x v="10"/>
    <x v="0"/>
    <x v="195"/>
    <x v="1"/>
    <x v="10"/>
    <x v="496"/>
    <x v="0"/>
    <x v="0"/>
    <x v="0"/>
    <x v="320"/>
    <x v="328"/>
    <x v="13"/>
    <x v="55"/>
    <x v="119"/>
    <x v="339"/>
    <x v="0"/>
    <x v="0"/>
    <x v="415"/>
    <x v="0"/>
    <x v="281"/>
    <x v="0"/>
    <x v="0"/>
    <x v="0"/>
    <x v="0"/>
    <x v="0"/>
    <x v="0"/>
    <x v="0"/>
    <x v="0"/>
  </r>
  <r>
    <x v="1143"/>
    <x v="0"/>
    <x v="1"/>
    <x v="0"/>
    <x v="0"/>
    <x v="1"/>
    <x v="1135"/>
    <x v="953"/>
    <x v="0"/>
    <x v="2"/>
    <x v="1"/>
    <x v="1"/>
    <x v="46"/>
    <x v="0"/>
    <x v="0"/>
    <x v="0"/>
    <x v="109"/>
    <x v="95"/>
    <x v="0"/>
    <x v="497"/>
    <x v="0"/>
    <x v="0"/>
    <x v="0"/>
    <x v="576"/>
    <x v="593"/>
    <x v="24"/>
    <x v="79"/>
    <x v="165"/>
    <x v="614"/>
    <x v="0"/>
    <x v="0"/>
    <x v="617"/>
    <x v="0"/>
    <x v="12"/>
    <x v="0"/>
    <x v="0"/>
    <x v="0"/>
    <x v="0"/>
    <x v="0"/>
    <x v="0"/>
    <x v="0"/>
    <x v="0"/>
  </r>
  <r>
    <x v="1144"/>
    <x v="0"/>
    <x v="1"/>
    <x v="0"/>
    <x v="0"/>
    <x v="0"/>
    <x v="1136"/>
    <x v="954"/>
    <x v="0"/>
    <x v="0"/>
    <x v="141"/>
    <x v="142"/>
    <x v="14"/>
    <x v="0"/>
    <x v="0"/>
    <x v="0"/>
    <x v="25"/>
    <x v="20"/>
    <x v="0"/>
    <x v="498"/>
    <x v="0"/>
    <x v="0"/>
    <x v="0"/>
    <x v="577"/>
    <x v="594"/>
    <x v="17"/>
    <x v="197"/>
    <x v="427"/>
    <x v="615"/>
    <x v="0"/>
    <x v="0"/>
    <x v="618"/>
    <x v="0"/>
    <x v="402"/>
    <x v="0"/>
    <x v="1"/>
    <x v="0"/>
    <x v="0"/>
    <x v="0"/>
    <x v="0"/>
    <x v="0"/>
    <x v="0"/>
  </r>
  <r>
    <x v="1145"/>
    <x v="0"/>
    <x v="1"/>
    <x v="0"/>
    <x v="0"/>
    <x v="1"/>
    <x v="1137"/>
    <x v="955"/>
    <x v="0"/>
    <x v="2"/>
    <x v="1"/>
    <x v="1"/>
    <x v="12"/>
    <x v="0"/>
    <x v="0"/>
    <x v="0"/>
    <x v="24"/>
    <x v="19"/>
    <x v="0"/>
    <x v="499"/>
    <x v="0"/>
    <x v="0"/>
    <x v="0"/>
    <x v="281"/>
    <x v="288"/>
    <x v="1"/>
    <x v="14"/>
    <x v="239"/>
    <x v="294"/>
    <x v="0"/>
    <x v="0"/>
    <x v="293"/>
    <x v="0"/>
    <x v="12"/>
    <x v="0"/>
    <x v="1"/>
    <x v="0"/>
    <x v="0"/>
    <x v="0"/>
    <x v="0"/>
    <x v="0"/>
    <x v="0"/>
  </r>
  <r>
    <x v="1146"/>
    <x v="0"/>
    <x v="1"/>
    <x v="0"/>
    <x v="0"/>
    <x v="0"/>
    <x v="1138"/>
    <x v="956"/>
    <x v="0"/>
    <x v="0"/>
    <x v="142"/>
    <x v="143"/>
    <x v="91"/>
    <x v="0"/>
    <x v="0"/>
    <x v="0"/>
    <x v="163"/>
    <x v="147"/>
    <x v="0"/>
    <x v="500"/>
    <x v="2"/>
    <x v="0"/>
    <x v="0"/>
    <x v="238"/>
    <x v="595"/>
    <x v="0"/>
    <x v="18"/>
    <x v="19"/>
    <x v="616"/>
    <x v="0"/>
    <x v="0"/>
    <x v="619"/>
    <x v="0"/>
    <x v="403"/>
    <x v="0"/>
    <x v="0"/>
    <x v="0"/>
    <x v="0"/>
    <x v="0"/>
    <x v="0"/>
    <x v="0"/>
    <x v="0"/>
  </r>
  <r>
    <x v="1147"/>
    <x v="0"/>
    <x v="1"/>
    <x v="0"/>
    <x v="0"/>
    <x v="1"/>
    <x v="1139"/>
    <x v="957"/>
    <x v="0"/>
    <x v="2"/>
    <x v="1"/>
    <x v="1"/>
    <x v="90"/>
    <x v="0"/>
    <x v="0"/>
    <x v="0"/>
    <x v="196"/>
    <x v="174"/>
    <x v="0"/>
    <x v="491"/>
    <x v="0"/>
    <x v="0"/>
    <x v="0"/>
    <x v="578"/>
    <x v="596"/>
    <x v="25"/>
    <x v="198"/>
    <x v="428"/>
    <x v="617"/>
    <x v="0"/>
    <x v="0"/>
    <x v="620"/>
    <x v="0"/>
    <x v="12"/>
    <x v="0"/>
    <x v="0"/>
    <x v="0"/>
    <x v="0"/>
    <x v="0"/>
    <x v="0"/>
    <x v="0"/>
    <x v="0"/>
  </r>
  <r>
    <x v="1148"/>
    <x v="0"/>
    <x v="1"/>
    <x v="0"/>
    <x v="0"/>
    <x v="1"/>
    <x v="1140"/>
    <x v="958"/>
    <x v="0"/>
    <x v="2"/>
    <x v="1"/>
    <x v="1"/>
    <x v="37"/>
    <x v="0"/>
    <x v="0"/>
    <x v="0"/>
    <x v="88"/>
    <x v="75"/>
    <x v="0"/>
    <x v="501"/>
    <x v="0"/>
    <x v="0"/>
    <x v="0"/>
    <x v="579"/>
    <x v="597"/>
    <x v="11"/>
    <x v="182"/>
    <x v="429"/>
    <x v="618"/>
    <x v="0"/>
    <x v="0"/>
    <x v="621"/>
    <x v="0"/>
    <x v="12"/>
    <x v="0"/>
    <x v="0"/>
    <x v="0"/>
    <x v="0"/>
    <x v="0"/>
    <x v="0"/>
    <x v="0"/>
    <x v="0"/>
  </r>
  <r>
    <x v="1149"/>
    <x v="0"/>
    <x v="1"/>
    <x v="0"/>
    <x v="0"/>
    <x v="1"/>
    <x v="1141"/>
    <x v="959"/>
    <x v="0"/>
    <x v="2"/>
    <x v="1"/>
    <x v="1"/>
    <x v="51"/>
    <x v="0"/>
    <x v="0"/>
    <x v="0"/>
    <x v="150"/>
    <x v="133"/>
    <x v="0"/>
    <x v="469"/>
    <x v="0"/>
    <x v="0"/>
    <x v="0"/>
    <x v="580"/>
    <x v="598"/>
    <x v="8"/>
    <x v="199"/>
    <x v="430"/>
    <x v="619"/>
    <x v="0"/>
    <x v="0"/>
    <x v="622"/>
    <x v="0"/>
    <x v="12"/>
    <x v="0"/>
    <x v="0"/>
    <x v="0"/>
    <x v="0"/>
    <x v="0"/>
    <x v="0"/>
    <x v="0"/>
    <x v="0"/>
  </r>
  <r>
    <x v="1150"/>
    <x v="0"/>
    <x v="1"/>
    <x v="0"/>
    <x v="0"/>
    <x v="1"/>
    <x v="1142"/>
    <x v="960"/>
    <x v="0"/>
    <x v="2"/>
    <x v="1"/>
    <x v="1"/>
    <x v="49"/>
    <x v="0"/>
    <x v="9"/>
    <x v="0"/>
    <x v="197"/>
    <x v="175"/>
    <x v="9"/>
    <x v="502"/>
    <x v="0"/>
    <x v="0"/>
    <x v="0"/>
    <x v="548"/>
    <x v="565"/>
    <x v="13"/>
    <x v="136"/>
    <x v="408"/>
    <x v="585"/>
    <x v="0"/>
    <x v="0"/>
    <x v="586"/>
    <x v="0"/>
    <x v="12"/>
    <x v="0"/>
    <x v="0"/>
    <x v="0"/>
    <x v="0"/>
    <x v="0"/>
    <x v="0"/>
    <x v="0"/>
    <x v="0"/>
  </r>
  <r>
    <x v="1151"/>
    <x v="1"/>
    <x v="2"/>
    <x v="4"/>
    <x v="0"/>
    <x v="6"/>
    <x v="1143"/>
    <x v="1"/>
    <x v="0"/>
    <x v="1"/>
    <x v="1"/>
    <x v="1"/>
    <x v="92"/>
    <x v="2"/>
    <x v="21"/>
    <x v="1"/>
    <x v="198"/>
    <x v="176"/>
    <x v="0"/>
    <x v="503"/>
    <x v="3"/>
    <x v="1"/>
    <x v="0"/>
    <x v="581"/>
    <x v="599"/>
    <x v="28"/>
    <x v="200"/>
    <x v="431"/>
    <x v="620"/>
    <x v="0"/>
    <x v="0"/>
    <x v="623"/>
    <x v="2"/>
    <x v="12"/>
    <x v="0"/>
    <x v="0"/>
    <x v="25"/>
    <x v="0"/>
    <x v="0"/>
    <x v="0"/>
    <x v="1"/>
    <x v="1"/>
  </r>
</pivotCacheRecords>
</file>

<file path=xl/pivotCache/pivotCacheRecords2.xml><?xml version="1.0" encoding="utf-8"?>
<pivotCacheRecords xmlns="http://schemas.openxmlformats.org/spreadsheetml/2006/main" xmlns:r="http://schemas.openxmlformats.org/officeDocument/2006/relationships" count="445">
  <r>
    <x v="0"/>
    <x v="0"/>
    <x v="0"/>
    <x v="0"/>
    <x v="0"/>
    <x v="0"/>
    <x v="0"/>
    <x v="0"/>
    <x v="0"/>
    <x v="0"/>
    <x v="0"/>
    <x v="0"/>
    <x v="0"/>
  </r>
  <r>
    <x v="0"/>
    <x v="1"/>
    <x v="1"/>
    <x v="1"/>
    <x v="0"/>
    <x v="0"/>
    <x v="1"/>
    <x v="1"/>
    <x v="1"/>
    <x v="1"/>
    <x v="1"/>
    <x v="1"/>
    <x v="1"/>
  </r>
  <r>
    <x v="0"/>
    <x v="2"/>
    <x v="2"/>
    <x v="1"/>
    <x v="0"/>
    <x v="0"/>
    <x v="2"/>
    <x v="2"/>
    <x v="2"/>
    <x v="2"/>
    <x v="2"/>
    <x v="2"/>
    <x v="2"/>
  </r>
  <r>
    <x v="0"/>
    <x v="3"/>
    <x v="3"/>
    <x v="2"/>
    <x v="0"/>
    <x v="1"/>
    <x v="3"/>
    <x v="3"/>
    <x v="3"/>
    <x v="3"/>
    <x v="3"/>
    <x v="3"/>
    <x v="3"/>
  </r>
  <r>
    <x v="0"/>
    <x v="4"/>
    <x v="4"/>
    <x v="0"/>
    <x v="0"/>
    <x v="0"/>
    <x v="4"/>
    <x v="4"/>
    <x v="4"/>
    <x v="4"/>
    <x v="4"/>
    <x v="4"/>
    <x v="4"/>
  </r>
  <r>
    <x v="0"/>
    <x v="5"/>
    <x v="5"/>
    <x v="3"/>
    <x v="0"/>
    <x v="0"/>
    <x v="5"/>
    <x v="5"/>
    <x v="5"/>
    <x v="5"/>
    <x v="5"/>
    <x v="5"/>
    <x v="5"/>
  </r>
  <r>
    <x v="0"/>
    <x v="6"/>
    <x v="6"/>
    <x v="1"/>
    <x v="0"/>
    <x v="0"/>
    <x v="6"/>
    <x v="6"/>
    <x v="6"/>
    <x v="6"/>
    <x v="6"/>
    <x v="6"/>
    <x v="6"/>
  </r>
  <r>
    <x v="0"/>
    <x v="7"/>
    <x v="7"/>
    <x v="4"/>
    <x v="0"/>
    <x v="0"/>
    <x v="7"/>
    <x v="7"/>
    <x v="5"/>
    <x v="5"/>
    <x v="5"/>
    <x v="5"/>
    <x v="5"/>
  </r>
  <r>
    <x v="0"/>
    <x v="8"/>
    <x v="8"/>
    <x v="5"/>
    <x v="0"/>
    <x v="0"/>
    <x v="8"/>
    <x v="8"/>
    <x v="7"/>
    <x v="7"/>
    <x v="6"/>
    <x v="6"/>
    <x v="7"/>
  </r>
  <r>
    <x v="0"/>
    <x v="9"/>
    <x v="9"/>
    <x v="6"/>
    <x v="0"/>
    <x v="0"/>
    <x v="9"/>
    <x v="9"/>
    <x v="8"/>
    <x v="8"/>
    <x v="7"/>
    <x v="7"/>
    <x v="8"/>
  </r>
  <r>
    <x v="0"/>
    <x v="10"/>
    <x v="10"/>
    <x v="7"/>
    <x v="0"/>
    <x v="0"/>
    <x v="10"/>
    <x v="10"/>
    <x v="9"/>
    <x v="9"/>
    <x v="4"/>
    <x v="4"/>
    <x v="9"/>
  </r>
  <r>
    <x v="0"/>
    <x v="11"/>
    <x v="11"/>
    <x v="3"/>
    <x v="0"/>
    <x v="1"/>
    <x v="11"/>
    <x v="11"/>
    <x v="10"/>
    <x v="1"/>
    <x v="8"/>
    <x v="8"/>
    <x v="10"/>
  </r>
  <r>
    <x v="0"/>
    <x v="12"/>
    <x v="12"/>
    <x v="8"/>
    <x v="0"/>
    <x v="0"/>
    <x v="12"/>
    <x v="12"/>
    <x v="11"/>
    <x v="10"/>
    <x v="5"/>
    <x v="5"/>
    <x v="5"/>
  </r>
  <r>
    <x v="0"/>
    <x v="13"/>
    <x v="13"/>
    <x v="7"/>
    <x v="0"/>
    <x v="0"/>
    <x v="13"/>
    <x v="13"/>
    <x v="5"/>
    <x v="5"/>
    <x v="5"/>
    <x v="5"/>
    <x v="5"/>
  </r>
  <r>
    <x v="0"/>
    <x v="14"/>
    <x v="14"/>
    <x v="9"/>
    <x v="0"/>
    <x v="0"/>
    <x v="14"/>
    <x v="14"/>
    <x v="12"/>
    <x v="11"/>
    <x v="9"/>
    <x v="9"/>
    <x v="11"/>
  </r>
  <r>
    <x v="0"/>
    <x v="15"/>
    <x v="15"/>
    <x v="10"/>
    <x v="0"/>
    <x v="0"/>
    <x v="15"/>
    <x v="13"/>
    <x v="5"/>
    <x v="5"/>
    <x v="5"/>
    <x v="5"/>
    <x v="5"/>
  </r>
  <r>
    <x v="0"/>
    <x v="16"/>
    <x v="16"/>
    <x v="11"/>
    <x v="0"/>
    <x v="1"/>
    <x v="16"/>
    <x v="15"/>
    <x v="12"/>
    <x v="11"/>
    <x v="10"/>
    <x v="10"/>
    <x v="12"/>
  </r>
  <r>
    <x v="0"/>
    <x v="17"/>
    <x v="17"/>
    <x v="12"/>
    <x v="0"/>
    <x v="0"/>
    <x v="17"/>
    <x v="16"/>
    <x v="5"/>
    <x v="5"/>
    <x v="5"/>
    <x v="5"/>
    <x v="5"/>
  </r>
  <r>
    <x v="0"/>
    <x v="18"/>
    <x v="18"/>
    <x v="13"/>
    <x v="0"/>
    <x v="0"/>
    <x v="18"/>
    <x v="17"/>
    <x v="13"/>
    <x v="12"/>
    <x v="7"/>
    <x v="11"/>
    <x v="13"/>
  </r>
  <r>
    <x v="0"/>
    <x v="19"/>
    <x v="19"/>
    <x v="14"/>
    <x v="0"/>
    <x v="0"/>
    <x v="19"/>
    <x v="18"/>
    <x v="5"/>
    <x v="5"/>
    <x v="5"/>
    <x v="5"/>
    <x v="5"/>
  </r>
  <r>
    <x v="0"/>
    <x v="20"/>
    <x v="20"/>
    <x v="4"/>
    <x v="0"/>
    <x v="0"/>
    <x v="20"/>
    <x v="19"/>
    <x v="5"/>
    <x v="5"/>
    <x v="5"/>
    <x v="5"/>
    <x v="5"/>
  </r>
  <r>
    <x v="0"/>
    <x v="21"/>
    <x v="21"/>
    <x v="15"/>
    <x v="0"/>
    <x v="0"/>
    <x v="21"/>
    <x v="5"/>
    <x v="14"/>
    <x v="13"/>
    <x v="11"/>
    <x v="12"/>
    <x v="14"/>
  </r>
  <r>
    <x v="0"/>
    <x v="22"/>
    <x v="22"/>
    <x v="4"/>
    <x v="0"/>
    <x v="0"/>
    <x v="22"/>
    <x v="20"/>
    <x v="4"/>
    <x v="13"/>
    <x v="12"/>
    <x v="13"/>
    <x v="15"/>
  </r>
  <r>
    <x v="0"/>
    <x v="23"/>
    <x v="23"/>
    <x v="16"/>
    <x v="0"/>
    <x v="0"/>
    <x v="23"/>
    <x v="21"/>
    <x v="5"/>
    <x v="5"/>
    <x v="5"/>
    <x v="5"/>
    <x v="5"/>
  </r>
  <r>
    <x v="0"/>
    <x v="24"/>
    <x v="24"/>
    <x v="7"/>
    <x v="0"/>
    <x v="0"/>
    <x v="24"/>
    <x v="22"/>
    <x v="5"/>
    <x v="5"/>
    <x v="5"/>
    <x v="5"/>
    <x v="5"/>
  </r>
  <r>
    <x v="0"/>
    <x v="25"/>
    <x v="25"/>
    <x v="17"/>
    <x v="0"/>
    <x v="0"/>
    <x v="25"/>
    <x v="23"/>
    <x v="5"/>
    <x v="5"/>
    <x v="5"/>
    <x v="5"/>
    <x v="5"/>
  </r>
  <r>
    <x v="0"/>
    <x v="26"/>
    <x v="26"/>
    <x v="18"/>
    <x v="0"/>
    <x v="0"/>
    <x v="26"/>
    <x v="24"/>
    <x v="5"/>
    <x v="5"/>
    <x v="5"/>
    <x v="5"/>
    <x v="5"/>
  </r>
  <r>
    <x v="0"/>
    <x v="27"/>
    <x v="27"/>
    <x v="19"/>
    <x v="0"/>
    <x v="0"/>
    <x v="27"/>
    <x v="25"/>
    <x v="11"/>
    <x v="10"/>
    <x v="12"/>
    <x v="13"/>
    <x v="16"/>
  </r>
  <r>
    <x v="0"/>
    <x v="28"/>
    <x v="28"/>
    <x v="19"/>
    <x v="0"/>
    <x v="0"/>
    <x v="28"/>
    <x v="26"/>
    <x v="5"/>
    <x v="5"/>
    <x v="5"/>
    <x v="5"/>
    <x v="5"/>
  </r>
  <r>
    <x v="0"/>
    <x v="29"/>
    <x v="29"/>
    <x v="20"/>
    <x v="0"/>
    <x v="0"/>
    <x v="29"/>
    <x v="27"/>
    <x v="11"/>
    <x v="10"/>
    <x v="5"/>
    <x v="5"/>
    <x v="5"/>
  </r>
  <r>
    <x v="0"/>
    <x v="30"/>
    <x v="30"/>
    <x v="21"/>
    <x v="0"/>
    <x v="0"/>
    <x v="30"/>
    <x v="28"/>
    <x v="5"/>
    <x v="5"/>
    <x v="5"/>
    <x v="5"/>
    <x v="5"/>
  </r>
  <r>
    <x v="0"/>
    <x v="31"/>
    <x v="31"/>
    <x v="22"/>
    <x v="0"/>
    <x v="0"/>
    <x v="31"/>
    <x v="29"/>
    <x v="5"/>
    <x v="5"/>
    <x v="5"/>
    <x v="5"/>
    <x v="5"/>
  </r>
  <r>
    <x v="1"/>
    <x v="11"/>
    <x v="11"/>
    <x v="3"/>
    <x v="0"/>
    <x v="0"/>
    <x v="32"/>
    <x v="30"/>
    <x v="8"/>
    <x v="12"/>
    <x v="13"/>
    <x v="14"/>
    <x v="17"/>
  </r>
  <r>
    <x v="1"/>
    <x v="0"/>
    <x v="0"/>
    <x v="23"/>
    <x v="0"/>
    <x v="0"/>
    <x v="33"/>
    <x v="31"/>
    <x v="15"/>
    <x v="14"/>
    <x v="14"/>
    <x v="15"/>
    <x v="18"/>
  </r>
  <r>
    <x v="1"/>
    <x v="1"/>
    <x v="1"/>
    <x v="1"/>
    <x v="0"/>
    <x v="0"/>
    <x v="34"/>
    <x v="32"/>
    <x v="9"/>
    <x v="9"/>
    <x v="4"/>
    <x v="4"/>
    <x v="19"/>
  </r>
  <r>
    <x v="1"/>
    <x v="2"/>
    <x v="2"/>
    <x v="1"/>
    <x v="0"/>
    <x v="1"/>
    <x v="35"/>
    <x v="33"/>
    <x v="1"/>
    <x v="15"/>
    <x v="1"/>
    <x v="16"/>
    <x v="20"/>
  </r>
  <r>
    <x v="1"/>
    <x v="3"/>
    <x v="3"/>
    <x v="24"/>
    <x v="0"/>
    <x v="0"/>
    <x v="36"/>
    <x v="34"/>
    <x v="16"/>
    <x v="6"/>
    <x v="15"/>
    <x v="17"/>
    <x v="21"/>
  </r>
  <r>
    <x v="1"/>
    <x v="4"/>
    <x v="4"/>
    <x v="0"/>
    <x v="0"/>
    <x v="0"/>
    <x v="37"/>
    <x v="35"/>
    <x v="11"/>
    <x v="10"/>
    <x v="12"/>
    <x v="13"/>
    <x v="22"/>
  </r>
  <r>
    <x v="1"/>
    <x v="5"/>
    <x v="5"/>
    <x v="25"/>
    <x v="0"/>
    <x v="0"/>
    <x v="38"/>
    <x v="19"/>
    <x v="5"/>
    <x v="5"/>
    <x v="5"/>
    <x v="5"/>
    <x v="5"/>
  </r>
  <r>
    <x v="1"/>
    <x v="6"/>
    <x v="6"/>
    <x v="3"/>
    <x v="0"/>
    <x v="0"/>
    <x v="39"/>
    <x v="36"/>
    <x v="9"/>
    <x v="9"/>
    <x v="4"/>
    <x v="4"/>
    <x v="23"/>
  </r>
  <r>
    <x v="1"/>
    <x v="7"/>
    <x v="7"/>
    <x v="4"/>
    <x v="0"/>
    <x v="0"/>
    <x v="40"/>
    <x v="37"/>
    <x v="5"/>
    <x v="5"/>
    <x v="5"/>
    <x v="5"/>
    <x v="5"/>
  </r>
  <r>
    <x v="1"/>
    <x v="8"/>
    <x v="8"/>
    <x v="5"/>
    <x v="0"/>
    <x v="0"/>
    <x v="41"/>
    <x v="38"/>
    <x v="7"/>
    <x v="7"/>
    <x v="13"/>
    <x v="14"/>
    <x v="24"/>
  </r>
  <r>
    <x v="1"/>
    <x v="9"/>
    <x v="9"/>
    <x v="6"/>
    <x v="0"/>
    <x v="2"/>
    <x v="42"/>
    <x v="39"/>
    <x v="9"/>
    <x v="9"/>
    <x v="4"/>
    <x v="4"/>
    <x v="25"/>
  </r>
  <r>
    <x v="1"/>
    <x v="10"/>
    <x v="10"/>
    <x v="7"/>
    <x v="0"/>
    <x v="0"/>
    <x v="43"/>
    <x v="40"/>
    <x v="5"/>
    <x v="5"/>
    <x v="5"/>
    <x v="5"/>
    <x v="5"/>
  </r>
  <r>
    <x v="1"/>
    <x v="12"/>
    <x v="12"/>
    <x v="8"/>
    <x v="0"/>
    <x v="0"/>
    <x v="44"/>
    <x v="19"/>
    <x v="11"/>
    <x v="10"/>
    <x v="12"/>
    <x v="13"/>
    <x v="26"/>
  </r>
  <r>
    <x v="1"/>
    <x v="13"/>
    <x v="13"/>
    <x v="7"/>
    <x v="0"/>
    <x v="0"/>
    <x v="45"/>
    <x v="37"/>
    <x v="5"/>
    <x v="5"/>
    <x v="5"/>
    <x v="5"/>
    <x v="5"/>
  </r>
  <r>
    <x v="1"/>
    <x v="14"/>
    <x v="14"/>
    <x v="9"/>
    <x v="0"/>
    <x v="0"/>
    <x v="46"/>
    <x v="10"/>
    <x v="5"/>
    <x v="5"/>
    <x v="5"/>
    <x v="5"/>
    <x v="5"/>
  </r>
  <r>
    <x v="1"/>
    <x v="15"/>
    <x v="15"/>
    <x v="10"/>
    <x v="0"/>
    <x v="0"/>
    <x v="47"/>
    <x v="41"/>
    <x v="5"/>
    <x v="5"/>
    <x v="5"/>
    <x v="5"/>
    <x v="5"/>
  </r>
  <r>
    <x v="1"/>
    <x v="16"/>
    <x v="16"/>
    <x v="11"/>
    <x v="0"/>
    <x v="0"/>
    <x v="48"/>
    <x v="42"/>
    <x v="11"/>
    <x v="9"/>
    <x v="12"/>
    <x v="13"/>
    <x v="27"/>
  </r>
  <r>
    <x v="1"/>
    <x v="17"/>
    <x v="17"/>
    <x v="12"/>
    <x v="0"/>
    <x v="0"/>
    <x v="49"/>
    <x v="37"/>
    <x v="5"/>
    <x v="5"/>
    <x v="5"/>
    <x v="5"/>
    <x v="5"/>
  </r>
  <r>
    <x v="1"/>
    <x v="18"/>
    <x v="18"/>
    <x v="13"/>
    <x v="0"/>
    <x v="0"/>
    <x v="50"/>
    <x v="43"/>
    <x v="11"/>
    <x v="10"/>
    <x v="5"/>
    <x v="5"/>
    <x v="5"/>
  </r>
  <r>
    <x v="1"/>
    <x v="19"/>
    <x v="19"/>
    <x v="26"/>
    <x v="0"/>
    <x v="0"/>
    <x v="51"/>
    <x v="44"/>
    <x v="5"/>
    <x v="5"/>
    <x v="5"/>
    <x v="5"/>
    <x v="5"/>
  </r>
  <r>
    <x v="1"/>
    <x v="20"/>
    <x v="20"/>
    <x v="4"/>
    <x v="0"/>
    <x v="0"/>
    <x v="52"/>
    <x v="45"/>
    <x v="5"/>
    <x v="5"/>
    <x v="5"/>
    <x v="5"/>
    <x v="5"/>
  </r>
  <r>
    <x v="1"/>
    <x v="21"/>
    <x v="21"/>
    <x v="15"/>
    <x v="0"/>
    <x v="0"/>
    <x v="53"/>
    <x v="41"/>
    <x v="5"/>
    <x v="5"/>
    <x v="5"/>
    <x v="5"/>
    <x v="5"/>
  </r>
  <r>
    <x v="1"/>
    <x v="22"/>
    <x v="22"/>
    <x v="4"/>
    <x v="0"/>
    <x v="0"/>
    <x v="54"/>
    <x v="26"/>
    <x v="5"/>
    <x v="5"/>
    <x v="5"/>
    <x v="5"/>
    <x v="5"/>
  </r>
  <r>
    <x v="1"/>
    <x v="23"/>
    <x v="23"/>
    <x v="16"/>
    <x v="0"/>
    <x v="0"/>
    <x v="55"/>
    <x v="45"/>
    <x v="5"/>
    <x v="5"/>
    <x v="5"/>
    <x v="5"/>
    <x v="5"/>
  </r>
  <r>
    <x v="1"/>
    <x v="24"/>
    <x v="24"/>
    <x v="27"/>
    <x v="0"/>
    <x v="0"/>
    <x v="56"/>
    <x v="21"/>
    <x v="5"/>
    <x v="5"/>
    <x v="5"/>
    <x v="5"/>
    <x v="5"/>
  </r>
  <r>
    <x v="1"/>
    <x v="25"/>
    <x v="25"/>
    <x v="17"/>
    <x v="0"/>
    <x v="0"/>
    <x v="57"/>
    <x v="46"/>
    <x v="5"/>
    <x v="5"/>
    <x v="5"/>
    <x v="5"/>
    <x v="5"/>
  </r>
  <r>
    <x v="1"/>
    <x v="26"/>
    <x v="26"/>
    <x v="18"/>
    <x v="0"/>
    <x v="0"/>
    <x v="58"/>
    <x v="47"/>
    <x v="5"/>
    <x v="5"/>
    <x v="5"/>
    <x v="5"/>
    <x v="5"/>
  </r>
  <r>
    <x v="1"/>
    <x v="27"/>
    <x v="27"/>
    <x v="19"/>
    <x v="0"/>
    <x v="0"/>
    <x v="59"/>
    <x v="48"/>
    <x v="5"/>
    <x v="5"/>
    <x v="5"/>
    <x v="5"/>
    <x v="5"/>
  </r>
  <r>
    <x v="1"/>
    <x v="28"/>
    <x v="28"/>
    <x v="19"/>
    <x v="0"/>
    <x v="0"/>
    <x v="60"/>
    <x v="49"/>
    <x v="5"/>
    <x v="5"/>
    <x v="5"/>
    <x v="5"/>
    <x v="5"/>
  </r>
  <r>
    <x v="1"/>
    <x v="29"/>
    <x v="29"/>
    <x v="20"/>
    <x v="0"/>
    <x v="0"/>
    <x v="61"/>
    <x v="50"/>
    <x v="5"/>
    <x v="5"/>
    <x v="5"/>
    <x v="5"/>
    <x v="5"/>
  </r>
  <r>
    <x v="1"/>
    <x v="30"/>
    <x v="30"/>
    <x v="21"/>
    <x v="0"/>
    <x v="0"/>
    <x v="62"/>
    <x v="40"/>
    <x v="5"/>
    <x v="5"/>
    <x v="5"/>
    <x v="5"/>
    <x v="5"/>
  </r>
  <r>
    <x v="1"/>
    <x v="31"/>
    <x v="31"/>
    <x v="22"/>
    <x v="0"/>
    <x v="0"/>
    <x v="63"/>
    <x v="51"/>
    <x v="5"/>
    <x v="5"/>
    <x v="5"/>
    <x v="5"/>
    <x v="5"/>
  </r>
  <r>
    <x v="2"/>
    <x v="32"/>
    <x v="32"/>
    <x v="28"/>
    <x v="0"/>
    <x v="0"/>
    <x v="64"/>
    <x v="52"/>
    <x v="14"/>
    <x v="13"/>
    <x v="10"/>
    <x v="10"/>
    <x v="28"/>
  </r>
  <r>
    <x v="2"/>
    <x v="33"/>
    <x v="33"/>
    <x v="29"/>
    <x v="0"/>
    <x v="0"/>
    <x v="65"/>
    <x v="53"/>
    <x v="9"/>
    <x v="4"/>
    <x v="4"/>
    <x v="4"/>
    <x v="29"/>
  </r>
  <r>
    <x v="2"/>
    <x v="0"/>
    <x v="0"/>
    <x v="23"/>
    <x v="0"/>
    <x v="0"/>
    <x v="66"/>
    <x v="54"/>
    <x v="17"/>
    <x v="16"/>
    <x v="16"/>
    <x v="18"/>
    <x v="30"/>
  </r>
  <r>
    <x v="2"/>
    <x v="1"/>
    <x v="1"/>
    <x v="1"/>
    <x v="0"/>
    <x v="0"/>
    <x v="67"/>
    <x v="55"/>
    <x v="11"/>
    <x v="10"/>
    <x v="12"/>
    <x v="13"/>
    <x v="31"/>
  </r>
  <r>
    <x v="2"/>
    <x v="2"/>
    <x v="2"/>
    <x v="1"/>
    <x v="0"/>
    <x v="0"/>
    <x v="68"/>
    <x v="56"/>
    <x v="6"/>
    <x v="6"/>
    <x v="17"/>
    <x v="19"/>
    <x v="32"/>
  </r>
  <r>
    <x v="2"/>
    <x v="3"/>
    <x v="3"/>
    <x v="24"/>
    <x v="0"/>
    <x v="0"/>
    <x v="69"/>
    <x v="17"/>
    <x v="13"/>
    <x v="12"/>
    <x v="9"/>
    <x v="9"/>
    <x v="33"/>
  </r>
  <r>
    <x v="2"/>
    <x v="4"/>
    <x v="4"/>
    <x v="0"/>
    <x v="0"/>
    <x v="0"/>
    <x v="70"/>
    <x v="57"/>
    <x v="5"/>
    <x v="5"/>
    <x v="5"/>
    <x v="5"/>
    <x v="5"/>
  </r>
  <r>
    <x v="2"/>
    <x v="5"/>
    <x v="5"/>
    <x v="25"/>
    <x v="0"/>
    <x v="0"/>
    <x v="71"/>
    <x v="29"/>
    <x v="5"/>
    <x v="5"/>
    <x v="5"/>
    <x v="5"/>
    <x v="5"/>
  </r>
  <r>
    <x v="2"/>
    <x v="6"/>
    <x v="6"/>
    <x v="3"/>
    <x v="0"/>
    <x v="0"/>
    <x v="72"/>
    <x v="58"/>
    <x v="9"/>
    <x v="9"/>
    <x v="12"/>
    <x v="13"/>
    <x v="26"/>
  </r>
  <r>
    <x v="2"/>
    <x v="7"/>
    <x v="7"/>
    <x v="4"/>
    <x v="0"/>
    <x v="0"/>
    <x v="73"/>
    <x v="41"/>
    <x v="5"/>
    <x v="5"/>
    <x v="5"/>
    <x v="5"/>
    <x v="5"/>
  </r>
  <r>
    <x v="2"/>
    <x v="8"/>
    <x v="8"/>
    <x v="5"/>
    <x v="0"/>
    <x v="0"/>
    <x v="74"/>
    <x v="59"/>
    <x v="18"/>
    <x v="17"/>
    <x v="7"/>
    <x v="7"/>
    <x v="34"/>
  </r>
  <r>
    <x v="2"/>
    <x v="9"/>
    <x v="9"/>
    <x v="6"/>
    <x v="0"/>
    <x v="0"/>
    <x v="75"/>
    <x v="60"/>
    <x v="12"/>
    <x v="11"/>
    <x v="11"/>
    <x v="12"/>
    <x v="35"/>
  </r>
  <r>
    <x v="2"/>
    <x v="10"/>
    <x v="10"/>
    <x v="7"/>
    <x v="0"/>
    <x v="0"/>
    <x v="76"/>
    <x v="25"/>
    <x v="5"/>
    <x v="5"/>
    <x v="5"/>
    <x v="5"/>
    <x v="5"/>
  </r>
  <r>
    <x v="2"/>
    <x v="11"/>
    <x v="11"/>
    <x v="3"/>
    <x v="0"/>
    <x v="0"/>
    <x v="77"/>
    <x v="24"/>
    <x v="9"/>
    <x v="9"/>
    <x v="4"/>
    <x v="4"/>
    <x v="36"/>
  </r>
  <r>
    <x v="2"/>
    <x v="12"/>
    <x v="12"/>
    <x v="8"/>
    <x v="0"/>
    <x v="0"/>
    <x v="78"/>
    <x v="47"/>
    <x v="5"/>
    <x v="5"/>
    <x v="5"/>
    <x v="5"/>
    <x v="5"/>
  </r>
  <r>
    <x v="2"/>
    <x v="13"/>
    <x v="13"/>
    <x v="7"/>
    <x v="0"/>
    <x v="0"/>
    <x v="79"/>
    <x v="41"/>
    <x v="11"/>
    <x v="10"/>
    <x v="5"/>
    <x v="5"/>
    <x v="5"/>
  </r>
  <r>
    <x v="2"/>
    <x v="14"/>
    <x v="14"/>
    <x v="9"/>
    <x v="0"/>
    <x v="1"/>
    <x v="80"/>
    <x v="61"/>
    <x v="13"/>
    <x v="17"/>
    <x v="7"/>
    <x v="11"/>
    <x v="37"/>
  </r>
  <r>
    <x v="2"/>
    <x v="15"/>
    <x v="15"/>
    <x v="10"/>
    <x v="0"/>
    <x v="0"/>
    <x v="79"/>
    <x v="47"/>
    <x v="5"/>
    <x v="5"/>
    <x v="5"/>
    <x v="5"/>
    <x v="5"/>
  </r>
  <r>
    <x v="2"/>
    <x v="16"/>
    <x v="16"/>
    <x v="11"/>
    <x v="0"/>
    <x v="0"/>
    <x v="81"/>
    <x v="62"/>
    <x v="11"/>
    <x v="10"/>
    <x v="12"/>
    <x v="13"/>
    <x v="38"/>
  </r>
  <r>
    <x v="2"/>
    <x v="17"/>
    <x v="17"/>
    <x v="12"/>
    <x v="0"/>
    <x v="0"/>
    <x v="82"/>
    <x v="21"/>
    <x v="9"/>
    <x v="9"/>
    <x v="4"/>
    <x v="4"/>
    <x v="39"/>
  </r>
  <r>
    <x v="2"/>
    <x v="18"/>
    <x v="18"/>
    <x v="13"/>
    <x v="0"/>
    <x v="0"/>
    <x v="83"/>
    <x v="63"/>
    <x v="4"/>
    <x v="4"/>
    <x v="4"/>
    <x v="4"/>
    <x v="40"/>
  </r>
  <r>
    <x v="2"/>
    <x v="19"/>
    <x v="19"/>
    <x v="26"/>
    <x v="0"/>
    <x v="0"/>
    <x v="84"/>
    <x v="64"/>
    <x v="4"/>
    <x v="4"/>
    <x v="10"/>
    <x v="10"/>
    <x v="41"/>
  </r>
  <r>
    <x v="2"/>
    <x v="20"/>
    <x v="20"/>
    <x v="4"/>
    <x v="0"/>
    <x v="0"/>
    <x v="85"/>
    <x v="58"/>
    <x v="5"/>
    <x v="5"/>
    <x v="5"/>
    <x v="5"/>
    <x v="5"/>
  </r>
  <r>
    <x v="2"/>
    <x v="21"/>
    <x v="21"/>
    <x v="15"/>
    <x v="0"/>
    <x v="0"/>
    <x v="86"/>
    <x v="41"/>
    <x v="5"/>
    <x v="5"/>
    <x v="5"/>
    <x v="5"/>
    <x v="5"/>
  </r>
  <r>
    <x v="2"/>
    <x v="22"/>
    <x v="22"/>
    <x v="4"/>
    <x v="0"/>
    <x v="0"/>
    <x v="87"/>
    <x v="25"/>
    <x v="9"/>
    <x v="9"/>
    <x v="4"/>
    <x v="4"/>
    <x v="42"/>
  </r>
  <r>
    <x v="2"/>
    <x v="23"/>
    <x v="23"/>
    <x v="16"/>
    <x v="0"/>
    <x v="0"/>
    <x v="88"/>
    <x v="41"/>
    <x v="5"/>
    <x v="5"/>
    <x v="5"/>
    <x v="5"/>
    <x v="5"/>
  </r>
  <r>
    <x v="2"/>
    <x v="24"/>
    <x v="24"/>
    <x v="27"/>
    <x v="0"/>
    <x v="0"/>
    <x v="89"/>
    <x v="20"/>
    <x v="5"/>
    <x v="5"/>
    <x v="5"/>
    <x v="5"/>
    <x v="5"/>
  </r>
  <r>
    <x v="2"/>
    <x v="25"/>
    <x v="25"/>
    <x v="17"/>
    <x v="0"/>
    <x v="0"/>
    <x v="90"/>
    <x v="65"/>
    <x v="11"/>
    <x v="10"/>
    <x v="12"/>
    <x v="13"/>
    <x v="43"/>
  </r>
  <r>
    <x v="2"/>
    <x v="26"/>
    <x v="26"/>
    <x v="18"/>
    <x v="0"/>
    <x v="0"/>
    <x v="91"/>
    <x v="66"/>
    <x v="9"/>
    <x v="9"/>
    <x v="4"/>
    <x v="4"/>
    <x v="44"/>
  </r>
  <r>
    <x v="2"/>
    <x v="27"/>
    <x v="27"/>
    <x v="19"/>
    <x v="0"/>
    <x v="0"/>
    <x v="92"/>
    <x v="29"/>
    <x v="5"/>
    <x v="5"/>
    <x v="5"/>
    <x v="5"/>
    <x v="5"/>
  </r>
  <r>
    <x v="2"/>
    <x v="28"/>
    <x v="28"/>
    <x v="19"/>
    <x v="0"/>
    <x v="0"/>
    <x v="93"/>
    <x v="47"/>
    <x v="5"/>
    <x v="5"/>
    <x v="5"/>
    <x v="5"/>
    <x v="5"/>
  </r>
  <r>
    <x v="2"/>
    <x v="29"/>
    <x v="29"/>
    <x v="20"/>
    <x v="0"/>
    <x v="0"/>
    <x v="94"/>
    <x v="47"/>
    <x v="5"/>
    <x v="5"/>
    <x v="5"/>
    <x v="5"/>
    <x v="5"/>
  </r>
  <r>
    <x v="2"/>
    <x v="30"/>
    <x v="30"/>
    <x v="21"/>
    <x v="0"/>
    <x v="0"/>
    <x v="95"/>
    <x v="20"/>
    <x v="5"/>
    <x v="5"/>
    <x v="5"/>
    <x v="5"/>
    <x v="5"/>
  </r>
  <r>
    <x v="2"/>
    <x v="31"/>
    <x v="31"/>
    <x v="22"/>
    <x v="0"/>
    <x v="0"/>
    <x v="96"/>
    <x v="23"/>
    <x v="5"/>
    <x v="5"/>
    <x v="5"/>
    <x v="5"/>
    <x v="5"/>
  </r>
  <r>
    <x v="2"/>
    <x v="34"/>
    <x v="34"/>
    <x v="4"/>
    <x v="0"/>
    <x v="0"/>
    <x v="97"/>
    <x v="67"/>
    <x v="5"/>
    <x v="5"/>
    <x v="5"/>
    <x v="5"/>
    <x v="5"/>
  </r>
  <r>
    <x v="3"/>
    <x v="35"/>
    <x v="35"/>
    <x v="30"/>
    <x v="1"/>
    <x v="0"/>
    <x v="98"/>
    <x v="29"/>
    <x v="11"/>
    <x v="10"/>
    <x v="12"/>
    <x v="13"/>
    <x v="45"/>
  </r>
  <r>
    <x v="3"/>
    <x v="36"/>
    <x v="36"/>
    <x v="31"/>
    <x v="1"/>
    <x v="0"/>
    <x v="99"/>
    <x v="35"/>
    <x v="5"/>
    <x v="5"/>
    <x v="5"/>
    <x v="5"/>
    <x v="5"/>
  </r>
  <r>
    <x v="3"/>
    <x v="37"/>
    <x v="37"/>
    <x v="2"/>
    <x v="1"/>
    <x v="0"/>
    <x v="100"/>
    <x v="68"/>
    <x v="11"/>
    <x v="10"/>
    <x v="12"/>
    <x v="13"/>
    <x v="46"/>
  </r>
  <r>
    <x v="3"/>
    <x v="38"/>
    <x v="38"/>
    <x v="2"/>
    <x v="1"/>
    <x v="0"/>
    <x v="101"/>
    <x v="41"/>
    <x v="5"/>
    <x v="5"/>
    <x v="5"/>
    <x v="5"/>
    <x v="5"/>
  </r>
  <r>
    <x v="3"/>
    <x v="39"/>
    <x v="39"/>
    <x v="32"/>
    <x v="1"/>
    <x v="0"/>
    <x v="102"/>
    <x v="69"/>
    <x v="5"/>
    <x v="5"/>
    <x v="5"/>
    <x v="5"/>
    <x v="5"/>
  </r>
  <r>
    <x v="3"/>
    <x v="40"/>
    <x v="40"/>
    <x v="33"/>
    <x v="1"/>
    <x v="0"/>
    <x v="52"/>
    <x v="70"/>
    <x v="5"/>
    <x v="5"/>
    <x v="5"/>
    <x v="5"/>
    <x v="5"/>
  </r>
  <r>
    <x v="3"/>
    <x v="41"/>
    <x v="41"/>
    <x v="34"/>
    <x v="1"/>
    <x v="0"/>
    <x v="103"/>
    <x v="58"/>
    <x v="5"/>
    <x v="5"/>
    <x v="5"/>
    <x v="5"/>
    <x v="5"/>
  </r>
  <r>
    <x v="3"/>
    <x v="42"/>
    <x v="42"/>
    <x v="35"/>
    <x v="1"/>
    <x v="0"/>
    <x v="104"/>
    <x v="71"/>
    <x v="5"/>
    <x v="5"/>
    <x v="5"/>
    <x v="5"/>
    <x v="5"/>
  </r>
  <r>
    <x v="3"/>
    <x v="43"/>
    <x v="43"/>
    <x v="36"/>
    <x v="1"/>
    <x v="0"/>
    <x v="105"/>
    <x v="65"/>
    <x v="5"/>
    <x v="5"/>
    <x v="5"/>
    <x v="5"/>
    <x v="5"/>
  </r>
  <r>
    <x v="3"/>
    <x v="44"/>
    <x v="44"/>
    <x v="35"/>
    <x v="1"/>
    <x v="0"/>
    <x v="106"/>
    <x v="72"/>
    <x v="9"/>
    <x v="9"/>
    <x v="4"/>
    <x v="4"/>
    <x v="42"/>
  </r>
  <r>
    <x v="3"/>
    <x v="45"/>
    <x v="45"/>
    <x v="35"/>
    <x v="1"/>
    <x v="0"/>
    <x v="107"/>
    <x v="12"/>
    <x v="11"/>
    <x v="10"/>
    <x v="12"/>
    <x v="13"/>
    <x v="47"/>
  </r>
  <r>
    <x v="3"/>
    <x v="46"/>
    <x v="46"/>
    <x v="37"/>
    <x v="1"/>
    <x v="0"/>
    <x v="108"/>
    <x v="24"/>
    <x v="5"/>
    <x v="5"/>
    <x v="5"/>
    <x v="5"/>
    <x v="5"/>
  </r>
  <r>
    <x v="3"/>
    <x v="47"/>
    <x v="47"/>
    <x v="36"/>
    <x v="1"/>
    <x v="0"/>
    <x v="109"/>
    <x v="73"/>
    <x v="11"/>
    <x v="10"/>
    <x v="12"/>
    <x v="13"/>
    <x v="48"/>
  </r>
  <r>
    <x v="3"/>
    <x v="48"/>
    <x v="48"/>
    <x v="1"/>
    <x v="1"/>
    <x v="1"/>
    <x v="110"/>
    <x v="74"/>
    <x v="13"/>
    <x v="18"/>
    <x v="7"/>
    <x v="7"/>
    <x v="49"/>
  </r>
  <r>
    <x v="3"/>
    <x v="49"/>
    <x v="49"/>
    <x v="37"/>
    <x v="1"/>
    <x v="0"/>
    <x v="111"/>
    <x v="75"/>
    <x v="14"/>
    <x v="13"/>
    <x v="11"/>
    <x v="12"/>
    <x v="50"/>
  </r>
  <r>
    <x v="3"/>
    <x v="50"/>
    <x v="50"/>
    <x v="24"/>
    <x v="1"/>
    <x v="0"/>
    <x v="112"/>
    <x v="76"/>
    <x v="11"/>
    <x v="10"/>
    <x v="12"/>
    <x v="13"/>
    <x v="51"/>
  </r>
  <r>
    <x v="3"/>
    <x v="51"/>
    <x v="51"/>
    <x v="35"/>
    <x v="1"/>
    <x v="0"/>
    <x v="113"/>
    <x v="77"/>
    <x v="5"/>
    <x v="5"/>
    <x v="5"/>
    <x v="5"/>
    <x v="5"/>
  </r>
  <r>
    <x v="3"/>
    <x v="52"/>
    <x v="52"/>
    <x v="38"/>
    <x v="1"/>
    <x v="0"/>
    <x v="114"/>
    <x v="78"/>
    <x v="5"/>
    <x v="5"/>
    <x v="5"/>
    <x v="5"/>
    <x v="5"/>
  </r>
  <r>
    <x v="3"/>
    <x v="53"/>
    <x v="53"/>
    <x v="37"/>
    <x v="1"/>
    <x v="0"/>
    <x v="115"/>
    <x v="79"/>
    <x v="18"/>
    <x v="17"/>
    <x v="18"/>
    <x v="11"/>
    <x v="52"/>
  </r>
  <r>
    <x v="3"/>
    <x v="54"/>
    <x v="54"/>
    <x v="39"/>
    <x v="1"/>
    <x v="0"/>
    <x v="116"/>
    <x v="80"/>
    <x v="14"/>
    <x v="13"/>
    <x v="11"/>
    <x v="12"/>
    <x v="53"/>
  </r>
  <r>
    <x v="3"/>
    <x v="55"/>
    <x v="55"/>
    <x v="0"/>
    <x v="1"/>
    <x v="0"/>
    <x v="117"/>
    <x v="81"/>
    <x v="5"/>
    <x v="5"/>
    <x v="5"/>
    <x v="5"/>
    <x v="5"/>
  </r>
  <r>
    <x v="3"/>
    <x v="56"/>
    <x v="56"/>
    <x v="40"/>
    <x v="1"/>
    <x v="0"/>
    <x v="118"/>
    <x v="82"/>
    <x v="5"/>
    <x v="5"/>
    <x v="5"/>
    <x v="5"/>
    <x v="5"/>
  </r>
  <r>
    <x v="3"/>
    <x v="57"/>
    <x v="57"/>
    <x v="0"/>
    <x v="1"/>
    <x v="0"/>
    <x v="119"/>
    <x v="74"/>
    <x v="9"/>
    <x v="9"/>
    <x v="4"/>
    <x v="4"/>
    <x v="54"/>
  </r>
  <r>
    <x v="4"/>
    <x v="0"/>
    <x v="0"/>
    <x v="41"/>
    <x v="0"/>
    <x v="0"/>
    <x v="120"/>
    <x v="83"/>
    <x v="18"/>
    <x v="12"/>
    <x v="18"/>
    <x v="14"/>
    <x v="55"/>
  </r>
  <r>
    <x v="4"/>
    <x v="1"/>
    <x v="1"/>
    <x v="41"/>
    <x v="0"/>
    <x v="0"/>
    <x v="121"/>
    <x v="84"/>
    <x v="9"/>
    <x v="9"/>
    <x v="4"/>
    <x v="4"/>
    <x v="19"/>
  </r>
  <r>
    <x v="4"/>
    <x v="2"/>
    <x v="2"/>
    <x v="42"/>
    <x v="0"/>
    <x v="0"/>
    <x v="122"/>
    <x v="13"/>
    <x v="13"/>
    <x v="18"/>
    <x v="7"/>
    <x v="7"/>
    <x v="56"/>
  </r>
  <r>
    <x v="4"/>
    <x v="3"/>
    <x v="3"/>
    <x v="42"/>
    <x v="0"/>
    <x v="0"/>
    <x v="123"/>
    <x v="85"/>
    <x v="4"/>
    <x v="4"/>
    <x v="10"/>
    <x v="10"/>
    <x v="57"/>
  </r>
  <r>
    <x v="4"/>
    <x v="4"/>
    <x v="4"/>
    <x v="0"/>
    <x v="0"/>
    <x v="0"/>
    <x v="124"/>
    <x v="18"/>
    <x v="5"/>
    <x v="5"/>
    <x v="5"/>
    <x v="5"/>
    <x v="5"/>
  </r>
  <r>
    <x v="4"/>
    <x v="5"/>
    <x v="5"/>
    <x v="37"/>
    <x v="0"/>
    <x v="0"/>
    <x v="125"/>
    <x v="86"/>
    <x v="5"/>
    <x v="5"/>
    <x v="5"/>
    <x v="5"/>
    <x v="5"/>
  </r>
  <r>
    <x v="4"/>
    <x v="6"/>
    <x v="6"/>
    <x v="1"/>
    <x v="0"/>
    <x v="0"/>
    <x v="126"/>
    <x v="87"/>
    <x v="9"/>
    <x v="4"/>
    <x v="4"/>
    <x v="4"/>
    <x v="23"/>
  </r>
  <r>
    <x v="4"/>
    <x v="7"/>
    <x v="7"/>
    <x v="37"/>
    <x v="0"/>
    <x v="0"/>
    <x v="125"/>
    <x v="21"/>
    <x v="11"/>
    <x v="9"/>
    <x v="12"/>
    <x v="13"/>
    <x v="58"/>
  </r>
  <r>
    <x v="4"/>
    <x v="8"/>
    <x v="8"/>
    <x v="4"/>
    <x v="0"/>
    <x v="0"/>
    <x v="127"/>
    <x v="88"/>
    <x v="4"/>
    <x v="4"/>
    <x v="10"/>
    <x v="10"/>
    <x v="59"/>
  </r>
  <r>
    <x v="4"/>
    <x v="9"/>
    <x v="9"/>
    <x v="25"/>
    <x v="0"/>
    <x v="0"/>
    <x v="128"/>
    <x v="89"/>
    <x v="11"/>
    <x v="10"/>
    <x v="12"/>
    <x v="13"/>
    <x v="60"/>
  </r>
  <r>
    <x v="4"/>
    <x v="10"/>
    <x v="10"/>
    <x v="4"/>
    <x v="0"/>
    <x v="0"/>
    <x v="129"/>
    <x v="90"/>
    <x v="5"/>
    <x v="5"/>
    <x v="5"/>
    <x v="5"/>
    <x v="5"/>
  </r>
  <r>
    <x v="4"/>
    <x v="11"/>
    <x v="11"/>
    <x v="1"/>
    <x v="0"/>
    <x v="0"/>
    <x v="130"/>
    <x v="91"/>
    <x v="4"/>
    <x v="4"/>
    <x v="10"/>
    <x v="10"/>
    <x v="61"/>
  </r>
  <r>
    <x v="4"/>
    <x v="12"/>
    <x v="12"/>
    <x v="1"/>
    <x v="0"/>
    <x v="0"/>
    <x v="131"/>
    <x v="92"/>
    <x v="9"/>
    <x v="9"/>
    <x v="4"/>
    <x v="4"/>
    <x v="62"/>
  </r>
  <r>
    <x v="4"/>
    <x v="13"/>
    <x v="13"/>
    <x v="25"/>
    <x v="0"/>
    <x v="0"/>
    <x v="132"/>
    <x v="41"/>
    <x v="5"/>
    <x v="5"/>
    <x v="5"/>
    <x v="5"/>
    <x v="5"/>
  </r>
  <r>
    <x v="4"/>
    <x v="14"/>
    <x v="14"/>
    <x v="4"/>
    <x v="0"/>
    <x v="1"/>
    <x v="133"/>
    <x v="93"/>
    <x v="19"/>
    <x v="19"/>
    <x v="19"/>
    <x v="1"/>
    <x v="63"/>
  </r>
  <r>
    <x v="4"/>
    <x v="15"/>
    <x v="15"/>
    <x v="1"/>
    <x v="0"/>
    <x v="0"/>
    <x v="134"/>
    <x v="19"/>
    <x v="5"/>
    <x v="5"/>
    <x v="5"/>
    <x v="5"/>
    <x v="5"/>
  </r>
  <r>
    <x v="4"/>
    <x v="16"/>
    <x v="16"/>
    <x v="1"/>
    <x v="0"/>
    <x v="0"/>
    <x v="135"/>
    <x v="42"/>
    <x v="5"/>
    <x v="5"/>
    <x v="5"/>
    <x v="5"/>
    <x v="5"/>
  </r>
  <r>
    <x v="4"/>
    <x v="17"/>
    <x v="17"/>
    <x v="37"/>
    <x v="0"/>
    <x v="0"/>
    <x v="136"/>
    <x v="23"/>
    <x v="5"/>
    <x v="5"/>
    <x v="5"/>
    <x v="5"/>
    <x v="5"/>
  </r>
  <r>
    <x v="4"/>
    <x v="18"/>
    <x v="18"/>
    <x v="43"/>
    <x v="0"/>
    <x v="0"/>
    <x v="137"/>
    <x v="63"/>
    <x v="11"/>
    <x v="10"/>
    <x v="12"/>
    <x v="13"/>
    <x v="64"/>
  </r>
  <r>
    <x v="4"/>
    <x v="19"/>
    <x v="19"/>
    <x v="44"/>
    <x v="0"/>
    <x v="0"/>
    <x v="138"/>
    <x v="94"/>
    <x v="4"/>
    <x v="13"/>
    <x v="4"/>
    <x v="10"/>
    <x v="65"/>
  </r>
  <r>
    <x v="4"/>
    <x v="20"/>
    <x v="20"/>
    <x v="37"/>
    <x v="0"/>
    <x v="0"/>
    <x v="139"/>
    <x v="68"/>
    <x v="11"/>
    <x v="10"/>
    <x v="12"/>
    <x v="13"/>
    <x v="66"/>
  </r>
  <r>
    <x v="4"/>
    <x v="21"/>
    <x v="21"/>
    <x v="4"/>
    <x v="0"/>
    <x v="0"/>
    <x v="83"/>
    <x v="95"/>
    <x v="14"/>
    <x v="13"/>
    <x v="10"/>
    <x v="10"/>
    <x v="67"/>
  </r>
  <r>
    <x v="4"/>
    <x v="22"/>
    <x v="22"/>
    <x v="35"/>
    <x v="0"/>
    <x v="0"/>
    <x v="140"/>
    <x v="18"/>
    <x v="11"/>
    <x v="10"/>
    <x v="12"/>
    <x v="13"/>
    <x v="47"/>
  </r>
  <r>
    <x v="4"/>
    <x v="23"/>
    <x v="23"/>
    <x v="45"/>
    <x v="0"/>
    <x v="0"/>
    <x v="141"/>
    <x v="40"/>
    <x v="5"/>
    <x v="5"/>
    <x v="5"/>
    <x v="5"/>
    <x v="5"/>
  </r>
  <r>
    <x v="4"/>
    <x v="24"/>
    <x v="24"/>
    <x v="4"/>
    <x v="0"/>
    <x v="0"/>
    <x v="142"/>
    <x v="5"/>
    <x v="5"/>
    <x v="5"/>
    <x v="5"/>
    <x v="5"/>
    <x v="5"/>
  </r>
  <r>
    <x v="4"/>
    <x v="25"/>
    <x v="25"/>
    <x v="37"/>
    <x v="0"/>
    <x v="0"/>
    <x v="143"/>
    <x v="19"/>
    <x v="11"/>
    <x v="10"/>
    <x v="12"/>
    <x v="13"/>
    <x v="43"/>
  </r>
  <r>
    <x v="4"/>
    <x v="26"/>
    <x v="26"/>
    <x v="46"/>
    <x v="0"/>
    <x v="0"/>
    <x v="29"/>
    <x v="82"/>
    <x v="4"/>
    <x v="13"/>
    <x v="4"/>
    <x v="4"/>
    <x v="68"/>
  </r>
  <r>
    <x v="4"/>
    <x v="27"/>
    <x v="27"/>
    <x v="37"/>
    <x v="0"/>
    <x v="0"/>
    <x v="144"/>
    <x v="29"/>
    <x v="5"/>
    <x v="5"/>
    <x v="5"/>
    <x v="5"/>
    <x v="5"/>
  </r>
  <r>
    <x v="4"/>
    <x v="28"/>
    <x v="28"/>
    <x v="1"/>
    <x v="0"/>
    <x v="0"/>
    <x v="145"/>
    <x v="26"/>
    <x v="5"/>
    <x v="5"/>
    <x v="5"/>
    <x v="5"/>
    <x v="5"/>
  </r>
  <r>
    <x v="4"/>
    <x v="29"/>
    <x v="29"/>
    <x v="47"/>
    <x v="0"/>
    <x v="0"/>
    <x v="146"/>
    <x v="69"/>
    <x v="5"/>
    <x v="5"/>
    <x v="5"/>
    <x v="5"/>
    <x v="5"/>
  </r>
  <r>
    <x v="4"/>
    <x v="30"/>
    <x v="30"/>
    <x v="43"/>
    <x v="0"/>
    <x v="0"/>
    <x v="147"/>
    <x v="96"/>
    <x v="11"/>
    <x v="10"/>
    <x v="12"/>
    <x v="13"/>
    <x v="69"/>
  </r>
  <r>
    <x v="4"/>
    <x v="33"/>
    <x v="33"/>
    <x v="48"/>
    <x v="0"/>
    <x v="0"/>
    <x v="148"/>
    <x v="44"/>
    <x v="9"/>
    <x v="4"/>
    <x v="4"/>
    <x v="10"/>
    <x v="70"/>
  </r>
  <r>
    <x v="4"/>
    <x v="58"/>
    <x v="58"/>
    <x v="25"/>
    <x v="0"/>
    <x v="0"/>
    <x v="149"/>
    <x v="63"/>
    <x v="11"/>
    <x v="10"/>
    <x v="12"/>
    <x v="13"/>
    <x v="71"/>
  </r>
  <r>
    <x v="4"/>
    <x v="59"/>
    <x v="59"/>
    <x v="49"/>
    <x v="0"/>
    <x v="0"/>
    <x v="150"/>
    <x v="97"/>
    <x v="5"/>
    <x v="5"/>
    <x v="5"/>
    <x v="5"/>
    <x v="5"/>
  </r>
  <r>
    <x v="4"/>
    <x v="31"/>
    <x v="31"/>
    <x v="48"/>
    <x v="0"/>
    <x v="0"/>
    <x v="151"/>
    <x v="63"/>
    <x v="11"/>
    <x v="10"/>
    <x v="12"/>
    <x v="13"/>
    <x v="72"/>
  </r>
  <r>
    <x v="4"/>
    <x v="60"/>
    <x v="60"/>
    <x v="50"/>
    <x v="0"/>
    <x v="0"/>
    <x v="152"/>
    <x v="86"/>
    <x v="5"/>
    <x v="5"/>
    <x v="5"/>
    <x v="5"/>
    <x v="5"/>
  </r>
  <r>
    <x v="5"/>
    <x v="33"/>
    <x v="33"/>
    <x v="48"/>
    <x v="0"/>
    <x v="0"/>
    <x v="153"/>
    <x v="98"/>
    <x v="11"/>
    <x v="4"/>
    <x v="12"/>
    <x v="13"/>
    <x v="72"/>
  </r>
  <r>
    <x v="5"/>
    <x v="1"/>
    <x v="1"/>
    <x v="41"/>
    <x v="0"/>
    <x v="1"/>
    <x v="154"/>
    <x v="99"/>
    <x v="16"/>
    <x v="6"/>
    <x v="18"/>
    <x v="11"/>
    <x v="73"/>
  </r>
  <r>
    <x v="5"/>
    <x v="2"/>
    <x v="2"/>
    <x v="42"/>
    <x v="0"/>
    <x v="0"/>
    <x v="155"/>
    <x v="100"/>
    <x v="12"/>
    <x v="18"/>
    <x v="11"/>
    <x v="12"/>
    <x v="74"/>
  </r>
  <r>
    <x v="5"/>
    <x v="3"/>
    <x v="3"/>
    <x v="42"/>
    <x v="0"/>
    <x v="0"/>
    <x v="156"/>
    <x v="96"/>
    <x v="11"/>
    <x v="10"/>
    <x v="12"/>
    <x v="13"/>
    <x v="75"/>
  </r>
  <r>
    <x v="5"/>
    <x v="4"/>
    <x v="4"/>
    <x v="0"/>
    <x v="0"/>
    <x v="0"/>
    <x v="157"/>
    <x v="57"/>
    <x v="11"/>
    <x v="10"/>
    <x v="12"/>
    <x v="13"/>
    <x v="76"/>
  </r>
  <r>
    <x v="5"/>
    <x v="5"/>
    <x v="5"/>
    <x v="37"/>
    <x v="0"/>
    <x v="0"/>
    <x v="158"/>
    <x v="35"/>
    <x v="5"/>
    <x v="5"/>
    <x v="5"/>
    <x v="5"/>
    <x v="5"/>
  </r>
  <r>
    <x v="5"/>
    <x v="6"/>
    <x v="6"/>
    <x v="1"/>
    <x v="0"/>
    <x v="0"/>
    <x v="159"/>
    <x v="87"/>
    <x v="5"/>
    <x v="5"/>
    <x v="5"/>
    <x v="5"/>
    <x v="5"/>
  </r>
  <r>
    <x v="5"/>
    <x v="7"/>
    <x v="7"/>
    <x v="37"/>
    <x v="0"/>
    <x v="0"/>
    <x v="160"/>
    <x v="35"/>
    <x v="5"/>
    <x v="5"/>
    <x v="5"/>
    <x v="5"/>
    <x v="5"/>
  </r>
  <r>
    <x v="5"/>
    <x v="8"/>
    <x v="8"/>
    <x v="4"/>
    <x v="0"/>
    <x v="1"/>
    <x v="161"/>
    <x v="101"/>
    <x v="20"/>
    <x v="20"/>
    <x v="20"/>
    <x v="20"/>
    <x v="77"/>
  </r>
  <r>
    <x v="5"/>
    <x v="9"/>
    <x v="9"/>
    <x v="25"/>
    <x v="0"/>
    <x v="0"/>
    <x v="162"/>
    <x v="102"/>
    <x v="14"/>
    <x v="13"/>
    <x v="11"/>
    <x v="12"/>
    <x v="78"/>
  </r>
  <r>
    <x v="5"/>
    <x v="10"/>
    <x v="10"/>
    <x v="4"/>
    <x v="0"/>
    <x v="1"/>
    <x v="163"/>
    <x v="57"/>
    <x v="5"/>
    <x v="5"/>
    <x v="5"/>
    <x v="5"/>
    <x v="5"/>
  </r>
  <r>
    <x v="5"/>
    <x v="11"/>
    <x v="11"/>
    <x v="1"/>
    <x v="0"/>
    <x v="0"/>
    <x v="164"/>
    <x v="52"/>
    <x v="11"/>
    <x v="10"/>
    <x v="12"/>
    <x v="13"/>
    <x v="27"/>
  </r>
  <r>
    <x v="5"/>
    <x v="12"/>
    <x v="12"/>
    <x v="1"/>
    <x v="0"/>
    <x v="0"/>
    <x v="17"/>
    <x v="65"/>
    <x v="5"/>
    <x v="5"/>
    <x v="5"/>
    <x v="5"/>
    <x v="5"/>
  </r>
  <r>
    <x v="5"/>
    <x v="13"/>
    <x v="13"/>
    <x v="25"/>
    <x v="0"/>
    <x v="1"/>
    <x v="165"/>
    <x v="53"/>
    <x v="11"/>
    <x v="9"/>
    <x v="12"/>
    <x v="13"/>
    <x v="60"/>
  </r>
  <r>
    <x v="5"/>
    <x v="14"/>
    <x v="14"/>
    <x v="4"/>
    <x v="0"/>
    <x v="0"/>
    <x v="166"/>
    <x v="103"/>
    <x v="21"/>
    <x v="3"/>
    <x v="21"/>
    <x v="3"/>
    <x v="79"/>
  </r>
  <r>
    <x v="5"/>
    <x v="0"/>
    <x v="0"/>
    <x v="41"/>
    <x v="0"/>
    <x v="1"/>
    <x v="167"/>
    <x v="104"/>
    <x v="13"/>
    <x v="18"/>
    <x v="7"/>
    <x v="7"/>
    <x v="80"/>
  </r>
  <r>
    <x v="5"/>
    <x v="15"/>
    <x v="15"/>
    <x v="1"/>
    <x v="0"/>
    <x v="0"/>
    <x v="168"/>
    <x v="105"/>
    <x v="5"/>
    <x v="5"/>
    <x v="5"/>
    <x v="5"/>
    <x v="5"/>
  </r>
  <r>
    <x v="5"/>
    <x v="16"/>
    <x v="16"/>
    <x v="1"/>
    <x v="0"/>
    <x v="0"/>
    <x v="169"/>
    <x v="106"/>
    <x v="5"/>
    <x v="5"/>
    <x v="5"/>
    <x v="5"/>
    <x v="5"/>
  </r>
  <r>
    <x v="5"/>
    <x v="17"/>
    <x v="17"/>
    <x v="37"/>
    <x v="0"/>
    <x v="0"/>
    <x v="170"/>
    <x v="107"/>
    <x v="11"/>
    <x v="10"/>
    <x v="5"/>
    <x v="5"/>
    <x v="5"/>
  </r>
  <r>
    <x v="5"/>
    <x v="18"/>
    <x v="18"/>
    <x v="43"/>
    <x v="0"/>
    <x v="0"/>
    <x v="171"/>
    <x v="10"/>
    <x v="14"/>
    <x v="11"/>
    <x v="10"/>
    <x v="10"/>
    <x v="81"/>
  </r>
  <r>
    <x v="5"/>
    <x v="19"/>
    <x v="19"/>
    <x v="44"/>
    <x v="0"/>
    <x v="0"/>
    <x v="172"/>
    <x v="108"/>
    <x v="11"/>
    <x v="10"/>
    <x v="12"/>
    <x v="13"/>
    <x v="82"/>
  </r>
  <r>
    <x v="5"/>
    <x v="20"/>
    <x v="20"/>
    <x v="37"/>
    <x v="0"/>
    <x v="0"/>
    <x v="173"/>
    <x v="5"/>
    <x v="5"/>
    <x v="5"/>
    <x v="5"/>
    <x v="5"/>
    <x v="5"/>
  </r>
  <r>
    <x v="5"/>
    <x v="21"/>
    <x v="21"/>
    <x v="4"/>
    <x v="0"/>
    <x v="0"/>
    <x v="174"/>
    <x v="77"/>
    <x v="11"/>
    <x v="9"/>
    <x v="5"/>
    <x v="5"/>
    <x v="5"/>
  </r>
  <r>
    <x v="5"/>
    <x v="22"/>
    <x v="22"/>
    <x v="35"/>
    <x v="0"/>
    <x v="0"/>
    <x v="175"/>
    <x v="44"/>
    <x v="5"/>
    <x v="5"/>
    <x v="5"/>
    <x v="5"/>
    <x v="5"/>
  </r>
  <r>
    <x v="5"/>
    <x v="23"/>
    <x v="23"/>
    <x v="45"/>
    <x v="0"/>
    <x v="0"/>
    <x v="176"/>
    <x v="42"/>
    <x v="11"/>
    <x v="10"/>
    <x v="12"/>
    <x v="13"/>
    <x v="4"/>
  </r>
  <r>
    <x v="5"/>
    <x v="24"/>
    <x v="24"/>
    <x v="4"/>
    <x v="0"/>
    <x v="0"/>
    <x v="177"/>
    <x v="30"/>
    <x v="5"/>
    <x v="5"/>
    <x v="5"/>
    <x v="5"/>
    <x v="5"/>
  </r>
  <r>
    <x v="5"/>
    <x v="25"/>
    <x v="25"/>
    <x v="37"/>
    <x v="0"/>
    <x v="0"/>
    <x v="178"/>
    <x v="63"/>
    <x v="11"/>
    <x v="10"/>
    <x v="12"/>
    <x v="13"/>
    <x v="83"/>
  </r>
  <r>
    <x v="5"/>
    <x v="26"/>
    <x v="26"/>
    <x v="46"/>
    <x v="0"/>
    <x v="1"/>
    <x v="179"/>
    <x v="109"/>
    <x v="12"/>
    <x v="11"/>
    <x v="11"/>
    <x v="12"/>
    <x v="84"/>
  </r>
  <r>
    <x v="5"/>
    <x v="27"/>
    <x v="27"/>
    <x v="51"/>
    <x v="0"/>
    <x v="0"/>
    <x v="180"/>
    <x v="21"/>
    <x v="5"/>
    <x v="5"/>
    <x v="5"/>
    <x v="5"/>
    <x v="5"/>
  </r>
  <r>
    <x v="5"/>
    <x v="28"/>
    <x v="28"/>
    <x v="1"/>
    <x v="0"/>
    <x v="0"/>
    <x v="181"/>
    <x v="35"/>
    <x v="11"/>
    <x v="10"/>
    <x v="12"/>
    <x v="13"/>
    <x v="85"/>
  </r>
  <r>
    <x v="5"/>
    <x v="29"/>
    <x v="29"/>
    <x v="47"/>
    <x v="0"/>
    <x v="0"/>
    <x v="182"/>
    <x v="110"/>
    <x v="5"/>
    <x v="5"/>
    <x v="5"/>
    <x v="5"/>
    <x v="5"/>
  </r>
  <r>
    <x v="5"/>
    <x v="30"/>
    <x v="30"/>
    <x v="43"/>
    <x v="0"/>
    <x v="0"/>
    <x v="183"/>
    <x v="111"/>
    <x v="5"/>
    <x v="5"/>
    <x v="5"/>
    <x v="5"/>
    <x v="5"/>
  </r>
  <r>
    <x v="5"/>
    <x v="31"/>
    <x v="31"/>
    <x v="48"/>
    <x v="0"/>
    <x v="0"/>
    <x v="184"/>
    <x v="15"/>
    <x v="13"/>
    <x v="18"/>
    <x v="11"/>
    <x v="12"/>
    <x v="86"/>
  </r>
  <r>
    <x v="6"/>
    <x v="61"/>
    <x v="61"/>
    <x v="16"/>
    <x v="0"/>
    <x v="0"/>
    <x v="185"/>
    <x v="37"/>
    <x v="5"/>
    <x v="5"/>
    <x v="5"/>
    <x v="5"/>
    <x v="5"/>
  </r>
  <r>
    <x v="6"/>
    <x v="0"/>
    <x v="0"/>
    <x v="41"/>
    <x v="0"/>
    <x v="0"/>
    <x v="186"/>
    <x v="112"/>
    <x v="8"/>
    <x v="21"/>
    <x v="18"/>
    <x v="14"/>
    <x v="55"/>
  </r>
  <r>
    <x v="6"/>
    <x v="8"/>
    <x v="8"/>
    <x v="4"/>
    <x v="0"/>
    <x v="0"/>
    <x v="187"/>
    <x v="113"/>
    <x v="16"/>
    <x v="21"/>
    <x v="13"/>
    <x v="14"/>
    <x v="87"/>
  </r>
  <r>
    <x v="6"/>
    <x v="1"/>
    <x v="1"/>
    <x v="41"/>
    <x v="0"/>
    <x v="0"/>
    <x v="188"/>
    <x v="114"/>
    <x v="11"/>
    <x v="10"/>
    <x v="5"/>
    <x v="5"/>
    <x v="5"/>
  </r>
  <r>
    <x v="6"/>
    <x v="14"/>
    <x v="14"/>
    <x v="4"/>
    <x v="0"/>
    <x v="0"/>
    <x v="189"/>
    <x v="115"/>
    <x v="7"/>
    <x v="22"/>
    <x v="8"/>
    <x v="8"/>
    <x v="88"/>
  </r>
  <r>
    <x v="6"/>
    <x v="2"/>
    <x v="2"/>
    <x v="42"/>
    <x v="0"/>
    <x v="0"/>
    <x v="190"/>
    <x v="44"/>
    <x v="5"/>
    <x v="5"/>
    <x v="5"/>
    <x v="5"/>
    <x v="5"/>
  </r>
  <r>
    <x v="6"/>
    <x v="9"/>
    <x v="9"/>
    <x v="25"/>
    <x v="0"/>
    <x v="0"/>
    <x v="191"/>
    <x v="10"/>
    <x v="9"/>
    <x v="9"/>
    <x v="12"/>
    <x v="13"/>
    <x v="89"/>
  </r>
  <r>
    <x v="6"/>
    <x v="3"/>
    <x v="3"/>
    <x v="42"/>
    <x v="0"/>
    <x v="0"/>
    <x v="192"/>
    <x v="52"/>
    <x v="12"/>
    <x v="11"/>
    <x v="9"/>
    <x v="9"/>
    <x v="90"/>
  </r>
  <r>
    <x v="6"/>
    <x v="18"/>
    <x v="18"/>
    <x v="43"/>
    <x v="0"/>
    <x v="0"/>
    <x v="193"/>
    <x v="91"/>
    <x v="9"/>
    <x v="9"/>
    <x v="12"/>
    <x v="13"/>
    <x v="91"/>
  </r>
  <r>
    <x v="6"/>
    <x v="26"/>
    <x v="26"/>
    <x v="46"/>
    <x v="0"/>
    <x v="0"/>
    <x v="194"/>
    <x v="116"/>
    <x v="11"/>
    <x v="10"/>
    <x v="12"/>
    <x v="13"/>
    <x v="50"/>
  </r>
  <r>
    <x v="6"/>
    <x v="19"/>
    <x v="19"/>
    <x v="44"/>
    <x v="0"/>
    <x v="0"/>
    <x v="195"/>
    <x v="85"/>
    <x v="5"/>
    <x v="5"/>
    <x v="5"/>
    <x v="5"/>
    <x v="5"/>
  </r>
  <r>
    <x v="6"/>
    <x v="31"/>
    <x v="31"/>
    <x v="48"/>
    <x v="0"/>
    <x v="0"/>
    <x v="196"/>
    <x v="22"/>
    <x v="11"/>
    <x v="10"/>
    <x v="12"/>
    <x v="13"/>
    <x v="72"/>
  </r>
  <r>
    <x v="6"/>
    <x v="4"/>
    <x v="4"/>
    <x v="0"/>
    <x v="0"/>
    <x v="0"/>
    <x v="197"/>
    <x v="117"/>
    <x v="5"/>
    <x v="5"/>
    <x v="5"/>
    <x v="5"/>
    <x v="5"/>
  </r>
  <r>
    <x v="6"/>
    <x v="5"/>
    <x v="5"/>
    <x v="37"/>
    <x v="0"/>
    <x v="0"/>
    <x v="198"/>
    <x v="46"/>
    <x v="5"/>
    <x v="5"/>
    <x v="5"/>
    <x v="5"/>
    <x v="5"/>
  </r>
  <r>
    <x v="6"/>
    <x v="7"/>
    <x v="7"/>
    <x v="37"/>
    <x v="0"/>
    <x v="0"/>
    <x v="199"/>
    <x v="86"/>
    <x v="5"/>
    <x v="5"/>
    <x v="5"/>
    <x v="5"/>
    <x v="5"/>
  </r>
  <r>
    <x v="6"/>
    <x v="10"/>
    <x v="10"/>
    <x v="4"/>
    <x v="0"/>
    <x v="0"/>
    <x v="200"/>
    <x v="86"/>
    <x v="5"/>
    <x v="5"/>
    <x v="5"/>
    <x v="5"/>
    <x v="5"/>
  </r>
  <r>
    <x v="6"/>
    <x v="13"/>
    <x v="13"/>
    <x v="25"/>
    <x v="0"/>
    <x v="0"/>
    <x v="201"/>
    <x v="37"/>
    <x v="5"/>
    <x v="5"/>
    <x v="5"/>
    <x v="5"/>
    <x v="5"/>
  </r>
  <r>
    <x v="6"/>
    <x v="11"/>
    <x v="11"/>
    <x v="1"/>
    <x v="0"/>
    <x v="0"/>
    <x v="202"/>
    <x v="40"/>
    <x v="5"/>
    <x v="5"/>
    <x v="5"/>
    <x v="5"/>
    <x v="5"/>
  </r>
  <r>
    <x v="6"/>
    <x v="25"/>
    <x v="25"/>
    <x v="37"/>
    <x v="0"/>
    <x v="0"/>
    <x v="203"/>
    <x v="40"/>
    <x v="5"/>
    <x v="5"/>
    <x v="5"/>
    <x v="5"/>
    <x v="5"/>
  </r>
  <r>
    <x v="6"/>
    <x v="15"/>
    <x v="15"/>
    <x v="1"/>
    <x v="0"/>
    <x v="0"/>
    <x v="204"/>
    <x v="29"/>
    <x v="5"/>
    <x v="5"/>
    <x v="5"/>
    <x v="5"/>
    <x v="5"/>
  </r>
  <r>
    <x v="6"/>
    <x v="16"/>
    <x v="16"/>
    <x v="1"/>
    <x v="0"/>
    <x v="0"/>
    <x v="205"/>
    <x v="47"/>
    <x v="5"/>
    <x v="5"/>
    <x v="5"/>
    <x v="5"/>
    <x v="5"/>
  </r>
  <r>
    <x v="6"/>
    <x v="20"/>
    <x v="20"/>
    <x v="37"/>
    <x v="0"/>
    <x v="0"/>
    <x v="143"/>
    <x v="47"/>
    <x v="5"/>
    <x v="5"/>
    <x v="5"/>
    <x v="5"/>
    <x v="5"/>
  </r>
  <r>
    <x v="6"/>
    <x v="22"/>
    <x v="22"/>
    <x v="35"/>
    <x v="0"/>
    <x v="0"/>
    <x v="143"/>
    <x v="46"/>
    <x v="5"/>
    <x v="5"/>
    <x v="5"/>
    <x v="5"/>
    <x v="5"/>
  </r>
  <r>
    <x v="6"/>
    <x v="12"/>
    <x v="12"/>
    <x v="1"/>
    <x v="0"/>
    <x v="0"/>
    <x v="206"/>
    <x v="26"/>
    <x v="5"/>
    <x v="5"/>
    <x v="5"/>
    <x v="5"/>
    <x v="5"/>
  </r>
  <r>
    <x v="6"/>
    <x v="17"/>
    <x v="17"/>
    <x v="37"/>
    <x v="0"/>
    <x v="0"/>
    <x v="207"/>
    <x v="49"/>
    <x v="5"/>
    <x v="5"/>
    <x v="5"/>
    <x v="5"/>
    <x v="5"/>
  </r>
  <r>
    <x v="6"/>
    <x v="23"/>
    <x v="23"/>
    <x v="45"/>
    <x v="0"/>
    <x v="0"/>
    <x v="208"/>
    <x v="47"/>
    <x v="5"/>
    <x v="5"/>
    <x v="5"/>
    <x v="5"/>
    <x v="5"/>
  </r>
  <r>
    <x v="6"/>
    <x v="21"/>
    <x v="21"/>
    <x v="4"/>
    <x v="0"/>
    <x v="0"/>
    <x v="209"/>
    <x v="65"/>
    <x v="5"/>
    <x v="5"/>
    <x v="5"/>
    <x v="5"/>
    <x v="5"/>
  </r>
  <r>
    <x v="6"/>
    <x v="24"/>
    <x v="24"/>
    <x v="4"/>
    <x v="0"/>
    <x v="0"/>
    <x v="210"/>
    <x v="69"/>
    <x v="11"/>
    <x v="10"/>
    <x v="12"/>
    <x v="13"/>
    <x v="92"/>
  </r>
  <r>
    <x v="6"/>
    <x v="27"/>
    <x v="27"/>
    <x v="51"/>
    <x v="0"/>
    <x v="0"/>
    <x v="211"/>
    <x v="46"/>
    <x v="5"/>
    <x v="5"/>
    <x v="5"/>
    <x v="5"/>
    <x v="5"/>
  </r>
  <r>
    <x v="6"/>
    <x v="28"/>
    <x v="28"/>
    <x v="1"/>
    <x v="0"/>
    <x v="0"/>
    <x v="212"/>
    <x v="47"/>
    <x v="5"/>
    <x v="5"/>
    <x v="5"/>
    <x v="5"/>
    <x v="5"/>
  </r>
  <r>
    <x v="6"/>
    <x v="29"/>
    <x v="29"/>
    <x v="47"/>
    <x v="0"/>
    <x v="0"/>
    <x v="213"/>
    <x v="23"/>
    <x v="5"/>
    <x v="5"/>
    <x v="5"/>
    <x v="5"/>
    <x v="5"/>
  </r>
  <r>
    <x v="6"/>
    <x v="30"/>
    <x v="30"/>
    <x v="43"/>
    <x v="0"/>
    <x v="0"/>
    <x v="214"/>
    <x v="91"/>
    <x v="5"/>
    <x v="5"/>
    <x v="5"/>
    <x v="5"/>
    <x v="5"/>
  </r>
  <r>
    <x v="6"/>
    <x v="62"/>
    <x v="62"/>
    <x v="16"/>
    <x v="0"/>
    <x v="0"/>
    <x v="215"/>
    <x v="118"/>
    <x v="12"/>
    <x v="18"/>
    <x v="11"/>
    <x v="9"/>
    <x v="93"/>
  </r>
  <r>
    <x v="7"/>
    <x v="22"/>
    <x v="22"/>
    <x v="35"/>
    <x v="0"/>
    <x v="0"/>
    <x v="216"/>
    <x v="119"/>
    <x v="5"/>
    <x v="5"/>
    <x v="5"/>
    <x v="5"/>
    <x v="5"/>
  </r>
  <r>
    <x v="7"/>
    <x v="9"/>
    <x v="9"/>
    <x v="25"/>
    <x v="0"/>
    <x v="0"/>
    <x v="217"/>
    <x v="23"/>
    <x v="5"/>
    <x v="5"/>
    <x v="5"/>
    <x v="5"/>
    <x v="5"/>
  </r>
  <r>
    <x v="7"/>
    <x v="63"/>
    <x v="63"/>
    <x v="16"/>
    <x v="0"/>
    <x v="0"/>
    <x v="218"/>
    <x v="108"/>
    <x v="9"/>
    <x v="4"/>
    <x v="4"/>
    <x v="10"/>
    <x v="94"/>
  </r>
  <r>
    <x v="7"/>
    <x v="64"/>
    <x v="64"/>
    <x v="16"/>
    <x v="0"/>
    <x v="0"/>
    <x v="219"/>
    <x v="120"/>
    <x v="4"/>
    <x v="4"/>
    <x v="10"/>
    <x v="10"/>
    <x v="94"/>
  </r>
  <r>
    <x v="7"/>
    <x v="14"/>
    <x v="14"/>
    <x v="11"/>
    <x v="0"/>
    <x v="0"/>
    <x v="220"/>
    <x v="121"/>
    <x v="13"/>
    <x v="17"/>
    <x v="11"/>
    <x v="12"/>
    <x v="95"/>
  </r>
  <r>
    <x v="7"/>
    <x v="65"/>
    <x v="65"/>
    <x v="25"/>
    <x v="0"/>
    <x v="0"/>
    <x v="221"/>
    <x v="78"/>
    <x v="4"/>
    <x v="4"/>
    <x v="10"/>
    <x v="10"/>
    <x v="96"/>
  </r>
  <r>
    <x v="7"/>
    <x v="8"/>
    <x v="8"/>
    <x v="11"/>
    <x v="0"/>
    <x v="0"/>
    <x v="222"/>
    <x v="109"/>
    <x v="12"/>
    <x v="11"/>
    <x v="9"/>
    <x v="9"/>
    <x v="97"/>
  </r>
  <r>
    <x v="7"/>
    <x v="4"/>
    <x v="4"/>
    <x v="0"/>
    <x v="0"/>
    <x v="0"/>
    <x v="223"/>
    <x v="85"/>
    <x v="11"/>
    <x v="10"/>
    <x v="12"/>
    <x v="13"/>
    <x v="76"/>
  </r>
  <r>
    <x v="7"/>
    <x v="66"/>
    <x v="66"/>
    <x v="0"/>
    <x v="0"/>
    <x v="0"/>
    <x v="224"/>
    <x v="110"/>
    <x v="5"/>
    <x v="5"/>
    <x v="5"/>
    <x v="5"/>
    <x v="5"/>
  </r>
  <r>
    <x v="7"/>
    <x v="1"/>
    <x v="1"/>
    <x v="41"/>
    <x v="0"/>
    <x v="0"/>
    <x v="225"/>
    <x v="122"/>
    <x v="4"/>
    <x v="13"/>
    <x v="10"/>
    <x v="12"/>
    <x v="98"/>
  </r>
  <r>
    <x v="7"/>
    <x v="19"/>
    <x v="19"/>
    <x v="46"/>
    <x v="0"/>
    <x v="0"/>
    <x v="226"/>
    <x v="114"/>
    <x v="5"/>
    <x v="5"/>
    <x v="5"/>
    <x v="5"/>
    <x v="5"/>
  </r>
  <r>
    <x v="7"/>
    <x v="11"/>
    <x v="11"/>
    <x v="52"/>
    <x v="0"/>
    <x v="0"/>
    <x v="227"/>
    <x v="58"/>
    <x v="11"/>
    <x v="10"/>
    <x v="12"/>
    <x v="13"/>
    <x v="99"/>
  </r>
  <r>
    <x v="7"/>
    <x v="67"/>
    <x v="67"/>
    <x v="16"/>
    <x v="0"/>
    <x v="0"/>
    <x v="228"/>
    <x v="123"/>
    <x v="4"/>
    <x v="4"/>
    <x v="10"/>
    <x v="10"/>
    <x v="100"/>
  </r>
  <r>
    <x v="7"/>
    <x v="68"/>
    <x v="68"/>
    <x v="25"/>
    <x v="0"/>
    <x v="0"/>
    <x v="229"/>
    <x v="81"/>
    <x v="11"/>
    <x v="10"/>
    <x v="12"/>
    <x v="13"/>
    <x v="101"/>
  </r>
  <r>
    <x v="7"/>
    <x v="69"/>
    <x v="69"/>
    <x v="42"/>
    <x v="0"/>
    <x v="0"/>
    <x v="230"/>
    <x v="77"/>
    <x v="9"/>
    <x v="9"/>
    <x v="4"/>
    <x v="4"/>
    <x v="102"/>
  </r>
  <r>
    <x v="7"/>
    <x v="70"/>
    <x v="70"/>
    <x v="25"/>
    <x v="0"/>
    <x v="0"/>
    <x v="231"/>
    <x v="71"/>
    <x v="9"/>
    <x v="9"/>
    <x v="12"/>
    <x v="13"/>
    <x v="101"/>
  </r>
  <r>
    <x v="7"/>
    <x v="26"/>
    <x v="26"/>
    <x v="46"/>
    <x v="0"/>
    <x v="0"/>
    <x v="232"/>
    <x v="124"/>
    <x v="9"/>
    <x v="9"/>
    <x v="4"/>
    <x v="4"/>
    <x v="103"/>
  </r>
  <r>
    <x v="7"/>
    <x v="33"/>
    <x v="33"/>
    <x v="48"/>
    <x v="0"/>
    <x v="0"/>
    <x v="233"/>
    <x v="19"/>
    <x v="5"/>
    <x v="5"/>
    <x v="5"/>
    <x v="5"/>
    <x v="5"/>
  </r>
  <r>
    <x v="7"/>
    <x v="31"/>
    <x v="31"/>
    <x v="48"/>
    <x v="0"/>
    <x v="0"/>
    <x v="234"/>
    <x v="111"/>
    <x v="13"/>
    <x v="17"/>
    <x v="7"/>
    <x v="7"/>
    <x v="104"/>
  </r>
  <r>
    <x v="7"/>
    <x v="71"/>
    <x v="71"/>
    <x v="16"/>
    <x v="0"/>
    <x v="0"/>
    <x v="235"/>
    <x v="125"/>
    <x v="14"/>
    <x v="18"/>
    <x v="11"/>
    <x v="12"/>
    <x v="105"/>
  </r>
  <r>
    <x v="7"/>
    <x v="72"/>
    <x v="72"/>
    <x v="53"/>
    <x v="0"/>
    <x v="0"/>
    <x v="236"/>
    <x v="82"/>
    <x v="14"/>
    <x v="13"/>
    <x v="11"/>
    <x v="12"/>
    <x v="106"/>
  </r>
  <r>
    <x v="7"/>
    <x v="73"/>
    <x v="73"/>
    <x v="25"/>
    <x v="0"/>
    <x v="0"/>
    <x v="237"/>
    <x v="126"/>
    <x v="11"/>
    <x v="9"/>
    <x v="12"/>
    <x v="4"/>
    <x v="107"/>
  </r>
  <r>
    <x v="7"/>
    <x v="74"/>
    <x v="74"/>
    <x v="4"/>
    <x v="0"/>
    <x v="0"/>
    <x v="238"/>
    <x v="52"/>
    <x v="5"/>
    <x v="5"/>
    <x v="5"/>
    <x v="5"/>
    <x v="5"/>
  </r>
  <r>
    <x v="7"/>
    <x v="75"/>
    <x v="75"/>
    <x v="11"/>
    <x v="0"/>
    <x v="0"/>
    <x v="239"/>
    <x v="114"/>
    <x v="11"/>
    <x v="10"/>
    <x v="12"/>
    <x v="13"/>
    <x v="108"/>
  </r>
  <r>
    <x v="7"/>
    <x v="76"/>
    <x v="76"/>
    <x v="25"/>
    <x v="0"/>
    <x v="1"/>
    <x v="240"/>
    <x v="127"/>
    <x v="9"/>
    <x v="13"/>
    <x v="12"/>
    <x v="13"/>
    <x v="60"/>
  </r>
  <r>
    <x v="7"/>
    <x v="24"/>
    <x v="24"/>
    <x v="25"/>
    <x v="0"/>
    <x v="0"/>
    <x v="180"/>
    <x v="85"/>
    <x v="5"/>
    <x v="5"/>
    <x v="5"/>
    <x v="5"/>
    <x v="5"/>
  </r>
  <r>
    <x v="7"/>
    <x v="77"/>
    <x v="77"/>
    <x v="46"/>
    <x v="0"/>
    <x v="0"/>
    <x v="241"/>
    <x v="128"/>
    <x v="11"/>
    <x v="10"/>
    <x v="12"/>
    <x v="13"/>
    <x v="109"/>
  </r>
  <r>
    <x v="7"/>
    <x v="78"/>
    <x v="78"/>
    <x v="25"/>
    <x v="0"/>
    <x v="0"/>
    <x v="242"/>
    <x v="105"/>
    <x v="11"/>
    <x v="10"/>
    <x v="5"/>
    <x v="5"/>
    <x v="5"/>
  </r>
  <r>
    <x v="7"/>
    <x v="79"/>
    <x v="79"/>
    <x v="31"/>
    <x v="0"/>
    <x v="0"/>
    <x v="243"/>
    <x v="53"/>
    <x v="9"/>
    <x v="9"/>
    <x v="4"/>
    <x v="4"/>
    <x v="110"/>
  </r>
  <r>
    <x v="7"/>
    <x v="80"/>
    <x v="80"/>
    <x v="25"/>
    <x v="0"/>
    <x v="0"/>
    <x v="244"/>
    <x v="123"/>
    <x v="11"/>
    <x v="10"/>
    <x v="12"/>
    <x v="13"/>
    <x v="111"/>
  </r>
  <r>
    <x v="7"/>
    <x v="81"/>
    <x v="81"/>
    <x v="31"/>
    <x v="0"/>
    <x v="0"/>
    <x v="18"/>
    <x v="129"/>
    <x v="13"/>
    <x v="12"/>
    <x v="7"/>
    <x v="14"/>
    <x v="112"/>
  </r>
  <r>
    <x v="7"/>
    <x v="82"/>
    <x v="82"/>
    <x v="4"/>
    <x v="0"/>
    <x v="0"/>
    <x v="245"/>
    <x v="71"/>
    <x v="9"/>
    <x v="9"/>
    <x v="4"/>
    <x v="4"/>
    <x v="113"/>
  </r>
  <r>
    <x v="7"/>
    <x v="83"/>
    <x v="83"/>
    <x v="4"/>
    <x v="0"/>
    <x v="0"/>
    <x v="246"/>
    <x v="130"/>
    <x v="5"/>
    <x v="5"/>
    <x v="5"/>
    <x v="5"/>
    <x v="5"/>
  </r>
  <r>
    <x v="8"/>
    <x v="63"/>
    <x v="63"/>
    <x v="16"/>
    <x v="0"/>
    <x v="0"/>
    <x v="247"/>
    <x v="131"/>
    <x v="5"/>
    <x v="5"/>
    <x v="5"/>
    <x v="5"/>
    <x v="5"/>
  </r>
  <r>
    <x v="8"/>
    <x v="84"/>
    <x v="64"/>
    <x v="16"/>
    <x v="0"/>
    <x v="0"/>
    <x v="248"/>
    <x v="132"/>
    <x v="5"/>
    <x v="5"/>
    <x v="5"/>
    <x v="5"/>
    <x v="5"/>
  </r>
  <r>
    <x v="8"/>
    <x v="14"/>
    <x v="14"/>
    <x v="11"/>
    <x v="0"/>
    <x v="0"/>
    <x v="249"/>
    <x v="125"/>
    <x v="4"/>
    <x v="4"/>
    <x v="10"/>
    <x v="10"/>
    <x v="114"/>
  </r>
  <r>
    <x v="8"/>
    <x v="85"/>
    <x v="84"/>
    <x v="42"/>
    <x v="0"/>
    <x v="1"/>
    <x v="250"/>
    <x v="105"/>
    <x v="8"/>
    <x v="12"/>
    <x v="13"/>
    <x v="14"/>
    <x v="115"/>
  </r>
  <r>
    <x v="8"/>
    <x v="65"/>
    <x v="65"/>
    <x v="25"/>
    <x v="0"/>
    <x v="0"/>
    <x v="251"/>
    <x v="133"/>
    <x v="5"/>
    <x v="5"/>
    <x v="5"/>
    <x v="5"/>
    <x v="5"/>
  </r>
  <r>
    <x v="8"/>
    <x v="8"/>
    <x v="8"/>
    <x v="11"/>
    <x v="0"/>
    <x v="0"/>
    <x v="252"/>
    <x v="57"/>
    <x v="11"/>
    <x v="10"/>
    <x v="12"/>
    <x v="13"/>
    <x v="116"/>
  </r>
  <r>
    <x v="8"/>
    <x v="4"/>
    <x v="4"/>
    <x v="0"/>
    <x v="0"/>
    <x v="0"/>
    <x v="73"/>
    <x v="40"/>
    <x v="5"/>
    <x v="5"/>
    <x v="5"/>
    <x v="5"/>
    <x v="5"/>
  </r>
  <r>
    <x v="8"/>
    <x v="66"/>
    <x v="66"/>
    <x v="0"/>
    <x v="0"/>
    <x v="0"/>
    <x v="253"/>
    <x v="67"/>
    <x v="5"/>
    <x v="5"/>
    <x v="5"/>
    <x v="5"/>
    <x v="5"/>
  </r>
  <r>
    <x v="8"/>
    <x v="1"/>
    <x v="1"/>
    <x v="41"/>
    <x v="0"/>
    <x v="0"/>
    <x v="91"/>
    <x v="27"/>
    <x v="5"/>
    <x v="5"/>
    <x v="5"/>
    <x v="5"/>
    <x v="5"/>
  </r>
  <r>
    <x v="8"/>
    <x v="19"/>
    <x v="19"/>
    <x v="46"/>
    <x v="0"/>
    <x v="0"/>
    <x v="254"/>
    <x v="18"/>
    <x v="5"/>
    <x v="5"/>
    <x v="5"/>
    <x v="5"/>
    <x v="5"/>
  </r>
  <r>
    <x v="8"/>
    <x v="11"/>
    <x v="11"/>
    <x v="52"/>
    <x v="0"/>
    <x v="0"/>
    <x v="255"/>
    <x v="46"/>
    <x v="5"/>
    <x v="5"/>
    <x v="5"/>
    <x v="5"/>
    <x v="5"/>
  </r>
  <r>
    <x v="8"/>
    <x v="67"/>
    <x v="67"/>
    <x v="16"/>
    <x v="0"/>
    <x v="0"/>
    <x v="256"/>
    <x v="35"/>
    <x v="5"/>
    <x v="5"/>
    <x v="5"/>
    <x v="5"/>
    <x v="5"/>
  </r>
  <r>
    <x v="8"/>
    <x v="68"/>
    <x v="68"/>
    <x v="25"/>
    <x v="0"/>
    <x v="0"/>
    <x v="257"/>
    <x v="42"/>
    <x v="5"/>
    <x v="5"/>
    <x v="5"/>
    <x v="5"/>
    <x v="5"/>
  </r>
  <r>
    <x v="8"/>
    <x v="69"/>
    <x v="69"/>
    <x v="42"/>
    <x v="0"/>
    <x v="0"/>
    <x v="258"/>
    <x v="134"/>
    <x v="9"/>
    <x v="9"/>
    <x v="4"/>
    <x v="4"/>
    <x v="117"/>
  </r>
  <r>
    <x v="8"/>
    <x v="70"/>
    <x v="70"/>
    <x v="25"/>
    <x v="0"/>
    <x v="0"/>
    <x v="259"/>
    <x v="132"/>
    <x v="5"/>
    <x v="5"/>
    <x v="5"/>
    <x v="5"/>
    <x v="5"/>
  </r>
  <r>
    <x v="8"/>
    <x v="26"/>
    <x v="26"/>
    <x v="46"/>
    <x v="0"/>
    <x v="1"/>
    <x v="260"/>
    <x v="70"/>
    <x v="5"/>
    <x v="5"/>
    <x v="5"/>
    <x v="5"/>
    <x v="5"/>
  </r>
  <r>
    <x v="8"/>
    <x v="33"/>
    <x v="33"/>
    <x v="48"/>
    <x v="0"/>
    <x v="0"/>
    <x v="261"/>
    <x v="119"/>
    <x v="5"/>
    <x v="5"/>
    <x v="5"/>
    <x v="5"/>
    <x v="5"/>
  </r>
  <r>
    <x v="8"/>
    <x v="31"/>
    <x v="31"/>
    <x v="48"/>
    <x v="0"/>
    <x v="0"/>
    <x v="262"/>
    <x v="23"/>
    <x v="5"/>
    <x v="5"/>
    <x v="5"/>
    <x v="5"/>
    <x v="5"/>
  </r>
  <r>
    <x v="8"/>
    <x v="71"/>
    <x v="71"/>
    <x v="16"/>
    <x v="0"/>
    <x v="0"/>
    <x v="263"/>
    <x v="92"/>
    <x v="5"/>
    <x v="5"/>
    <x v="5"/>
    <x v="5"/>
    <x v="5"/>
  </r>
  <r>
    <x v="8"/>
    <x v="72"/>
    <x v="72"/>
    <x v="53"/>
    <x v="0"/>
    <x v="0"/>
    <x v="264"/>
    <x v="22"/>
    <x v="5"/>
    <x v="5"/>
    <x v="5"/>
    <x v="5"/>
    <x v="5"/>
  </r>
  <r>
    <x v="8"/>
    <x v="73"/>
    <x v="73"/>
    <x v="25"/>
    <x v="0"/>
    <x v="0"/>
    <x v="265"/>
    <x v="92"/>
    <x v="5"/>
    <x v="5"/>
    <x v="5"/>
    <x v="5"/>
    <x v="5"/>
  </r>
  <r>
    <x v="8"/>
    <x v="86"/>
    <x v="74"/>
    <x v="4"/>
    <x v="0"/>
    <x v="0"/>
    <x v="205"/>
    <x v="67"/>
    <x v="11"/>
    <x v="10"/>
    <x v="5"/>
    <x v="5"/>
    <x v="5"/>
  </r>
  <r>
    <x v="8"/>
    <x v="87"/>
    <x v="75"/>
    <x v="11"/>
    <x v="0"/>
    <x v="0"/>
    <x v="266"/>
    <x v="19"/>
    <x v="5"/>
    <x v="5"/>
    <x v="5"/>
    <x v="5"/>
    <x v="5"/>
  </r>
  <r>
    <x v="8"/>
    <x v="76"/>
    <x v="76"/>
    <x v="25"/>
    <x v="0"/>
    <x v="0"/>
    <x v="215"/>
    <x v="70"/>
    <x v="9"/>
    <x v="9"/>
    <x v="4"/>
    <x v="4"/>
    <x v="118"/>
  </r>
  <r>
    <x v="8"/>
    <x v="24"/>
    <x v="24"/>
    <x v="25"/>
    <x v="0"/>
    <x v="0"/>
    <x v="267"/>
    <x v="41"/>
    <x v="5"/>
    <x v="5"/>
    <x v="5"/>
    <x v="5"/>
    <x v="5"/>
  </r>
  <r>
    <x v="8"/>
    <x v="77"/>
    <x v="77"/>
    <x v="46"/>
    <x v="0"/>
    <x v="0"/>
    <x v="268"/>
    <x v="90"/>
    <x v="5"/>
    <x v="5"/>
    <x v="5"/>
    <x v="5"/>
    <x v="5"/>
  </r>
  <r>
    <x v="8"/>
    <x v="88"/>
    <x v="78"/>
    <x v="25"/>
    <x v="0"/>
    <x v="0"/>
    <x v="269"/>
    <x v="18"/>
    <x v="5"/>
    <x v="5"/>
    <x v="5"/>
    <x v="5"/>
    <x v="5"/>
  </r>
  <r>
    <x v="8"/>
    <x v="79"/>
    <x v="79"/>
    <x v="31"/>
    <x v="0"/>
    <x v="0"/>
    <x v="270"/>
    <x v="23"/>
    <x v="5"/>
    <x v="5"/>
    <x v="5"/>
    <x v="5"/>
    <x v="5"/>
  </r>
  <r>
    <x v="8"/>
    <x v="89"/>
    <x v="80"/>
    <x v="25"/>
    <x v="0"/>
    <x v="0"/>
    <x v="271"/>
    <x v="40"/>
    <x v="5"/>
    <x v="5"/>
    <x v="5"/>
    <x v="5"/>
    <x v="5"/>
  </r>
  <r>
    <x v="8"/>
    <x v="81"/>
    <x v="81"/>
    <x v="31"/>
    <x v="0"/>
    <x v="0"/>
    <x v="272"/>
    <x v="106"/>
    <x v="5"/>
    <x v="5"/>
    <x v="5"/>
    <x v="5"/>
    <x v="5"/>
  </r>
  <r>
    <x v="8"/>
    <x v="82"/>
    <x v="82"/>
    <x v="4"/>
    <x v="0"/>
    <x v="0"/>
    <x v="273"/>
    <x v="127"/>
    <x v="11"/>
    <x v="10"/>
    <x v="12"/>
    <x v="13"/>
    <x v="119"/>
  </r>
  <r>
    <x v="9"/>
    <x v="63"/>
    <x v="63"/>
    <x v="16"/>
    <x v="0"/>
    <x v="0"/>
    <x v="274"/>
    <x v="100"/>
    <x v="5"/>
    <x v="5"/>
    <x v="5"/>
    <x v="5"/>
    <x v="5"/>
  </r>
  <r>
    <x v="9"/>
    <x v="84"/>
    <x v="64"/>
    <x v="16"/>
    <x v="0"/>
    <x v="0"/>
    <x v="275"/>
    <x v="107"/>
    <x v="5"/>
    <x v="5"/>
    <x v="5"/>
    <x v="5"/>
    <x v="5"/>
  </r>
  <r>
    <x v="9"/>
    <x v="14"/>
    <x v="14"/>
    <x v="11"/>
    <x v="0"/>
    <x v="0"/>
    <x v="276"/>
    <x v="9"/>
    <x v="14"/>
    <x v="18"/>
    <x v="11"/>
    <x v="9"/>
    <x v="120"/>
  </r>
  <r>
    <x v="9"/>
    <x v="85"/>
    <x v="84"/>
    <x v="42"/>
    <x v="0"/>
    <x v="0"/>
    <x v="277"/>
    <x v="67"/>
    <x v="11"/>
    <x v="10"/>
    <x v="12"/>
    <x v="13"/>
    <x v="121"/>
  </r>
  <r>
    <x v="9"/>
    <x v="65"/>
    <x v="65"/>
    <x v="25"/>
    <x v="0"/>
    <x v="0"/>
    <x v="278"/>
    <x v="68"/>
    <x v="5"/>
    <x v="5"/>
    <x v="5"/>
    <x v="5"/>
    <x v="5"/>
  </r>
  <r>
    <x v="9"/>
    <x v="8"/>
    <x v="8"/>
    <x v="11"/>
    <x v="0"/>
    <x v="0"/>
    <x v="279"/>
    <x v="105"/>
    <x v="5"/>
    <x v="5"/>
    <x v="5"/>
    <x v="5"/>
    <x v="5"/>
  </r>
  <r>
    <x v="9"/>
    <x v="66"/>
    <x v="66"/>
    <x v="0"/>
    <x v="0"/>
    <x v="0"/>
    <x v="280"/>
    <x v="69"/>
    <x v="5"/>
    <x v="5"/>
    <x v="5"/>
    <x v="5"/>
    <x v="5"/>
  </r>
  <r>
    <x v="9"/>
    <x v="1"/>
    <x v="1"/>
    <x v="41"/>
    <x v="0"/>
    <x v="0"/>
    <x v="281"/>
    <x v="28"/>
    <x v="5"/>
    <x v="5"/>
    <x v="5"/>
    <x v="5"/>
    <x v="5"/>
  </r>
  <r>
    <x v="9"/>
    <x v="19"/>
    <x v="19"/>
    <x v="46"/>
    <x v="0"/>
    <x v="0"/>
    <x v="282"/>
    <x v="62"/>
    <x v="5"/>
    <x v="5"/>
    <x v="5"/>
    <x v="5"/>
    <x v="5"/>
  </r>
  <r>
    <x v="9"/>
    <x v="11"/>
    <x v="11"/>
    <x v="52"/>
    <x v="0"/>
    <x v="0"/>
    <x v="283"/>
    <x v="21"/>
    <x v="5"/>
    <x v="5"/>
    <x v="5"/>
    <x v="5"/>
    <x v="5"/>
  </r>
  <r>
    <x v="9"/>
    <x v="67"/>
    <x v="67"/>
    <x v="16"/>
    <x v="0"/>
    <x v="0"/>
    <x v="284"/>
    <x v="22"/>
    <x v="5"/>
    <x v="5"/>
    <x v="5"/>
    <x v="5"/>
    <x v="5"/>
  </r>
  <r>
    <x v="9"/>
    <x v="68"/>
    <x v="68"/>
    <x v="25"/>
    <x v="0"/>
    <x v="0"/>
    <x v="285"/>
    <x v="58"/>
    <x v="11"/>
    <x v="10"/>
    <x v="12"/>
    <x v="13"/>
    <x v="122"/>
  </r>
  <r>
    <x v="9"/>
    <x v="69"/>
    <x v="69"/>
    <x v="42"/>
    <x v="0"/>
    <x v="0"/>
    <x v="286"/>
    <x v="25"/>
    <x v="5"/>
    <x v="5"/>
    <x v="5"/>
    <x v="5"/>
    <x v="5"/>
  </r>
  <r>
    <x v="9"/>
    <x v="70"/>
    <x v="70"/>
    <x v="25"/>
    <x v="0"/>
    <x v="0"/>
    <x v="287"/>
    <x v="117"/>
    <x v="11"/>
    <x v="9"/>
    <x v="5"/>
    <x v="5"/>
    <x v="5"/>
  </r>
  <r>
    <x v="9"/>
    <x v="26"/>
    <x v="26"/>
    <x v="46"/>
    <x v="0"/>
    <x v="0"/>
    <x v="288"/>
    <x v="44"/>
    <x v="5"/>
    <x v="5"/>
    <x v="5"/>
    <x v="5"/>
    <x v="5"/>
  </r>
  <r>
    <x v="9"/>
    <x v="90"/>
    <x v="33"/>
    <x v="48"/>
    <x v="0"/>
    <x v="0"/>
    <x v="289"/>
    <x v="6"/>
    <x v="14"/>
    <x v="13"/>
    <x v="4"/>
    <x v="4"/>
    <x v="123"/>
  </r>
  <r>
    <x v="9"/>
    <x v="91"/>
    <x v="31"/>
    <x v="48"/>
    <x v="0"/>
    <x v="0"/>
    <x v="290"/>
    <x v="135"/>
    <x v="14"/>
    <x v="13"/>
    <x v="4"/>
    <x v="4"/>
    <x v="93"/>
  </r>
  <r>
    <x v="9"/>
    <x v="71"/>
    <x v="71"/>
    <x v="16"/>
    <x v="0"/>
    <x v="0"/>
    <x v="291"/>
    <x v="92"/>
    <x v="5"/>
    <x v="5"/>
    <x v="5"/>
    <x v="5"/>
    <x v="5"/>
  </r>
  <r>
    <x v="9"/>
    <x v="72"/>
    <x v="72"/>
    <x v="53"/>
    <x v="0"/>
    <x v="0"/>
    <x v="292"/>
    <x v="25"/>
    <x v="11"/>
    <x v="10"/>
    <x v="12"/>
    <x v="13"/>
    <x v="124"/>
  </r>
  <r>
    <x v="9"/>
    <x v="73"/>
    <x v="73"/>
    <x v="25"/>
    <x v="0"/>
    <x v="0"/>
    <x v="262"/>
    <x v="28"/>
    <x v="5"/>
    <x v="5"/>
    <x v="5"/>
    <x v="5"/>
    <x v="5"/>
  </r>
  <r>
    <x v="9"/>
    <x v="86"/>
    <x v="74"/>
    <x v="4"/>
    <x v="0"/>
    <x v="0"/>
    <x v="51"/>
    <x v="24"/>
    <x v="5"/>
    <x v="5"/>
    <x v="5"/>
    <x v="5"/>
    <x v="5"/>
  </r>
  <r>
    <x v="9"/>
    <x v="87"/>
    <x v="75"/>
    <x v="11"/>
    <x v="0"/>
    <x v="0"/>
    <x v="293"/>
    <x v="44"/>
    <x v="5"/>
    <x v="5"/>
    <x v="5"/>
    <x v="5"/>
    <x v="5"/>
  </r>
  <r>
    <x v="9"/>
    <x v="76"/>
    <x v="76"/>
    <x v="25"/>
    <x v="0"/>
    <x v="0"/>
    <x v="294"/>
    <x v="136"/>
    <x v="9"/>
    <x v="9"/>
    <x v="5"/>
    <x v="5"/>
    <x v="5"/>
  </r>
  <r>
    <x v="9"/>
    <x v="24"/>
    <x v="24"/>
    <x v="25"/>
    <x v="0"/>
    <x v="0"/>
    <x v="295"/>
    <x v="137"/>
    <x v="5"/>
    <x v="5"/>
    <x v="5"/>
    <x v="5"/>
    <x v="5"/>
  </r>
  <r>
    <x v="9"/>
    <x v="77"/>
    <x v="77"/>
    <x v="46"/>
    <x v="0"/>
    <x v="0"/>
    <x v="296"/>
    <x v="12"/>
    <x v="5"/>
    <x v="5"/>
    <x v="5"/>
    <x v="5"/>
    <x v="5"/>
  </r>
  <r>
    <x v="9"/>
    <x v="89"/>
    <x v="80"/>
    <x v="25"/>
    <x v="0"/>
    <x v="0"/>
    <x v="283"/>
    <x v="35"/>
    <x v="5"/>
    <x v="5"/>
    <x v="5"/>
    <x v="5"/>
    <x v="5"/>
  </r>
  <r>
    <x v="9"/>
    <x v="81"/>
    <x v="81"/>
    <x v="31"/>
    <x v="0"/>
    <x v="0"/>
    <x v="297"/>
    <x v="77"/>
    <x v="5"/>
    <x v="5"/>
    <x v="5"/>
    <x v="5"/>
    <x v="5"/>
  </r>
  <r>
    <x v="9"/>
    <x v="82"/>
    <x v="82"/>
    <x v="4"/>
    <x v="0"/>
    <x v="0"/>
    <x v="298"/>
    <x v="36"/>
    <x v="5"/>
    <x v="5"/>
    <x v="5"/>
    <x v="5"/>
    <x v="5"/>
  </r>
  <r>
    <x v="10"/>
    <x v="92"/>
    <x v="85"/>
    <x v="11"/>
    <x v="0"/>
    <x v="0"/>
    <x v="299"/>
    <x v="138"/>
    <x v="4"/>
    <x v="4"/>
    <x v="10"/>
    <x v="10"/>
    <x v="125"/>
  </r>
  <r>
    <x v="10"/>
    <x v="82"/>
    <x v="82"/>
    <x v="25"/>
    <x v="0"/>
    <x v="0"/>
    <x v="300"/>
    <x v="139"/>
    <x v="5"/>
    <x v="5"/>
    <x v="5"/>
    <x v="5"/>
    <x v="5"/>
  </r>
  <r>
    <x v="10"/>
    <x v="93"/>
    <x v="86"/>
    <x v="54"/>
    <x v="0"/>
    <x v="0"/>
    <x v="301"/>
    <x v="140"/>
    <x v="7"/>
    <x v="23"/>
    <x v="17"/>
    <x v="19"/>
    <x v="126"/>
  </r>
  <r>
    <x v="10"/>
    <x v="63"/>
    <x v="63"/>
    <x v="25"/>
    <x v="0"/>
    <x v="0"/>
    <x v="302"/>
    <x v="61"/>
    <x v="5"/>
    <x v="5"/>
    <x v="5"/>
    <x v="5"/>
    <x v="5"/>
  </r>
  <r>
    <x v="10"/>
    <x v="67"/>
    <x v="67"/>
    <x v="25"/>
    <x v="0"/>
    <x v="0"/>
    <x v="303"/>
    <x v="131"/>
    <x v="5"/>
    <x v="5"/>
    <x v="5"/>
    <x v="5"/>
    <x v="5"/>
  </r>
  <r>
    <x v="10"/>
    <x v="94"/>
    <x v="87"/>
    <x v="21"/>
    <x v="0"/>
    <x v="0"/>
    <x v="304"/>
    <x v="132"/>
    <x v="5"/>
    <x v="5"/>
    <x v="5"/>
    <x v="5"/>
    <x v="5"/>
  </r>
  <r>
    <x v="10"/>
    <x v="19"/>
    <x v="19"/>
    <x v="55"/>
    <x v="0"/>
    <x v="0"/>
    <x v="305"/>
    <x v="70"/>
    <x v="5"/>
    <x v="5"/>
    <x v="5"/>
    <x v="5"/>
    <x v="5"/>
  </r>
  <r>
    <x v="10"/>
    <x v="95"/>
    <x v="88"/>
    <x v="2"/>
    <x v="0"/>
    <x v="1"/>
    <x v="306"/>
    <x v="91"/>
    <x v="5"/>
    <x v="5"/>
    <x v="5"/>
    <x v="5"/>
    <x v="5"/>
  </r>
  <r>
    <x v="10"/>
    <x v="96"/>
    <x v="89"/>
    <x v="50"/>
    <x v="0"/>
    <x v="0"/>
    <x v="307"/>
    <x v="28"/>
    <x v="5"/>
    <x v="5"/>
    <x v="5"/>
    <x v="5"/>
    <x v="5"/>
  </r>
  <r>
    <x v="10"/>
    <x v="68"/>
    <x v="68"/>
    <x v="56"/>
    <x v="0"/>
    <x v="1"/>
    <x v="308"/>
    <x v="75"/>
    <x v="5"/>
    <x v="5"/>
    <x v="5"/>
    <x v="5"/>
    <x v="5"/>
  </r>
  <r>
    <x v="10"/>
    <x v="97"/>
    <x v="90"/>
    <x v="31"/>
    <x v="0"/>
    <x v="0"/>
    <x v="309"/>
    <x v="17"/>
    <x v="4"/>
    <x v="4"/>
    <x v="4"/>
    <x v="4"/>
    <x v="127"/>
  </r>
  <r>
    <x v="10"/>
    <x v="91"/>
    <x v="31"/>
    <x v="48"/>
    <x v="0"/>
    <x v="0"/>
    <x v="176"/>
    <x v="37"/>
    <x v="5"/>
    <x v="5"/>
    <x v="5"/>
    <x v="5"/>
    <x v="5"/>
  </r>
  <r>
    <x v="10"/>
    <x v="90"/>
    <x v="33"/>
    <x v="48"/>
    <x v="0"/>
    <x v="0"/>
    <x v="310"/>
    <x v="112"/>
    <x v="14"/>
    <x v="18"/>
    <x v="10"/>
    <x v="10"/>
    <x v="128"/>
  </r>
  <r>
    <x v="10"/>
    <x v="79"/>
    <x v="79"/>
    <x v="44"/>
    <x v="0"/>
    <x v="0"/>
    <x v="311"/>
    <x v="116"/>
    <x v="9"/>
    <x v="9"/>
    <x v="12"/>
    <x v="13"/>
    <x v="129"/>
  </r>
  <r>
    <x v="10"/>
    <x v="98"/>
    <x v="91"/>
    <x v="57"/>
    <x v="0"/>
    <x v="0"/>
    <x v="312"/>
    <x v="68"/>
    <x v="5"/>
    <x v="5"/>
    <x v="5"/>
    <x v="5"/>
    <x v="5"/>
  </r>
  <r>
    <x v="10"/>
    <x v="99"/>
    <x v="76"/>
    <x v="25"/>
    <x v="0"/>
    <x v="0"/>
    <x v="313"/>
    <x v="71"/>
    <x v="5"/>
    <x v="5"/>
    <x v="5"/>
    <x v="5"/>
    <x v="5"/>
  </r>
  <r>
    <x v="10"/>
    <x v="100"/>
    <x v="8"/>
    <x v="31"/>
    <x v="0"/>
    <x v="0"/>
    <x v="314"/>
    <x v="73"/>
    <x v="9"/>
    <x v="9"/>
    <x v="12"/>
    <x v="13"/>
    <x v="130"/>
  </r>
  <r>
    <x v="10"/>
    <x v="81"/>
    <x v="81"/>
    <x v="46"/>
    <x v="0"/>
    <x v="0"/>
    <x v="315"/>
    <x v="71"/>
    <x v="11"/>
    <x v="10"/>
    <x v="12"/>
    <x v="13"/>
    <x v="131"/>
  </r>
  <r>
    <x v="10"/>
    <x v="101"/>
    <x v="92"/>
    <x v="56"/>
    <x v="0"/>
    <x v="0"/>
    <x v="316"/>
    <x v="141"/>
    <x v="5"/>
    <x v="5"/>
    <x v="5"/>
    <x v="5"/>
    <x v="5"/>
  </r>
  <r>
    <x v="10"/>
    <x v="102"/>
    <x v="93"/>
    <x v="25"/>
    <x v="0"/>
    <x v="0"/>
    <x v="317"/>
    <x v="142"/>
    <x v="4"/>
    <x v="4"/>
    <x v="10"/>
    <x v="10"/>
    <x v="132"/>
  </r>
  <r>
    <x v="10"/>
    <x v="103"/>
    <x v="94"/>
    <x v="11"/>
    <x v="0"/>
    <x v="0"/>
    <x v="186"/>
    <x v="80"/>
    <x v="11"/>
    <x v="10"/>
    <x v="5"/>
    <x v="5"/>
    <x v="5"/>
  </r>
  <r>
    <x v="10"/>
    <x v="104"/>
    <x v="95"/>
    <x v="16"/>
    <x v="0"/>
    <x v="0"/>
    <x v="191"/>
    <x v="109"/>
    <x v="4"/>
    <x v="4"/>
    <x v="12"/>
    <x v="13"/>
    <x v="133"/>
  </r>
  <r>
    <x v="10"/>
    <x v="11"/>
    <x v="11"/>
    <x v="52"/>
    <x v="0"/>
    <x v="0"/>
    <x v="318"/>
    <x v="13"/>
    <x v="5"/>
    <x v="5"/>
    <x v="5"/>
    <x v="5"/>
    <x v="5"/>
  </r>
  <r>
    <x v="10"/>
    <x v="14"/>
    <x v="14"/>
    <x v="31"/>
    <x v="0"/>
    <x v="1"/>
    <x v="319"/>
    <x v="33"/>
    <x v="12"/>
    <x v="11"/>
    <x v="11"/>
    <x v="12"/>
    <x v="134"/>
  </r>
  <r>
    <x v="10"/>
    <x v="105"/>
    <x v="96"/>
    <x v="31"/>
    <x v="0"/>
    <x v="1"/>
    <x v="218"/>
    <x v="121"/>
    <x v="11"/>
    <x v="13"/>
    <x v="12"/>
    <x v="13"/>
    <x v="135"/>
  </r>
  <r>
    <x v="10"/>
    <x v="106"/>
    <x v="97"/>
    <x v="45"/>
    <x v="0"/>
    <x v="0"/>
    <x v="320"/>
    <x v="100"/>
    <x v="5"/>
    <x v="5"/>
    <x v="5"/>
    <x v="5"/>
    <x v="5"/>
  </r>
  <r>
    <x v="10"/>
    <x v="107"/>
    <x v="98"/>
    <x v="45"/>
    <x v="0"/>
    <x v="0"/>
    <x v="321"/>
    <x v="35"/>
    <x v="5"/>
    <x v="5"/>
    <x v="5"/>
    <x v="5"/>
    <x v="5"/>
  </r>
  <r>
    <x v="10"/>
    <x v="71"/>
    <x v="71"/>
    <x v="25"/>
    <x v="0"/>
    <x v="0"/>
    <x v="322"/>
    <x v="128"/>
    <x v="5"/>
    <x v="5"/>
    <x v="5"/>
    <x v="5"/>
    <x v="5"/>
  </r>
  <r>
    <x v="10"/>
    <x v="108"/>
    <x v="99"/>
    <x v="16"/>
    <x v="0"/>
    <x v="0"/>
    <x v="323"/>
    <x v="143"/>
    <x v="14"/>
    <x v="13"/>
    <x v="10"/>
    <x v="10"/>
    <x v="136"/>
  </r>
  <r>
    <x v="10"/>
    <x v="109"/>
    <x v="100"/>
    <x v="36"/>
    <x v="0"/>
    <x v="1"/>
    <x v="324"/>
    <x v="144"/>
    <x v="22"/>
    <x v="24"/>
    <x v="1"/>
    <x v="16"/>
    <x v="137"/>
  </r>
  <r>
    <x v="10"/>
    <x v="85"/>
    <x v="84"/>
    <x v="42"/>
    <x v="0"/>
    <x v="0"/>
    <x v="325"/>
    <x v="139"/>
    <x v="16"/>
    <x v="6"/>
    <x v="15"/>
    <x v="19"/>
    <x v="138"/>
  </r>
  <r>
    <x v="11"/>
    <x v="110"/>
    <x v="101"/>
    <x v="53"/>
    <x v="0"/>
    <x v="0"/>
    <x v="87"/>
    <x v="145"/>
    <x v="23"/>
    <x v="15"/>
    <x v="22"/>
    <x v="21"/>
    <x v="139"/>
  </r>
  <r>
    <x v="11"/>
    <x v="19"/>
    <x v="19"/>
    <x v="55"/>
    <x v="0"/>
    <x v="0"/>
    <x v="326"/>
    <x v="124"/>
    <x v="11"/>
    <x v="10"/>
    <x v="5"/>
    <x v="5"/>
    <x v="5"/>
  </r>
  <r>
    <x v="11"/>
    <x v="77"/>
    <x v="77"/>
    <x v="46"/>
    <x v="0"/>
    <x v="0"/>
    <x v="327"/>
    <x v="112"/>
    <x v="5"/>
    <x v="5"/>
    <x v="5"/>
    <x v="5"/>
    <x v="5"/>
  </r>
  <r>
    <x v="11"/>
    <x v="79"/>
    <x v="79"/>
    <x v="44"/>
    <x v="0"/>
    <x v="0"/>
    <x v="328"/>
    <x v="100"/>
    <x v="11"/>
    <x v="10"/>
    <x v="5"/>
    <x v="5"/>
    <x v="5"/>
  </r>
  <r>
    <x v="11"/>
    <x v="82"/>
    <x v="82"/>
    <x v="25"/>
    <x v="0"/>
    <x v="0"/>
    <x v="329"/>
    <x v="12"/>
    <x v="5"/>
    <x v="5"/>
    <x v="5"/>
    <x v="5"/>
    <x v="5"/>
  </r>
  <r>
    <x v="11"/>
    <x v="96"/>
    <x v="89"/>
    <x v="50"/>
    <x v="0"/>
    <x v="0"/>
    <x v="330"/>
    <x v="44"/>
    <x v="5"/>
    <x v="5"/>
    <x v="5"/>
    <x v="5"/>
    <x v="5"/>
  </r>
  <r>
    <x v="11"/>
    <x v="67"/>
    <x v="67"/>
    <x v="25"/>
    <x v="0"/>
    <x v="0"/>
    <x v="331"/>
    <x v="117"/>
    <x v="5"/>
    <x v="5"/>
    <x v="5"/>
    <x v="5"/>
    <x v="5"/>
  </r>
  <r>
    <x v="11"/>
    <x v="63"/>
    <x v="63"/>
    <x v="25"/>
    <x v="0"/>
    <x v="0"/>
    <x v="52"/>
    <x v="107"/>
    <x v="5"/>
    <x v="5"/>
    <x v="5"/>
    <x v="5"/>
    <x v="5"/>
  </r>
  <r>
    <x v="11"/>
    <x v="71"/>
    <x v="71"/>
    <x v="25"/>
    <x v="0"/>
    <x v="0"/>
    <x v="332"/>
    <x v="92"/>
    <x v="5"/>
    <x v="5"/>
    <x v="5"/>
    <x v="5"/>
    <x v="5"/>
  </r>
  <r>
    <x v="11"/>
    <x v="98"/>
    <x v="91"/>
    <x v="57"/>
    <x v="0"/>
    <x v="0"/>
    <x v="333"/>
    <x v="25"/>
    <x v="5"/>
    <x v="5"/>
    <x v="5"/>
    <x v="5"/>
    <x v="5"/>
  </r>
  <r>
    <x v="11"/>
    <x v="68"/>
    <x v="68"/>
    <x v="56"/>
    <x v="0"/>
    <x v="0"/>
    <x v="334"/>
    <x v="40"/>
    <x v="5"/>
    <x v="5"/>
    <x v="5"/>
    <x v="5"/>
    <x v="5"/>
  </r>
  <r>
    <x v="11"/>
    <x v="95"/>
    <x v="88"/>
    <x v="2"/>
    <x v="0"/>
    <x v="0"/>
    <x v="335"/>
    <x v="119"/>
    <x v="5"/>
    <x v="5"/>
    <x v="5"/>
    <x v="5"/>
    <x v="5"/>
  </r>
  <r>
    <x v="11"/>
    <x v="81"/>
    <x v="81"/>
    <x v="46"/>
    <x v="0"/>
    <x v="0"/>
    <x v="336"/>
    <x v="146"/>
    <x v="5"/>
    <x v="5"/>
    <x v="5"/>
    <x v="5"/>
    <x v="5"/>
  </r>
  <r>
    <x v="11"/>
    <x v="99"/>
    <x v="76"/>
    <x v="25"/>
    <x v="0"/>
    <x v="0"/>
    <x v="337"/>
    <x v="42"/>
    <x v="5"/>
    <x v="5"/>
    <x v="5"/>
    <x v="5"/>
    <x v="5"/>
  </r>
  <r>
    <x v="11"/>
    <x v="103"/>
    <x v="94"/>
    <x v="11"/>
    <x v="0"/>
    <x v="0"/>
    <x v="297"/>
    <x v="87"/>
    <x v="5"/>
    <x v="5"/>
    <x v="5"/>
    <x v="5"/>
    <x v="5"/>
  </r>
  <r>
    <x v="11"/>
    <x v="101"/>
    <x v="92"/>
    <x v="56"/>
    <x v="0"/>
    <x v="0"/>
    <x v="81"/>
    <x v="44"/>
    <x v="5"/>
    <x v="5"/>
    <x v="5"/>
    <x v="5"/>
    <x v="5"/>
  </r>
  <r>
    <x v="11"/>
    <x v="97"/>
    <x v="90"/>
    <x v="31"/>
    <x v="0"/>
    <x v="0"/>
    <x v="338"/>
    <x v="25"/>
    <x v="5"/>
    <x v="5"/>
    <x v="5"/>
    <x v="5"/>
    <x v="5"/>
  </r>
  <r>
    <x v="11"/>
    <x v="105"/>
    <x v="96"/>
    <x v="31"/>
    <x v="0"/>
    <x v="0"/>
    <x v="339"/>
    <x v="77"/>
    <x v="11"/>
    <x v="10"/>
    <x v="12"/>
    <x v="13"/>
    <x v="140"/>
  </r>
  <r>
    <x v="11"/>
    <x v="111"/>
    <x v="102"/>
    <x v="16"/>
    <x v="0"/>
    <x v="0"/>
    <x v="340"/>
    <x v="62"/>
    <x v="5"/>
    <x v="5"/>
    <x v="5"/>
    <x v="5"/>
    <x v="5"/>
  </r>
  <r>
    <x v="11"/>
    <x v="94"/>
    <x v="87"/>
    <x v="21"/>
    <x v="0"/>
    <x v="0"/>
    <x v="341"/>
    <x v="16"/>
    <x v="5"/>
    <x v="5"/>
    <x v="5"/>
    <x v="5"/>
    <x v="5"/>
  </r>
  <r>
    <x v="11"/>
    <x v="91"/>
    <x v="31"/>
    <x v="48"/>
    <x v="0"/>
    <x v="0"/>
    <x v="342"/>
    <x v="50"/>
    <x v="5"/>
    <x v="5"/>
    <x v="5"/>
    <x v="5"/>
    <x v="5"/>
  </r>
  <r>
    <x v="11"/>
    <x v="90"/>
    <x v="33"/>
    <x v="48"/>
    <x v="0"/>
    <x v="1"/>
    <x v="343"/>
    <x v="107"/>
    <x v="9"/>
    <x v="9"/>
    <x v="4"/>
    <x v="4"/>
    <x v="141"/>
  </r>
  <r>
    <x v="11"/>
    <x v="104"/>
    <x v="95"/>
    <x v="16"/>
    <x v="0"/>
    <x v="0"/>
    <x v="344"/>
    <x v="123"/>
    <x v="9"/>
    <x v="9"/>
    <x v="4"/>
    <x v="4"/>
    <x v="142"/>
  </r>
  <r>
    <x v="11"/>
    <x v="14"/>
    <x v="14"/>
    <x v="31"/>
    <x v="0"/>
    <x v="0"/>
    <x v="345"/>
    <x v="91"/>
    <x v="11"/>
    <x v="10"/>
    <x v="12"/>
    <x v="13"/>
    <x v="143"/>
  </r>
  <r>
    <x v="11"/>
    <x v="93"/>
    <x v="86"/>
    <x v="54"/>
    <x v="0"/>
    <x v="1"/>
    <x v="346"/>
    <x v="147"/>
    <x v="10"/>
    <x v="24"/>
    <x v="23"/>
    <x v="22"/>
    <x v="144"/>
  </r>
  <r>
    <x v="11"/>
    <x v="102"/>
    <x v="93"/>
    <x v="25"/>
    <x v="0"/>
    <x v="0"/>
    <x v="347"/>
    <x v="85"/>
    <x v="4"/>
    <x v="4"/>
    <x v="10"/>
    <x v="10"/>
    <x v="145"/>
  </r>
  <r>
    <x v="11"/>
    <x v="92"/>
    <x v="85"/>
    <x v="11"/>
    <x v="0"/>
    <x v="0"/>
    <x v="348"/>
    <x v="148"/>
    <x v="11"/>
    <x v="10"/>
    <x v="12"/>
    <x v="13"/>
    <x v="146"/>
  </r>
  <r>
    <x v="11"/>
    <x v="108"/>
    <x v="99"/>
    <x v="16"/>
    <x v="0"/>
    <x v="0"/>
    <x v="349"/>
    <x v="149"/>
    <x v="11"/>
    <x v="10"/>
    <x v="5"/>
    <x v="5"/>
    <x v="5"/>
  </r>
  <r>
    <x v="11"/>
    <x v="11"/>
    <x v="11"/>
    <x v="52"/>
    <x v="0"/>
    <x v="0"/>
    <x v="51"/>
    <x v="37"/>
    <x v="5"/>
    <x v="5"/>
    <x v="5"/>
    <x v="5"/>
    <x v="5"/>
  </r>
  <r>
    <x v="11"/>
    <x v="109"/>
    <x v="100"/>
    <x v="36"/>
    <x v="0"/>
    <x v="0"/>
    <x v="350"/>
    <x v="24"/>
    <x v="11"/>
    <x v="10"/>
    <x v="12"/>
    <x v="13"/>
    <x v="147"/>
  </r>
  <r>
    <x v="11"/>
    <x v="66"/>
    <x v="66"/>
    <x v="0"/>
    <x v="0"/>
    <x v="0"/>
    <x v="351"/>
    <x v="66"/>
    <x v="5"/>
    <x v="5"/>
    <x v="5"/>
    <x v="5"/>
    <x v="5"/>
  </r>
  <r>
    <x v="11"/>
    <x v="85"/>
    <x v="84"/>
    <x v="42"/>
    <x v="0"/>
    <x v="0"/>
    <x v="352"/>
    <x v="43"/>
    <x v="8"/>
    <x v="21"/>
    <x v="18"/>
    <x v="14"/>
    <x v="148"/>
  </r>
  <r>
    <x v="12"/>
    <x v="112"/>
    <x v="103"/>
    <x v="11"/>
    <x v="0"/>
    <x v="0"/>
    <x v="353"/>
    <x v="150"/>
    <x v="11"/>
    <x v="10"/>
    <x v="12"/>
    <x v="13"/>
    <x v="116"/>
  </r>
  <r>
    <x v="12"/>
    <x v="113"/>
    <x v="70"/>
    <x v="25"/>
    <x v="0"/>
    <x v="0"/>
    <x v="354"/>
    <x v="125"/>
    <x v="4"/>
    <x v="4"/>
    <x v="10"/>
    <x v="10"/>
    <x v="149"/>
  </r>
  <r>
    <x v="12"/>
    <x v="71"/>
    <x v="71"/>
    <x v="25"/>
    <x v="0"/>
    <x v="0"/>
    <x v="78"/>
    <x v="18"/>
    <x v="5"/>
    <x v="5"/>
    <x v="5"/>
    <x v="5"/>
    <x v="5"/>
  </r>
  <r>
    <x v="12"/>
    <x v="114"/>
    <x v="104"/>
    <x v="16"/>
    <x v="0"/>
    <x v="0"/>
    <x v="355"/>
    <x v="148"/>
    <x v="14"/>
    <x v="11"/>
    <x v="10"/>
    <x v="10"/>
    <x v="150"/>
  </r>
  <r>
    <x v="12"/>
    <x v="99"/>
    <x v="76"/>
    <x v="25"/>
    <x v="0"/>
    <x v="0"/>
    <x v="356"/>
    <x v="68"/>
    <x v="5"/>
    <x v="5"/>
    <x v="5"/>
    <x v="5"/>
    <x v="5"/>
  </r>
  <r>
    <x v="12"/>
    <x v="103"/>
    <x v="94"/>
    <x v="11"/>
    <x v="0"/>
    <x v="0"/>
    <x v="357"/>
    <x v="62"/>
    <x v="5"/>
    <x v="5"/>
    <x v="5"/>
    <x v="5"/>
    <x v="5"/>
  </r>
  <r>
    <x v="12"/>
    <x v="101"/>
    <x v="92"/>
    <x v="56"/>
    <x v="0"/>
    <x v="0"/>
    <x v="358"/>
    <x v="62"/>
    <x v="5"/>
    <x v="5"/>
    <x v="5"/>
    <x v="5"/>
    <x v="5"/>
  </r>
  <r>
    <x v="12"/>
    <x v="67"/>
    <x v="67"/>
    <x v="25"/>
    <x v="0"/>
    <x v="0"/>
    <x v="359"/>
    <x v="23"/>
    <x v="5"/>
    <x v="5"/>
    <x v="5"/>
    <x v="5"/>
    <x v="5"/>
  </r>
  <r>
    <x v="12"/>
    <x v="97"/>
    <x v="90"/>
    <x v="31"/>
    <x v="0"/>
    <x v="0"/>
    <x v="360"/>
    <x v="25"/>
    <x v="5"/>
    <x v="5"/>
    <x v="5"/>
    <x v="5"/>
    <x v="5"/>
  </r>
  <r>
    <x v="12"/>
    <x v="14"/>
    <x v="14"/>
    <x v="31"/>
    <x v="0"/>
    <x v="0"/>
    <x v="361"/>
    <x v="110"/>
    <x v="11"/>
    <x v="9"/>
    <x v="12"/>
    <x v="4"/>
    <x v="110"/>
  </r>
  <r>
    <x v="12"/>
    <x v="111"/>
    <x v="102"/>
    <x v="16"/>
    <x v="0"/>
    <x v="0"/>
    <x v="362"/>
    <x v="40"/>
    <x v="5"/>
    <x v="5"/>
    <x v="5"/>
    <x v="5"/>
    <x v="5"/>
  </r>
  <r>
    <x v="12"/>
    <x v="11"/>
    <x v="11"/>
    <x v="52"/>
    <x v="0"/>
    <x v="0"/>
    <x v="208"/>
    <x v="50"/>
    <x v="5"/>
    <x v="5"/>
    <x v="5"/>
    <x v="5"/>
    <x v="5"/>
  </r>
  <r>
    <x v="12"/>
    <x v="94"/>
    <x v="87"/>
    <x v="11"/>
    <x v="0"/>
    <x v="0"/>
    <x v="212"/>
    <x v="119"/>
    <x v="5"/>
    <x v="5"/>
    <x v="5"/>
    <x v="5"/>
    <x v="5"/>
  </r>
  <r>
    <x v="12"/>
    <x v="108"/>
    <x v="99"/>
    <x v="16"/>
    <x v="0"/>
    <x v="0"/>
    <x v="363"/>
    <x v="47"/>
    <x v="5"/>
    <x v="5"/>
    <x v="5"/>
    <x v="5"/>
    <x v="5"/>
  </r>
  <r>
    <x v="12"/>
    <x v="115"/>
    <x v="105"/>
    <x v="58"/>
    <x v="0"/>
    <x v="0"/>
    <x v="364"/>
    <x v="37"/>
    <x v="5"/>
    <x v="5"/>
    <x v="5"/>
    <x v="5"/>
    <x v="5"/>
  </r>
  <r>
    <x v="12"/>
    <x v="91"/>
    <x v="31"/>
    <x v="48"/>
    <x v="0"/>
    <x v="0"/>
    <x v="365"/>
    <x v="86"/>
    <x v="5"/>
    <x v="5"/>
    <x v="5"/>
    <x v="5"/>
    <x v="5"/>
  </r>
  <r>
    <x v="12"/>
    <x v="90"/>
    <x v="33"/>
    <x v="48"/>
    <x v="0"/>
    <x v="0"/>
    <x v="366"/>
    <x v="42"/>
    <x v="4"/>
    <x v="4"/>
    <x v="10"/>
    <x v="10"/>
    <x v="128"/>
  </r>
  <r>
    <x v="12"/>
    <x v="81"/>
    <x v="81"/>
    <x v="46"/>
    <x v="0"/>
    <x v="0"/>
    <x v="367"/>
    <x v="5"/>
    <x v="5"/>
    <x v="5"/>
    <x v="5"/>
    <x v="5"/>
    <x v="5"/>
  </r>
  <r>
    <x v="12"/>
    <x v="98"/>
    <x v="91"/>
    <x v="46"/>
    <x v="0"/>
    <x v="0"/>
    <x v="368"/>
    <x v="29"/>
    <x v="5"/>
    <x v="5"/>
    <x v="5"/>
    <x v="5"/>
    <x v="5"/>
  </r>
  <r>
    <x v="12"/>
    <x v="92"/>
    <x v="85"/>
    <x v="11"/>
    <x v="0"/>
    <x v="0"/>
    <x v="369"/>
    <x v="20"/>
    <x v="5"/>
    <x v="5"/>
    <x v="5"/>
    <x v="5"/>
    <x v="5"/>
  </r>
  <r>
    <x v="12"/>
    <x v="68"/>
    <x v="68"/>
    <x v="56"/>
    <x v="0"/>
    <x v="0"/>
    <x v="370"/>
    <x v="91"/>
    <x v="5"/>
    <x v="5"/>
    <x v="5"/>
    <x v="5"/>
    <x v="5"/>
  </r>
  <r>
    <x v="12"/>
    <x v="116"/>
    <x v="106"/>
    <x v="11"/>
    <x v="0"/>
    <x v="0"/>
    <x v="371"/>
    <x v="91"/>
    <x v="5"/>
    <x v="5"/>
    <x v="5"/>
    <x v="5"/>
    <x v="5"/>
  </r>
  <r>
    <x v="12"/>
    <x v="117"/>
    <x v="107"/>
    <x v="56"/>
    <x v="0"/>
    <x v="0"/>
    <x v="339"/>
    <x v="7"/>
    <x v="9"/>
    <x v="9"/>
    <x v="4"/>
    <x v="4"/>
    <x v="151"/>
  </r>
  <r>
    <x v="12"/>
    <x v="93"/>
    <x v="86"/>
    <x v="54"/>
    <x v="0"/>
    <x v="0"/>
    <x v="372"/>
    <x v="111"/>
    <x v="4"/>
    <x v="4"/>
    <x v="12"/>
    <x v="13"/>
    <x v="152"/>
  </r>
  <r>
    <x v="12"/>
    <x v="96"/>
    <x v="89"/>
    <x v="11"/>
    <x v="0"/>
    <x v="0"/>
    <x v="86"/>
    <x v="52"/>
    <x v="11"/>
    <x v="10"/>
    <x v="12"/>
    <x v="13"/>
    <x v="153"/>
  </r>
  <r>
    <x v="12"/>
    <x v="102"/>
    <x v="93"/>
    <x v="25"/>
    <x v="0"/>
    <x v="0"/>
    <x v="373"/>
    <x v="53"/>
    <x v="5"/>
    <x v="5"/>
    <x v="5"/>
    <x v="5"/>
    <x v="5"/>
  </r>
  <r>
    <x v="12"/>
    <x v="109"/>
    <x v="100"/>
    <x v="36"/>
    <x v="0"/>
    <x v="0"/>
    <x v="364"/>
    <x v="119"/>
    <x v="11"/>
    <x v="10"/>
    <x v="12"/>
    <x v="13"/>
    <x v="48"/>
  </r>
  <r>
    <x v="12"/>
    <x v="66"/>
    <x v="66"/>
    <x v="0"/>
    <x v="0"/>
    <x v="0"/>
    <x v="374"/>
    <x v="90"/>
    <x v="5"/>
    <x v="5"/>
    <x v="5"/>
    <x v="5"/>
    <x v="5"/>
  </r>
  <r>
    <x v="12"/>
    <x v="110"/>
    <x v="101"/>
    <x v="53"/>
    <x v="0"/>
    <x v="0"/>
    <x v="375"/>
    <x v="137"/>
    <x v="11"/>
    <x v="10"/>
    <x v="12"/>
    <x v="13"/>
    <x v="154"/>
  </r>
  <r>
    <x v="13"/>
    <x v="118"/>
    <x v="108"/>
    <x v="55"/>
    <x v="1"/>
    <x v="1"/>
    <x v="376"/>
    <x v="151"/>
    <x v="24"/>
    <x v="25"/>
    <x v="24"/>
    <x v="23"/>
    <x v="155"/>
  </r>
  <r>
    <x v="13"/>
    <x v="119"/>
    <x v="109"/>
    <x v="6"/>
    <x v="1"/>
    <x v="0"/>
    <x v="377"/>
    <x v="152"/>
    <x v="19"/>
    <x v="26"/>
    <x v="16"/>
    <x v="20"/>
    <x v="156"/>
  </r>
  <r>
    <x v="13"/>
    <x v="120"/>
    <x v="110"/>
    <x v="59"/>
    <x v="1"/>
    <x v="0"/>
    <x v="378"/>
    <x v="153"/>
    <x v="12"/>
    <x v="11"/>
    <x v="9"/>
    <x v="9"/>
    <x v="157"/>
  </r>
  <r>
    <x v="13"/>
    <x v="121"/>
    <x v="111"/>
    <x v="58"/>
    <x v="1"/>
    <x v="0"/>
    <x v="379"/>
    <x v="130"/>
    <x v="12"/>
    <x v="11"/>
    <x v="9"/>
    <x v="9"/>
    <x v="158"/>
  </r>
  <r>
    <x v="13"/>
    <x v="122"/>
    <x v="112"/>
    <x v="36"/>
    <x v="1"/>
    <x v="0"/>
    <x v="380"/>
    <x v="145"/>
    <x v="14"/>
    <x v="13"/>
    <x v="11"/>
    <x v="12"/>
    <x v="159"/>
  </r>
  <r>
    <x v="13"/>
    <x v="123"/>
    <x v="113"/>
    <x v="60"/>
    <x v="1"/>
    <x v="0"/>
    <x v="170"/>
    <x v="61"/>
    <x v="4"/>
    <x v="4"/>
    <x v="10"/>
    <x v="10"/>
    <x v="160"/>
  </r>
  <r>
    <x v="13"/>
    <x v="124"/>
    <x v="114"/>
    <x v="61"/>
    <x v="1"/>
    <x v="0"/>
    <x v="381"/>
    <x v="154"/>
    <x v="4"/>
    <x v="4"/>
    <x v="10"/>
    <x v="10"/>
    <x v="161"/>
  </r>
  <r>
    <x v="13"/>
    <x v="125"/>
    <x v="115"/>
    <x v="62"/>
    <x v="1"/>
    <x v="0"/>
    <x v="117"/>
    <x v="5"/>
    <x v="4"/>
    <x v="4"/>
    <x v="10"/>
    <x v="10"/>
    <x v="162"/>
  </r>
  <r>
    <x v="13"/>
    <x v="126"/>
    <x v="116"/>
    <x v="63"/>
    <x v="1"/>
    <x v="0"/>
    <x v="63"/>
    <x v="119"/>
    <x v="9"/>
    <x v="9"/>
    <x v="4"/>
    <x v="4"/>
    <x v="28"/>
  </r>
  <r>
    <x v="13"/>
    <x v="127"/>
    <x v="117"/>
    <x v="64"/>
    <x v="1"/>
    <x v="0"/>
    <x v="382"/>
    <x v="106"/>
    <x v="11"/>
    <x v="10"/>
    <x v="12"/>
    <x v="13"/>
    <x v="116"/>
  </r>
  <r>
    <x v="13"/>
    <x v="128"/>
    <x v="118"/>
    <x v="63"/>
    <x v="1"/>
    <x v="0"/>
    <x v="383"/>
    <x v="155"/>
    <x v="11"/>
    <x v="10"/>
    <x v="12"/>
    <x v="13"/>
    <x v="135"/>
  </r>
  <r>
    <x v="13"/>
    <x v="129"/>
    <x v="119"/>
    <x v="60"/>
    <x v="1"/>
    <x v="0"/>
    <x v="384"/>
    <x v="13"/>
    <x v="11"/>
    <x v="10"/>
    <x v="12"/>
    <x v="13"/>
    <x v="163"/>
  </r>
  <r>
    <x v="13"/>
    <x v="130"/>
    <x v="120"/>
    <x v="65"/>
    <x v="1"/>
    <x v="0"/>
    <x v="385"/>
    <x v="85"/>
    <x v="5"/>
    <x v="5"/>
    <x v="5"/>
    <x v="5"/>
    <x v="5"/>
  </r>
  <r>
    <x v="13"/>
    <x v="131"/>
    <x v="121"/>
    <x v="62"/>
    <x v="1"/>
    <x v="0"/>
    <x v="386"/>
    <x v="25"/>
    <x v="5"/>
    <x v="5"/>
    <x v="5"/>
    <x v="5"/>
    <x v="5"/>
  </r>
  <r>
    <x v="13"/>
    <x v="132"/>
    <x v="122"/>
    <x v="66"/>
    <x v="1"/>
    <x v="0"/>
    <x v="71"/>
    <x v="91"/>
    <x v="5"/>
    <x v="5"/>
    <x v="5"/>
    <x v="5"/>
    <x v="5"/>
  </r>
  <r>
    <x v="13"/>
    <x v="133"/>
    <x v="123"/>
    <x v="67"/>
    <x v="1"/>
    <x v="0"/>
    <x v="387"/>
    <x v="19"/>
    <x v="5"/>
    <x v="5"/>
    <x v="5"/>
    <x v="5"/>
    <x v="5"/>
  </r>
  <r>
    <x v="13"/>
    <x v="134"/>
    <x v="124"/>
    <x v="68"/>
    <x v="1"/>
    <x v="0"/>
    <x v="388"/>
    <x v="50"/>
    <x v="5"/>
    <x v="5"/>
    <x v="5"/>
    <x v="5"/>
    <x v="5"/>
  </r>
  <r>
    <x v="13"/>
    <x v="135"/>
    <x v="125"/>
    <x v="69"/>
    <x v="1"/>
    <x v="0"/>
    <x v="389"/>
    <x v="73"/>
    <x v="5"/>
    <x v="5"/>
    <x v="5"/>
    <x v="5"/>
    <x v="5"/>
  </r>
  <r>
    <x v="13"/>
    <x v="136"/>
    <x v="126"/>
    <x v="70"/>
    <x v="1"/>
    <x v="0"/>
    <x v="390"/>
    <x v="50"/>
    <x v="5"/>
    <x v="5"/>
    <x v="5"/>
    <x v="5"/>
    <x v="5"/>
  </r>
  <r>
    <x v="13"/>
    <x v="137"/>
    <x v="127"/>
    <x v="71"/>
    <x v="1"/>
    <x v="0"/>
    <x v="152"/>
    <x v="119"/>
    <x v="5"/>
    <x v="5"/>
    <x v="5"/>
    <x v="5"/>
    <x v="5"/>
  </r>
  <r>
    <x v="13"/>
    <x v="138"/>
    <x v="128"/>
    <x v="68"/>
    <x v="1"/>
    <x v="0"/>
    <x v="391"/>
    <x v="46"/>
    <x v="5"/>
    <x v="5"/>
    <x v="5"/>
    <x v="5"/>
    <x v="5"/>
  </r>
  <r>
    <x v="13"/>
    <x v="139"/>
    <x v="129"/>
    <x v="72"/>
    <x v="1"/>
    <x v="0"/>
    <x v="392"/>
    <x v="119"/>
    <x v="5"/>
    <x v="5"/>
    <x v="5"/>
    <x v="5"/>
    <x v="5"/>
  </r>
  <r>
    <x v="13"/>
    <x v="140"/>
    <x v="130"/>
    <x v="67"/>
    <x v="1"/>
    <x v="0"/>
    <x v="393"/>
    <x v="97"/>
    <x v="5"/>
    <x v="5"/>
    <x v="5"/>
    <x v="5"/>
    <x v="5"/>
  </r>
  <r>
    <x v="13"/>
    <x v="141"/>
    <x v="131"/>
    <x v="73"/>
    <x v="1"/>
    <x v="0"/>
    <x v="391"/>
    <x v="29"/>
    <x v="5"/>
    <x v="5"/>
    <x v="5"/>
    <x v="5"/>
    <x v="5"/>
  </r>
  <r>
    <x v="13"/>
    <x v="142"/>
    <x v="132"/>
    <x v="67"/>
    <x v="1"/>
    <x v="0"/>
    <x v="394"/>
    <x v="156"/>
    <x v="5"/>
    <x v="5"/>
    <x v="5"/>
    <x v="5"/>
    <x v="5"/>
  </r>
  <r>
    <x v="13"/>
    <x v="143"/>
    <x v="133"/>
    <x v="62"/>
    <x v="1"/>
    <x v="0"/>
    <x v="395"/>
    <x v="157"/>
    <x v="5"/>
    <x v="5"/>
    <x v="5"/>
    <x v="5"/>
    <x v="5"/>
  </r>
  <r>
    <x v="13"/>
    <x v="144"/>
    <x v="134"/>
    <x v="74"/>
    <x v="1"/>
    <x v="0"/>
    <x v="396"/>
    <x v="29"/>
    <x v="5"/>
    <x v="5"/>
    <x v="5"/>
    <x v="5"/>
    <x v="5"/>
  </r>
  <r>
    <x v="13"/>
    <x v="145"/>
    <x v="135"/>
    <x v="75"/>
    <x v="1"/>
    <x v="0"/>
    <x v="397"/>
    <x v="45"/>
    <x v="5"/>
    <x v="5"/>
    <x v="5"/>
    <x v="5"/>
    <x v="5"/>
  </r>
  <r>
    <x v="13"/>
    <x v="146"/>
    <x v="136"/>
    <x v="76"/>
    <x v="1"/>
    <x v="0"/>
    <x v="98"/>
    <x v="158"/>
    <x v="5"/>
    <x v="5"/>
    <x v="5"/>
    <x v="5"/>
    <x v="5"/>
  </r>
  <r>
    <x v="13"/>
    <x v="147"/>
    <x v="137"/>
    <x v="63"/>
    <x v="1"/>
    <x v="0"/>
    <x v="398"/>
    <x v="50"/>
    <x v="5"/>
    <x v="5"/>
    <x v="5"/>
    <x v="5"/>
    <x v="5"/>
  </r>
  <r>
    <x v="13"/>
    <x v="148"/>
    <x v="138"/>
    <x v="68"/>
    <x v="1"/>
    <x v="0"/>
    <x v="399"/>
    <x v="51"/>
    <x v="5"/>
    <x v="5"/>
    <x v="5"/>
    <x v="5"/>
    <x v="5"/>
  </r>
  <r>
    <x v="13"/>
    <x v="149"/>
    <x v="139"/>
    <x v="77"/>
    <x v="1"/>
    <x v="0"/>
    <x v="400"/>
    <x v="50"/>
    <x v="5"/>
    <x v="5"/>
    <x v="5"/>
    <x v="5"/>
    <x v="5"/>
  </r>
  <r>
    <x v="13"/>
    <x v="150"/>
    <x v="140"/>
    <x v="78"/>
    <x v="1"/>
    <x v="0"/>
    <x v="400"/>
    <x v="46"/>
    <x v="5"/>
    <x v="5"/>
    <x v="5"/>
    <x v="5"/>
    <x v="5"/>
  </r>
  <r>
    <x v="13"/>
    <x v="151"/>
    <x v="141"/>
    <x v="63"/>
    <x v="1"/>
    <x v="0"/>
    <x v="401"/>
    <x v="156"/>
    <x v="5"/>
    <x v="5"/>
    <x v="5"/>
    <x v="5"/>
    <x v="5"/>
  </r>
  <r>
    <x v="13"/>
    <x v="152"/>
    <x v="142"/>
    <x v="79"/>
    <x v="1"/>
    <x v="0"/>
    <x v="402"/>
    <x v="97"/>
    <x v="5"/>
    <x v="5"/>
    <x v="5"/>
    <x v="5"/>
    <x v="5"/>
  </r>
  <r>
    <x v="13"/>
    <x v="153"/>
    <x v="143"/>
    <x v="59"/>
    <x v="1"/>
    <x v="0"/>
    <x v="403"/>
    <x v="46"/>
    <x v="5"/>
    <x v="5"/>
    <x v="5"/>
    <x v="5"/>
    <x v="5"/>
  </r>
  <r>
    <x v="14"/>
    <x v="154"/>
    <x v="144"/>
    <x v="80"/>
    <x v="2"/>
    <x v="3"/>
    <x v="404"/>
    <x v="159"/>
    <x v="25"/>
    <x v="27"/>
    <x v="25"/>
    <x v="24"/>
    <x v="164"/>
  </r>
</pivotCacheRecords>
</file>

<file path=xl/pivotCache/pivotCacheRecords3.xml><?xml version="1.0" encoding="utf-8"?>
<pivotCacheRecords xmlns="http://schemas.openxmlformats.org/spreadsheetml/2006/main" xmlns:r="http://schemas.openxmlformats.org/officeDocument/2006/relationships" count="1662">
  <r>
    <x v="0"/>
    <x v="0"/>
    <x v="0"/>
    <x v="0"/>
    <x v="0"/>
  </r>
  <r>
    <x v="0"/>
    <x v="1"/>
    <x v="1"/>
    <x v="1"/>
    <x v="0"/>
  </r>
  <r>
    <x v="0"/>
    <x v="2"/>
    <x v="2"/>
    <x v="2"/>
    <x v="0"/>
  </r>
  <r>
    <x v="0"/>
    <x v="3"/>
    <x v="3"/>
    <x v="3"/>
    <x v="0"/>
  </r>
  <r>
    <x v="0"/>
    <x v="4"/>
    <x v="4"/>
    <x v="3"/>
    <x v="0"/>
  </r>
  <r>
    <x v="0"/>
    <x v="5"/>
    <x v="5"/>
    <x v="3"/>
    <x v="0"/>
  </r>
  <r>
    <x v="0"/>
    <x v="6"/>
    <x v="6"/>
    <x v="4"/>
    <x v="0"/>
  </r>
  <r>
    <x v="0"/>
    <x v="7"/>
    <x v="7"/>
    <x v="3"/>
    <x v="0"/>
  </r>
  <r>
    <x v="0"/>
    <x v="8"/>
    <x v="8"/>
    <x v="4"/>
    <x v="0"/>
  </r>
  <r>
    <x v="0"/>
    <x v="9"/>
    <x v="8"/>
    <x v="3"/>
    <x v="0"/>
  </r>
  <r>
    <x v="0"/>
    <x v="10"/>
    <x v="9"/>
    <x v="5"/>
    <x v="0"/>
  </r>
  <r>
    <x v="0"/>
    <x v="11"/>
    <x v="10"/>
    <x v="2"/>
    <x v="0"/>
  </r>
  <r>
    <x v="0"/>
    <x v="12"/>
    <x v="11"/>
    <x v="2"/>
    <x v="0"/>
  </r>
  <r>
    <x v="0"/>
    <x v="13"/>
    <x v="12"/>
    <x v="5"/>
    <x v="0"/>
  </r>
  <r>
    <x v="0"/>
    <x v="14"/>
    <x v="13"/>
    <x v="2"/>
    <x v="0"/>
  </r>
  <r>
    <x v="0"/>
    <x v="15"/>
    <x v="14"/>
    <x v="2"/>
    <x v="0"/>
  </r>
  <r>
    <x v="0"/>
    <x v="16"/>
    <x v="15"/>
    <x v="2"/>
    <x v="0"/>
  </r>
  <r>
    <x v="0"/>
    <x v="17"/>
    <x v="16"/>
    <x v="2"/>
    <x v="0"/>
  </r>
  <r>
    <x v="0"/>
    <x v="18"/>
    <x v="17"/>
    <x v="2"/>
    <x v="0"/>
  </r>
  <r>
    <x v="0"/>
    <x v="19"/>
    <x v="17"/>
    <x v="2"/>
    <x v="0"/>
  </r>
  <r>
    <x v="0"/>
    <x v="20"/>
    <x v="18"/>
    <x v="6"/>
    <x v="0"/>
  </r>
  <r>
    <x v="0"/>
    <x v="21"/>
    <x v="19"/>
    <x v="6"/>
    <x v="0"/>
  </r>
  <r>
    <x v="0"/>
    <x v="22"/>
    <x v="19"/>
    <x v="6"/>
    <x v="0"/>
  </r>
  <r>
    <x v="0"/>
    <x v="23"/>
    <x v="19"/>
    <x v="6"/>
    <x v="0"/>
  </r>
  <r>
    <x v="0"/>
    <x v="24"/>
    <x v="19"/>
    <x v="6"/>
    <x v="0"/>
  </r>
  <r>
    <x v="0"/>
    <x v="25"/>
    <x v="19"/>
    <x v="6"/>
    <x v="0"/>
  </r>
  <r>
    <x v="0"/>
    <x v="26"/>
    <x v="20"/>
    <x v="6"/>
    <x v="0"/>
  </r>
  <r>
    <x v="0"/>
    <x v="27"/>
    <x v="21"/>
    <x v="6"/>
    <x v="0"/>
  </r>
  <r>
    <x v="0"/>
    <x v="28"/>
    <x v="22"/>
    <x v="6"/>
    <x v="0"/>
  </r>
  <r>
    <x v="0"/>
    <x v="29"/>
    <x v="23"/>
    <x v="6"/>
    <x v="0"/>
  </r>
  <r>
    <x v="0"/>
    <x v="30"/>
    <x v="24"/>
    <x v="5"/>
    <x v="0"/>
  </r>
  <r>
    <x v="0"/>
    <x v="31"/>
    <x v="25"/>
    <x v="6"/>
    <x v="0"/>
  </r>
  <r>
    <x v="0"/>
    <x v="32"/>
    <x v="25"/>
    <x v="6"/>
    <x v="0"/>
  </r>
  <r>
    <x v="0"/>
    <x v="33"/>
    <x v="26"/>
    <x v="4"/>
    <x v="0"/>
  </r>
  <r>
    <x v="0"/>
    <x v="34"/>
    <x v="27"/>
    <x v="6"/>
    <x v="0"/>
  </r>
  <r>
    <x v="0"/>
    <x v="35"/>
    <x v="28"/>
    <x v="2"/>
    <x v="0"/>
  </r>
  <r>
    <x v="0"/>
    <x v="36"/>
    <x v="29"/>
    <x v="3"/>
    <x v="0"/>
  </r>
  <r>
    <x v="0"/>
    <x v="37"/>
    <x v="30"/>
    <x v="1"/>
    <x v="0"/>
  </r>
  <r>
    <x v="0"/>
    <x v="38"/>
    <x v="31"/>
    <x v="5"/>
    <x v="0"/>
  </r>
  <r>
    <x v="0"/>
    <x v="39"/>
    <x v="32"/>
    <x v="2"/>
    <x v="0"/>
  </r>
  <r>
    <x v="0"/>
    <x v="40"/>
    <x v="33"/>
    <x v="2"/>
    <x v="0"/>
  </r>
  <r>
    <x v="0"/>
    <x v="41"/>
    <x v="34"/>
    <x v="6"/>
    <x v="0"/>
  </r>
  <r>
    <x v="0"/>
    <x v="42"/>
    <x v="34"/>
    <x v="6"/>
    <x v="0"/>
  </r>
  <r>
    <x v="0"/>
    <x v="43"/>
    <x v="34"/>
    <x v="6"/>
    <x v="0"/>
  </r>
  <r>
    <x v="0"/>
    <x v="44"/>
    <x v="34"/>
    <x v="6"/>
    <x v="0"/>
  </r>
  <r>
    <x v="0"/>
    <x v="45"/>
    <x v="34"/>
    <x v="6"/>
    <x v="0"/>
  </r>
  <r>
    <x v="0"/>
    <x v="46"/>
    <x v="35"/>
    <x v="5"/>
    <x v="0"/>
  </r>
  <r>
    <x v="0"/>
    <x v="47"/>
    <x v="35"/>
    <x v="5"/>
    <x v="0"/>
  </r>
  <r>
    <x v="0"/>
    <x v="48"/>
    <x v="36"/>
    <x v="5"/>
    <x v="0"/>
  </r>
  <r>
    <x v="0"/>
    <x v="49"/>
    <x v="37"/>
    <x v="6"/>
    <x v="0"/>
  </r>
  <r>
    <x v="0"/>
    <x v="50"/>
    <x v="37"/>
    <x v="6"/>
    <x v="0"/>
  </r>
  <r>
    <x v="0"/>
    <x v="51"/>
    <x v="37"/>
    <x v="6"/>
    <x v="0"/>
  </r>
  <r>
    <x v="0"/>
    <x v="52"/>
    <x v="38"/>
    <x v="3"/>
    <x v="0"/>
  </r>
  <r>
    <x v="0"/>
    <x v="53"/>
    <x v="39"/>
    <x v="5"/>
    <x v="0"/>
  </r>
  <r>
    <x v="0"/>
    <x v="54"/>
    <x v="39"/>
    <x v="5"/>
    <x v="0"/>
  </r>
  <r>
    <x v="0"/>
    <x v="55"/>
    <x v="40"/>
    <x v="6"/>
    <x v="0"/>
  </r>
  <r>
    <x v="0"/>
    <x v="56"/>
    <x v="41"/>
    <x v="6"/>
    <x v="0"/>
  </r>
  <r>
    <x v="0"/>
    <x v="57"/>
    <x v="41"/>
    <x v="2"/>
    <x v="0"/>
  </r>
  <r>
    <x v="0"/>
    <x v="58"/>
    <x v="41"/>
    <x v="2"/>
    <x v="0"/>
  </r>
  <r>
    <x v="0"/>
    <x v="59"/>
    <x v="42"/>
    <x v="5"/>
    <x v="0"/>
  </r>
  <r>
    <x v="0"/>
    <x v="60"/>
    <x v="43"/>
    <x v="6"/>
    <x v="0"/>
  </r>
  <r>
    <x v="0"/>
    <x v="61"/>
    <x v="44"/>
    <x v="2"/>
    <x v="0"/>
  </r>
  <r>
    <x v="0"/>
    <x v="62"/>
    <x v="44"/>
    <x v="2"/>
    <x v="0"/>
  </r>
  <r>
    <x v="0"/>
    <x v="63"/>
    <x v="44"/>
    <x v="2"/>
    <x v="0"/>
  </r>
  <r>
    <x v="0"/>
    <x v="64"/>
    <x v="44"/>
    <x v="2"/>
    <x v="0"/>
  </r>
  <r>
    <x v="0"/>
    <x v="65"/>
    <x v="44"/>
    <x v="2"/>
    <x v="0"/>
  </r>
  <r>
    <x v="0"/>
    <x v="66"/>
    <x v="44"/>
    <x v="2"/>
    <x v="0"/>
  </r>
  <r>
    <x v="0"/>
    <x v="67"/>
    <x v="45"/>
    <x v="2"/>
    <x v="0"/>
  </r>
  <r>
    <x v="0"/>
    <x v="68"/>
    <x v="45"/>
    <x v="2"/>
    <x v="0"/>
  </r>
  <r>
    <x v="0"/>
    <x v="69"/>
    <x v="46"/>
    <x v="2"/>
    <x v="0"/>
  </r>
  <r>
    <x v="0"/>
    <x v="70"/>
    <x v="46"/>
    <x v="2"/>
    <x v="0"/>
  </r>
  <r>
    <x v="0"/>
    <x v="71"/>
    <x v="47"/>
    <x v="2"/>
    <x v="0"/>
  </r>
  <r>
    <x v="0"/>
    <x v="72"/>
    <x v="48"/>
    <x v="6"/>
    <x v="0"/>
  </r>
  <r>
    <x v="0"/>
    <x v="73"/>
    <x v="48"/>
    <x v="6"/>
    <x v="0"/>
  </r>
  <r>
    <x v="0"/>
    <x v="74"/>
    <x v="48"/>
    <x v="6"/>
    <x v="0"/>
  </r>
  <r>
    <x v="0"/>
    <x v="75"/>
    <x v="48"/>
    <x v="6"/>
    <x v="0"/>
  </r>
  <r>
    <x v="0"/>
    <x v="76"/>
    <x v="48"/>
    <x v="6"/>
    <x v="0"/>
  </r>
  <r>
    <x v="0"/>
    <x v="77"/>
    <x v="48"/>
    <x v="6"/>
    <x v="0"/>
  </r>
  <r>
    <x v="0"/>
    <x v="78"/>
    <x v="48"/>
    <x v="6"/>
    <x v="0"/>
  </r>
  <r>
    <x v="0"/>
    <x v="79"/>
    <x v="48"/>
    <x v="6"/>
    <x v="0"/>
  </r>
  <r>
    <x v="0"/>
    <x v="80"/>
    <x v="48"/>
    <x v="6"/>
    <x v="0"/>
  </r>
  <r>
    <x v="0"/>
    <x v="81"/>
    <x v="48"/>
    <x v="6"/>
    <x v="0"/>
  </r>
  <r>
    <x v="0"/>
    <x v="82"/>
    <x v="48"/>
    <x v="6"/>
    <x v="0"/>
  </r>
  <r>
    <x v="0"/>
    <x v="83"/>
    <x v="49"/>
    <x v="2"/>
    <x v="0"/>
  </r>
  <r>
    <x v="0"/>
    <x v="84"/>
    <x v="49"/>
    <x v="6"/>
    <x v="0"/>
  </r>
  <r>
    <x v="0"/>
    <x v="85"/>
    <x v="49"/>
    <x v="2"/>
    <x v="0"/>
  </r>
  <r>
    <x v="0"/>
    <x v="86"/>
    <x v="50"/>
    <x v="6"/>
    <x v="0"/>
  </r>
  <r>
    <x v="0"/>
    <x v="87"/>
    <x v="50"/>
    <x v="6"/>
    <x v="0"/>
  </r>
  <r>
    <x v="0"/>
    <x v="88"/>
    <x v="50"/>
    <x v="6"/>
    <x v="0"/>
  </r>
  <r>
    <x v="0"/>
    <x v="89"/>
    <x v="50"/>
    <x v="6"/>
    <x v="0"/>
  </r>
  <r>
    <x v="0"/>
    <x v="90"/>
    <x v="51"/>
    <x v="6"/>
    <x v="0"/>
  </r>
  <r>
    <x v="0"/>
    <x v="91"/>
    <x v="51"/>
    <x v="6"/>
    <x v="0"/>
  </r>
  <r>
    <x v="0"/>
    <x v="92"/>
    <x v="52"/>
    <x v="6"/>
    <x v="0"/>
  </r>
  <r>
    <x v="0"/>
    <x v="93"/>
    <x v="52"/>
    <x v="6"/>
    <x v="0"/>
  </r>
  <r>
    <x v="0"/>
    <x v="94"/>
    <x v="52"/>
    <x v="6"/>
    <x v="0"/>
  </r>
  <r>
    <x v="0"/>
    <x v="95"/>
    <x v="52"/>
    <x v="6"/>
    <x v="0"/>
  </r>
  <r>
    <x v="0"/>
    <x v="96"/>
    <x v="52"/>
    <x v="6"/>
    <x v="0"/>
  </r>
  <r>
    <x v="0"/>
    <x v="97"/>
    <x v="52"/>
    <x v="6"/>
    <x v="0"/>
  </r>
  <r>
    <x v="0"/>
    <x v="98"/>
    <x v="53"/>
    <x v="6"/>
    <x v="0"/>
  </r>
  <r>
    <x v="0"/>
    <x v="99"/>
    <x v="53"/>
    <x v="6"/>
    <x v="0"/>
  </r>
  <r>
    <x v="0"/>
    <x v="100"/>
    <x v="53"/>
    <x v="6"/>
    <x v="0"/>
  </r>
  <r>
    <x v="0"/>
    <x v="101"/>
    <x v="53"/>
    <x v="6"/>
    <x v="0"/>
  </r>
  <r>
    <x v="0"/>
    <x v="102"/>
    <x v="53"/>
    <x v="6"/>
    <x v="0"/>
  </r>
  <r>
    <x v="0"/>
    <x v="103"/>
    <x v="53"/>
    <x v="6"/>
    <x v="0"/>
  </r>
  <r>
    <x v="0"/>
    <x v="104"/>
    <x v="53"/>
    <x v="6"/>
    <x v="0"/>
  </r>
  <r>
    <x v="0"/>
    <x v="105"/>
    <x v="53"/>
    <x v="6"/>
    <x v="0"/>
  </r>
  <r>
    <x v="0"/>
    <x v="106"/>
    <x v="53"/>
    <x v="6"/>
    <x v="0"/>
  </r>
  <r>
    <x v="0"/>
    <x v="107"/>
    <x v="53"/>
    <x v="6"/>
    <x v="0"/>
  </r>
  <r>
    <x v="0"/>
    <x v="108"/>
    <x v="53"/>
    <x v="6"/>
    <x v="0"/>
  </r>
  <r>
    <x v="0"/>
    <x v="109"/>
    <x v="53"/>
    <x v="6"/>
    <x v="0"/>
  </r>
  <r>
    <x v="0"/>
    <x v="110"/>
    <x v="53"/>
    <x v="6"/>
    <x v="0"/>
  </r>
  <r>
    <x v="0"/>
    <x v="111"/>
    <x v="53"/>
    <x v="6"/>
    <x v="0"/>
  </r>
  <r>
    <x v="0"/>
    <x v="112"/>
    <x v="53"/>
    <x v="6"/>
    <x v="0"/>
  </r>
  <r>
    <x v="0"/>
    <x v="113"/>
    <x v="53"/>
    <x v="6"/>
    <x v="0"/>
  </r>
  <r>
    <x v="0"/>
    <x v="114"/>
    <x v="53"/>
    <x v="6"/>
    <x v="0"/>
  </r>
  <r>
    <x v="0"/>
    <x v="115"/>
    <x v="53"/>
    <x v="6"/>
    <x v="0"/>
  </r>
  <r>
    <x v="0"/>
    <x v="116"/>
    <x v="53"/>
    <x v="6"/>
    <x v="0"/>
  </r>
  <r>
    <x v="0"/>
    <x v="117"/>
    <x v="53"/>
    <x v="6"/>
    <x v="0"/>
  </r>
  <r>
    <x v="0"/>
    <x v="118"/>
    <x v="53"/>
    <x v="6"/>
    <x v="0"/>
  </r>
  <r>
    <x v="0"/>
    <x v="119"/>
    <x v="53"/>
    <x v="6"/>
    <x v="0"/>
  </r>
  <r>
    <x v="0"/>
    <x v="120"/>
    <x v="53"/>
    <x v="6"/>
    <x v="0"/>
  </r>
  <r>
    <x v="0"/>
    <x v="121"/>
    <x v="53"/>
    <x v="6"/>
    <x v="0"/>
  </r>
  <r>
    <x v="0"/>
    <x v="122"/>
    <x v="53"/>
    <x v="6"/>
    <x v="0"/>
  </r>
  <r>
    <x v="0"/>
    <x v="123"/>
    <x v="53"/>
    <x v="6"/>
    <x v="0"/>
  </r>
  <r>
    <x v="0"/>
    <x v="124"/>
    <x v="53"/>
    <x v="6"/>
    <x v="0"/>
  </r>
  <r>
    <x v="0"/>
    <x v="125"/>
    <x v="53"/>
    <x v="6"/>
    <x v="0"/>
  </r>
  <r>
    <x v="0"/>
    <x v="126"/>
    <x v="53"/>
    <x v="6"/>
    <x v="0"/>
  </r>
  <r>
    <x v="0"/>
    <x v="127"/>
    <x v="53"/>
    <x v="6"/>
    <x v="0"/>
  </r>
  <r>
    <x v="0"/>
    <x v="128"/>
    <x v="53"/>
    <x v="6"/>
    <x v="0"/>
  </r>
  <r>
    <x v="0"/>
    <x v="129"/>
    <x v="53"/>
    <x v="6"/>
    <x v="0"/>
  </r>
  <r>
    <x v="0"/>
    <x v="130"/>
    <x v="53"/>
    <x v="6"/>
    <x v="0"/>
  </r>
  <r>
    <x v="0"/>
    <x v="131"/>
    <x v="53"/>
    <x v="6"/>
    <x v="0"/>
  </r>
  <r>
    <x v="0"/>
    <x v="132"/>
    <x v="53"/>
    <x v="6"/>
    <x v="0"/>
  </r>
  <r>
    <x v="0"/>
    <x v="133"/>
    <x v="53"/>
    <x v="6"/>
    <x v="0"/>
  </r>
  <r>
    <x v="0"/>
    <x v="134"/>
    <x v="53"/>
    <x v="6"/>
    <x v="0"/>
  </r>
  <r>
    <x v="0"/>
    <x v="135"/>
    <x v="53"/>
    <x v="6"/>
    <x v="0"/>
  </r>
  <r>
    <x v="0"/>
    <x v="136"/>
    <x v="53"/>
    <x v="6"/>
    <x v="0"/>
  </r>
  <r>
    <x v="0"/>
    <x v="137"/>
    <x v="53"/>
    <x v="6"/>
    <x v="0"/>
  </r>
  <r>
    <x v="0"/>
    <x v="138"/>
    <x v="53"/>
    <x v="6"/>
    <x v="0"/>
  </r>
  <r>
    <x v="0"/>
    <x v="139"/>
    <x v="53"/>
    <x v="6"/>
    <x v="0"/>
  </r>
  <r>
    <x v="1"/>
    <x v="140"/>
    <x v="54"/>
    <x v="4"/>
    <x v="0"/>
  </r>
  <r>
    <x v="1"/>
    <x v="141"/>
    <x v="55"/>
    <x v="4"/>
    <x v="0"/>
  </r>
  <r>
    <x v="1"/>
    <x v="142"/>
    <x v="56"/>
    <x v="3"/>
    <x v="0"/>
  </r>
  <r>
    <x v="1"/>
    <x v="143"/>
    <x v="9"/>
    <x v="5"/>
    <x v="0"/>
  </r>
  <r>
    <x v="1"/>
    <x v="69"/>
    <x v="57"/>
    <x v="2"/>
    <x v="0"/>
  </r>
  <r>
    <x v="1"/>
    <x v="55"/>
    <x v="17"/>
    <x v="2"/>
    <x v="0"/>
  </r>
  <r>
    <x v="1"/>
    <x v="144"/>
    <x v="18"/>
    <x v="6"/>
    <x v="0"/>
  </r>
  <r>
    <x v="1"/>
    <x v="145"/>
    <x v="19"/>
    <x v="6"/>
    <x v="0"/>
  </r>
  <r>
    <x v="1"/>
    <x v="1"/>
    <x v="19"/>
    <x v="6"/>
    <x v="0"/>
  </r>
  <r>
    <x v="1"/>
    <x v="146"/>
    <x v="21"/>
    <x v="6"/>
    <x v="0"/>
  </r>
  <r>
    <x v="1"/>
    <x v="147"/>
    <x v="58"/>
    <x v="2"/>
    <x v="0"/>
  </r>
  <r>
    <x v="1"/>
    <x v="148"/>
    <x v="59"/>
    <x v="2"/>
    <x v="0"/>
  </r>
  <r>
    <x v="1"/>
    <x v="149"/>
    <x v="34"/>
    <x v="6"/>
    <x v="0"/>
  </r>
  <r>
    <x v="1"/>
    <x v="150"/>
    <x v="35"/>
    <x v="5"/>
    <x v="0"/>
  </r>
  <r>
    <x v="1"/>
    <x v="151"/>
    <x v="60"/>
    <x v="6"/>
    <x v="0"/>
  </r>
  <r>
    <x v="1"/>
    <x v="152"/>
    <x v="60"/>
    <x v="6"/>
    <x v="0"/>
  </r>
  <r>
    <x v="1"/>
    <x v="14"/>
    <x v="61"/>
    <x v="6"/>
    <x v="0"/>
  </r>
  <r>
    <x v="1"/>
    <x v="153"/>
    <x v="62"/>
    <x v="5"/>
    <x v="0"/>
  </r>
  <r>
    <x v="1"/>
    <x v="154"/>
    <x v="63"/>
    <x v="2"/>
    <x v="0"/>
  </r>
  <r>
    <x v="1"/>
    <x v="155"/>
    <x v="44"/>
    <x v="2"/>
    <x v="0"/>
  </r>
  <r>
    <x v="1"/>
    <x v="156"/>
    <x v="46"/>
    <x v="2"/>
    <x v="0"/>
  </r>
  <r>
    <x v="1"/>
    <x v="157"/>
    <x v="47"/>
    <x v="2"/>
    <x v="0"/>
  </r>
  <r>
    <x v="1"/>
    <x v="17"/>
    <x v="47"/>
    <x v="2"/>
    <x v="0"/>
  </r>
  <r>
    <x v="1"/>
    <x v="158"/>
    <x v="48"/>
    <x v="6"/>
    <x v="0"/>
  </r>
  <r>
    <x v="1"/>
    <x v="159"/>
    <x v="48"/>
    <x v="6"/>
    <x v="0"/>
  </r>
  <r>
    <x v="1"/>
    <x v="160"/>
    <x v="48"/>
    <x v="6"/>
    <x v="0"/>
  </r>
  <r>
    <x v="1"/>
    <x v="161"/>
    <x v="48"/>
    <x v="6"/>
    <x v="0"/>
  </r>
  <r>
    <x v="1"/>
    <x v="162"/>
    <x v="48"/>
    <x v="6"/>
    <x v="0"/>
  </r>
  <r>
    <x v="1"/>
    <x v="163"/>
    <x v="48"/>
    <x v="6"/>
    <x v="0"/>
  </r>
  <r>
    <x v="1"/>
    <x v="164"/>
    <x v="49"/>
    <x v="2"/>
    <x v="0"/>
  </r>
  <r>
    <x v="1"/>
    <x v="165"/>
    <x v="49"/>
    <x v="2"/>
    <x v="0"/>
  </r>
  <r>
    <x v="1"/>
    <x v="166"/>
    <x v="50"/>
    <x v="6"/>
    <x v="0"/>
  </r>
  <r>
    <x v="1"/>
    <x v="167"/>
    <x v="51"/>
    <x v="6"/>
    <x v="0"/>
  </r>
  <r>
    <x v="1"/>
    <x v="5"/>
    <x v="51"/>
    <x v="6"/>
    <x v="0"/>
  </r>
  <r>
    <x v="1"/>
    <x v="51"/>
    <x v="51"/>
    <x v="6"/>
    <x v="0"/>
  </r>
  <r>
    <x v="1"/>
    <x v="168"/>
    <x v="51"/>
    <x v="6"/>
    <x v="0"/>
  </r>
  <r>
    <x v="1"/>
    <x v="169"/>
    <x v="51"/>
    <x v="6"/>
    <x v="0"/>
  </r>
  <r>
    <x v="1"/>
    <x v="170"/>
    <x v="64"/>
    <x v="6"/>
    <x v="0"/>
  </r>
  <r>
    <x v="1"/>
    <x v="44"/>
    <x v="53"/>
    <x v="6"/>
    <x v="0"/>
  </r>
  <r>
    <x v="1"/>
    <x v="79"/>
    <x v="53"/>
    <x v="6"/>
    <x v="0"/>
  </r>
  <r>
    <x v="1"/>
    <x v="171"/>
    <x v="53"/>
    <x v="6"/>
    <x v="0"/>
  </r>
  <r>
    <x v="1"/>
    <x v="172"/>
    <x v="53"/>
    <x v="6"/>
    <x v="0"/>
  </r>
  <r>
    <x v="1"/>
    <x v="173"/>
    <x v="53"/>
    <x v="6"/>
    <x v="0"/>
  </r>
  <r>
    <x v="1"/>
    <x v="174"/>
    <x v="53"/>
    <x v="6"/>
    <x v="0"/>
  </r>
  <r>
    <x v="1"/>
    <x v="175"/>
    <x v="53"/>
    <x v="6"/>
    <x v="0"/>
  </r>
  <r>
    <x v="1"/>
    <x v="176"/>
    <x v="53"/>
    <x v="6"/>
    <x v="0"/>
  </r>
  <r>
    <x v="1"/>
    <x v="177"/>
    <x v="53"/>
    <x v="6"/>
    <x v="0"/>
  </r>
  <r>
    <x v="1"/>
    <x v="60"/>
    <x v="53"/>
    <x v="6"/>
    <x v="0"/>
  </r>
  <r>
    <x v="1"/>
    <x v="178"/>
    <x v="53"/>
    <x v="6"/>
    <x v="0"/>
  </r>
  <r>
    <x v="1"/>
    <x v="179"/>
    <x v="53"/>
    <x v="6"/>
    <x v="0"/>
  </r>
  <r>
    <x v="1"/>
    <x v="180"/>
    <x v="53"/>
    <x v="6"/>
    <x v="0"/>
  </r>
  <r>
    <x v="1"/>
    <x v="181"/>
    <x v="53"/>
    <x v="6"/>
    <x v="0"/>
  </r>
  <r>
    <x v="1"/>
    <x v="182"/>
    <x v="53"/>
    <x v="6"/>
    <x v="0"/>
  </r>
  <r>
    <x v="1"/>
    <x v="86"/>
    <x v="53"/>
    <x v="6"/>
    <x v="0"/>
  </r>
  <r>
    <x v="1"/>
    <x v="183"/>
    <x v="53"/>
    <x v="6"/>
    <x v="0"/>
  </r>
  <r>
    <x v="1"/>
    <x v="184"/>
    <x v="53"/>
    <x v="6"/>
    <x v="0"/>
  </r>
  <r>
    <x v="2"/>
    <x v="185"/>
    <x v="65"/>
    <x v="1"/>
    <x v="0"/>
  </r>
  <r>
    <x v="2"/>
    <x v="164"/>
    <x v="66"/>
    <x v="4"/>
    <x v="0"/>
  </r>
  <r>
    <x v="2"/>
    <x v="186"/>
    <x v="67"/>
    <x v="1"/>
    <x v="0"/>
  </r>
  <r>
    <x v="2"/>
    <x v="187"/>
    <x v="68"/>
    <x v="2"/>
    <x v="0"/>
  </r>
  <r>
    <x v="2"/>
    <x v="188"/>
    <x v="69"/>
    <x v="6"/>
    <x v="0"/>
  </r>
  <r>
    <x v="2"/>
    <x v="189"/>
    <x v="7"/>
    <x v="3"/>
    <x v="0"/>
  </r>
  <r>
    <x v="2"/>
    <x v="54"/>
    <x v="70"/>
    <x v="3"/>
    <x v="0"/>
  </r>
  <r>
    <x v="2"/>
    <x v="190"/>
    <x v="71"/>
    <x v="6"/>
    <x v="0"/>
  </r>
  <r>
    <x v="2"/>
    <x v="191"/>
    <x v="71"/>
    <x v="6"/>
    <x v="0"/>
  </r>
  <r>
    <x v="2"/>
    <x v="192"/>
    <x v="72"/>
    <x v="3"/>
    <x v="0"/>
  </r>
  <r>
    <x v="2"/>
    <x v="193"/>
    <x v="73"/>
    <x v="6"/>
    <x v="0"/>
  </r>
  <r>
    <x v="2"/>
    <x v="194"/>
    <x v="19"/>
    <x v="6"/>
    <x v="0"/>
  </r>
  <r>
    <x v="2"/>
    <x v="195"/>
    <x v="19"/>
    <x v="6"/>
    <x v="0"/>
  </r>
  <r>
    <x v="2"/>
    <x v="196"/>
    <x v="19"/>
    <x v="6"/>
    <x v="0"/>
  </r>
  <r>
    <x v="2"/>
    <x v="197"/>
    <x v="74"/>
    <x v="2"/>
    <x v="0"/>
  </r>
  <r>
    <x v="2"/>
    <x v="198"/>
    <x v="75"/>
    <x v="6"/>
    <x v="0"/>
  </r>
  <r>
    <x v="2"/>
    <x v="199"/>
    <x v="34"/>
    <x v="6"/>
    <x v="0"/>
  </r>
  <r>
    <x v="2"/>
    <x v="200"/>
    <x v="60"/>
    <x v="6"/>
    <x v="0"/>
  </r>
  <r>
    <x v="2"/>
    <x v="201"/>
    <x v="76"/>
    <x v="6"/>
    <x v="0"/>
  </r>
  <r>
    <x v="2"/>
    <x v="202"/>
    <x v="77"/>
    <x v="6"/>
    <x v="0"/>
  </r>
  <r>
    <x v="2"/>
    <x v="203"/>
    <x v="44"/>
    <x v="2"/>
    <x v="0"/>
  </r>
  <r>
    <x v="2"/>
    <x v="204"/>
    <x v="47"/>
    <x v="2"/>
    <x v="0"/>
  </r>
  <r>
    <x v="2"/>
    <x v="205"/>
    <x v="48"/>
    <x v="6"/>
    <x v="0"/>
  </r>
  <r>
    <x v="2"/>
    <x v="206"/>
    <x v="52"/>
    <x v="6"/>
    <x v="0"/>
  </r>
  <r>
    <x v="2"/>
    <x v="207"/>
    <x v="64"/>
    <x v="6"/>
    <x v="0"/>
  </r>
  <r>
    <x v="2"/>
    <x v="208"/>
    <x v="53"/>
    <x v="6"/>
    <x v="0"/>
  </r>
  <r>
    <x v="2"/>
    <x v="14"/>
    <x v="53"/>
    <x v="6"/>
    <x v="0"/>
  </r>
  <r>
    <x v="2"/>
    <x v="209"/>
    <x v="53"/>
    <x v="6"/>
    <x v="0"/>
  </r>
  <r>
    <x v="2"/>
    <x v="169"/>
    <x v="53"/>
    <x v="6"/>
    <x v="0"/>
  </r>
  <r>
    <x v="2"/>
    <x v="177"/>
    <x v="53"/>
    <x v="6"/>
    <x v="0"/>
  </r>
  <r>
    <x v="2"/>
    <x v="162"/>
    <x v="53"/>
    <x v="6"/>
    <x v="0"/>
  </r>
  <r>
    <x v="2"/>
    <x v="210"/>
    <x v="53"/>
    <x v="6"/>
    <x v="0"/>
  </r>
  <r>
    <x v="2"/>
    <x v="211"/>
    <x v="53"/>
    <x v="6"/>
    <x v="0"/>
  </r>
  <r>
    <x v="2"/>
    <x v="212"/>
    <x v="53"/>
    <x v="6"/>
    <x v="0"/>
  </r>
  <r>
    <x v="2"/>
    <x v="161"/>
    <x v="53"/>
    <x v="6"/>
    <x v="0"/>
  </r>
  <r>
    <x v="2"/>
    <x v="213"/>
    <x v="53"/>
    <x v="6"/>
    <x v="0"/>
  </r>
  <r>
    <x v="2"/>
    <x v="214"/>
    <x v="53"/>
    <x v="6"/>
    <x v="0"/>
  </r>
  <r>
    <x v="3"/>
    <x v="2"/>
    <x v="78"/>
    <x v="6"/>
    <x v="0"/>
  </r>
  <r>
    <x v="3"/>
    <x v="215"/>
    <x v="79"/>
    <x v="2"/>
    <x v="0"/>
  </r>
  <r>
    <x v="3"/>
    <x v="216"/>
    <x v="80"/>
    <x v="3"/>
    <x v="0"/>
  </r>
  <r>
    <x v="3"/>
    <x v="217"/>
    <x v="81"/>
    <x v="5"/>
    <x v="0"/>
  </r>
  <r>
    <x v="3"/>
    <x v="218"/>
    <x v="82"/>
    <x v="2"/>
    <x v="0"/>
  </r>
  <r>
    <x v="3"/>
    <x v="219"/>
    <x v="83"/>
    <x v="6"/>
    <x v="0"/>
  </r>
  <r>
    <x v="3"/>
    <x v="220"/>
    <x v="84"/>
    <x v="3"/>
    <x v="0"/>
  </r>
  <r>
    <x v="3"/>
    <x v="150"/>
    <x v="71"/>
    <x v="6"/>
    <x v="0"/>
  </r>
  <r>
    <x v="3"/>
    <x v="221"/>
    <x v="85"/>
    <x v="5"/>
    <x v="0"/>
  </r>
  <r>
    <x v="3"/>
    <x v="222"/>
    <x v="18"/>
    <x v="6"/>
    <x v="0"/>
  </r>
  <r>
    <x v="3"/>
    <x v="201"/>
    <x v="86"/>
    <x v="6"/>
    <x v="0"/>
  </r>
  <r>
    <x v="3"/>
    <x v="223"/>
    <x v="19"/>
    <x v="6"/>
    <x v="0"/>
  </r>
  <r>
    <x v="3"/>
    <x v="40"/>
    <x v="19"/>
    <x v="6"/>
    <x v="0"/>
  </r>
  <r>
    <x v="3"/>
    <x v="224"/>
    <x v="19"/>
    <x v="6"/>
    <x v="0"/>
  </r>
  <r>
    <x v="3"/>
    <x v="225"/>
    <x v="19"/>
    <x v="6"/>
    <x v="0"/>
  </r>
  <r>
    <x v="3"/>
    <x v="226"/>
    <x v="19"/>
    <x v="6"/>
    <x v="0"/>
  </r>
  <r>
    <x v="3"/>
    <x v="227"/>
    <x v="19"/>
    <x v="6"/>
    <x v="0"/>
  </r>
  <r>
    <x v="3"/>
    <x v="228"/>
    <x v="19"/>
    <x v="6"/>
    <x v="0"/>
  </r>
  <r>
    <x v="3"/>
    <x v="229"/>
    <x v="19"/>
    <x v="6"/>
    <x v="0"/>
  </r>
  <r>
    <x v="3"/>
    <x v="230"/>
    <x v="20"/>
    <x v="6"/>
    <x v="0"/>
  </r>
  <r>
    <x v="3"/>
    <x v="231"/>
    <x v="87"/>
    <x v="6"/>
    <x v="0"/>
  </r>
  <r>
    <x v="3"/>
    <x v="232"/>
    <x v="88"/>
    <x v="6"/>
    <x v="0"/>
  </r>
  <r>
    <x v="3"/>
    <x v="157"/>
    <x v="88"/>
    <x v="6"/>
    <x v="0"/>
  </r>
  <r>
    <x v="3"/>
    <x v="68"/>
    <x v="89"/>
    <x v="6"/>
    <x v="0"/>
  </r>
  <r>
    <x v="3"/>
    <x v="43"/>
    <x v="21"/>
    <x v="6"/>
    <x v="0"/>
  </r>
  <r>
    <x v="3"/>
    <x v="233"/>
    <x v="90"/>
    <x v="6"/>
    <x v="0"/>
  </r>
  <r>
    <x v="3"/>
    <x v="234"/>
    <x v="91"/>
    <x v="6"/>
    <x v="0"/>
  </r>
  <r>
    <x v="3"/>
    <x v="235"/>
    <x v="92"/>
    <x v="6"/>
    <x v="0"/>
  </r>
  <r>
    <x v="3"/>
    <x v="213"/>
    <x v="93"/>
    <x v="2"/>
    <x v="0"/>
  </r>
  <r>
    <x v="3"/>
    <x v="236"/>
    <x v="34"/>
    <x v="6"/>
    <x v="0"/>
  </r>
  <r>
    <x v="3"/>
    <x v="237"/>
    <x v="34"/>
    <x v="6"/>
    <x v="0"/>
  </r>
  <r>
    <x v="3"/>
    <x v="238"/>
    <x v="60"/>
    <x v="6"/>
    <x v="0"/>
  </r>
  <r>
    <x v="3"/>
    <x v="165"/>
    <x v="94"/>
    <x v="6"/>
    <x v="0"/>
  </r>
  <r>
    <x v="3"/>
    <x v="239"/>
    <x v="95"/>
    <x v="6"/>
    <x v="0"/>
  </r>
  <r>
    <x v="3"/>
    <x v="240"/>
    <x v="44"/>
    <x v="2"/>
    <x v="0"/>
  </r>
  <r>
    <x v="3"/>
    <x v="241"/>
    <x v="48"/>
    <x v="6"/>
    <x v="0"/>
  </r>
  <r>
    <x v="3"/>
    <x v="242"/>
    <x v="48"/>
    <x v="6"/>
    <x v="0"/>
  </r>
  <r>
    <x v="3"/>
    <x v="243"/>
    <x v="48"/>
    <x v="6"/>
    <x v="0"/>
  </r>
  <r>
    <x v="3"/>
    <x v="244"/>
    <x v="50"/>
    <x v="6"/>
    <x v="0"/>
  </r>
  <r>
    <x v="3"/>
    <x v="245"/>
    <x v="52"/>
    <x v="6"/>
    <x v="0"/>
  </r>
  <r>
    <x v="3"/>
    <x v="144"/>
    <x v="52"/>
    <x v="6"/>
    <x v="0"/>
  </r>
  <r>
    <x v="3"/>
    <x v="246"/>
    <x v="53"/>
    <x v="6"/>
    <x v="0"/>
  </r>
  <r>
    <x v="3"/>
    <x v="247"/>
    <x v="53"/>
    <x v="6"/>
    <x v="0"/>
  </r>
  <r>
    <x v="3"/>
    <x v="248"/>
    <x v="53"/>
    <x v="6"/>
    <x v="0"/>
  </r>
  <r>
    <x v="3"/>
    <x v="249"/>
    <x v="53"/>
    <x v="6"/>
    <x v="0"/>
  </r>
  <r>
    <x v="3"/>
    <x v="250"/>
    <x v="53"/>
    <x v="6"/>
    <x v="0"/>
  </r>
  <r>
    <x v="3"/>
    <x v="251"/>
    <x v="53"/>
    <x v="6"/>
    <x v="0"/>
  </r>
  <r>
    <x v="3"/>
    <x v="252"/>
    <x v="53"/>
    <x v="6"/>
    <x v="0"/>
  </r>
  <r>
    <x v="4"/>
    <x v="253"/>
    <x v="96"/>
    <x v="3"/>
    <x v="0"/>
  </r>
  <r>
    <x v="4"/>
    <x v="254"/>
    <x v="97"/>
    <x v="5"/>
    <x v="0"/>
  </r>
  <r>
    <x v="4"/>
    <x v="255"/>
    <x v="98"/>
    <x v="5"/>
    <x v="0"/>
  </r>
  <r>
    <x v="4"/>
    <x v="256"/>
    <x v="99"/>
    <x v="2"/>
    <x v="0"/>
  </r>
  <r>
    <x v="4"/>
    <x v="257"/>
    <x v="100"/>
    <x v="5"/>
    <x v="0"/>
  </r>
  <r>
    <x v="4"/>
    <x v="258"/>
    <x v="83"/>
    <x v="6"/>
    <x v="0"/>
  </r>
  <r>
    <x v="4"/>
    <x v="259"/>
    <x v="83"/>
    <x v="6"/>
    <x v="0"/>
  </r>
  <r>
    <x v="4"/>
    <x v="260"/>
    <x v="101"/>
    <x v="5"/>
    <x v="0"/>
  </r>
  <r>
    <x v="4"/>
    <x v="261"/>
    <x v="102"/>
    <x v="2"/>
    <x v="0"/>
  </r>
  <r>
    <x v="4"/>
    <x v="262"/>
    <x v="103"/>
    <x v="2"/>
    <x v="0"/>
  </r>
  <r>
    <x v="4"/>
    <x v="263"/>
    <x v="103"/>
    <x v="2"/>
    <x v="0"/>
  </r>
  <r>
    <x v="4"/>
    <x v="264"/>
    <x v="103"/>
    <x v="2"/>
    <x v="0"/>
  </r>
  <r>
    <x v="4"/>
    <x v="265"/>
    <x v="104"/>
    <x v="2"/>
    <x v="0"/>
  </r>
  <r>
    <x v="4"/>
    <x v="266"/>
    <x v="105"/>
    <x v="2"/>
    <x v="0"/>
  </r>
  <r>
    <x v="4"/>
    <x v="26"/>
    <x v="106"/>
    <x v="5"/>
    <x v="0"/>
  </r>
  <r>
    <x v="4"/>
    <x v="267"/>
    <x v="107"/>
    <x v="2"/>
    <x v="0"/>
  </r>
  <r>
    <x v="4"/>
    <x v="268"/>
    <x v="108"/>
    <x v="6"/>
    <x v="0"/>
  </r>
  <r>
    <x v="4"/>
    <x v="269"/>
    <x v="108"/>
    <x v="6"/>
    <x v="0"/>
  </r>
  <r>
    <x v="4"/>
    <x v="270"/>
    <x v="109"/>
    <x v="6"/>
    <x v="0"/>
  </r>
  <r>
    <x v="4"/>
    <x v="271"/>
    <x v="110"/>
    <x v="2"/>
    <x v="0"/>
  </r>
  <r>
    <x v="4"/>
    <x v="272"/>
    <x v="111"/>
    <x v="2"/>
    <x v="0"/>
  </r>
  <r>
    <x v="4"/>
    <x v="273"/>
    <x v="18"/>
    <x v="6"/>
    <x v="0"/>
  </r>
  <r>
    <x v="4"/>
    <x v="274"/>
    <x v="19"/>
    <x v="6"/>
    <x v="0"/>
  </r>
  <r>
    <x v="4"/>
    <x v="275"/>
    <x v="19"/>
    <x v="6"/>
    <x v="0"/>
  </r>
  <r>
    <x v="4"/>
    <x v="276"/>
    <x v="19"/>
    <x v="6"/>
    <x v="0"/>
  </r>
  <r>
    <x v="4"/>
    <x v="277"/>
    <x v="19"/>
    <x v="6"/>
    <x v="0"/>
  </r>
  <r>
    <x v="4"/>
    <x v="278"/>
    <x v="19"/>
    <x v="6"/>
    <x v="0"/>
  </r>
  <r>
    <x v="4"/>
    <x v="279"/>
    <x v="19"/>
    <x v="6"/>
    <x v="0"/>
  </r>
  <r>
    <x v="4"/>
    <x v="129"/>
    <x v="19"/>
    <x v="6"/>
    <x v="0"/>
  </r>
  <r>
    <x v="4"/>
    <x v="280"/>
    <x v="19"/>
    <x v="6"/>
    <x v="0"/>
  </r>
  <r>
    <x v="4"/>
    <x v="281"/>
    <x v="19"/>
    <x v="6"/>
    <x v="0"/>
  </r>
  <r>
    <x v="4"/>
    <x v="282"/>
    <x v="19"/>
    <x v="6"/>
    <x v="0"/>
  </r>
  <r>
    <x v="4"/>
    <x v="40"/>
    <x v="19"/>
    <x v="6"/>
    <x v="0"/>
  </r>
  <r>
    <x v="4"/>
    <x v="283"/>
    <x v="19"/>
    <x v="6"/>
    <x v="0"/>
  </r>
  <r>
    <x v="4"/>
    <x v="284"/>
    <x v="19"/>
    <x v="6"/>
    <x v="0"/>
  </r>
  <r>
    <x v="4"/>
    <x v="285"/>
    <x v="19"/>
    <x v="6"/>
    <x v="0"/>
  </r>
  <r>
    <x v="4"/>
    <x v="84"/>
    <x v="19"/>
    <x v="6"/>
    <x v="0"/>
  </r>
  <r>
    <x v="4"/>
    <x v="286"/>
    <x v="19"/>
    <x v="6"/>
    <x v="0"/>
  </r>
  <r>
    <x v="4"/>
    <x v="287"/>
    <x v="19"/>
    <x v="6"/>
    <x v="0"/>
  </r>
  <r>
    <x v="4"/>
    <x v="288"/>
    <x v="19"/>
    <x v="6"/>
    <x v="0"/>
  </r>
  <r>
    <x v="4"/>
    <x v="175"/>
    <x v="19"/>
    <x v="6"/>
    <x v="0"/>
  </r>
  <r>
    <x v="4"/>
    <x v="229"/>
    <x v="21"/>
    <x v="6"/>
    <x v="0"/>
  </r>
  <r>
    <x v="4"/>
    <x v="28"/>
    <x v="22"/>
    <x v="6"/>
    <x v="0"/>
  </r>
  <r>
    <x v="4"/>
    <x v="289"/>
    <x v="112"/>
    <x v="6"/>
    <x v="0"/>
  </r>
  <r>
    <x v="4"/>
    <x v="216"/>
    <x v="25"/>
    <x v="6"/>
    <x v="0"/>
  </r>
  <r>
    <x v="4"/>
    <x v="3"/>
    <x v="113"/>
    <x v="6"/>
    <x v="0"/>
  </r>
  <r>
    <x v="4"/>
    <x v="290"/>
    <x v="51"/>
    <x v="6"/>
    <x v="0"/>
  </r>
  <r>
    <x v="4"/>
    <x v="291"/>
    <x v="51"/>
    <x v="6"/>
    <x v="0"/>
  </r>
  <r>
    <x v="4"/>
    <x v="292"/>
    <x v="52"/>
    <x v="6"/>
    <x v="0"/>
  </r>
  <r>
    <x v="4"/>
    <x v="293"/>
    <x v="53"/>
    <x v="6"/>
    <x v="0"/>
  </r>
  <r>
    <x v="4"/>
    <x v="294"/>
    <x v="53"/>
    <x v="6"/>
    <x v="0"/>
  </r>
  <r>
    <x v="4"/>
    <x v="295"/>
    <x v="53"/>
    <x v="6"/>
    <x v="0"/>
  </r>
  <r>
    <x v="4"/>
    <x v="296"/>
    <x v="53"/>
    <x v="6"/>
    <x v="0"/>
  </r>
  <r>
    <x v="4"/>
    <x v="297"/>
    <x v="53"/>
    <x v="6"/>
    <x v="0"/>
  </r>
  <r>
    <x v="4"/>
    <x v="298"/>
    <x v="53"/>
    <x v="6"/>
    <x v="0"/>
  </r>
  <r>
    <x v="4"/>
    <x v="299"/>
    <x v="53"/>
    <x v="6"/>
    <x v="0"/>
  </r>
  <r>
    <x v="4"/>
    <x v="300"/>
    <x v="53"/>
    <x v="6"/>
    <x v="0"/>
  </r>
  <r>
    <x v="4"/>
    <x v="209"/>
    <x v="53"/>
    <x v="6"/>
    <x v="0"/>
  </r>
  <r>
    <x v="4"/>
    <x v="301"/>
    <x v="53"/>
    <x v="6"/>
    <x v="0"/>
  </r>
  <r>
    <x v="4"/>
    <x v="302"/>
    <x v="53"/>
    <x v="6"/>
    <x v="0"/>
  </r>
  <r>
    <x v="5"/>
    <x v="303"/>
    <x v="83"/>
    <x v="6"/>
    <x v="0"/>
  </r>
  <r>
    <x v="5"/>
    <x v="185"/>
    <x v="114"/>
    <x v="3"/>
    <x v="0"/>
  </r>
  <r>
    <x v="5"/>
    <x v="304"/>
    <x v="115"/>
    <x v="2"/>
    <x v="0"/>
  </r>
  <r>
    <x v="5"/>
    <x v="305"/>
    <x v="116"/>
    <x v="2"/>
    <x v="0"/>
  </r>
  <r>
    <x v="5"/>
    <x v="271"/>
    <x v="117"/>
    <x v="6"/>
    <x v="0"/>
  </r>
  <r>
    <x v="5"/>
    <x v="306"/>
    <x v="19"/>
    <x v="6"/>
    <x v="0"/>
  </r>
  <r>
    <x v="5"/>
    <x v="307"/>
    <x v="19"/>
    <x v="6"/>
    <x v="0"/>
  </r>
  <r>
    <x v="5"/>
    <x v="308"/>
    <x v="19"/>
    <x v="6"/>
    <x v="0"/>
  </r>
  <r>
    <x v="5"/>
    <x v="208"/>
    <x v="19"/>
    <x v="6"/>
    <x v="0"/>
  </r>
  <r>
    <x v="5"/>
    <x v="309"/>
    <x v="19"/>
    <x v="6"/>
    <x v="0"/>
  </r>
  <r>
    <x v="5"/>
    <x v="310"/>
    <x v="19"/>
    <x v="6"/>
    <x v="0"/>
  </r>
  <r>
    <x v="5"/>
    <x v="142"/>
    <x v="19"/>
    <x v="6"/>
    <x v="0"/>
  </r>
  <r>
    <x v="5"/>
    <x v="311"/>
    <x v="19"/>
    <x v="6"/>
    <x v="0"/>
  </r>
  <r>
    <x v="5"/>
    <x v="312"/>
    <x v="19"/>
    <x v="6"/>
    <x v="0"/>
  </r>
  <r>
    <x v="5"/>
    <x v="313"/>
    <x v="19"/>
    <x v="6"/>
    <x v="0"/>
  </r>
  <r>
    <x v="5"/>
    <x v="314"/>
    <x v="19"/>
    <x v="6"/>
    <x v="0"/>
  </r>
  <r>
    <x v="5"/>
    <x v="315"/>
    <x v="19"/>
    <x v="6"/>
    <x v="0"/>
  </r>
  <r>
    <x v="5"/>
    <x v="316"/>
    <x v="19"/>
    <x v="6"/>
    <x v="0"/>
  </r>
  <r>
    <x v="5"/>
    <x v="88"/>
    <x v="20"/>
    <x v="6"/>
    <x v="0"/>
  </r>
  <r>
    <x v="5"/>
    <x v="46"/>
    <x v="20"/>
    <x v="6"/>
    <x v="0"/>
  </r>
  <r>
    <x v="5"/>
    <x v="317"/>
    <x v="87"/>
    <x v="6"/>
    <x v="0"/>
  </r>
  <r>
    <x v="5"/>
    <x v="318"/>
    <x v="22"/>
    <x v="6"/>
    <x v="0"/>
  </r>
  <r>
    <x v="5"/>
    <x v="319"/>
    <x v="22"/>
    <x v="6"/>
    <x v="0"/>
  </r>
  <r>
    <x v="5"/>
    <x v="320"/>
    <x v="118"/>
    <x v="6"/>
    <x v="0"/>
  </r>
  <r>
    <x v="5"/>
    <x v="321"/>
    <x v="118"/>
    <x v="6"/>
    <x v="0"/>
  </r>
  <r>
    <x v="5"/>
    <x v="287"/>
    <x v="119"/>
    <x v="6"/>
    <x v="0"/>
  </r>
  <r>
    <x v="5"/>
    <x v="214"/>
    <x v="25"/>
    <x v="6"/>
    <x v="0"/>
  </r>
  <r>
    <x v="5"/>
    <x v="322"/>
    <x v="46"/>
    <x v="2"/>
    <x v="0"/>
  </r>
  <r>
    <x v="5"/>
    <x v="323"/>
    <x v="48"/>
    <x v="6"/>
    <x v="0"/>
  </r>
  <r>
    <x v="5"/>
    <x v="85"/>
    <x v="48"/>
    <x v="6"/>
    <x v="0"/>
  </r>
  <r>
    <x v="5"/>
    <x v="324"/>
    <x v="48"/>
    <x v="6"/>
    <x v="0"/>
  </r>
  <r>
    <x v="5"/>
    <x v="48"/>
    <x v="50"/>
    <x v="6"/>
    <x v="0"/>
  </r>
  <r>
    <x v="5"/>
    <x v="325"/>
    <x v="53"/>
    <x v="6"/>
    <x v="0"/>
  </r>
  <r>
    <x v="5"/>
    <x v="326"/>
    <x v="53"/>
    <x v="6"/>
    <x v="0"/>
  </r>
  <r>
    <x v="5"/>
    <x v="254"/>
    <x v="53"/>
    <x v="6"/>
    <x v="0"/>
  </r>
  <r>
    <x v="5"/>
    <x v="204"/>
    <x v="53"/>
    <x v="6"/>
    <x v="0"/>
  </r>
  <r>
    <x v="5"/>
    <x v="267"/>
    <x v="53"/>
    <x v="6"/>
    <x v="0"/>
  </r>
  <r>
    <x v="6"/>
    <x v="327"/>
    <x v="120"/>
    <x v="7"/>
    <x v="0"/>
  </r>
  <r>
    <x v="6"/>
    <x v="267"/>
    <x v="121"/>
    <x v="1"/>
    <x v="0"/>
  </r>
  <r>
    <x v="6"/>
    <x v="328"/>
    <x v="122"/>
    <x v="4"/>
    <x v="0"/>
  </r>
  <r>
    <x v="6"/>
    <x v="329"/>
    <x v="123"/>
    <x v="5"/>
    <x v="0"/>
  </r>
  <r>
    <x v="6"/>
    <x v="330"/>
    <x v="124"/>
    <x v="2"/>
    <x v="0"/>
  </r>
  <r>
    <x v="6"/>
    <x v="331"/>
    <x v="83"/>
    <x v="6"/>
    <x v="0"/>
  </r>
  <r>
    <x v="6"/>
    <x v="332"/>
    <x v="125"/>
    <x v="2"/>
    <x v="0"/>
  </r>
  <r>
    <x v="6"/>
    <x v="333"/>
    <x v="126"/>
    <x v="2"/>
    <x v="0"/>
  </r>
  <r>
    <x v="6"/>
    <x v="334"/>
    <x v="108"/>
    <x v="6"/>
    <x v="0"/>
  </r>
  <r>
    <x v="6"/>
    <x v="335"/>
    <x v="127"/>
    <x v="6"/>
    <x v="0"/>
  </r>
  <r>
    <x v="6"/>
    <x v="193"/>
    <x v="127"/>
    <x v="6"/>
    <x v="0"/>
  </r>
  <r>
    <x v="6"/>
    <x v="84"/>
    <x v="128"/>
    <x v="5"/>
    <x v="0"/>
  </r>
  <r>
    <x v="6"/>
    <x v="336"/>
    <x v="129"/>
    <x v="6"/>
    <x v="0"/>
  </r>
  <r>
    <x v="6"/>
    <x v="337"/>
    <x v="129"/>
    <x v="6"/>
    <x v="0"/>
  </r>
  <r>
    <x v="6"/>
    <x v="319"/>
    <x v="130"/>
    <x v="6"/>
    <x v="0"/>
  </r>
  <r>
    <x v="6"/>
    <x v="205"/>
    <x v="18"/>
    <x v="6"/>
    <x v="0"/>
  </r>
  <r>
    <x v="6"/>
    <x v="265"/>
    <x v="19"/>
    <x v="6"/>
    <x v="0"/>
  </r>
  <r>
    <x v="6"/>
    <x v="338"/>
    <x v="20"/>
    <x v="6"/>
    <x v="0"/>
  </r>
  <r>
    <x v="6"/>
    <x v="339"/>
    <x v="118"/>
    <x v="6"/>
    <x v="0"/>
  </r>
  <r>
    <x v="6"/>
    <x v="70"/>
    <x v="118"/>
    <x v="6"/>
    <x v="0"/>
  </r>
  <r>
    <x v="6"/>
    <x v="340"/>
    <x v="131"/>
    <x v="6"/>
    <x v="0"/>
  </r>
  <r>
    <x v="6"/>
    <x v="341"/>
    <x v="132"/>
    <x v="6"/>
    <x v="0"/>
  </r>
  <r>
    <x v="6"/>
    <x v="54"/>
    <x v="132"/>
    <x v="6"/>
    <x v="0"/>
  </r>
  <r>
    <x v="6"/>
    <x v="111"/>
    <x v="133"/>
    <x v="6"/>
    <x v="0"/>
  </r>
  <r>
    <x v="6"/>
    <x v="342"/>
    <x v="134"/>
    <x v="2"/>
    <x v="0"/>
  </r>
  <r>
    <x v="6"/>
    <x v="40"/>
    <x v="135"/>
    <x v="6"/>
    <x v="0"/>
  </r>
  <r>
    <x v="6"/>
    <x v="133"/>
    <x v="136"/>
    <x v="6"/>
    <x v="0"/>
  </r>
  <r>
    <x v="6"/>
    <x v="343"/>
    <x v="137"/>
    <x v="6"/>
    <x v="0"/>
  </r>
  <r>
    <x v="6"/>
    <x v="60"/>
    <x v="50"/>
    <x v="6"/>
    <x v="0"/>
  </r>
  <r>
    <x v="6"/>
    <x v="344"/>
    <x v="53"/>
    <x v="6"/>
    <x v="0"/>
  </r>
  <r>
    <x v="7"/>
    <x v="345"/>
    <x v="138"/>
    <x v="8"/>
    <x v="0"/>
  </r>
  <r>
    <x v="7"/>
    <x v="346"/>
    <x v="139"/>
    <x v="0"/>
    <x v="0"/>
  </r>
  <r>
    <x v="7"/>
    <x v="55"/>
    <x v="140"/>
    <x v="1"/>
    <x v="0"/>
  </r>
  <r>
    <x v="7"/>
    <x v="347"/>
    <x v="141"/>
    <x v="1"/>
    <x v="0"/>
  </r>
  <r>
    <x v="7"/>
    <x v="151"/>
    <x v="142"/>
    <x v="3"/>
    <x v="0"/>
  </r>
  <r>
    <x v="7"/>
    <x v="348"/>
    <x v="143"/>
    <x v="4"/>
    <x v="0"/>
  </r>
  <r>
    <x v="7"/>
    <x v="349"/>
    <x v="144"/>
    <x v="5"/>
    <x v="0"/>
  </r>
  <r>
    <x v="7"/>
    <x v="243"/>
    <x v="145"/>
    <x v="2"/>
    <x v="0"/>
  </r>
  <r>
    <x v="7"/>
    <x v="350"/>
    <x v="146"/>
    <x v="9"/>
    <x v="0"/>
  </r>
  <r>
    <x v="7"/>
    <x v="351"/>
    <x v="147"/>
    <x v="1"/>
    <x v="0"/>
  </r>
  <r>
    <x v="7"/>
    <x v="352"/>
    <x v="148"/>
    <x v="4"/>
    <x v="0"/>
  </r>
  <r>
    <x v="7"/>
    <x v="175"/>
    <x v="149"/>
    <x v="2"/>
    <x v="0"/>
  </r>
  <r>
    <x v="7"/>
    <x v="353"/>
    <x v="150"/>
    <x v="2"/>
    <x v="0"/>
  </r>
  <r>
    <x v="7"/>
    <x v="101"/>
    <x v="151"/>
    <x v="9"/>
    <x v="0"/>
  </r>
  <r>
    <x v="7"/>
    <x v="354"/>
    <x v="152"/>
    <x v="1"/>
    <x v="0"/>
  </r>
  <r>
    <x v="7"/>
    <x v="355"/>
    <x v="153"/>
    <x v="5"/>
    <x v="0"/>
  </r>
  <r>
    <x v="7"/>
    <x v="356"/>
    <x v="154"/>
    <x v="6"/>
    <x v="0"/>
  </r>
  <r>
    <x v="7"/>
    <x v="357"/>
    <x v="155"/>
    <x v="6"/>
    <x v="0"/>
  </r>
  <r>
    <x v="7"/>
    <x v="358"/>
    <x v="156"/>
    <x v="0"/>
    <x v="0"/>
  </r>
  <r>
    <x v="7"/>
    <x v="130"/>
    <x v="157"/>
    <x v="3"/>
    <x v="0"/>
  </r>
  <r>
    <x v="7"/>
    <x v="166"/>
    <x v="158"/>
    <x v="4"/>
    <x v="0"/>
  </r>
  <r>
    <x v="7"/>
    <x v="69"/>
    <x v="159"/>
    <x v="6"/>
    <x v="0"/>
  </r>
  <r>
    <x v="7"/>
    <x v="359"/>
    <x v="160"/>
    <x v="3"/>
    <x v="0"/>
  </r>
  <r>
    <x v="7"/>
    <x v="163"/>
    <x v="41"/>
    <x v="2"/>
    <x v="0"/>
  </r>
  <r>
    <x v="7"/>
    <x v="360"/>
    <x v="161"/>
    <x v="4"/>
    <x v="0"/>
  </r>
  <r>
    <x v="7"/>
    <x v="361"/>
    <x v="162"/>
    <x v="5"/>
    <x v="0"/>
  </r>
  <r>
    <x v="7"/>
    <x v="362"/>
    <x v="163"/>
    <x v="6"/>
    <x v="0"/>
  </r>
  <r>
    <x v="7"/>
    <x v="363"/>
    <x v="164"/>
    <x v="2"/>
    <x v="0"/>
  </r>
  <r>
    <x v="7"/>
    <x v="364"/>
    <x v="165"/>
    <x v="6"/>
    <x v="0"/>
  </r>
  <r>
    <x v="7"/>
    <x v="86"/>
    <x v="47"/>
    <x v="2"/>
    <x v="0"/>
  </r>
  <r>
    <x v="7"/>
    <x v="365"/>
    <x v="166"/>
    <x v="2"/>
    <x v="0"/>
  </r>
  <r>
    <x v="7"/>
    <x v="366"/>
    <x v="167"/>
    <x v="2"/>
    <x v="0"/>
  </r>
  <r>
    <x v="7"/>
    <x v="68"/>
    <x v="168"/>
    <x v="6"/>
    <x v="0"/>
  </r>
  <r>
    <x v="7"/>
    <x v="87"/>
    <x v="168"/>
    <x v="6"/>
    <x v="0"/>
  </r>
  <r>
    <x v="7"/>
    <x v="367"/>
    <x v="169"/>
    <x v="6"/>
    <x v="0"/>
  </r>
  <r>
    <x v="7"/>
    <x v="368"/>
    <x v="170"/>
    <x v="4"/>
    <x v="0"/>
  </r>
  <r>
    <x v="7"/>
    <x v="369"/>
    <x v="48"/>
    <x v="6"/>
    <x v="0"/>
  </r>
  <r>
    <x v="7"/>
    <x v="52"/>
    <x v="171"/>
    <x v="2"/>
    <x v="0"/>
  </r>
  <r>
    <x v="7"/>
    <x v="370"/>
    <x v="50"/>
    <x v="2"/>
    <x v="0"/>
  </r>
  <r>
    <x v="7"/>
    <x v="371"/>
    <x v="172"/>
    <x v="6"/>
    <x v="0"/>
  </r>
  <r>
    <x v="7"/>
    <x v="42"/>
    <x v="173"/>
    <x v="2"/>
    <x v="0"/>
  </r>
  <r>
    <x v="7"/>
    <x v="372"/>
    <x v="53"/>
    <x v="6"/>
    <x v="0"/>
  </r>
  <r>
    <x v="7"/>
    <x v="111"/>
    <x v="53"/>
    <x v="6"/>
    <x v="0"/>
  </r>
  <r>
    <x v="7"/>
    <x v="284"/>
    <x v="174"/>
    <x v="2"/>
    <x v="0"/>
  </r>
  <r>
    <x v="7"/>
    <x v="373"/>
    <x v="175"/>
    <x v="2"/>
    <x v="0"/>
  </r>
  <r>
    <x v="7"/>
    <x v="49"/>
    <x v="175"/>
    <x v="2"/>
    <x v="0"/>
  </r>
  <r>
    <x v="7"/>
    <x v="374"/>
    <x v="176"/>
    <x v="6"/>
    <x v="0"/>
  </r>
  <r>
    <x v="7"/>
    <x v="375"/>
    <x v="176"/>
    <x v="6"/>
    <x v="0"/>
  </r>
  <r>
    <x v="7"/>
    <x v="376"/>
    <x v="177"/>
    <x v="6"/>
    <x v="0"/>
  </r>
  <r>
    <x v="7"/>
    <x v="377"/>
    <x v="177"/>
    <x v="6"/>
    <x v="0"/>
  </r>
  <r>
    <x v="7"/>
    <x v="70"/>
    <x v="177"/>
    <x v="6"/>
    <x v="0"/>
  </r>
  <r>
    <x v="7"/>
    <x v="378"/>
    <x v="178"/>
    <x v="2"/>
    <x v="0"/>
  </r>
  <r>
    <x v="7"/>
    <x v="379"/>
    <x v="179"/>
    <x v="6"/>
    <x v="0"/>
  </r>
  <r>
    <x v="7"/>
    <x v="380"/>
    <x v="179"/>
    <x v="6"/>
    <x v="0"/>
  </r>
  <r>
    <x v="7"/>
    <x v="381"/>
    <x v="179"/>
    <x v="6"/>
    <x v="0"/>
  </r>
  <r>
    <x v="7"/>
    <x v="198"/>
    <x v="179"/>
    <x v="6"/>
    <x v="0"/>
  </r>
  <r>
    <x v="7"/>
    <x v="157"/>
    <x v="179"/>
    <x v="6"/>
    <x v="0"/>
  </r>
  <r>
    <x v="7"/>
    <x v="56"/>
    <x v="179"/>
    <x v="6"/>
    <x v="0"/>
  </r>
  <r>
    <x v="7"/>
    <x v="382"/>
    <x v="179"/>
    <x v="6"/>
    <x v="0"/>
  </r>
  <r>
    <x v="7"/>
    <x v="383"/>
    <x v="180"/>
    <x v="6"/>
    <x v="0"/>
  </r>
  <r>
    <x v="7"/>
    <x v="384"/>
    <x v="180"/>
    <x v="6"/>
    <x v="0"/>
  </r>
  <r>
    <x v="7"/>
    <x v="385"/>
    <x v="180"/>
    <x v="6"/>
    <x v="0"/>
  </r>
  <r>
    <x v="7"/>
    <x v="386"/>
    <x v="180"/>
    <x v="6"/>
    <x v="0"/>
  </r>
  <r>
    <x v="7"/>
    <x v="387"/>
    <x v="180"/>
    <x v="6"/>
    <x v="0"/>
  </r>
  <r>
    <x v="7"/>
    <x v="272"/>
    <x v="180"/>
    <x v="6"/>
    <x v="0"/>
  </r>
  <r>
    <x v="7"/>
    <x v="95"/>
    <x v="180"/>
    <x v="6"/>
    <x v="0"/>
  </r>
  <r>
    <x v="7"/>
    <x v="246"/>
    <x v="180"/>
    <x v="6"/>
    <x v="0"/>
  </r>
  <r>
    <x v="7"/>
    <x v="88"/>
    <x v="180"/>
    <x v="6"/>
    <x v="0"/>
  </r>
  <r>
    <x v="7"/>
    <x v="388"/>
    <x v="180"/>
    <x v="6"/>
    <x v="0"/>
  </r>
  <r>
    <x v="7"/>
    <x v="51"/>
    <x v="180"/>
    <x v="6"/>
    <x v="0"/>
  </r>
  <r>
    <x v="7"/>
    <x v="389"/>
    <x v="180"/>
    <x v="6"/>
    <x v="0"/>
  </r>
  <r>
    <x v="7"/>
    <x v="206"/>
    <x v="180"/>
    <x v="6"/>
    <x v="0"/>
  </r>
  <r>
    <x v="7"/>
    <x v="390"/>
    <x v="180"/>
    <x v="6"/>
    <x v="0"/>
  </r>
  <r>
    <x v="8"/>
    <x v="381"/>
    <x v="181"/>
    <x v="3"/>
    <x v="0"/>
  </r>
  <r>
    <x v="8"/>
    <x v="388"/>
    <x v="182"/>
    <x v="3"/>
    <x v="0"/>
  </r>
  <r>
    <x v="8"/>
    <x v="153"/>
    <x v="183"/>
    <x v="5"/>
    <x v="0"/>
  </r>
  <r>
    <x v="8"/>
    <x v="391"/>
    <x v="184"/>
    <x v="5"/>
    <x v="0"/>
  </r>
  <r>
    <x v="8"/>
    <x v="392"/>
    <x v="185"/>
    <x v="2"/>
    <x v="0"/>
  </r>
  <r>
    <x v="8"/>
    <x v="393"/>
    <x v="186"/>
    <x v="2"/>
    <x v="0"/>
  </r>
  <r>
    <x v="8"/>
    <x v="394"/>
    <x v="187"/>
    <x v="2"/>
    <x v="0"/>
  </r>
  <r>
    <x v="8"/>
    <x v="395"/>
    <x v="188"/>
    <x v="2"/>
    <x v="0"/>
  </r>
  <r>
    <x v="8"/>
    <x v="396"/>
    <x v="19"/>
    <x v="6"/>
    <x v="0"/>
  </r>
  <r>
    <x v="8"/>
    <x v="397"/>
    <x v="19"/>
    <x v="6"/>
    <x v="0"/>
  </r>
  <r>
    <x v="8"/>
    <x v="188"/>
    <x v="19"/>
    <x v="6"/>
    <x v="0"/>
  </r>
  <r>
    <x v="8"/>
    <x v="398"/>
    <x v="19"/>
    <x v="6"/>
    <x v="0"/>
  </r>
  <r>
    <x v="8"/>
    <x v="399"/>
    <x v="20"/>
    <x v="6"/>
    <x v="0"/>
  </r>
  <r>
    <x v="8"/>
    <x v="355"/>
    <x v="89"/>
    <x v="6"/>
    <x v="0"/>
  </r>
  <r>
    <x v="8"/>
    <x v="111"/>
    <x v="189"/>
    <x v="6"/>
    <x v="0"/>
  </r>
  <r>
    <x v="8"/>
    <x v="10"/>
    <x v="190"/>
    <x v="4"/>
    <x v="0"/>
  </r>
  <r>
    <x v="8"/>
    <x v="8"/>
    <x v="191"/>
    <x v="6"/>
    <x v="0"/>
  </r>
  <r>
    <x v="8"/>
    <x v="361"/>
    <x v="192"/>
    <x v="6"/>
    <x v="0"/>
  </r>
  <r>
    <x v="8"/>
    <x v="317"/>
    <x v="59"/>
    <x v="5"/>
    <x v="0"/>
  </r>
  <r>
    <x v="8"/>
    <x v="400"/>
    <x v="193"/>
    <x v="2"/>
    <x v="0"/>
  </r>
  <r>
    <x v="8"/>
    <x v="401"/>
    <x v="194"/>
    <x v="2"/>
    <x v="0"/>
  </r>
  <r>
    <x v="8"/>
    <x v="56"/>
    <x v="195"/>
    <x v="5"/>
    <x v="0"/>
  </r>
  <r>
    <x v="8"/>
    <x v="378"/>
    <x v="34"/>
    <x v="6"/>
    <x v="0"/>
  </r>
  <r>
    <x v="8"/>
    <x v="109"/>
    <x v="34"/>
    <x v="6"/>
    <x v="0"/>
  </r>
  <r>
    <x v="8"/>
    <x v="402"/>
    <x v="34"/>
    <x v="6"/>
    <x v="0"/>
  </r>
  <r>
    <x v="8"/>
    <x v="403"/>
    <x v="34"/>
    <x v="6"/>
    <x v="0"/>
  </r>
  <r>
    <x v="8"/>
    <x v="52"/>
    <x v="34"/>
    <x v="6"/>
    <x v="0"/>
  </r>
  <r>
    <x v="8"/>
    <x v="127"/>
    <x v="37"/>
    <x v="6"/>
    <x v="0"/>
  </r>
  <r>
    <x v="8"/>
    <x v="214"/>
    <x v="37"/>
    <x v="6"/>
    <x v="0"/>
  </r>
  <r>
    <x v="8"/>
    <x v="404"/>
    <x v="76"/>
    <x v="6"/>
    <x v="0"/>
  </r>
  <r>
    <x v="8"/>
    <x v="101"/>
    <x v="196"/>
    <x v="2"/>
    <x v="0"/>
  </r>
  <r>
    <x v="8"/>
    <x v="70"/>
    <x v="197"/>
    <x v="6"/>
    <x v="0"/>
  </r>
  <r>
    <x v="8"/>
    <x v="368"/>
    <x v="198"/>
    <x v="3"/>
    <x v="0"/>
  </r>
  <r>
    <x v="8"/>
    <x v="405"/>
    <x v="199"/>
    <x v="5"/>
    <x v="0"/>
  </r>
  <r>
    <x v="8"/>
    <x v="406"/>
    <x v="199"/>
    <x v="5"/>
    <x v="0"/>
  </r>
  <r>
    <x v="8"/>
    <x v="407"/>
    <x v="44"/>
    <x v="2"/>
    <x v="0"/>
  </r>
  <r>
    <x v="8"/>
    <x v="408"/>
    <x v="44"/>
    <x v="2"/>
    <x v="0"/>
  </r>
  <r>
    <x v="8"/>
    <x v="409"/>
    <x v="48"/>
    <x v="6"/>
    <x v="0"/>
  </r>
  <r>
    <x v="8"/>
    <x v="410"/>
    <x v="49"/>
    <x v="2"/>
    <x v="0"/>
  </r>
  <r>
    <x v="8"/>
    <x v="200"/>
    <x v="50"/>
    <x v="6"/>
    <x v="0"/>
  </r>
  <r>
    <x v="8"/>
    <x v="411"/>
    <x v="50"/>
    <x v="2"/>
    <x v="0"/>
  </r>
  <r>
    <x v="8"/>
    <x v="364"/>
    <x v="51"/>
    <x v="2"/>
    <x v="0"/>
  </r>
  <r>
    <x v="8"/>
    <x v="235"/>
    <x v="51"/>
    <x v="2"/>
    <x v="0"/>
  </r>
  <r>
    <x v="8"/>
    <x v="412"/>
    <x v="52"/>
    <x v="6"/>
    <x v="0"/>
  </r>
  <r>
    <x v="8"/>
    <x v="413"/>
    <x v="52"/>
    <x v="6"/>
    <x v="0"/>
  </r>
  <r>
    <x v="8"/>
    <x v="414"/>
    <x v="200"/>
    <x v="5"/>
    <x v="0"/>
  </r>
  <r>
    <x v="8"/>
    <x v="415"/>
    <x v="53"/>
    <x v="6"/>
    <x v="0"/>
  </r>
  <r>
    <x v="8"/>
    <x v="68"/>
    <x v="53"/>
    <x v="6"/>
    <x v="0"/>
  </r>
  <r>
    <x v="8"/>
    <x v="151"/>
    <x v="53"/>
    <x v="6"/>
    <x v="0"/>
  </r>
  <r>
    <x v="8"/>
    <x v="242"/>
    <x v="53"/>
    <x v="6"/>
    <x v="0"/>
  </r>
  <r>
    <x v="8"/>
    <x v="175"/>
    <x v="53"/>
    <x v="6"/>
    <x v="0"/>
  </r>
  <r>
    <x v="8"/>
    <x v="295"/>
    <x v="53"/>
    <x v="6"/>
    <x v="0"/>
  </r>
  <r>
    <x v="8"/>
    <x v="416"/>
    <x v="175"/>
    <x v="2"/>
    <x v="0"/>
  </r>
  <r>
    <x v="8"/>
    <x v="417"/>
    <x v="175"/>
    <x v="2"/>
    <x v="0"/>
  </r>
  <r>
    <x v="8"/>
    <x v="418"/>
    <x v="175"/>
    <x v="2"/>
    <x v="0"/>
  </r>
  <r>
    <x v="8"/>
    <x v="419"/>
    <x v="175"/>
    <x v="2"/>
    <x v="0"/>
  </r>
  <r>
    <x v="8"/>
    <x v="420"/>
    <x v="176"/>
    <x v="6"/>
    <x v="0"/>
  </r>
  <r>
    <x v="8"/>
    <x v="421"/>
    <x v="176"/>
    <x v="6"/>
    <x v="0"/>
  </r>
  <r>
    <x v="8"/>
    <x v="422"/>
    <x v="176"/>
    <x v="6"/>
    <x v="0"/>
  </r>
  <r>
    <x v="8"/>
    <x v="423"/>
    <x v="176"/>
    <x v="6"/>
    <x v="0"/>
  </r>
  <r>
    <x v="8"/>
    <x v="424"/>
    <x v="176"/>
    <x v="6"/>
    <x v="0"/>
  </r>
  <r>
    <x v="8"/>
    <x v="425"/>
    <x v="176"/>
    <x v="6"/>
    <x v="0"/>
  </r>
  <r>
    <x v="8"/>
    <x v="426"/>
    <x v="176"/>
    <x v="6"/>
    <x v="0"/>
  </r>
  <r>
    <x v="8"/>
    <x v="427"/>
    <x v="176"/>
    <x v="6"/>
    <x v="0"/>
  </r>
  <r>
    <x v="8"/>
    <x v="210"/>
    <x v="180"/>
    <x v="6"/>
    <x v="0"/>
  </r>
  <r>
    <x v="8"/>
    <x v="272"/>
    <x v="180"/>
    <x v="6"/>
    <x v="0"/>
  </r>
  <r>
    <x v="8"/>
    <x v="428"/>
    <x v="180"/>
    <x v="6"/>
    <x v="0"/>
  </r>
  <r>
    <x v="8"/>
    <x v="429"/>
    <x v="180"/>
    <x v="6"/>
    <x v="0"/>
  </r>
  <r>
    <x v="8"/>
    <x v="430"/>
    <x v="180"/>
    <x v="6"/>
    <x v="0"/>
  </r>
  <r>
    <x v="8"/>
    <x v="431"/>
    <x v="180"/>
    <x v="6"/>
    <x v="0"/>
  </r>
  <r>
    <x v="8"/>
    <x v="432"/>
    <x v="180"/>
    <x v="6"/>
    <x v="0"/>
  </r>
  <r>
    <x v="8"/>
    <x v="433"/>
    <x v="180"/>
    <x v="6"/>
    <x v="0"/>
  </r>
  <r>
    <x v="8"/>
    <x v="284"/>
    <x v="180"/>
    <x v="6"/>
    <x v="0"/>
  </r>
  <r>
    <x v="8"/>
    <x v="380"/>
    <x v="180"/>
    <x v="6"/>
    <x v="0"/>
  </r>
  <r>
    <x v="8"/>
    <x v="434"/>
    <x v="180"/>
    <x v="6"/>
    <x v="0"/>
  </r>
  <r>
    <x v="8"/>
    <x v="435"/>
    <x v="180"/>
    <x v="6"/>
    <x v="0"/>
  </r>
  <r>
    <x v="8"/>
    <x v="436"/>
    <x v="180"/>
    <x v="6"/>
    <x v="0"/>
  </r>
  <r>
    <x v="8"/>
    <x v="354"/>
    <x v="180"/>
    <x v="6"/>
    <x v="0"/>
  </r>
  <r>
    <x v="8"/>
    <x v="437"/>
    <x v="180"/>
    <x v="6"/>
    <x v="0"/>
  </r>
  <r>
    <x v="8"/>
    <x v="438"/>
    <x v="180"/>
    <x v="6"/>
    <x v="0"/>
  </r>
  <r>
    <x v="8"/>
    <x v="160"/>
    <x v="180"/>
    <x v="6"/>
    <x v="0"/>
  </r>
  <r>
    <x v="8"/>
    <x v="439"/>
    <x v="180"/>
    <x v="6"/>
    <x v="0"/>
  </r>
  <r>
    <x v="8"/>
    <x v="440"/>
    <x v="180"/>
    <x v="6"/>
    <x v="0"/>
  </r>
  <r>
    <x v="8"/>
    <x v="441"/>
    <x v="180"/>
    <x v="6"/>
    <x v="0"/>
  </r>
  <r>
    <x v="8"/>
    <x v="442"/>
    <x v="180"/>
    <x v="6"/>
    <x v="0"/>
  </r>
  <r>
    <x v="8"/>
    <x v="443"/>
    <x v="180"/>
    <x v="6"/>
    <x v="0"/>
  </r>
  <r>
    <x v="8"/>
    <x v="444"/>
    <x v="180"/>
    <x v="6"/>
    <x v="0"/>
  </r>
  <r>
    <x v="8"/>
    <x v="445"/>
    <x v="180"/>
    <x v="6"/>
    <x v="0"/>
  </r>
  <r>
    <x v="8"/>
    <x v="216"/>
    <x v="180"/>
    <x v="6"/>
    <x v="0"/>
  </r>
  <r>
    <x v="9"/>
    <x v="446"/>
    <x v="201"/>
    <x v="10"/>
    <x v="0"/>
  </r>
  <r>
    <x v="9"/>
    <x v="447"/>
    <x v="202"/>
    <x v="0"/>
    <x v="0"/>
  </r>
  <r>
    <x v="9"/>
    <x v="0"/>
    <x v="203"/>
    <x v="3"/>
    <x v="0"/>
  </r>
  <r>
    <x v="9"/>
    <x v="26"/>
    <x v="204"/>
    <x v="1"/>
    <x v="0"/>
  </r>
  <r>
    <x v="9"/>
    <x v="448"/>
    <x v="205"/>
    <x v="3"/>
    <x v="0"/>
  </r>
  <r>
    <x v="9"/>
    <x v="55"/>
    <x v="206"/>
    <x v="3"/>
    <x v="0"/>
  </r>
  <r>
    <x v="9"/>
    <x v="214"/>
    <x v="207"/>
    <x v="5"/>
    <x v="0"/>
  </r>
  <r>
    <x v="9"/>
    <x v="449"/>
    <x v="208"/>
    <x v="5"/>
    <x v="0"/>
  </r>
  <r>
    <x v="9"/>
    <x v="117"/>
    <x v="209"/>
    <x v="3"/>
    <x v="0"/>
  </r>
  <r>
    <x v="9"/>
    <x v="450"/>
    <x v="210"/>
    <x v="5"/>
    <x v="0"/>
  </r>
  <r>
    <x v="9"/>
    <x v="451"/>
    <x v="211"/>
    <x v="3"/>
    <x v="0"/>
  </r>
  <r>
    <x v="9"/>
    <x v="452"/>
    <x v="17"/>
    <x v="5"/>
    <x v="0"/>
  </r>
  <r>
    <x v="9"/>
    <x v="453"/>
    <x v="17"/>
    <x v="2"/>
    <x v="0"/>
  </r>
  <r>
    <x v="9"/>
    <x v="454"/>
    <x v="17"/>
    <x v="2"/>
    <x v="0"/>
  </r>
  <r>
    <x v="9"/>
    <x v="70"/>
    <x v="212"/>
    <x v="2"/>
    <x v="0"/>
  </r>
  <r>
    <x v="9"/>
    <x v="157"/>
    <x v="213"/>
    <x v="2"/>
    <x v="0"/>
  </r>
  <r>
    <x v="9"/>
    <x v="455"/>
    <x v="214"/>
    <x v="5"/>
    <x v="0"/>
  </r>
  <r>
    <x v="9"/>
    <x v="456"/>
    <x v="214"/>
    <x v="5"/>
    <x v="0"/>
  </r>
  <r>
    <x v="9"/>
    <x v="457"/>
    <x v="214"/>
    <x v="5"/>
    <x v="0"/>
  </r>
  <r>
    <x v="9"/>
    <x v="458"/>
    <x v="215"/>
    <x v="2"/>
    <x v="0"/>
  </r>
  <r>
    <x v="9"/>
    <x v="152"/>
    <x v="216"/>
    <x v="1"/>
    <x v="0"/>
  </r>
  <r>
    <x v="9"/>
    <x v="459"/>
    <x v="19"/>
    <x v="6"/>
    <x v="0"/>
  </r>
  <r>
    <x v="9"/>
    <x v="460"/>
    <x v="19"/>
    <x v="6"/>
    <x v="0"/>
  </r>
  <r>
    <x v="9"/>
    <x v="435"/>
    <x v="19"/>
    <x v="6"/>
    <x v="0"/>
  </r>
  <r>
    <x v="9"/>
    <x v="461"/>
    <x v="21"/>
    <x v="6"/>
    <x v="0"/>
  </r>
  <r>
    <x v="9"/>
    <x v="462"/>
    <x v="92"/>
    <x v="6"/>
    <x v="0"/>
  </r>
  <r>
    <x v="9"/>
    <x v="463"/>
    <x v="217"/>
    <x v="2"/>
    <x v="0"/>
  </r>
  <r>
    <x v="9"/>
    <x v="198"/>
    <x v="218"/>
    <x v="3"/>
    <x v="0"/>
  </r>
  <r>
    <x v="9"/>
    <x v="9"/>
    <x v="219"/>
    <x v="3"/>
    <x v="0"/>
  </r>
  <r>
    <x v="9"/>
    <x v="243"/>
    <x v="192"/>
    <x v="6"/>
    <x v="0"/>
  </r>
  <r>
    <x v="9"/>
    <x v="86"/>
    <x v="220"/>
    <x v="2"/>
    <x v="0"/>
  </r>
  <r>
    <x v="9"/>
    <x v="464"/>
    <x v="221"/>
    <x v="3"/>
    <x v="0"/>
  </r>
  <r>
    <x v="9"/>
    <x v="465"/>
    <x v="222"/>
    <x v="2"/>
    <x v="0"/>
  </r>
  <r>
    <x v="9"/>
    <x v="466"/>
    <x v="76"/>
    <x v="6"/>
    <x v="0"/>
  </r>
  <r>
    <x v="9"/>
    <x v="3"/>
    <x v="223"/>
    <x v="2"/>
    <x v="0"/>
  </r>
  <r>
    <x v="9"/>
    <x v="133"/>
    <x v="94"/>
    <x v="6"/>
    <x v="0"/>
  </r>
  <r>
    <x v="9"/>
    <x v="292"/>
    <x v="224"/>
    <x v="4"/>
    <x v="0"/>
  </r>
  <r>
    <x v="9"/>
    <x v="87"/>
    <x v="41"/>
    <x v="2"/>
    <x v="0"/>
  </r>
  <r>
    <x v="9"/>
    <x v="350"/>
    <x v="198"/>
    <x v="5"/>
    <x v="0"/>
  </r>
  <r>
    <x v="9"/>
    <x v="467"/>
    <x v="225"/>
    <x v="3"/>
    <x v="0"/>
  </r>
  <r>
    <x v="9"/>
    <x v="361"/>
    <x v="199"/>
    <x v="5"/>
    <x v="0"/>
  </r>
  <r>
    <x v="9"/>
    <x v="221"/>
    <x v="226"/>
    <x v="5"/>
    <x v="0"/>
  </r>
  <r>
    <x v="9"/>
    <x v="249"/>
    <x v="226"/>
    <x v="5"/>
    <x v="0"/>
  </r>
  <r>
    <x v="9"/>
    <x v="68"/>
    <x v="227"/>
    <x v="5"/>
    <x v="0"/>
  </r>
  <r>
    <x v="9"/>
    <x v="468"/>
    <x v="228"/>
    <x v="2"/>
    <x v="0"/>
  </r>
  <r>
    <x v="9"/>
    <x v="469"/>
    <x v="229"/>
    <x v="2"/>
    <x v="0"/>
  </r>
  <r>
    <x v="9"/>
    <x v="470"/>
    <x v="229"/>
    <x v="2"/>
    <x v="0"/>
  </r>
  <r>
    <x v="9"/>
    <x v="471"/>
    <x v="229"/>
    <x v="2"/>
    <x v="0"/>
  </r>
  <r>
    <x v="9"/>
    <x v="472"/>
    <x v="229"/>
    <x v="2"/>
    <x v="0"/>
  </r>
  <r>
    <x v="9"/>
    <x v="193"/>
    <x v="229"/>
    <x v="2"/>
    <x v="0"/>
  </r>
  <r>
    <x v="9"/>
    <x v="473"/>
    <x v="229"/>
    <x v="2"/>
    <x v="0"/>
  </r>
  <r>
    <x v="9"/>
    <x v="474"/>
    <x v="230"/>
    <x v="5"/>
    <x v="0"/>
  </r>
  <r>
    <x v="9"/>
    <x v="320"/>
    <x v="48"/>
    <x v="6"/>
    <x v="0"/>
  </r>
  <r>
    <x v="9"/>
    <x v="123"/>
    <x v="48"/>
    <x v="6"/>
    <x v="0"/>
  </r>
  <r>
    <x v="9"/>
    <x v="475"/>
    <x v="48"/>
    <x v="6"/>
    <x v="0"/>
  </r>
  <r>
    <x v="9"/>
    <x v="111"/>
    <x v="48"/>
    <x v="2"/>
    <x v="0"/>
  </r>
  <r>
    <x v="9"/>
    <x v="158"/>
    <x v="48"/>
    <x v="6"/>
    <x v="0"/>
  </r>
  <r>
    <x v="9"/>
    <x v="476"/>
    <x v="48"/>
    <x v="2"/>
    <x v="0"/>
  </r>
  <r>
    <x v="9"/>
    <x v="42"/>
    <x v="48"/>
    <x v="2"/>
    <x v="0"/>
  </r>
  <r>
    <x v="9"/>
    <x v="477"/>
    <x v="49"/>
    <x v="2"/>
    <x v="0"/>
  </r>
  <r>
    <x v="9"/>
    <x v="478"/>
    <x v="50"/>
    <x v="6"/>
    <x v="0"/>
  </r>
  <r>
    <x v="9"/>
    <x v="226"/>
    <x v="50"/>
    <x v="2"/>
    <x v="0"/>
  </r>
  <r>
    <x v="9"/>
    <x v="88"/>
    <x v="50"/>
    <x v="2"/>
    <x v="0"/>
  </r>
  <r>
    <x v="9"/>
    <x v="151"/>
    <x v="51"/>
    <x v="6"/>
    <x v="0"/>
  </r>
  <r>
    <x v="9"/>
    <x v="403"/>
    <x v="52"/>
    <x v="6"/>
    <x v="0"/>
  </r>
  <r>
    <x v="9"/>
    <x v="479"/>
    <x v="231"/>
    <x v="2"/>
    <x v="0"/>
  </r>
  <r>
    <x v="9"/>
    <x v="480"/>
    <x v="231"/>
    <x v="2"/>
    <x v="0"/>
  </r>
  <r>
    <x v="9"/>
    <x v="481"/>
    <x v="231"/>
    <x v="2"/>
    <x v="0"/>
  </r>
  <r>
    <x v="9"/>
    <x v="363"/>
    <x v="231"/>
    <x v="2"/>
    <x v="0"/>
  </r>
  <r>
    <x v="9"/>
    <x v="396"/>
    <x v="53"/>
    <x v="6"/>
    <x v="0"/>
  </r>
  <r>
    <x v="9"/>
    <x v="482"/>
    <x v="53"/>
    <x v="6"/>
    <x v="0"/>
  </r>
  <r>
    <x v="9"/>
    <x v="483"/>
    <x v="53"/>
    <x v="6"/>
    <x v="0"/>
  </r>
  <r>
    <x v="9"/>
    <x v="484"/>
    <x v="53"/>
    <x v="6"/>
    <x v="0"/>
  </r>
  <r>
    <x v="9"/>
    <x v="485"/>
    <x v="53"/>
    <x v="6"/>
    <x v="0"/>
  </r>
  <r>
    <x v="9"/>
    <x v="486"/>
    <x v="53"/>
    <x v="6"/>
    <x v="0"/>
  </r>
  <r>
    <x v="9"/>
    <x v="255"/>
    <x v="53"/>
    <x v="6"/>
    <x v="0"/>
  </r>
  <r>
    <x v="9"/>
    <x v="487"/>
    <x v="53"/>
    <x v="6"/>
    <x v="0"/>
  </r>
  <r>
    <x v="9"/>
    <x v="427"/>
    <x v="53"/>
    <x v="6"/>
    <x v="0"/>
  </r>
  <r>
    <x v="9"/>
    <x v="488"/>
    <x v="53"/>
    <x v="6"/>
    <x v="0"/>
  </r>
  <r>
    <x v="9"/>
    <x v="489"/>
    <x v="53"/>
    <x v="6"/>
    <x v="0"/>
  </r>
  <r>
    <x v="9"/>
    <x v="163"/>
    <x v="53"/>
    <x v="6"/>
    <x v="0"/>
  </r>
  <r>
    <x v="9"/>
    <x v="490"/>
    <x v="53"/>
    <x v="6"/>
    <x v="0"/>
  </r>
  <r>
    <x v="9"/>
    <x v="491"/>
    <x v="53"/>
    <x v="6"/>
    <x v="0"/>
  </r>
  <r>
    <x v="9"/>
    <x v="492"/>
    <x v="53"/>
    <x v="6"/>
    <x v="0"/>
  </r>
  <r>
    <x v="9"/>
    <x v="353"/>
    <x v="53"/>
    <x v="6"/>
    <x v="0"/>
  </r>
  <r>
    <x v="9"/>
    <x v="493"/>
    <x v="53"/>
    <x v="6"/>
    <x v="0"/>
  </r>
  <r>
    <x v="9"/>
    <x v="494"/>
    <x v="53"/>
    <x v="6"/>
    <x v="0"/>
  </r>
  <r>
    <x v="9"/>
    <x v="495"/>
    <x v="175"/>
    <x v="2"/>
    <x v="0"/>
  </r>
  <r>
    <x v="9"/>
    <x v="496"/>
    <x v="175"/>
    <x v="2"/>
    <x v="0"/>
  </r>
  <r>
    <x v="9"/>
    <x v="497"/>
    <x v="175"/>
    <x v="2"/>
    <x v="0"/>
  </r>
  <r>
    <x v="9"/>
    <x v="498"/>
    <x v="175"/>
    <x v="2"/>
    <x v="0"/>
  </r>
  <r>
    <x v="9"/>
    <x v="499"/>
    <x v="175"/>
    <x v="2"/>
    <x v="0"/>
  </r>
  <r>
    <x v="9"/>
    <x v="341"/>
    <x v="175"/>
    <x v="2"/>
    <x v="0"/>
  </r>
  <r>
    <x v="9"/>
    <x v="500"/>
    <x v="175"/>
    <x v="2"/>
    <x v="0"/>
  </r>
  <r>
    <x v="9"/>
    <x v="501"/>
    <x v="176"/>
    <x v="6"/>
    <x v="0"/>
  </r>
  <r>
    <x v="9"/>
    <x v="502"/>
    <x v="176"/>
    <x v="6"/>
    <x v="0"/>
  </r>
  <r>
    <x v="9"/>
    <x v="43"/>
    <x v="176"/>
    <x v="6"/>
    <x v="0"/>
  </r>
  <r>
    <x v="9"/>
    <x v="503"/>
    <x v="176"/>
    <x v="6"/>
    <x v="0"/>
  </r>
  <r>
    <x v="9"/>
    <x v="504"/>
    <x v="176"/>
    <x v="6"/>
    <x v="0"/>
  </r>
  <r>
    <x v="9"/>
    <x v="505"/>
    <x v="176"/>
    <x v="6"/>
    <x v="0"/>
  </r>
  <r>
    <x v="9"/>
    <x v="506"/>
    <x v="176"/>
    <x v="6"/>
    <x v="0"/>
  </r>
  <r>
    <x v="9"/>
    <x v="507"/>
    <x v="176"/>
    <x v="6"/>
    <x v="0"/>
  </r>
  <r>
    <x v="9"/>
    <x v="402"/>
    <x v="176"/>
    <x v="6"/>
    <x v="0"/>
  </r>
  <r>
    <x v="9"/>
    <x v="508"/>
    <x v="176"/>
    <x v="6"/>
    <x v="0"/>
  </r>
  <r>
    <x v="9"/>
    <x v="509"/>
    <x v="180"/>
    <x v="6"/>
    <x v="0"/>
  </r>
  <r>
    <x v="9"/>
    <x v="510"/>
    <x v="180"/>
    <x v="6"/>
    <x v="0"/>
  </r>
  <r>
    <x v="9"/>
    <x v="511"/>
    <x v="180"/>
    <x v="6"/>
    <x v="0"/>
  </r>
  <r>
    <x v="9"/>
    <x v="397"/>
    <x v="180"/>
    <x v="6"/>
    <x v="0"/>
  </r>
  <r>
    <x v="9"/>
    <x v="512"/>
    <x v="180"/>
    <x v="6"/>
    <x v="0"/>
  </r>
  <r>
    <x v="9"/>
    <x v="513"/>
    <x v="180"/>
    <x v="6"/>
    <x v="0"/>
  </r>
  <r>
    <x v="9"/>
    <x v="514"/>
    <x v="180"/>
    <x v="6"/>
    <x v="0"/>
  </r>
  <r>
    <x v="9"/>
    <x v="515"/>
    <x v="180"/>
    <x v="6"/>
    <x v="0"/>
  </r>
  <r>
    <x v="9"/>
    <x v="516"/>
    <x v="180"/>
    <x v="6"/>
    <x v="0"/>
  </r>
  <r>
    <x v="9"/>
    <x v="517"/>
    <x v="180"/>
    <x v="6"/>
    <x v="0"/>
  </r>
  <r>
    <x v="9"/>
    <x v="518"/>
    <x v="180"/>
    <x v="6"/>
    <x v="0"/>
  </r>
  <r>
    <x v="9"/>
    <x v="519"/>
    <x v="180"/>
    <x v="6"/>
    <x v="0"/>
  </r>
  <r>
    <x v="9"/>
    <x v="520"/>
    <x v="180"/>
    <x v="6"/>
    <x v="0"/>
  </r>
  <r>
    <x v="9"/>
    <x v="521"/>
    <x v="180"/>
    <x v="6"/>
    <x v="0"/>
  </r>
  <r>
    <x v="9"/>
    <x v="95"/>
    <x v="180"/>
    <x v="6"/>
    <x v="0"/>
  </r>
  <r>
    <x v="9"/>
    <x v="522"/>
    <x v="180"/>
    <x v="6"/>
    <x v="0"/>
  </r>
  <r>
    <x v="9"/>
    <x v="523"/>
    <x v="180"/>
    <x v="6"/>
    <x v="0"/>
  </r>
  <r>
    <x v="9"/>
    <x v="524"/>
    <x v="180"/>
    <x v="6"/>
    <x v="0"/>
  </r>
  <r>
    <x v="9"/>
    <x v="525"/>
    <x v="180"/>
    <x v="6"/>
    <x v="0"/>
  </r>
  <r>
    <x v="9"/>
    <x v="526"/>
    <x v="180"/>
    <x v="6"/>
    <x v="0"/>
  </r>
  <r>
    <x v="9"/>
    <x v="527"/>
    <x v="180"/>
    <x v="6"/>
    <x v="0"/>
  </r>
  <r>
    <x v="9"/>
    <x v="528"/>
    <x v="180"/>
    <x v="6"/>
    <x v="0"/>
  </r>
  <r>
    <x v="9"/>
    <x v="246"/>
    <x v="180"/>
    <x v="6"/>
    <x v="0"/>
  </r>
  <r>
    <x v="9"/>
    <x v="529"/>
    <x v="180"/>
    <x v="6"/>
    <x v="0"/>
  </r>
  <r>
    <x v="9"/>
    <x v="530"/>
    <x v="180"/>
    <x v="6"/>
    <x v="0"/>
  </r>
  <r>
    <x v="9"/>
    <x v="531"/>
    <x v="180"/>
    <x v="6"/>
    <x v="0"/>
  </r>
  <r>
    <x v="9"/>
    <x v="532"/>
    <x v="180"/>
    <x v="6"/>
    <x v="0"/>
  </r>
  <r>
    <x v="9"/>
    <x v="533"/>
    <x v="180"/>
    <x v="6"/>
    <x v="0"/>
  </r>
  <r>
    <x v="9"/>
    <x v="534"/>
    <x v="180"/>
    <x v="6"/>
    <x v="0"/>
  </r>
  <r>
    <x v="9"/>
    <x v="404"/>
    <x v="180"/>
    <x v="6"/>
    <x v="0"/>
  </r>
  <r>
    <x v="9"/>
    <x v="200"/>
    <x v="180"/>
    <x v="6"/>
    <x v="0"/>
  </r>
  <r>
    <x v="9"/>
    <x v="535"/>
    <x v="180"/>
    <x v="6"/>
    <x v="0"/>
  </r>
  <r>
    <x v="9"/>
    <x v="536"/>
    <x v="180"/>
    <x v="6"/>
    <x v="0"/>
  </r>
  <r>
    <x v="9"/>
    <x v="537"/>
    <x v="180"/>
    <x v="6"/>
    <x v="0"/>
  </r>
  <r>
    <x v="9"/>
    <x v="538"/>
    <x v="180"/>
    <x v="6"/>
    <x v="0"/>
  </r>
  <r>
    <x v="9"/>
    <x v="71"/>
    <x v="180"/>
    <x v="6"/>
    <x v="0"/>
  </r>
  <r>
    <x v="9"/>
    <x v="101"/>
    <x v="180"/>
    <x v="6"/>
    <x v="0"/>
  </r>
  <r>
    <x v="9"/>
    <x v="358"/>
    <x v="180"/>
    <x v="6"/>
    <x v="0"/>
  </r>
  <r>
    <x v="9"/>
    <x v="539"/>
    <x v="180"/>
    <x v="6"/>
    <x v="0"/>
  </r>
  <r>
    <x v="9"/>
    <x v="375"/>
    <x v="180"/>
    <x v="6"/>
    <x v="0"/>
  </r>
  <r>
    <x v="9"/>
    <x v="40"/>
    <x v="180"/>
    <x v="6"/>
    <x v="0"/>
  </r>
  <r>
    <x v="9"/>
    <x v="346"/>
    <x v="180"/>
    <x v="6"/>
    <x v="0"/>
  </r>
  <r>
    <x v="9"/>
    <x v="540"/>
    <x v="180"/>
    <x v="6"/>
    <x v="0"/>
  </r>
  <r>
    <x v="9"/>
    <x v="541"/>
    <x v="180"/>
    <x v="6"/>
    <x v="0"/>
  </r>
  <r>
    <x v="9"/>
    <x v="32"/>
    <x v="180"/>
    <x v="6"/>
    <x v="0"/>
  </r>
  <r>
    <x v="9"/>
    <x v="209"/>
    <x v="180"/>
    <x v="6"/>
    <x v="0"/>
  </r>
  <r>
    <x v="9"/>
    <x v="542"/>
    <x v="180"/>
    <x v="6"/>
    <x v="0"/>
  </r>
  <r>
    <x v="9"/>
    <x v="167"/>
    <x v="180"/>
    <x v="6"/>
    <x v="0"/>
  </r>
  <r>
    <x v="9"/>
    <x v="100"/>
    <x v="180"/>
    <x v="6"/>
    <x v="0"/>
  </r>
  <r>
    <x v="9"/>
    <x v="543"/>
    <x v="180"/>
    <x v="6"/>
    <x v="0"/>
  </r>
  <r>
    <x v="9"/>
    <x v="391"/>
    <x v="180"/>
    <x v="6"/>
    <x v="0"/>
  </r>
  <r>
    <x v="9"/>
    <x v="544"/>
    <x v="180"/>
    <x v="6"/>
    <x v="0"/>
  </r>
  <r>
    <x v="9"/>
    <x v="545"/>
    <x v="180"/>
    <x v="6"/>
    <x v="0"/>
  </r>
  <r>
    <x v="9"/>
    <x v="295"/>
    <x v="180"/>
    <x v="6"/>
    <x v="0"/>
  </r>
  <r>
    <x v="9"/>
    <x v="546"/>
    <x v="180"/>
    <x v="6"/>
    <x v="0"/>
  </r>
  <r>
    <x v="9"/>
    <x v="202"/>
    <x v="180"/>
    <x v="6"/>
    <x v="0"/>
  </r>
  <r>
    <x v="10"/>
    <x v="404"/>
    <x v="232"/>
    <x v="4"/>
    <x v="0"/>
  </r>
  <r>
    <x v="10"/>
    <x v="547"/>
    <x v="233"/>
    <x v="3"/>
    <x v="0"/>
  </r>
  <r>
    <x v="10"/>
    <x v="548"/>
    <x v="234"/>
    <x v="5"/>
    <x v="0"/>
  </r>
  <r>
    <x v="10"/>
    <x v="549"/>
    <x v="235"/>
    <x v="5"/>
    <x v="0"/>
  </r>
  <r>
    <x v="10"/>
    <x v="75"/>
    <x v="236"/>
    <x v="2"/>
    <x v="0"/>
  </r>
  <r>
    <x v="10"/>
    <x v="152"/>
    <x v="237"/>
    <x v="6"/>
    <x v="0"/>
  </r>
  <r>
    <x v="10"/>
    <x v="436"/>
    <x v="238"/>
    <x v="2"/>
    <x v="0"/>
  </r>
  <r>
    <x v="10"/>
    <x v="3"/>
    <x v="128"/>
    <x v="5"/>
    <x v="0"/>
  </r>
  <r>
    <x v="10"/>
    <x v="550"/>
    <x v="239"/>
    <x v="2"/>
    <x v="0"/>
  </r>
  <r>
    <x v="10"/>
    <x v="551"/>
    <x v="188"/>
    <x v="2"/>
    <x v="0"/>
  </r>
  <r>
    <x v="10"/>
    <x v="86"/>
    <x v="87"/>
    <x v="6"/>
    <x v="0"/>
  </r>
  <r>
    <x v="10"/>
    <x v="552"/>
    <x v="240"/>
    <x v="6"/>
    <x v="0"/>
  </r>
  <r>
    <x v="10"/>
    <x v="101"/>
    <x v="241"/>
    <x v="6"/>
    <x v="0"/>
  </r>
  <r>
    <x v="10"/>
    <x v="403"/>
    <x v="242"/>
    <x v="6"/>
    <x v="0"/>
  </r>
  <r>
    <x v="10"/>
    <x v="553"/>
    <x v="243"/>
    <x v="4"/>
    <x v="0"/>
  </r>
  <r>
    <x v="10"/>
    <x v="366"/>
    <x v="34"/>
    <x v="6"/>
    <x v="0"/>
  </r>
  <r>
    <x v="10"/>
    <x v="335"/>
    <x v="37"/>
    <x v="6"/>
    <x v="0"/>
  </r>
  <r>
    <x v="10"/>
    <x v="207"/>
    <x v="37"/>
    <x v="6"/>
    <x v="0"/>
  </r>
  <r>
    <x v="10"/>
    <x v="554"/>
    <x v="244"/>
    <x v="6"/>
    <x v="0"/>
  </r>
  <r>
    <x v="10"/>
    <x v="341"/>
    <x v="244"/>
    <x v="6"/>
    <x v="0"/>
  </r>
  <r>
    <x v="10"/>
    <x v="243"/>
    <x v="245"/>
    <x v="6"/>
    <x v="0"/>
  </r>
  <r>
    <x v="10"/>
    <x v="555"/>
    <x v="246"/>
    <x v="5"/>
    <x v="0"/>
  </r>
  <r>
    <x v="10"/>
    <x v="303"/>
    <x v="246"/>
    <x v="2"/>
    <x v="0"/>
  </r>
  <r>
    <x v="10"/>
    <x v="556"/>
    <x v="227"/>
    <x v="2"/>
    <x v="0"/>
  </r>
  <r>
    <x v="10"/>
    <x v="557"/>
    <x v="228"/>
    <x v="2"/>
    <x v="0"/>
  </r>
  <r>
    <x v="10"/>
    <x v="238"/>
    <x v="48"/>
    <x v="6"/>
    <x v="0"/>
  </r>
  <r>
    <x v="10"/>
    <x v="558"/>
    <x v="51"/>
    <x v="2"/>
    <x v="0"/>
  </r>
  <r>
    <x v="10"/>
    <x v="490"/>
    <x v="52"/>
    <x v="6"/>
    <x v="0"/>
  </r>
  <r>
    <x v="10"/>
    <x v="559"/>
    <x v="247"/>
    <x v="2"/>
    <x v="0"/>
  </r>
  <r>
    <x v="10"/>
    <x v="372"/>
    <x v="231"/>
    <x v="2"/>
    <x v="0"/>
  </r>
  <r>
    <x v="10"/>
    <x v="230"/>
    <x v="53"/>
    <x v="6"/>
    <x v="0"/>
  </r>
  <r>
    <x v="10"/>
    <x v="120"/>
    <x v="53"/>
    <x v="6"/>
    <x v="0"/>
  </r>
  <r>
    <x v="10"/>
    <x v="560"/>
    <x v="248"/>
    <x v="2"/>
    <x v="0"/>
  </r>
  <r>
    <x v="10"/>
    <x v="118"/>
    <x v="175"/>
    <x v="2"/>
    <x v="0"/>
  </r>
  <r>
    <x v="10"/>
    <x v="561"/>
    <x v="175"/>
    <x v="2"/>
    <x v="0"/>
  </r>
  <r>
    <x v="10"/>
    <x v="476"/>
    <x v="175"/>
    <x v="2"/>
    <x v="0"/>
  </r>
  <r>
    <x v="10"/>
    <x v="562"/>
    <x v="176"/>
    <x v="6"/>
    <x v="0"/>
  </r>
  <r>
    <x v="10"/>
    <x v="563"/>
    <x v="176"/>
    <x v="6"/>
    <x v="0"/>
  </r>
  <r>
    <x v="10"/>
    <x v="564"/>
    <x v="176"/>
    <x v="6"/>
    <x v="0"/>
  </r>
  <r>
    <x v="10"/>
    <x v="27"/>
    <x v="176"/>
    <x v="6"/>
    <x v="0"/>
  </r>
  <r>
    <x v="10"/>
    <x v="454"/>
    <x v="176"/>
    <x v="6"/>
    <x v="0"/>
  </r>
  <r>
    <x v="10"/>
    <x v="195"/>
    <x v="176"/>
    <x v="6"/>
    <x v="0"/>
  </r>
  <r>
    <x v="10"/>
    <x v="565"/>
    <x v="176"/>
    <x v="6"/>
    <x v="0"/>
  </r>
  <r>
    <x v="10"/>
    <x v="566"/>
    <x v="180"/>
    <x v="6"/>
    <x v="0"/>
  </r>
  <r>
    <x v="10"/>
    <x v="168"/>
    <x v="180"/>
    <x v="6"/>
    <x v="0"/>
  </r>
  <r>
    <x v="10"/>
    <x v="148"/>
    <x v="180"/>
    <x v="6"/>
    <x v="0"/>
  </r>
  <r>
    <x v="10"/>
    <x v="567"/>
    <x v="180"/>
    <x v="6"/>
    <x v="0"/>
  </r>
  <r>
    <x v="10"/>
    <x v="568"/>
    <x v="180"/>
    <x v="6"/>
    <x v="0"/>
  </r>
  <r>
    <x v="10"/>
    <x v="569"/>
    <x v="180"/>
    <x v="6"/>
    <x v="0"/>
  </r>
  <r>
    <x v="10"/>
    <x v="570"/>
    <x v="180"/>
    <x v="6"/>
    <x v="0"/>
  </r>
  <r>
    <x v="10"/>
    <x v="571"/>
    <x v="180"/>
    <x v="6"/>
    <x v="0"/>
  </r>
  <r>
    <x v="10"/>
    <x v="572"/>
    <x v="180"/>
    <x v="6"/>
    <x v="0"/>
  </r>
  <r>
    <x v="10"/>
    <x v="573"/>
    <x v="180"/>
    <x v="6"/>
    <x v="0"/>
  </r>
  <r>
    <x v="10"/>
    <x v="574"/>
    <x v="180"/>
    <x v="6"/>
    <x v="0"/>
  </r>
  <r>
    <x v="11"/>
    <x v="575"/>
    <x v="249"/>
    <x v="1"/>
    <x v="0"/>
  </r>
  <r>
    <x v="11"/>
    <x v="445"/>
    <x v="250"/>
    <x v="5"/>
    <x v="0"/>
  </r>
  <r>
    <x v="11"/>
    <x v="58"/>
    <x v="251"/>
    <x v="5"/>
    <x v="0"/>
  </r>
  <r>
    <x v="11"/>
    <x v="576"/>
    <x v="252"/>
    <x v="5"/>
    <x v="0"/>
  </r>
  <r>
    <x v="11"/>
    <x v="577"/>
    <x v="71"/>
    <x v="6"/>
    <x v="0"/>
  </r>
  <r>
    <x v="11"/>
    <x v="165"/>
    <x v="253"/>
    <x v="5"/>
    <x v="0"/>
  </r>
  <r>
    <x v="11"/>
    <x v="147"/>
    <x v="254"/>
    <x v="2"/>
    <x v="0"/>
  </r>
  <r>
    <x v="11"/>
    <x v="578"/>
    <x v="255"/>
    <x v="2"/>
    <x v="0"/>
  </r>
  <r>
    <x v="11"/>
    <x v="565"/>
    <x v="19"/>
    <x v="6"/>
    <x v="0"/>
  </r>
  <r>
    <x v="11"/>
    <x v="247"/>
    <x v="256"/>
    <x v="2"/>
    <x v="0"/>
  </r>
  <r>
    <x v="11"/>
    <x v="490"/>
    <x v="257"/>
    <x v="5"/>
    <x v="0"/>
  </r>
  <r>
    <x v="11"/>
    <x v="335"/>
    <x v="258"/>
    <x v="1"/>
    <x v="0"/>
  </r>
  <r>
    <x v="11"/>
    <x v="579"/>
    <x v="259"/>
    <x v="1"/>
    <x v="0"/>
  </r>
  <r>
    <x v="11"/>
    <x v="363"/>
    <x v="260"/>
    <x v="2"/>
    <x v="0"/>
  </r>
  <r>
    <x v="11"/>
    <x v="51"/>
    <x v="261"/>
    <x v="2"/>
    <x v="0"/>
  </r>
  <r>
    <x v="11"/>
    <x v="580"/>
    <x v="262"/>
    <x v="6"/>
    <x v="0"/>
  </r>
  <r>
    <x v="11"/>
    <x v="355"/>
    <x v="263"/>
    <x v="3"/>
    <x v="0"/>
  </r>
  <r>
    <x v="11"/>
    <x v="151"/>
    <x v="264"/>
    <x v="5"/>
    <x v="0"/>
  </r>
  <r>
    <x v="11"/>
    <x v="244"/>
    <x v="265"/>
    <x v="5"/>
    <x v="0"/>
  </r>
  <r>
    <x v="11"/>
    <x v="163"/>
    <x v="266"/>
    <x v="5"/>
    <x v="0"/>
  </r>
  <r>
    <x v="11"/>
    <x v="462"/>
    <x v="267"/>
    <x v="6"/>
    <x v="0"/>
  </r>
  <r>
    <x v="11"/>
    <x v="175"/>
    <x v="268"/>
    <x v="2"/>
    <x v="0"/>
  </r>
  <r>
    <x v="11"/>
    <x v="111"/>
    <x v="269"/>
    <x v="3"/>
    <x v="0"/>
  </r>
  <r>
    <x v="11"/>
    <x v="351"/>
    <x v="270"/>
    <x v="2"/>
    <x v="0"/>
  </r>
  <r>
    <x v="11"/>
    <x v="581"/>
    <x v="270"/>
    <x v="2"/>
    <x v="0"/>
  </r>
  <r>
    <x v="11"/>
    <x v="36"/>
    <x v="271"/>
    <x v="6"/>
    <x v="0"/>
  </r>
  <r>
    <x v="11"/>
    <x v="157"/>
    <x v="245"/>
    <x v="6"/>
    <x v="0"/>
  </r>
  <r>
    <x v="11"/>
    <x v="52"/>
    <x v="245"/>
    <x v="2"/>
    <x v="0"/>
  </r>
  <r>
    <x v="11"/>
    <x v="352"/>
    <x v="272"/>
    <x v="6"/>
    <x v="0"/>
  </r>
  <r>
    <x v="11"/>
    <x v="42"/>
    <x v="272"/>
    <x v="6"/>
    <x v="0"/>
  </r>
  <r>
    <x v="11"/>
    <x v="444"/>
    <x v="77"/>
    <x v="6"/>
    <x v="0"/>
  </r>
  <r>
    <x v="11"/>
    <x v="582"/>
    <x v="273"/>
    <x v="6"/>
    <x v="0"/>
  </r>
  <r>
    <x v="11"/>
    <x v="261"/>
    <x v="273"/>
    <x v="6"/>
    <x v="0"/>
  </r>
  <r>
    <x v="11"/>
    <x v="583"/>
    <x v="274"/>
    <x v="6"/>
    <x v="0"/>
  </r>
  <r>
    <x v="11"/>
    <x v="55"/>
    <x v="275"/>
    <x v="5"/>
    <x v="0"/>
  </r>
  <r>
    <x v="11"/>
    <x v="443"/>
    <x v="46"/>
    <x v="5"/>
    <x v="0"/>
  </r>
  <r>
    <x v="11"/>
    <x v="584"/>
    <x v="228"/>
    <x v="2"/>
    <x v="0"/>
  </r>
  <r>
    <x v="11"/>
    <x v="214"/>
    <x v="228"/>
    <x v="2"/>
    <x v="0"/>
  </r>
  <r>
    <x v="11"/>
    <x v="206"/>
    <x v="228"/>
    <x v="2"/>
    <x v="0"/>
  </r>
  <r>
    <x v="11"/>
    <x v="346"/>
    <x v="48"/>
    <x v="6"/>
    <x v="0"/>
  </r>
  <r>
    <x v="11"/>
    <x v="585"/>
    <x v="48"/>
    <x v="6"/>
    <x v="0"/>
  </r>
  <r>
    <x v="11"/>
    <x v="586"/>
    <x v="51"/>
    <x v="2"/>
    <x v="0"/>
  </r>
  <r>
    <x v="11"/>
    <x v="174"/>
    <x v="51"/>
    <x v="6"/>
    <x v="0"/>
  </r>
  <r>
    <x v="11"/>
    <x v="341"/>
    <x v="51"/>
    <x v="6"/>
    <x v="0"/>
  </r>
  <r>
    <x v="11"/>
    <x v="587"/>
    <x v="52"/>
    <x v="6"/>
    <x v="0"/>
  </r>
  <r>
    <x v="11"/>
    <x v="406"/>
    <x v="52"/>
    <x v="6"/>
    <x v="0"/>
  </r>
  <r>
    <x v="11"/>
    <x v="181"/>
    <x v="200"/>
    <x v="5"/>
    <x v="0"/>
  </r>
  <r>
    <x v="11"/>
    <x v="207"/>
    <x v="64"/>
    <x v="6"/>
    <x v="0"/>
  </r>
  <r>
    <x v="11"/>
    <x v="200"/>
    <x v="53"/>
    <x v="6"/>
    <x v="0"/>
  </r>
  <r>
    <x v="11"/>
    <x v="370"/>
    <x v="53"/>
    <x v="6"/>
    <x v="0"/>
  </r>
  <r>
    <x v="11"/>
    <x v="588"/>
    <x v="53"/>
    <x v="6"/>
    <x v="0"/>
  </r>
  <r>
    <x v="11"/>
    <x v="89"/>
    <x v="53"/>
    <x v="6"/>
    <x v="0"/>
  </r>
  <r>
    <x v="11"/>
    <x v="538"/>
    <x v="53"/>
    <x v="6"/>
    <x v="0"/>
  </r>
  <r>
    <x v="11"/>
    <x v="101"/>
    <x v="53"/>
    <x v="6"/>
    <x v="0"/>
  </r>
  <r>
    <x v="11"/>
    <x v="359"/>
    <x v="53"/>
    <x v="6"/>
    <x v="0"/>
  </r>
  <r>
    <x v="11"/>
    <x v="589"/>
    <x v="53"/>
    <x v="6"/>
    <x v="0"/>
  </r>
  <r>
    <x v="11"/>
    <x v="193"/>
    <x v="53"/>
    <x v="6"/>
    <x v="0"/>
  </r>
  <r>
    <x v="11"/>
    <x v="100"/>
    <x v="53"/>
    <x v="6"/>
    <x v="0"/>
  </r>
  <r>
    <x v="11"/>
    <x v="242"/>
    <x v="53"/>
    <x v="6"/>
    <x v="0"/>
  </r>
  <r>
    <x v="11"/>
    <x v="590"/>
    <x v="53"/>
    <x v="6"/>
    <x v="0"/>
  </r>
  <r>
    <x v="11"/>
    <x v="591"/>
    <x v="53"/>
    <x v="6"/>
    <x v="0"/>
  </r>
  <r>
    <x v="11"/>
    <x v="291"/>
    <x v="175"/>
    <x v="2"/>
    <x v="0"/>
  </r>
  <r>
    <x v="11"/>
    <x v="592"/>
    <x v="175"/>
    <x v="2"/>
    <x v="0"/>
  </r>
  <r>
    <x v="11"/>
    <x v="86"/>
    <x v="175"/>
    <x v="2"/>
    <x v="0"/>
  </r>
  <r>
    <x v="11"/>
    <x v="593"/>
    <x v="175"/>
    <x v="2"/>
    <x v="0"/>
  </r>
  <r>
    <x v="11"/>
    <x v="238"/>
    <x v="176"/>
    <x v="6"/>
    <x v="0"/>
  </r>
  <r>
    <x v="11"/>
    <x v="367"/>
    <x v="176"/>
    <x v="6"/>
    <x v="0"/>
  </r>
  <r>
    <x v="11"/>
    <x v="412"/>
    <x v="176"/>
    <x v="6"/>
    <x v="0"/>
  </r>
  <r>
    <x v="11"/>
    <x v="594"/>
    <x v="176"/>
    <x v="6"/>
    <x v="0"/>
  </r>
  <r>
    <x v="11"/>
    <x v="595"/>
    <x v="180"/>
    <x v="6"/>
    <x v="0"/>
  </r>
  <r>
    <x v="11"/>
    <x v="596"/>
    <x v="180"/>
    <x v="6"/>
    <x v="0"/>
  </r>
  <r>
    <x v="11"/>
    <x v="597"/>
    <x v="180"/>
    <x v="6"/>
    <x v="0"/>
  </r>
  <r>
    <x v="11"/>
    <x v="560"/>
    <x v="180"/>
    <x v="6"/>
    <x v="0"/>
  </r>
  <r>
    <x v="11"/>
    <x v="598"/>
    <x v="180"/>
    <x v="6"/>
    <x v="0"/>
  </r>
  <r>
    <x v="11"/>
    <x v="599"/>
    <x v="180"/>
    <x v="6"/>
    <x v="0"/>
  </r>
  <r>
    <x v="11"/>
    <x v="542"/>
    <x v="180"/>
    <x v="6"/>
    <x v="0"/>
  </r>
  <r>
    <x v="11"/>
    <x v="94"/>
    <x v="180"/>
    <x v="6"/>
    <x v="0"/>
  </r>
  <r>
    <x v="11"/>
    <x v="543"/>
    <x v="180"/>
    <x v="6"/>
    <x v="0"/>
  </r>
  <r>
    <x v="11"/>
    <x v="600"/>
    <x v="180"/>
    <x v="6"/>
    <x v="0"/>
  </r>
  <r>
    <x v="11"/>
    <x v="347"/>
    <x v="276"/>
    <x v="6"/>
    <x v="0"/>
  </r>
  <r>
    <x v="12"/>
    <x v="575"/>
    <x v="277"/>
    <x v="4"/>
    <x v="0"/>
  </r>
  <r>
    <x v="12"/>
    <x v="354"/>
    <x v="278"/>
    <x v="4"/>
    <x v="0"/>
  </r>
  <r>
    <x v="12"/>
    <x v="163"/>
    <x v="279"/>
    <x v="5"/>
    <x v="0"/>
  </r>
  <r>
    <x v="12"/>
    <x v="243"/>
    <x v="280"/>
    <x v="2"/>
    <x v="0"/>
  </r>
  <r>
    <x v="12"/>
    <x v="403"/>
    <x v="214"/>
    <x v="5"/>
    <x v="0"/>
  </r>
  <r>
    <x v="12"/>
    <x v="550"/>
    <x v="188"/>
    <x v="5"/>
    <x v="0"/>
  </r>
  <r>
    <x v="12"/>
    <x v="51"/>
    <x v="281"/>
    <x v="2"/>
    <x v="0"/>
  </r>
  <r>
    <x v="12"/>
    <x v="52"/>
    <x v="282"/>
    <x v="2"/>
    <x v="0"/>
  </r>
  <r>
    <x v="12"/>
    <x v="444"/>
    <x v="19"/>
    <x v="6"/>
    <x v="0"/>
  </r>
  <r>
    <x v="12"/>
    <x v="388"/>
    <x v="20"/>
    <x v="6"/>
    <x v="0"/>
  </r>
  <r>
    <x v="12"/>
    <x v="587"/>
    <x v="283"/>
    <x v="6"/>
    <x v="0"/>
  </r>
  <r>
    <x v="12"/>
    <x v="601"/>
    <x v="283"/>
    <x v="6"/>
    <x v="0"/>
  </r>
  <r>
    <x v="12"/>
    <x v="490"/>
    <x v="284"/>
    <x v="6"/>
    <x v="0"/>
  </r>
  <r>
    <x v="12"/>
    <x v="602"/>
    <x v="285"/>
    <x v="5"/>
    <x v="0"/>
  </r>
  <r>
    <x v="12"/>
    <x v="326"/>
    <x v="286"/>
    <x v="5"/>
    <x v="0"/>
  </r>
  <r>
    <x v="12"/>
    <x v="603"/>
    <x v="287"/>
    <x v="5"/>
    <x v="0"/>
  </r>
  <r>
    <x v="12"/>
    <x v="207"/>
    <x v="60"/>
    <x v="6"/>
    <x v="0"/>
  </r>
  <r>
    <x v="12"/>
    <x v="604"/>
    <x v="288"/>
    <x v="2"/>
    <x v="0"/>
  </r>
  <r>
    <x v="12"/>
    <x v="605"/>
    <x v="245"/>
    <x v="6"/>
    <x v="0"/>
  </r>
  <r>
    <x v="12"/>
    <x v="175"/>
    <x v="289"/>
    <x v="6"/>
    <x v="0"/>
  </r>
  <r>
    <x v="12"/>
    <x v="120"/>
    <x v="290"/>
    <x v="6"/>
    <x v="0"/>
  </r>
  <r>
    <x v="12"/>
    <x v="346"/>
    <x v="290"/>
    <x v="6"/>
    <x v="0"/>
  </r>
  <r>
    <x v="12"/>
    <x v="202"/>
    <x v="290"/>
    <x v="6"/>
    <x v="0"/>
  </r>
  <r>
    <x v="12"/>
    <x v="476"/>
    <x v="48"/>
    <x v="6"/>
    <x v="0"/>
  </r>
  <r>
    <x v="12"/>
    <x v="606"/>
    <x v="49"/>
    <x v="2"/>
    <x v="0"/>
  </r>
  <r>
    <x v="12"/>
    <x v="607"/>
    <x v="51"/>
    <x v="6"/>
    <x v="0"/>
  </r>
  <r>
    <x v="12"/>
    <x v="608"/>
    <x v="291"/>
    <x v="6"/>
    <x v="0"/>
  </r>
  <r>
    <x v="12"/>
    <x v="348"/>
    <x v="292"/>
    <x v="6"/>
    <x v="0"/>
  </r>
  <r>
    <x v="12"/>
    <x v="364"/>
    <x v="293"/>
    <x v="6"/>
    <x v="0"/>
  </r>
  <r>
    <x v="12"/>
    <x v="609"/>
    <x v="294"/>
    <x v="6"/>
    <x v="0"/>
  </r>
  <r>
    <x v="12"/>
    <x v="610"/>
    <x v="247"/>
    <x v="2"/>
    <x v="0"/>
  </r>
  <r>
    <x v="12"/>
    <x v="611"/>
    <x v="231"/>
    <x v="2"/>
    <x v="0"/>
  </r>
  <r>
    <x v="12"/>
    <x v="612"/>
    <x v="231"/>
    <x v="2"/>
    <x v="0"/>
  </r>
  <r>
    <x v="12"/>
    <x v="554"/>
    <x v="53"/>
    <x v="6"/>
    <x v="0"/>
  </r>
  <r>
    <x v="12"/>
    <x v="613"/>
    <x v="53"/>
    <x v="6"/>
    <x v="0"/>
  </r>
  <r>
    <x v="12"/>
    <x v="614"/>
    <x v="53"/>
    <x v="6"/>
    <x v="0"/>
  </r>
  <r>
    <x v="12"/>
    <x v="615"/>
    <x v="53"/>
    <x v="6"/>
    <x v="0"/>
  </r>
  <r>
    <x v="12"/>
    <x v="413"/>
    <x v="53"/>
    <x v="6"/>
    <x v="0"/>
  </r>
  <r>
    <x v="12"/>
    <x v="616"/>
    <x v="53"/>
    <x v="6"/>
    <x v="0"/>
  </r>
  <r>
    <x v="12"/>
    <x v="297"/>
    <x v="53"/>
    <x v="6"/>
    <x v="0"/>
  </r>
  <r>
    <x v="12"/>
    <x v="40"/>
    <x v="295"/>
    <x v="2"/>
    <x v="0"/>
  </r>
  <r>
    <x v="12"/>
    <x v="617"/>
    <x v="175"/>
    <x v="2"/>
    <x v="0"/>
  </r>
  <r>
    <x v="12"/>
    <x v="618"/>
    <x v="175"/>
    <x v="2"/>
    <x v="0"/>
  </r>
  <r>
    <x v="12"/>
    <x v="288"/>
    <x v="175"/>
    <x v="2"/>
    <x v="0"/>
  </r>
  <r>
    <x v="12"/>
    <x v="361"/>
    <x v="176"/>
    <x v="6"/>
    <x v="0"/>
  </r>
  <r>
    <x v="12"/>
    <x v="151"/>
    <x v="176"/>
    <x v="6"/>
    <x v="0"/>
  </r>
  <r>
    <x v="12"/>
    <x v="619"/>
    <x v="176"/>
    <x v="6"/>
    <x v="0"/>
  </r>
  <r>
    <x v="12"/>
    <x v="620"/>
    <x v="176"/>
    <x v="6"/>
    <x v="0"/>
  </r>
  <r>
    <x v="12"/>
    <x v="621"/>
    <x v="176"/>
    <x v="6"/>
    <x v="0"/>
  </r>
  <r>
    <x v="12"/>
    <x v="622"/>
    <x v="176"/>
    <x v="6"/>
    <x v="0"/>
  </r>
  <r>
    <x v="12"/>
    <x v="377"/>
    <x v="176"/>
    <x v="6"/>
    <x v="0"/>
  </r>
  <r>
    <x v="12"/>
    <x v="251"/>
    <x v="176"/>
    <x v="6"/>
    <x v="0"/>
  </r>
  <r>
    <x v="12"/>
    <x v="623"/>
    <x v="176"/>
    <x v="6"/>
    <x v="0"/>
  </r>
  <r>
    <x v="12"/>
    <x v="624"/>
    <x v="180"/>
    <x v="6"/>
    <x v="0"/>
  </r>
  <r>
    <x v="12"/>
    <x v="625"/>
    <x v="180"/>
    <x v="6"/>
    <x v="0"/>
  </r>
  <r>
    <x v="12"/>
    <x v="626"/>
    <x v="180"/>
    <x v="6"/>
    <x v="0"/>
  </r>
  <r>
    <x v="12"/>
    <x v="627"/>
    <x v="180"/>
    <x v="6"/>
    <x v="0"/>
  </r>
  <r>
    <x v="12"/>
    <x v="628"/>
    <x v="180"/>
    <x v="6"/>
    <x v="0"/>
  </r>
  <r>
    <x v="12"/>
    <x v="201"/>
    <x v="180"/>
    <x v="6"/>
    <x v="0"/>
  </r>
  <r>
    <x v="12"/>
    <x v="629"/>
    <x v="180"/>
    <x v="6"/>
    <x v="0"/>
  </r>
  <r>
    <x v="12"/>
    <x v="630"/>
    <x v="180"/>
    <x v="6"/>
    <x v="0"/>
  </r>
  <r>
    <x v="12"/>
    <x v="631"/>
    <x v="180"/>
    <x v="6"/>
    <x v="0"/>
  </r>
  <r>
    <x v="12"/>
    <x v="632"/>
    <x v="180"/>
    <x v="6"/>
    <x v="0"/>
  </r>
  <r>
    <x v="12"/>
    <x v="633"/>
    <x v="180"/>
    <x v="6"/>
    <x v="0"/>
  </r>
  <r>
    <x v="12"/>
    <x v="634"/>
    <x v="180"/>
    <x v="6"/>
    <x v="0"/>
  </r>
  <r>
    <x v="12"/>
    <x v="209"/>
    <x v="180"/>
    <x v="6"/>
    <x v="0"/>
  </r>
  <r>
    <x v="12"/>
    <x v="635"/>
    <x v="180"/>
    <x v="6"/>
    <x v="0"/>
  </r>
  <r>
    <x v="12"/>
    <x v="636"/>
    <x v="180"/>
    <x v="6"/>
    <x v="0"/>
  </r>
  <r>
    <x v="12"/>
    <x v="594"/>
    <x v="180"/>
    <x v="6"/>
    <x v="0"/>
  </r>
  <r>
    <x v="12"/>
    <x v="637"/>
    <x v="180"/>
    <x v="6"/>
    <x v="0"/>
  </r>
  <r>
    <x v="12"/>
    <x v="638"/>
    <x v="180"/>
    <x v="6"/>
    <x v="0"/>
  </r>
  <r>
    <x v="13"/>
    <x v="639"/>
    <x v="296"/>
    <x v="11"/>
    <x v="0"/>
  </r>
  <r>
    <x v="13"/>
    <x v="243"/>
    <x v="297"/>
    <x v="12"/>
    <x v="0"/>
  </r>
  <r>
    <x v="13"/>
    <x v="490"/>
    <x v="298"/>
    <x v="7"/>
    <x v="0"/>
  </r>
  <r>
    <x v="13"/>
    <x v="601"/>
    <x v="299"/>
    <x v="13"/>
    <x v="0"/>
  </r>
  <r>
    <x v="13"/>
    <x v="640"/>
    <x v="300"/>
    <x v="9"/>
    <x v="0"/>
  </r>
  <r>
    <x v="13"/>
    <x v="575"/>
    <x v="301"/>
    <x v="0"/>
    <x v="0"/>
  </r>
  <r>
    <x v="13"/>
    <x v="163"/>
    <x v="302"/>
    <x v="1"/>
    <x v="0"/>
  </r>
  <r>
    <x v="13"/>
    <x v="554"/>
    <x v="303"/>
    <x v="14"/>
    <x v="0"/>
  </r>
  <r>
    <x v="13"/>
    <x v="247"/>
    <x v="304"/>
    <x v="4"/>
    <x v="0"/>
  </r>
  <r>
    <x v="13"/>
    <x v="165"/>
    <x v="305"/>
    <x v="2"/>
    <x v="0"/>
  </r>
  <r>
    <x v="13"/>
    <x v="641"/>
    <x v="306"/>
    <x v="1"/>
    <x v="0"/>
  </r>
  <r>
    <x v="13"/>
    <x v="642"/>
    <x v="307"/>
    <x v="4"/>
    <x v="0"/>
  </r>
  <r>
    <x v="13"/>
    <x v="151"/>
    <x v="308"/>
    <x v="4"/>
    <x v="0"/>
  </r>
  <r>
    <x v="13"/>
    <x v="580"/>
    <x v="30"/>
    <x v="1"/>
    <x v="0"/>
  </r>
  <r>
    <x v="13"/>
    <x v="51"/>
    <x v="309"/>
    <x v="3"/>
    <x v="0"/>
  </r>
  <r>
    <x v="13"/>
    <x v="643"/>
    <x v="310"/>
    <x v="2"/>
    <x v="0"/>
  </r>
  <r>
    <x v="13"/>
    <x v="382"/>
    <x v="311"/>
    <x v="9"/>
    <x v="0"/>
  </r>
  <r>
    <x v="13"/>
    <x v="644"/>
    <x v="312"/>
    <x v="4"/>
    <x v="0"/>
  </r>
  <r>
    <x v="13"/>
    <x v="581"/>
    <x v="313"/>
    <x v="3"/>
    <x v="0"/>
  </r>
  <r>
    <x v="13"/>
    <x v="616"/>
    <x v="154"/>
    <x v="6"/>
    <x v="0"/>
  </r>
  <r>
    <x v="13"/>
    <x v="645"/>
    <x v="314"/>
    <x v="6"/>
    <x v="0"/>
  </r>
  <r>
    <x v="13"/>
    <x v="646"/>
    <x v="315"/>
    <x v="3"/>
    <x v="0"/>
  </r>
  <r>
    <x v="13"/>
    <x v="647"/>
    <x v="316"/>
    <x v="5"/>
    <x v="0"/>
  </r>
  <r>
    <x v="13"/>
    <x v="365"/>
    <x v="317"/>
    <x v="1"/>
    <x v="0"/>
  </r>
  <r>
    <x v="13"/>
    <x v="367"/>
    <x v="318"/>
    <x v="3"/>
    <x v="0"/>
  </r>
  <r>
    <x v="13"/>
    <x v="360"/>
    <x v="319"/>
    <x v="5"/>
    <x v="0"/>
  </r>
  <r>
    <x v="13"/>
    <x v="50"/>
    <x v="320"/>
    <x v="2"/>
    <x v="0"/>
  </r>
  <r>
    <x v="13"/>
    <x v="648"/>
    <x v="321"/>
    <x v="2"/>
    <x v="0"/>
  </r>
  <r>
    <x v="13"/>
    <x v="370"/>
    <x v="322"/>
    <x v="3"/>
    <x v="0"/>
  </r>
  <r>
    <x v="13"/>
    <x v="101"/>
    <x v="323"/>
    <x v="5"/>
    <x v="0"/>
  </r>
  <r>
    <x v="13"/>
    <x v="546"/>
    <x v="324"/>
    <x v="6"/>
    <x v="0"/>
  </r>
  <r>
    <x v="13"/>
    <x v="295"/>
    <x v="325"/>
    <x v="5"/>
    <x v="0"/>
  </r>
  <r>
    <x v="13"/>
    <x v="40"/>
    <x v="275"/>
    <x v="2"/>
    <x v="0"/>
  </r>
  <r>
    <x v="13"/>
    <x v="388"/>
    <x v="326"/>
    <x v="6"/>
    <x v="0"/>
  </r>
  <r>
    <x v="13"/>
    <x v="251"/>
    <x v="327"/>
    <x v="4"/>
    <x v="0"/>
  </r>
  <r>
    <x v="13"/>
    <x v="649"/>
    <x v="328"/>
    <x v="6"/>
    <x v="0"/>
  </r>
  <r>
    <x v="13"/>
    <x v="351"/>
    <x v="328"/>
    <x v="6"/>
    <x v="0"/>
  </r>
  <r>
    <x v="13"/>
    <x v="322"/>
    <x v="136"/>
    <x v="2"/>
    <x v="0"/>
  </r>
  <r>
    <x v="13"/>
    <x v="650"/>
    <x v="49"/>
    <x v="3"/>
    <x v="0"/>
  </r>
  <r>
    <x v="13"/>
    <x v="230"/>
    <x v="329"/>
    <x v="2"/>
    <x v="0"/>
  </r>
  <r>
    <x v="13"/>
    <x v="175"/>
    <x v="51"/>
    <x v="2"/>
    <x v="0"/>
  </r>
  <r>
    <x v="13"/>
    <x v="651"/>
    <x v="64"/>
    <x v="5"/>
    <x v="0"/>
  </r>
  <r>
    <x v="13"/>
    <x v="200"/>
    <x v="330"/>
    <x v="5"/>
    <x v="0"/>
  </r>
  <r>
    <x v="13"/>
    <x v="652"/>
    <x v="331"/>
    <x v="2"/>
    <x v="0"/>
  </r>
  <r>
    <x v="13"/>
    <x v="621"/>
    <x v="172"/>
    <x v="6"/>
    <x v="0"/>
  </r>
  <r>
    <x v="13"/>
    <x v="653"/>
    <x v="332"/>
    <x v="3"/>
    <x v="0"/>
  </r>
  <r>
    <x v="13"/>
    <x v="607"/>
    <x v="332"/>
    <x v="3"/>
    <x v="0"/>
  </r>
  <r>
    <x v="13"/>
    <x v="654"/>
    <x v="175"/>
    <x v="2"/>
    <x v="0"/>
  </r>
  <r>
    <x v="13"/>
    <x v="100"/>
    <x v="175"/>
    <x v="2"/>
    <x v="0"/>
  </r>
  <r>
    <x v="13"/>
    <x v="42"/>
    <x v="175"/>
    <x v="2"/>
    <x v="0"/>
  </r>
  <r>
    <x v="13"/>
    <x v="244"/>
    <x v="175"/>
    <x v="2"/>
    <x v="0"/>
  </r>
  <r>
    <x v="13"/>
    <x v="52"/>
    <x v="333"/>
    <x v="5"/>
    <x v="0"/>
  </r>
  <r>
    <x v="13"/>
    <x v="655"/>
    <x v="176"/>
    <x v="6"/>
    <x v="0"/>
  </r>
  <r>
    <x v="13"/>
    <x v="544"/>
    <x v="176"/>
    <x v="6"/>
    <x v="0"/>
  </r>
  <r>
    <x v="13"/>
    <x v="656"/>
    <x v="334"/>
    <x v="6"/>
    <x v="0"/>
  </r>
  <r>
    <x v="13"/>
    <x v="657"/>
    <x v="334"/>
    <x v="6"/>
    <x v="0"/>
  </r>
  <r>
    <x v="13"/>
    <x v="297"/>
    <x v="334"/>
    <x v="6"/>
    <x v="0"/>
  </r>
  <r>
    <x v="13"/>
    <x v="363"/>
    <x v="334"/>
    <x v="6"/>
    <x v="0"/>
  </r>
  <r>
    <x v="13"/>
    <x v="362"/>
    <x v="335"/>
    <x v="5"/>
    <x v="0"/>
  </r>
  <r>
    <x v="13"/>
    <x v="658"/>
    <x v="336"/>
    <x v="2"/>
    <x v="0"/>
  </r>
  <r>
    <x v="13"/>
    <x v="183"/>
    <x v="336"/>
    <x v="2"/>
    <x v="0"/>
  </r>
  <r>
    <x v="13"/>
    <x v="659"/>
    <x v="336"/>
    <x v="2"/>
    <x v="0"/>
  </r>
  <r>
    <x v="13"/>
    <x v="660"/>
    <x v="336"/>
    <x v="2"/>
    <x v="0"/>
  </r>
  <r>
    <x v="13"/>
    <x v="661"/>
    <x v="336"/>
    <x v="2"/>
    <x v="0"/>
  </r>
  <r>
    <x v="13"/>
    <x v="437"/>
    <x v="180"/>
    <x v="6"/>
    <x v="0"/>
  </r>
  <r>
    <x v="13"/>
    <x v="88"/>
    <x v="180"/>
    <x v="6"/>
    <x v="0"/>
  </r>
  <r>
    <x v="13"/>
    <x v="171"/>
    <x v="180"/>
    <x v="6"/>
    <x v="0"/>
  </r>
  <r>
    <x v="13"/>
    <x v="662"/>
    <x v="180"/>
    <x v="6"/>
    <x v="0"/>
  </r>
  <r>
    <x v="13"/>
    <x v="663"/>
    <x v="180"/>
    <x v="6"/>
    <x v="0"/>
  </r>
  <r>
    <x v="13"/>
    <x v="664"/>
    <x v="180"/>
    <x v="6"/>
    <x v="0"/>
  </r>
  <r>
    <x v="13"/>
    <x v="665"/>
    <x v="180"/>
    <x v="6"/>
    <x v="0"/>
  </r>
  <r>
    <x v="13"/>
    <x v="412"/>
    <x v="180"/>
    <x v="6"/>
    <x v="0"/>
  </r>
  <r>
    <x v="13"/>
    <x v="666"/>
    <x v="180"/>
    <x v="6"/>
    <x v="0"/>
  </r>
  <r>
    <x v="13"/>
    <x v="667"/>
    <x v="180"/>
    <x v="6"/>
    <x v="0"/>
  </r>
  <r>
    <x v="13"/>
    <x v="668"/>
    <x v="180"/>
    <x v="6"/>
    <x v="0"/>
  </r>
  <r>
    <x v="13"/>
    <x v="129"/>
    <x v="180"/>
    <x v="6"/>
    <x v="0"/>
  </r>
  <r>
    <x v="13"/>
    <x v="44"/>
    <x v="180"/>
    <x v="6"/>
    <x v="0"/>
  </r>
  <r>
    <x v="13"/>
    <x v="346"/>
    <x v="180"/>
    <x v="6"/>
    <x v="0"/>
  </r>
  <r>
    <x v="13"/>
    <x v="245"/>
    <x v="180"/>
    <x v="6"/>
    <x v="0"/>
  </r>
  <r>
    <x v="13"/>
    <x v="634"/>
    <x v="180"/>
    <x v="6"/>
    <x v="0"/>
  </r>
  <r>
    <x v="13"/>
    <x v="669"/>
    <x v="180"/>
    <x v="6"/>
    <x v="0"/>
  </r>
  <r>
    <x v="13"/>
    <x v="670"/>
    <x v="180"/>
    <x v="6"/>
    <x v="0"/>
  </r>
  <r>
    <x v="13"/>
    <x v="289"/>
    <x v="180"/>
    <x v="6"/>
    <x v="0"/>
  </r>
  <r>
    <x v="13"/>
    <x v="493"/>
    <x v="180"/>
    <x v="6"/>
    <x v="0"/>
  </r>
  <r>
    <x v="13"/>
    <x v="473"/>
    <x v="180"/>
    <x v="6"/>
    <x v="0"/>
  </r>
  <r>
    <x v="13"/>
    <x v="390"/>
    <x v="180"/>
    <x v="6"/>
    <x v="0"/>
  </r>
  <r>
    <x v="13"/>
    <x v="28"/>
    <x v="180"/>
    <x v="6"/>
    <x v="0"/>
  </r>
  <r>
    <x v="13"/>
    <x v="671"/>
    <x v="180"/>
    <x v="6"/>
    <x v="0"/>
  </r>
  <r>
    <x v="13"/>
    <x v="341"/>
    <x v="180"/>
    <x v="6"/>
    <x v="0"/>
  </r>
  <r>
    <x v="13"/>
    <x v="672"/>
    <x v="180"/>
    <x v="6"/>
    <x v="0"/>
  </r>
  <r>
    <x v="14"/>
    <x v="151"/>
    <x v="337"/>
    <x v="14"/>
    <x v="0"/>
  </r>
  <r>
    <x v="14"/>
    <x v="673"/>
    <x v="338"/>
    <x v="1"/>
    <x v="0"/>
  </r>
  <r>
    <x v="14"/>
    <x v="601"/>
    <x v="339"/>
    <x v="1"/>
    <x v="0"/>
  </r>
  <r>
    <x v="14"/>
    <x v="575"/>
    <x v="340"/>
    <x v="5"/>
    <x v="0"/>
  </r>
  <r>
    <x v="14"/>
    <x v="382"/>
    <x v="341"/>
    <x v="5"/>
    <x v="0"/>
  </r>
  <r>
    <x v="14"/>
    <x v="674"/>
    <x v="342"/>
    <x v="4"/>
    <x v="0"/>
  </r>
  <r>
    <x v="14"/>
    <x v="352"/>
    <x v="343"/>
    <x v="4"/>
    <x v="0"/>
  </r>
  <r>
    <x v="14"/>
    <x v="322"/>
    <x v="344"/>
    <x v="1"/>
    <x v="0"/>
  </r>
  <r>
    <x v="14"/>
    <x v="675"/>
    <x v="345"/>
    <x v="2"/>
    <x v="0"/>
  </r>
  <r>
    <x v="14"/>
    <x v="676"/>
    <x v="346"/>
    <x v="3"/>
    <x v="0"/>
  </r>
  <r>
    <x v="14"/>
    <x v="650"/>
    <x v="347"/>
    <x v="5"/>
    <x v="0"/>
  </r>
  <r>
    <x v="14"/>
    <x v="578"/>
    <x v="348"/>
    <x v="5"/>
    <x v="0"/>
  </r>
  <r>
    <x v="14"/>
    <x v="419"/>
    <x v="349"/>
    <x v="6"/>
    <x v="0"/>
  </r>
  <r>
    <x v="14"/>
    <x v="677"/>
    <x v="350"/>
    <x v="6"/>
    <x v="0"/>
  </r>
  <r>
    <x v="14"/>
    <x v="147"/>
    <x v="351"/>
    <x v="2"/>
    <x v="0"/>
  </r>
  <r>
    <x v="14"/>
    <x v="678"/>
    <x v="352"/>
    <x v="6"/>
    <x v="0"/>
  </r>
  <r>
    <x v="14"/>
    <x v="388"/>
    <x v="353"/>
    <x v="2"/>
    <x v="0"/>
  </r>
  <r>
    <x v="14"/>
    <x v="490"/>
    <x v="354"/>
    <x v="5"/>
    <x v="0"/>
  </r>
  <r>
    <x v="14"/>
    <x v="88"/>
    <x v="60"/>
    <x v="6"/>
    <x v="0"/>
  </r>
  <r>
    <x v="14"/>
    <x v="679"/>
    <x v="223"/>
    <x v="6"/>
    <x v="0"/>
  </r>
  <r>
    <x v="14"/>
    <x v="365"/>
    <x v="61"/>
    <x v="6"/>
    <x v="0"/>
  </r>
  <r>
    <x v="14"/>
    <x v="680"/>
    <x v="244"/>
    <x v="6"/>
    <x v="0"/>
  </r>
  <r>
    <x v="14"/>
    <x v="681"/>
    <x v="95"/>
    <x v="6"/>
    <x v="0"/>
  </r>
  <r>
    <x v="14"/>
    <x v="682"/>
    <x v="245"/>
    <x v="6"/>
    <x v="0"/>
  </r>
  <r>
    <x v="14"/>
    <x v="367"/>
    <x v="272"/>
    <x v="2"/>
    <x v="0"/>
  </r>
  <r>
    <x v="14"/>
    <x v="230"/>
    <x v="355"/>
    <x v="2"/>
    <x v="0"/>
  </r>
  <r>
    <x v="14"/>
    <x v="244"/>
    <x v="356"/>
    <x v="2"/>
    <x v="0"/>
  </r>
  <r>
    <x v="14"/>
    <x v="370"/>
    <x v="290"/>
    <x v="6"/>
    <x v="0"/>
  </r>
  <r>
    <x v="14"/>
    <x v="683"/>
    <x v="357"/>
    <x v="6"/>
    <x v="0"/>
  </r>
  <r>
    <x v="14"/>
    <x v="111"/>
    <x v="357"/>
    <x v="6"/>
    <x v="0"/>
  </r>
  <r>
    <x v="14"/>
    <x v="684"/>
    <x v="358"/>
    <x v="6"/>
    <x v="0"/>
  </r>
  <r>
    <x v="14"/>
    <x v="685"/>
    <x v="198"/>
    <x v="5"/>
    <x v="0"/>
  </r>
  <r>
    <x v="14"/>
    <x v="546"/>
    <x v="359"/>
    <x v="6"/>
    <x v="0"/>
  </r>
  <r>
    <x v="14"/>
    <x v="200"/>
    <x v="360"/>
    <x v="2"/>
    <x v="0"/>
  </r>
  <r>
    <x v="14"/>
    <x v="163"/>
    <x v="361"/>
    <x v="2"/>
    <x v="0"/>
  </r>
  <r>
    <x v="14"/>
    <x v="686"/>
    <x v="48"/>
    <x v="6"/>
    <x v="0"/>
  </r>
  <r>
    <x v="14"/>
    <x v="29"/>
    <x v="50"/>
    <x v="2"/>
    <x v="0"/>
  </r>
  <r>
    <x v="14"/>
    <x v="444"/>
    <x v="51"/>
    <x v="6"/>
    <x v="0"/>
  </r>
  <r>
    <x v="14"/>
    <x v="202"/>
    <x v="52"/>
    <x v="6"/>
    <x v="0"/>
  </r>
  <r>
    <x v="14"/>
    <x v="687"/>
    <x v="362"/>
    <x v="6"/>
    <x v="0"/>
  </r>
  <r>
    <x v="14"/>
    <x v="353"/>
    <x v="200"/>
    <x v="5"/>
    <x v="0"/>
  </r>
  <r>
    <x v="14"/>
    <x v="688"/>
    <x v="53"/>
    <x v="6"/>
    <x v="0"/>
  </r>
  <r>
    <x v="14"/>
    <x v="689"/>
    <x v="53"/>
    <x v="6"/>
    <x v="0"/>
  </r>
  <r>
    <x v="14"/>
    <x v="183"/>
    <x v="53"/>
    <x v="6"/>
    <x v="0"/>
  </r>
  <r>
    <x v="14"/>
    <x v="690"/>
    <x v="53"/>
    <x v="6"/>
    <x v="0"/>
  </r>
  <r>
    <x v="14"/>
    <x v="144"/>
    <x v="53"/>
    <x v="6"/>
    <x v="0"/>
  </r>
  <r>
    <x v="14"/>
    <x v="607"/>
    <x v="53"/>
    <x v="6"/>
    <x v="0"/>
  </r>
  <r>
    <x v="14"/>
    <x v="481"/>
    <x v="175"/>
    <x v="2"/>
    <x v="0"/>
  </r>
  <r>
    <x v="14"/>
    <x v="691"/>
    <x v="175"/>
    <x v="2"/>
    <x v="0"/>
  </r>
  <r>
    <x v="14"/>
    <x v="692"/>
    <x v="175"/>
    <x v="2"/>
    <x v="0"/>
  </r>
  <r>
    <x v="14"/>
    <x v="693"/>
    <x v="175"/>
    <x v="2"/>
    <x v="0"/>
  </r>
  <r>
    <x v="14"/>
    <x v="50"/>
    <x v="175"/>
    <x v="2"/>
    <x v="0"/>
  </r>
  <r>
    <x v="14"/>
    <x v="440"/>
    <x v="176"/>
    <x v="6"/>
    <x v="0"/>
  </r>
  <r>
    <x v="14"/>
    <x v="694"/>
    <x v="176"/>
    <x v="6"/>
    <x v="0"/>
  </r>
  <r>
    <x v="14"/>
    <x v="550"/>
    <x v="176"/>
    <x v="6"/>
    <x v="0"/>
  </r>
  <r>
    <x v="14"/>
    <x v="695"/>
    <x v="176"/>
    <x v="6"/>
    <x v="0"/>
  </r>
  <r>
    <x v="14"/>
    <x v="696"/>
    <x v="176"/>
    <x v="6"/>
    <x v="0"/>
  </r>
  <r>
    <x v="14"/>
    <x v="697"/>
    <x v="176"/>
    <x v="6"/>
    <x v="0"/>
  </r>
  <r>
    <x v="14"/>
    <x v="698"/>
    <x v="176"/>
    <x v="6"/>
    <x v="0"/>
  </r>
  <r>
    <x v="14"/>
    <x v="269"/>
    <x v="176"/>
    <x v="6"/>
    <x v="0"/>
  </r>
  <r>
    <x v="14"/>
    <x v="638"/>
    <x v="176"/>
    <x v="6"/>
    <x v="0"/>
  </r>
  <r>
    <x v="14"/>
    <x v="699"/>
    <x v="176"/>
    <x v="6"/>
    <x v="0"/>
  </r>
  <r>
    <x v="14"/>
    <x v="700"/>
    <x v="180"/>
    <x v="6"/>
    <x v="0"/>
  </r>
  <r>
    <x v="14"/>
    <x v="348"/>
    <x v="180"/>
    <x v="6"/>
    <x v="0"/>
  </r>
  <r>
    <x v="14"/>
    <x v="701"/>
    <x v="180"/>
    <x v="6"/>
    <x v="0"/>
  </r>
  <r>
    <x v="14"/>
    <x v="702"/>
    <x v="180"/>
    <x v="6"/>
    <x v="0"/>
  </r>
  <r>
    <x v="14"/>
    <x v="703"/>
    <x v="180"/>
    <x v="6"/>
    <x v="0"/>
  </r>
  <r>
    <x v="14"/>
    <x v="704"/>
    <x v="180"/>
    <x v="6"/>
    <x v="0"/>
  </r>
  <r>
    <x v="14"/>
    <x v="493"/>
    <x v="180"/>
    <x v="6"/>
    <x v="0"/>
  </r>
  <r>
    <x v="14"/>
    <x v="100"/>
    <x v="180"/>
    <x v="6"/>
    <x v="0"/>
  </r>
  <r>
    <x v="14"/>
    <x v="705"/>
    <x v="180"/>
    <x v="6"/>
    <x v="0"/>
  </r>
  <r>
    <x v="14"/>
    <x v="706"/>
    <x v="180"/>
    <x v="6"/>
    <x v="0"/>
  </r>
  <r>
    <x v="15"/>
    <x v="707"/>
    <x v="363"/>
    <x v="4"/>
    <x v="0"/>
  </r>
  <r>
    <x v="15"/>
    <x v="701"/>
    <x v="364"/>
    <x v="3"/>
    <x v="0"/>
  </r>
  <r>
    <x v="15"/>
    <x v="214"/>
    <x v="365"/>
    <x v="1"/>
    <x v="0"/>
  </r>
  <r>
    <x v="15"/>
    <x v="640"/>
    <x v="366"/>
    <x v="3"/>
    <x v="0"/>
  </r>
  <r>
    <x v="15"/>
    <x v="708"/>
    <x v="367"/>
    <x v="5"/>
    <x v="0"/>
  </r>
  <r>
    <x v="15"/>
    <x v="363"/>
    <x v="368"/>
    <x v="3"/>
    <x v="0"/>
  </r>
  <r>
    <x v="15"/>
    <x v="709"/>
    <x v="19"/>
    <x v="6"/>
    <x v="0"/>
  </r>
  <r>
    <x v="15"/>
    <x v="710"/>
    <x v="369"/>
    <x v="2"/>
    <x v="0"/>
  </r>
  <r>
    <x v="15"/>
    <x v="711"/>
    <x v="370"/>
    <x v="5"/>
    <x v="0"/>
  </r>
  <r>
    <x v="15"/>
    <x v="712"/>
    <x v="371"/>
    <x v="2"/>
    <x v="0"/>
  </r>
  <r>
    <x v="15"/>
    <x v="713"/>
    <x v="372"/>
    <x v="2"/>
    <x v="0"/>
  </r>
  <r>
    <x v="15"/>
    <x v="714"/>
    <x v="373"/>
    <x v="5"/>
    <x v="0"/>
  </r>
  <r>
    <x v="15"/>
    <x v="233"/>
    <x v="374"/>
    <x v="6"/>
    <x v="0"/>
  </r>
  <r>
    <x v="15"/>
    <x v="715"/>
    <x v="312"/>
    <x v="5"/>
    <x v="0"/>
  </r>
  <r>
    <x v="15"/>
    <x v="144"/>
    <x v="222"/>
    <x v="2"/>
    <x v="0"/>
  </r>
  <r>
    <x v="15"/>
    <x v="40"/>
    <x v="375"/>
    <x v="5"/>
    <x v="0"/>
  </r>
  <r>
    <x v="15"/>
    <x v="716"/>
    <x v="34"/>
    <x v="6"/>
    <x v="0"/>
  </r>
  <r>
    <x v="15"/>
    <x v="717"/>
    <x v="34"/>
    <x v="6"/>
    <x v="0"/>
  </r>
  <r>
    <x v="15"/>
    <x v="202"/>
    <x v="376"/>
    <x v="2"/>
    <x v="0"/>
  </r>
  <r>
    <x v="15"/>
    <x v="147"/>
    <x v="60"/>
    <x v="6"/>
    <x v="0"/>
  </r>
  <r>
    <x v="15"/>
    <x v="42"/>
    <x v="60"/>
    <x v="6"/>
    <x v="0"/>
  </r>
  <r>
    <x v="15"/>
    <x v="580"/>
    <x v="244"/>
    <x v="6"/>
    <x v="0"/>
  </r>
  <r>
    <x v="15"/>
    <x v="607"/>
    <x v="245"/>
    <x v="6"/>
    <x v="0"/>
  </r>
  <r>
    <x v="15"/>
    <x v="718"/>
    <x v="377"/>
    <x v="6"/>
    <x v="0"/>
  </r>
  <r>
    <x v="15"/>
    <x v="351"/>
    <x v="41"/>
    <x v="2"/>
    <x v="0"/>
  </r>
  <r>
    <x v="15"/>
    <x v="101"/>
    <x v="63"/>
    <x v="5"/>
    <x v="0"/>
  </r>
  <r>
    <x v="15"/>
    <x v="719"/>
    <x v="226"/>
    <x v="5"/>
    <x v="0"/>
  </r>
  <r>
    <x v="15"/>
    <x v="720"/>
    <x v="246"/>
    <x v="2"/>
    <x v="0"/>
  </r>
  <r>
    <x v="15"/>
    <x v="346"/>
    <x v="246"/>
    <x v="5"/>
    <x v="0"/>
  </r>
  <r>
    <x v="15"/>
    <x v="721"/>
    <x v="227"/>
    <x v="5"/>
    <x v="0"/>
  </r>
  <r>
    <x v="15"/>
    <x v="722"/>
    <x v="229"/>
    <x v="2"/>
    <x v="0"/>
  </r>
  <r>
    <x v="15"/>
    <x v="157"/>
    <x v="229"/>
    <x v="2"/>
    <x v="0"/>
  </r>
  <r>
    <x v="15"/>
    <x v="723"/>
    <x v="229"/>
    <x v="2"/>
    <x v="0"/>
  </r>
  <r>
    <x v="15"/>
    <x v="619"/>
    <x v="48"/>
    <x v="6"/>
    <x v="0"/>
  </r>
  <r>
    <x v="15"/>
    <x v="724"/>
    <x v="48"/>
    <x v="6"/>
    <x v="0"/>
  </r>
  <r>
    <x v="15"/>
    <x v="341"/>
    <x v="48"/>
    <x v="2"/>
    <x v="0"/>
  </r>
  <r>
    <x v="15"/>
    <x v="681"/>
    <x v="50"/>
    <x v="6"/>
    <x v="0"/>
  </r>
  <r>
    <x v="15"/>
    <x v="145"/>
    <x v="52"/>
    <x v="6"/>
    <x v="0"/>
  </r>
  <r>
    <x v="15"/>
    <x v="725"/>
    <x v="200"/>
    <x v="5"/>
    <x v="0"/>
  </r>
  <r>
    <x v="15"/>
    <x v="726"/>
    <x v="247"/>
    <x v="2"/>
    <x v="0"/>
  </r>
  <r>
    <x v="15"/>
    <x v="235"/>
    <x v="247"/>
    <x v="2"/>
    <x v="0"/>
  </r>
  <r>
    <x v="15"/>
    <x v="727"/>
    <x v="53"/>
    <x v="6"/>
    <x v="0"/>
  </r>
  <r>
    <x v="15"/>
    <x v="29"/>
    <x v="53"/>
    <x v="6"/>
    <x v="0"/>
  </r>
  <r>
    <x v="15"/>
    <x v="728"/>
    <x v="175"/>
    <x v="2"/>
    <x v="0"/>
  </r>
  <r>
    <x v="15"/>
    <x v="319"/>
    <x v="175"/>
    <x v="2"/>
    <x v="0"/>
  </r>
  <r>
    <x v="15"/>
    <x v="729"/>
    <x v="175"/>
    <x v="2"/>
    <x v="0"/>
  </r>
  <r>
    <x v="15"/>
    <x v="730"/>
    <x v="175"/>
    <x v="2"/>
    <x v="0"/>
  </r>
  <r>
    <x v="15"/>
    <x v="731"/>
    <x v="176"/>
    <x v="6"/>
    <x v="0"/>
  </r>
  <r>
    <x v="15"/>
    <x v="732"/>
    <x v="176"/>
    <x v="6"/>
    <x v="0"/>
  </r>
  <r>
    <x v="15"/>
    <x v="733"/>
    <x v="176"/>
    <x v="6"/>
    <x v="0"/>
  </r>
  <r>
    <x v="15"/>
    <x v="89"/>
    <x v="176"/>
    <x v="6"/>
    <x v="0"/>
  </r>
  <r>
    <x v="15"/>
    <x v="734"/>
    <x v="176"/>
    <x v="6"/>
    <x v="0"/>
  </r>
  <r>
    <x v="15"/>
    <x v="129"/>
    <x v="176"/>
    <x v="6"/>
    <x v="0"/>
  </r>
  <r>
    <x v="15"/>
    <x v="735"/>
    <x v="176"/>
    <x v="6"/>
    <x v="0"/>
  </r>
  <r>
    <x v="15"/>
    <x v="736"/>
    <x v="176"/>
    <x v="6"/>
    <x v="0"/>
  </r>
  <r>
    <x v="15"/>
    <x v="737"/>
    <x v="176"/>
    <x v="6"/>
    <x v="0"/>
  </r>
  <r>
    <x v="15"/>
    <x v="738"/>
    <x v="176"/>
    <x v="6"/>
    <x v="0"/>
  </r>
  <r>
    <x v="15"/>
    <x v="739"/>
    <x v="176"/>
    <x v="6"/>
    <x v="0"/>
  </r>
  <r>
    <x v="15"/>
    <x v="740"/>
    <x v="176"/>
    <x v="6"/>
    <x v="0"/>
  </r>
  <r>
    <x v="15"/>
    <x v="200"/>
    <x v="180"/>
    <x v="6"/>
    <x v="0"/>
  </r>
  <r>
    <x v="15"/>
    <x v="741"/>
    <x v="180"/>
    <x v="6"/>
    <x v="0"/>
  </r>
  <r>
    <x v="15"/>
    <x v="609"/>
    <x v="180"/>
    <x v="6"/>
    <x v="0"/>
  </r>
  <r>
    <x v="15"/>
    <x v="742"/>
    <x v="180"/>
    <x v="6"/>
    <x v="0"/>
  </r>
  <r>
    <x v="15"/>
    <x v="575"/>
    <x v="180"/>
    <x v="6"/>
    <x v="0"/>
  </r>
  <r>
    <x v="15"/>
    <x v="743"/>
    <x v="180"/>
    <x v="6"/>
    <x v="0"/>
  </r>
  <r>
    <x v="15"/>
    <x v="365"/>
    <x v="180"/>
    <x v="6"/>
    <x v="0"/>
  </r>
  <r>
    <x v="15"/>
    <x v="582"/>
    <x v="180"/>
    <x v="6"/>
    <x v="0"/>
  </r>
  <r>
    <x v="15"/>
    <x v="662"/>
    <x v="180"/>
    <x v="6"/>
    <x v="0"/>
  </r>
  <r>
    <x v="15"/>
    <x v="744"/>
    <x v="180"/>
    <x v="6"/>
    <x v="0"/>
  </r>
  <r>
    <x v="15"/>
    <x v="745"/>
    <x v="180"/>
    <x v="6"/>
    <x v="0"/>
  </r>
  <r>
    <x v="15"/>
    <x v="412"/>
    <x v="180"/>
    <x v="6"/>
    <x v="0"/>
  </r>
  <r>
    <x v="15"/>
    <x v="359"/>
    <x v="180"/>
    <x v="6"/>
    <x v="0"/>
  </r>
  <r>
    <x v="15"/>
    <x v="746"/>
    <x v="180"/>
    <x v="6"/>
    <x v="0"/>
  </r>
  <r>
    <x v="15"/>
    <x v="747"/>
    <x v="180"/>
    <x v="6"/>
    <x v="0"/>
  </r>
  <r>
    <x v="15"/>
    <x v="51"/>
    <x v="180"/>
    <x v="6"/>
    <x v="0"/>
  </r>
  <r>
    <x v="15"/>
    <x v="748"/>
    <x v="180"/>
    <x v="6"/>
    <x v="0"/>
  </r>
  <r>
    <x v="15"/>
    <x v="650"/>
    <x v="180"/>
    <x v="6"/>
    <x v="0"/>
  </r>
  <r>
    <x v="15"/>
    <x v="749"/>
    <x v="180"/>
    <x v="6"/>
    <x v="0"/>
  </r>
  <r>
    <x v="15"/>
    <x v="750"/>
    <x v="180"/>
    <x v="6"/>
    <x v="0"/>
  </r>
  <r>
    <x v="15"/>
    <x v="352"/>
    <x v="180"/>
    <x v="6"/>
    <x v="0"/>
  </r>
  <r>
    <x v="15"/>
    <x v="159"/>
    <x v="180"/>
    <x v="6"/>
    <x v="0"/>
  </r>
  <r>
    <x v="15"/>
    <x v="56"/>
    <x v="180"/>
    <x v="6"/>
    <x v="0"/>
  </r>
  <r>
    <x v="15"/>
    <x v="751"/>
    <x v="180"/>
    <x v="6"/>
    <x v="0"/>
  </r>
  <r>
    <x v="15"/>
    <x v="158"/>
    <x v="180"/>
    <x v="6"/>
    <x v="0"/>
  </r>
  <r>
    <x v="15"/>
    <x v="752"/>
    <x v="180"/>
    <x v="6"/>
    <x v="0"/>
  </r>
  <r>
    <x v="15"/>
    <x v="243"/>
    <x v="180"/>
    <x v="6"/>
    <x v="0"/>
  </r>
  <r>
    <x v="15"/>
    <x v="753"/>
    <x v="180"/>
    <x v="6"/>
    <x v="0"/>
  </r>
  <r>
    <x v="15"/>
    <x v="28"/>
    <x v="180"/>
    <x v="6"/>
    <x v="0"/>
  </r>
  <r>
    <x v="15"/>
    <x v="544"/>
    <x v="180"/>
    <x v="6"/>
    <x v="0"/>
  </r>
  <r>
    <x v="15"/>
    <x v="754"/>
    <x v="180"/>
    <x v="6"/>
    <x v="0"/>
  </r>
  <r>
    <x v="15"/>
    <x v="295"/>
    <x v="180"/>
    <x v="6"/>
    <x v="0"/>
  </r>
  <r>
    <x v="16"/>
    <x v="755"/>
    <x v="378"/>
    <x v="0"/>
    <x v="0"/>
  </r>
  <r>
    <x v="16"/>
    <x v="111"/>
    <x v="379"/>
    <x v="5"/>
    <x v="0"/>
  </r>
  <r>
    <x v="16"/>
    <x v="249"/>
    <x v="380"/>
    <x v="5"/>
    <x v="0"/>
  </r>
  <r>
    <x v="16"/>
    <x v="756"/>
    <x v="369"/>
    <x v="2"/>
    <x v="0"/>
  </r>
  <r>
    <x v="16"/>
    <x v="757"/>
    <x v="381"/>
    <x v="2"/>
    <x v="0"/>
  </r>
  <r>
    <x v="16"/>
    <x v="589"/>
    <x v="382"/>
    <x v="2"/>
    <x v="0"/>
  </r>
  <r>
    <x v="16"/>
    <x v="758"/>
    <x v="118"/>
    <x v="6"/>
    <x v="0"/>
  </r>
  <r>
    <x v="16"/>
    <x v="759"/>
    <x v="119"/>
    <x v="5"/>
    <x v="0"/>
  </r>
  <r>
    <x v="16"/>
    <x v="245"/>
    <x v="383"/>
    <x v="2"/>
    <x v="0"/>
  </r>
  <r>
    <x v="16"/>
    <x v="760"/>
    <x v="384"/>
    <x v="5"/>
    <x v="0"/>
  </r>
  <r>
    <x v="16"/>
    <x v="56"/>
    <x v="385"/>
    <x v="4"/>
    <x v="0"/>
  </r>
  <r>
    <x v="16"/>
    <x v="761"/>
    <x v="386"/>
    <x v="3"/>
    <x v="0"/>
  </r>
  <r>
    <x v="16"/>
    <x v="370"/>
    <x v="387"/>
    <x v="5"/>
    <x v="0"/>
  </r>
  <r>
    <x v="16"/>
    <x v="762"/>
    <x v="388"/>
    <x v="2"/>
    <x v="0"/>
  </r>
  <r>
    <x v="16"/>
    <x v="444"/>
    <x v="194"/>
    <x v="2"/>
    <x v="0"/>
  </r>
  <r>
    <x v="16"/>
    <x v="682"/>
    <x v="319"/>
    <x v="5"/>
    <x v="0"/>
  </r>
  <r>
    <x v="16"/>
    <x v="438"/>
    <x v="389"/>
    <x v="2"/>
    <x v="0"/>
  </r>
  <r>
    <x v="16"/>
    <x v="49"/>
    <x v="390"/>
    <x v="3"/>
    <x v="0"/>
  </r>
  <r>
    <x v="16"/>
    <x v="445"/>
    <x v="60"/>
    <x v="2"/>
    <x v="0"/>
  </r>
  <r>
    <x v="16"/>
    <x v="763"/>
    <x v="244"/>
    <x v="6"/>
    <x v="0"/>
  </r>
  <r>
    <x v="16"/>
    <x v="607"/>
    <x v="95"/>
    <x v="2"/>
    <x v="0"/>
  </r>
  <r>
    <x v="16"/>
    <x v="411"/>
    <x v="391"/>
    <x v="6"/>
    <x v="0"/>
  </r>
  <r>
    <x v="16"/>
    <x v="217"/>
    <x v="289"/>
    <x v="6"/>
    <x v="0"/>
  </r>
  <r>
    <x v="16"/>
    <x v="764"/>
    <x v="377"/>
    <x v="6"/>
    <x v="0"/>
  </r>
  <r>
    <x v="16"/>
    <x v="216"/>
    <x v="228"/>
    <x v="2"/>
    <x v="0"/>
  </r>
  <r>
    <x v="16"/>
    <x v="646"/>
    <x v="229"/>
    <x v="2"/>
    <x v="0"/>
  </r>
  <r>
    <x v="16"/>
    <x v="147"/>
    <x v="51"/>
    <x v="6"/>
    <x v="0"/>
  </r>
  <r>
    <x v="16"/>
    <x v="40"/>
    <x v="200"/>
    <x v="5"/>
    <x v="0"/>
  </r>
  <r>
    <x v="16"/>
    <x v="441"/>
    <x v="247"/>
    <x v="2"/>
    <x v="0"/>
  </r>
  <r>
    <x v="16"/>
    <x v="367"/>
    <x v="231"/>
    <x v="2"/>
    <x v="0"/>
  </r>
  <r>
    <x v="16"/>
    <x v="765"/>
    <x v="231"/>
    <x v="2"/>
    <x v="0"/>
  </r>
  <r>
    <x v="16"/>
    <x v="243"/>
    <x v="231"/>
    <x v="2"/>
    <x v="0"/>
  </r>
  <r>
    <x v="16"/>
    <x v="766"/>
    <x v="53"/>
    <x v="6"/>
    <x v="0"/>
  </r>
  <r>
    <x v="16"/>
    <x v="767"/>
    <x v="53"/>
    <x v="6"/>
    <x v="0"/>
  </r>
  <r>
    <x v="16"/>
    <x v="768"/>
    <x v="53"/>
    <x v="6"/>
    <x v="0"/>
  </r>
  <r>
    <x v="16"/>
    <x v="769"/>
    <x v="53"/>
    <x v="6"/>
    <x v="0"/>
  </r>
  <r>
    <x v="16"/>
    <x v="500"/>
    <x v="53"/>
    <x v="6"/>
    <x v="0"/>
  </r>
  <r>
    <x v="16"/>
    <x v="141"/>
    <x v="175"/>
    <x v="2"/>
    <x v="0"/>
  </r>
  <r>
    <x v="16"/>
    <x v="437"/>
    <x v="175"/>
    <x v="2"/>
    <x v="0"/>
  </r>
  <r>
    <x v="16"/>
    <x v="683"/>
    <x v="175"/>
    <x v="2"/>
    <x v="0"/>
  </r>
  <r>
    <x v="16"/>
    <x v="662"/>
    <x v="175"/>
    <x v="2"/>
    <x v="0"/>
  </r>
  <r>
    <x v="16"/>
    <x v="770"/>
    <x v="175"/>
    <x v="2"/>
    <x v="0"/>
  </r>
  <r>
    <x v="16"/>
    <x v="771"/>
    <x v="175"/>
    <x v="2"/>
    <x v="0"/>
  </r>
  <r>
    <x v="16"/>
    <x v="772"/>
    <x v="175"/>
    <x v="2"/>
    <x v="0"/>
  </r>
  <r>
    <x v="16"/>
    <x v="773"/>
    <x v="175"/>
    <x v="2"/>
    <x v="0"/>
  </r>
  <r>
    <x v="16"/>
    <x v="659"/>
    <x v="175"/>
    <x v="2"/>
    <x v="0"/>
  </r>
  <r>
    <x v="16"/>
    <x v="580"/>
    <x v="175"/>
    <x v="2"/>
    <x v="0"/>
  </r>
  <r>
    <x v="16"/>
    <x v="774"/>
    <x v="175"/>
    <x v="2"/>
    <x v="0"/>
  </r>
  <r>
    <x v="16"/>
    <x v="544"/>
    <x v="175"/>
    <x v="2"/>
    <x v="0"/>
  </r>
  <r>
    <x v="16"/>
    <x v="775"/>
    <x v="175"/>
    <x v="2"/>
    <x v="0"/>
  </r>
  <r>
    <x v="16"/>
    <x v="160"/>
    <x v="176"/>
    <x v="6"/>
    <x v="0"/>
  </r>
  <r>
    <x v="16"/>
    <x v="776"/>
    <x v="176"/>
    <x v="6"/>
    <x v="0"/>
  </r>
  <r>
    <x v="16"/>
    <x v="230"/>
    <x v="176"/>
    <x v="6"/>
    <x v="0"/>
  </r>
  <r>
    <x v="16"/>
    <x v="777"/>
    <x v="176"/>
    <x v="6"/>
    <x v="0"/>
  </r>
  <r>
    <x v="16"/>
    <x v="778"/>
    <x v="176"/>
    <x v="6"/>
    <x v="0"/>
  </r>
  <r>
    <x v="16"/>
    <x v="779"/>
    <x v="176"/>
    <x v="6"/>
    <x v="0"/>
  </r>
  <r>
    <x v="16"/>
    <x v="780"/>
    <x v="176"/>
    <x v="6"/>
    <x v="0"/>
  </r>
  <r>
    <x v="16"/>
    <x v="781"/>
    <x v="176"/>
    <x v="6"/>
    <x v="0"/>
  </r>
  <r>
    <x v="16"/>
    <x v="782"/>
    <x v="176"/>
    <x v="6"/>
    <x v="0"/>
  </r>
  <r>
    <x v="16"/>
    <x v="783"/>
    <x v="176"/>
    <x v="6"/>
    <x v="0"/>
  </r>
  <r>
    <x v="16"/>
    <x v="784"/>
    <x v="176"/>
    <x v="6"/>
    <x v="0"/>
  </r>
  <r>
    <x v="16"/>
    <x v="785"/>
    <x v="180"/>
    <x v="6"/>
    <x v="0"/>
  </r>
  <r>
    <x v="16"/>
    <x v="624"/>
    <x v="180"/>
    <x v="6"/>
    <x v="0"/>
  </r>
  <r>
    <x v="16"/>
    <x v="535"/>
    <x v="180"/>
    <x v="6"/>
    <x v="0"/>
  </r>
  <r>
    <x v="16"/>
    <x v="625"/>
    <x v="180"/>
    <x v="6"/>
    <x v="0"/>
  </r>
  <r>
    <x v="16"/>
    <x v="575"/>
    <x v="180"/>
    <x v="6"/>
    <x v="0"/>
  </r>
  <r>
    <x v="16"/>
    <x v="301"/>
    <x v="180"/>
    <x v="6"/>
    <x v="0"/>
  </r>
  <r>
    <x v="16"/>
    <x v="101"/>
    <x v="180"/>
    <x v="6"/>
    <x v="0"/>
  </r>
  <r>
    <x v="16"/>
    <x v="120"/>
    <x v="180"/>
    <x v="6"/>
    <x v="0"/>
  </r>
  <r>
    <x v="16"/>
    <x v="747"/>
    <x v="180"/>
    <x v="6"/>
    <x v="0"/>
  </r>
  <r>
    <x v="16"/>
    <x v="375"/>
    <x v="180"/>
    <x v="6"/>
    <x v="0"/>
  </r>
  <r>
    <x v="16"/>
    <x v="127"/>
    <x v="180"/>
    <x v="6"/>
    <x v="0"/>
  </r>
  <r>
    <x v="16"/>
    <x v="702"/>
    <x v="180"/>
    <x v="6"/>
    <x v="0"/>
  </r>
  <r>
    <x v="16"/>
    <x v="650"/>
    <x v="180"/>
    <x v="6"/>
    <x v="0"/>
  </r>
  <r>
    <x v="16"/>
    <x v="360"/>
    <x v="180"/>
    <x v="6"/>
    <x v="0"/>
  </r>
  <r>
    <x v="16"/>
    <x v="786"/>
    <x v="180"/>
    <x v="6"/>
    <x v="0"/>
  </r>
  <r>
    <x v="16"/>
    <x v="787"/>
    <x v="180"/>
    <x v="6"/>
    <x v="0"/>
  </r>
  <r>
    <x v="16"/>
    <x v="673"/>
    <x v="180"/>
    <x v="6"/>
    <x v="0"/>
  </r>
  <r>
    <x v="16"/>
    <x v="788"/>
    <x v="180"/>
    <x v="6"/>
    <x v="0"/>
  </r>
  <r>
    <x v="16"/>
    <x v="86"/>
    <x v="180"/>
    <x v="6"/>
    <x v="0"/>
  </r>
  <r>
    <x v="16"/>
    <x v="493"/>
    <x v="180"/>
    <x v="6"/>
    <x v="0"/>
  </r>
  <r>
    <x v="16"/>
    <x v="652"/>
    <x v="180"/>
    <x v="6"/>
    <x v="0"/>
  </r>
  <r>
    <x v="16"/>
    <x v="193"/>
    <x v="180"/>
    <x v="6"/>
    <x v="0"/>
  </r>
  <r>
    <x v="16"/>
    <x v="100"/>
    <x v="180"/>
    <x v="6"/>
    <x v="0"/>
  </r>
  <r>
    <x v="16"/>
    <x v="789"/>
    <x v="180"/>
    <x v="6"/>
    <x v="0"/>
  </r>
  <r>
    <x v="16"/>
    <x v="297"/>
    <x v="180"/>
    <x v="6"/>
    <x v="0"/>
  </r>
  <r>
    <x v="16"/>
    <x v="790"/>
    <x v="180"/>
    <x v="6"/>
    <x v="0"/>
  </r>
  <r>
    <x v="16"/>
    <x v="382"/>
    <x v="180"/>
    <x v="6"/>
    <x v="0"/>
  </r>
  <r>
    <x v="16"/>
    <x v="362"/>
    <x v="180"/>
    <x v="6"/>
    <x v="0"/>
  </r>
  <r>
    <x v="16"/>
    <x v="545"/>
    <x v="180"/>
    <x v="6"/>
    <x v="0"/>
  </r>
  <r>
    <x v="16"/>
    <x v="791"/>
    <x v="180"/>
    <x v="6"/>
    <x v="0"/>
  </r>
  <r>
    <x v="16"/>
    <x v="643"/>
    <x v="180"/>
    <x v="6"/>
    <x v="0"/>
  </r>
  <r>
    <x v="16"/>
    <x v="295"/>
    <x v="180"/>
    <x v="6"/>
    <x v="0"/>
  </r>
  <r>
    <x v="16"/>
    <x v="792"/>
    <x v="180"/>
    <x v="6"/>
    <x v="0"/>
  </r>
  <r>
    <x v="16"/>
    <x v="793"/>
    <x v="180"/>
    <x v="6"/>
    <x v="0"/>
  </r>
  <r>
    <x v="16"/>
    <x v="363"/>
    <x v="180"/>
    <x v="6"/>
    <x v="0"/>
  </r>
  <r>
    <x v="17"/>
    <x v="794"/>
    <x v="392"/>
    <x v="1"/>
    <x v="0"/>
  </r>
  <r>
    <x v="17"/>
    <x v="144"/>
    <x v="393"/>
    <x v="5"/>
    <x v="0"/>
  </r>
  <r>
    <x v="17"/>
    <x v="391"/>
    <x v="394"/>
    <x v="5"/>
    <x v="0"/>
  </r>
  <r>
    <x v="17"/>
    <x v="244"/>
    <x v="395"/>
    <x v="3"/>
    <x v="0"/>
  </r>
  <r>
    <x v="17"/>
    <x v="351"/>
    <x v="396"/>
    <x v="2"/>
    <x v="0"/>
  </r>
  <r>
    <x v="17"/>
    <x v="437"/>
    <x v="373"/>
    <x v="2"/>
    <x v="0"/>
  </r>
  <r>
    <x v="17"/>
    <x v="165"/>
    <x v="397"/>
    <x v="2"/>
    <x v="0"/>
  </r>
  <r>
    <x v="17"/>
    <x v="679"/>
    <x v="398"/>
    <x v="6"/>
    <x v="0"/>
  </r>
  <r>
    <x v="17"/>
    <x v="757"/>
    <x v="374"/>
    <x v="6"/>
    <x v="0"/>
  </r>
  <r>
    <x v="17"/>
    <x v="795"/>
    <x v="399"/>
    <x v="1"/>
    <x v="0"/>
  </r>
  <r>
    <x v="17"/>
    <x v="152"/>
    <x v="400"/>
    <x v="6"/>
    <x v="0"/>
  </r>
  <r>
    <x v="17"/>
    <x v="362"/>
    <x v="267"/>
    <x v="6"/>
    <x v="0"/>
  </r>
  <r>
    <x v="17"/>
    <x v="200"/>
    <x v="401"/>
    <x v="2"/>
    <x v="0"/>
  </r>
  <r>
    <x v="17"/>
    <x v="492"/>
    <x v="34"/>
    <x v="6"/>
    <x v="0"/>
  </r>
  <r>
    <x v="17"/>
    <x v="295"/>
    <x v="35"/>
    <x v="3"/>
    <x v="0"/>
  </r>
  <r>
    <x v="17"/>
    <x v="796"/>
    <x v="76"/>
    <x v="6"/>
    <x v="0"/>
  </r>
  <r>
    <x v="17"/>
    <x v="445"/>
    <x v="402"/>
    <x v="2"/>
    <x v="0"/>
  </r>
  <r>
    <x v="17"/>
    <x v="797"/>
    <x v="63"/>
    <x v="2"/>
    <x v="0"/>
  </r>
  <r>
    <x v="17"/>
    <x v="798"/>
    <x v="403"/>
    <x v="5"/>
    <x v="0"/>
  </r>
  <r>
    <x v="17"/>
    <x v="678"/>
    <x v="226"/>
    <x v="5"/>
    <x v="0"/>
  </r>
  <r>
    <x v="17"/>
    <x v="706"/>
    <x v="404"/>
    <x v="3"/>
    <x v="0"/>
  </r>
  <r>
    <x v="17"/>
    <x v="645"/>
    <x v="228"/>
    <x v="2"/>
    <x v="0"/>
  </r>
  <r>
    <x v="17"/>
    <x v="799"/>
    <x v="229"/>
    <x v="2"/>
    <x v="0"/>
  </r>
  <r>
    <x v="17"/>
    <x v="541"/>
    <x v="229"/>
    <x v="2"/>
    <x v="0"/>
  </r>
  <r>
    <x v="17"/>
    <x v="243"/>
    <x v="405"/>
    <x v="3"/>
    <x v="0"/>
  </r>
  <r>
    <x v="17"/>
    <x v="800"/>
    <x v="48"/>
    <x v="6"/>
    <x v="0"/>
  </r>
  <r>
    <x v="17"/>
    <x v="111"/>
    <x v="51"/>
    <x v="6"/>
    <x v="0"/>
  </r>
  <r>
    <x v="17"/>
    <x v="444"/>
    <x v="52"/>
    <x v="6"/>
    <x v="0"/>
  </r>
  <r>
    <x v="17"/>
    <x v="676"/>
    <x v="200"/>
    <x v="5"/>
    <x v="0"/>
  </r>
  <r>
    <x v="17"/>
    <x v="127"/>
    <x v="200"/>
    <x v="5"/>
    <x v="0"/>
  </r>
  <r>
    <x v="17"/>
    <x v="801"/>
    <x v="247"/>
    <x v="2"/>
    <x v="0"/>
  </r>
  <r>
    <x v="17"/>
    <x v="392"/>
    <x v="247"/>
    <x v="2"/>
    <x v="0"/>
  </r>
  <r>
    <x v="17"/>
    <x v="545"/>
    <x v="231"/>
    <x v="2"/>
    <x v="0"/>
  </r>
  <r>
    <x v="17"/>
    <x v="171"/>
    <x v="53"/>
    <x v="6"/>
    <x v="0"/>
  </r>
  <r>
    <x v="17"/>
    <x v="742"/>
    <x v="53"/>
    <x v="6"/>
    <x v="0"/>
  </r>
  <r>
    <x v="17"/>
    <x v="802"/>
    <x v="53"/>
    <x v="6"/>
    <x v="0"/>
  </r>
  <r>
    <x v="17"/>
    <x v="442"/>
    <x v="53"/>
    <x v="6"/>
    <x v="0"/>
  </r>
  <r>
    <x v="17"/>
    <x v="803"/>
    <x v="53"/>
    <x v="6"/>
    <x v="0"/>
  </r>
  <r>
    <x v="17"/>
    <x v="317"/>
    <x v="53"/>
    <x v="6"/>
    <x v="0"/>
  </r>
  <r>
    <x v="17"/>
    <x v="120"/>
    <x v="295"/>
    <x v="2"/>
    <x v="0"/>
  </r>
  <r>
    <x v="17"/>
    <x v="52"/>
    <x v="295"/>
    <x v="2"/>
    <x v="0"/>
  </r>
  <r>
    <x v="17"/>
    <x v="659"/>
    <x v="295"/>
    <x v="2"/>
    <x v="0"/>
  </r>
  <r>
    <x v="17"/>
    <x v="804"/>
    <x v="175"/>
    <x v="2"/>
    <x v="0"/>
  </r>
  <r>
    <x v="17"/>
    <x v="805"/>
    <x v="175"/>
    <x v="2"/>
    <x v="0"/>
  </r>
  <r>
    <x v="17"/>
    <x v="348"/>
    <x v="175"/>
    <x v="2"/>
    <x v="0"/>
  </r>
  <r>
    <x v="17"/>
    <x v="589"/>
    <x v="175"/>
    <x v="2"/>
    <x v="0"/>
  </r>
  <r>
    <x v="17"/>
    <x v="806"/>
    <x v="175"/>
    <x v="2"/>
    <x v="0"/>
  </r>
  <r>
    <x v="17"/>
    <x v="807"/>
    <x v="175"/>
    <x v="2"/>
    <x v="0"/>
  </r>
  <r>
    <x v="17"/>
    <x v="702"/>
    <x v="175"/>
    <x v="2"/>
    <x v="0"/>
  </r>
  <r>
    <x v="17"/>
    <x v="808"/>
    <x v="175"/>
    <x v="2"/>
    <x v="0"/>
  </r>
  <r>
    <x v="17"/>
    <x v="809"/>
    <x v="175"/>
    <x v="2"/>
    <x v="0"/>
  </r>
  <r>
    <x v="17"/>
    <x v="167"/>
    <x v="175"/>
    <x v="2"/>
    <x v="0"/>
  </r>
  <r>
    <x v="17"/>
    <x v="810"/>
    <x v="175"/>
    <x v="2"/>
    <x v="0"/>
  </r>
  <r>
    <x v="17"/>
    <x v="811"/>
    <x v="176"/>
    <x v="6"/>
    <x v="0"/>
  </r>
  <r>
    <x v="17"/>
    <x v="812"/>
    <x v="176"/>
    <x v="6"/>
    <x v="0"/>
  </r>
  <r>
    <x v="17"/>
    <x v="813"/>
    <x v="176"/>
    <x v="6"/>
    <x v="0"/>
  </r>
  <r>
    <x v="17"/>
    <x v="814"/>
    <x v="176"/>
    <x v="6"/>
    <x v="0"/>
  </r>
  <r>
    <x v="17"/>
    <x v="815"/>
    <x v="176"/>
    <x v="6"/>
    <x v="0"/>
  </r>
  <r>
    <x v="17"/>
    <x v="816"/>
    <x v="176"/>
    <x v="6"/>
    <x v="0"/>
  </r>
  <r>
    <x v="17"/>
    <x v="817"/>
    <x v="176"/>
    <x v="6"/>
    <x v="0"/>
  </r>
  <r>
    <x v="17"/>
    <x v="818"/>
    <x v="176"/>
    <x v="6"/>
    <x v="0"/>
  </r>
  <r>
    <x v="17"/>
    <x v="819"/>
    <x v="176"/>
    <x v="6"/>
    <x v="0"/>
  </r>
  <r>
    <x v="17"/>
    <x v="820"/>
    <x v="176"/>
    <x v="6"/>
    <x v="0"/>
  </r>
  <r>
    <x v="17"/>
    <x v="821"/>
    <x v="176"/>
    <x v="6"/>
    <x v="0"/>
  </r>
  <r>
    <x v="17"/>
    <x v="247"/>
    <x v="176"/>
    <x v="6"/>
    <x v="0"/>
  </r>
  <r>
    <x v="17"/>
    <x v="398"/>
    <x v="176"/>
    <x v="6"/>
    <x v="0"/>
  </r>
  <r>
    <x v="17"/>
    <x v="822"/>
    <x v="176"/>
    <x v="6"/>
    <x v="0"/>
  </r>
  <r>
    <x v="17"/>
    <x v="297"/>
    <x v="176"/>
    <x v="6"/>
    <x v="0"/>
  </r>
  <r>
    <x v="17"/>
    <x v="382"/>
    <x v="176"/>
    <x v="6"/>
    <x v="0"/>
  </r>
  <r>
    <x v="17"/>
    <x v="823"/>
    <x v="176"/>
    <x v="6"/>
    <x v="0"/>
  </r>
  <r>
    <x v="17"/>
    <x v="824"/>
    <x v="176"/>
    <x v="6"/>
    <x v="0"/>
  </r>
  <r>
    <x v="17"/>
    <x v="609"/>
    <x v="180"/>
    <x v="6"/>
    <x v="0"/>
  </r>
  <r>
    <x v="17"/>
    <x v="141"/>
    <x v="180"/>
    <x v="6"/>
    <x v="0"/>
  </r>
  <r>
    <x v="17"/>
    <x v="554"/>
    <x v="180"/>
    <x v="6"/>
    <x v="0"/>
  </r>
  <r>
    <x v="17"/>
    <x v="825"/>
    <x v="180"/>
    <x v="6"/>
    <x v="0"/>
  </r>
  <r>
    <x v="17"/>
    <x v="537"/>
    <x v="180"/>
    <x v="6"/>
    <x v="0"/>
  </r>
  <r>
    <x v="17"/>
    <x v="826"/>
    <x v="180"/>
    <x v="6"/>
    <x v="0"/>
  </r>
  <r>
    <x v="17"/>
    <x v="619"/>
    <x v="180"/>
    <x v="6"/>
    <x v="0"/>
  </r>
  <r>
    <x v="17"/>
    <x v="827"/>
    <x v="180"/>
    <x v="6"/>
    <x v="0"/>
  </r>
  <r>
    <x v="17"/>
    <x v="828"/>
    <x v="180"/>
    <x v="6"/>
    <x v="0"/>
  </r>
  <r>
    <x v="17"/>
    <x v="829"/>
    <x v="180"/>
    <x v="6"/>
    <x v="0"/>
  </r>
  <r>
    <x v="17"/>
    <x v="74"/>
    <x v="180"/>
    <x v="6"/>
    <x v="0"/>
  </r>
  <r>
    <x v="17"/>
    <x v="56"/>
    <x v="180"/>
    <x v="6"/>
    <x v="0"/>
  </r>
  <r>
    <x v="17"/>
    <x v="235"/>
    <x v="180"/>
    <x v="6"/>
    <x v="0"/>
  </r>
  <r>
    <x v="17"/>
    <x v="100"/>
    <x v="180"/>
    <x v="6"/>
    <x v="0"/>
  </r>
  <r>
    <x v="17"/>
    <x v="28"/>
    <x v="180"/>
    <x v="6"/>
    <x v="0"/>
  </r>
  <r>
    <x v="17"/>
    <x v="341"/>
    <x v="180"/>
    <x v="6"/>
    <x v="0"/>
  </r>
  <r>
    <x v="17"/>
    <x v="830"/>
    <x v="180"/>
    <x v="6"/>
    <x v="0"/>
  </r>
  <r>
    <x v="17"/>
    <x v="791"/>
    <x v="180"/>
    <x v="6"/>
    <x v="0"/>
  </r>
  <r>
    <x v="17"/>
    <x v="546"/>
    <x v="180"/>
    <x v="6"/>
    <x v="0"/>
  </r>
  <r>
    <x v="18"/>
    <x v="71"/>
    <x v="406"/>
    <x v="1"/>
    <x v="0"/>
  </r>
  <r>
    <x v="18"/>
    <x v="193"/>
    <x v="118"/>
    <x v="6"/>
    <x v="0"/>
  </r>
  <r>
    <x v="18"/>
    <x v="235"/>
    <x v="118"/>
    <x v="6"/>
    <x v="0"/>
  </r>
  <r>
    <x v="18"/>
    <x v="831"/>
    <x v="118"/>
    <x v="6"/>
    <x v="0"/>
  </r>
  <r>
    <x v="18"/>
    <x v="815"/>
    <x v="132"/>
    <x v="6"/>
    <x v="0"/>
  </r>
  <r>
    <x v="18"/>
    <x v="443"/>
    <x v="407"/>
    <x v="3"/>
    <x v="0"/>
  </r>
  <r>
    <x v="18"/>
    <x v="607"/>
    <x v="408"/>
    <x v="3"/>
    <x v="0"/>
  </r>
  <r>
    <x v="18"/>
    <x v="676"/>
    <x v="409"/>
    <x v="2"/>
    <x v="0"/>
  </r>
  <r>
    <x v="18"/>
    <x v="795"/>
    <x v="410"/>
    <x v="5"/>
    <x v="0"/>
  </r>
  <r>
    <x v="18"/>
    <x v="70"/>
    <x v="411"/>
    <x v="2"/>
    <x v="0"/>
  </r>
  <r>
    <x v="18"/>
    <x v="247"/>
    <x v="411"/>
    <x v="5"/>
    <x v="0"/>
  </r>
  <r>
    <x v="18"/>
    <x v="249"/>
    <x v="412"/>
    <x v="5"/>
    <x v="0"/>
  </r>
  <r>
    <x v="18"/>
    <x v="49"/>
    <x v="31"/>
    <x v="5"/>
    <x v="0"/>
  </r>
  <r>
    <x v="18"/>
    <x v="56"/>
    <x v="413"/>
    <x v="2"/>
    <x v="0"/>
  </r>
  <r>
    <x v="18"/>
    <x v="438"/>
    <x v="414"/>
    <x v="3"/>
    <x v="0"/>
  </r>
  <r>
    <x v="18"/>
    <x v="152"/>
    <x v="415"/>
    <x v="2"/>
    <x v="0"/>
  </r>
  <r>
    <x v="18"/>
    <x v="130"/>
    <x v="287"/>
    <x v="5"/>
    <x v="0"/>
  </r>
  <r>
    <x v="18"/>
    <x v="827"/>
    <x v="416"/>
    <x v="2"/>
    <x v="0"/>
  </r>
  <r>
    <x v="18"/>
    <x v="101"/>
    <x v="60"/>
    <x v="6"/>
    <x v="0"/>
  </r>
  <r>
    <x v="18"/>
    <x v="472"/>
    <x v="63"/>
    <x v="2"/>
    <x v="0"/>
  </r>
  <r>
    <x v="18"/>
    <x v="440"/>
    <x v="417"/>
    <x v="2"/>
    <x v="0"/>
  </r>
  <r>
    <x v="18"/>
    <x v="200"/>
    <x v="225"/>
    <x v="3"/>
    <x v="0"/>
  </r>
  <r>
    <x v="18"/>
    <x v="295"/>
    <x v="418"/>
    <x v="2"/>
    <x v="0"/>
  </r>
  <r>
    <x v="18"/>
    <x v="796"/>
    <x v="275"/>
    <x v="5"/>
    <x v="0"/>
  </r>
  <r>
    <x v="18"/>
    <x v="297"/>
    <x v="419"/>
    <x v="5"/>
    <x v="0"/>
  </r>
  <r>
    <x v="18"/>
    <x v="832"/>
    <x v="420"/>
    <x v="6"/>
    <x v="0"/>
  </r>
  <r>
    <x v="18"/>
    <x v="362"/>
    <x v="421"/>
    <x v="6"/>
    <x v="0"/>
  </r>
  <r>
    <x v="18"/>
    <x v="445"/>
    <x v="404"/>
    <x v="3"/>
    <x v="0"/>
  </r>
  <r>
    <x v="18"/>
    <x v="833"/>
    <x v="228"/>
    <x v="2"/>
    <x v="0"/>
  </r>
  <r>
    <x v="18"/>
    <x v="411"/>
    <x v="51"/>
    <x v="6"/>
    <x v="0"/>
  </r>
  <r>
    <x v="18"/>
    <x v="244"/>
    <x v="51"/>
    <x v="6"/>
    <x v="0"/>
  </r>
  <r>
    <x v="18"/>
    <x v="96"/>
    <x v="52"/>
    <x v="6"/>
    <x v="0"/>
  </r>
  <r>
    <x v="18"/>
    <x v="494"/>
    <x v="52"/>
    <x v="6"/>
    <x v="0"/>
  </r>
  <r>
    <x v="18"/>
    <x v="359"/>
    <x v="247"/>
    <x v="2"/>
    <x v="0"/>
  </r>
  <r>
    <x v="18"/>
    <x v="52"/>
    <x v="247"/>
    <x v="2"/>
    <x v="0"/>
  </r>
  <r>
    <x v="18"/>
    <x v="370"/>
    <x v="231"/>
    <x v="2"/>
    <x v="0"/>
  </r>
  <r>
    <x v="18"/>
    <x v="659"/>
    <x v="231"/>
    <x v="2"/>
    <x v="0"/>
  </r>
  <r>
    <x v="18"/>
    <x v="120"/>
    <x v="53"/>
    <x v="6"/>
    <x v="0"/>
  </r>
  <r>
    <x v="18"/>
    <x v="747"/>
    <x v="53"/>
    <x v="6"/>
    <x v="0"/>
  </r>
  <r>
    <x v="18"/>
    <x v="761"/>
    <x v="53"/>
    <x v="6"/>
    <x v="0"/>
  </r>
  <r>
    <x v="18"/>
    <x v="251"/>
    <x v="53"/>
    <x v="6"/>
    <x v="0"/>
  </r>
  <r>
    <x v="18"/>
    <x v="205"/>
    <x v="53"/>
    <x v="6"/>
    <x v="0"/>
  </r>
  <r>
    <x v="18"/>
    <x v="834"/>
    <x v="53"/>
    <x v="6"/>
    <x v="0"/>
  </r>
  <r>
    <x v="18"/>
    <x v="835"/>
    <x v="295"/>
    <x v="2"/>
    <x v="0"/>
  </r>
  <r>
    <x v="18"/>
    <x v="836"/>
    <x v="422"/>
    <x v="6"/>
    <x v="0"/>
  </r>
  <r>
    <x v="18"/>
    <x v="837"/>
    <x v="175"/>
    <x v="2"/>
    <x v="0"/>
  </r>
  <r>
    <x v="18"/>
    <x v="619"/>
    <x v="175"/>
    <x v="2"/>
    <x v="0"/>
  </r>
  <r>
    <x v="18"/>
    <x v="44"/>
    <x v="175"/>
    <x v="2"/>
    <x v="0"/>
  </r>
  <r>
    <x v="18"/>
    <x v="838"/>
    <x v="175"/>
    <x v="2"/>
    <x v="0"/>
  </r>
  <r>
    <x v="18"/>
    <x v="839"/>
    <x v="176"/>
    <x v="6"/>
    <x v="0"/>
  </r>
  <r>
    <x v="18"/>
    <x v="62"/>
    <x v="176"/>
    <x v="6"/>
    <x v="0"/>
  </r>
  <r>
    <x v="18"/>
    <x v="840"/>
    <x v="176"/>
    <x v="6"/>
    <x v="0"/>
  </r>
  <r>
    <x v="18"/>
    <x v="74"/>
    <x v="176"/>
    <x v="6"/>
    <x v="0"/>
  </r>
  <r>
    <x v="18"/>
    <x v="841"/>
    <x v="176"/>
    <x v="6"/>
    <x v="0"/>
  </r>
  <r>
    <x v="18"/>
    <x v="842"/>
    <x v="176"/>
    <x v="6"/>
    <x v="0"/>
  </r>
  <r>
    <x v="18"/>
    <x v="843"/>
    <x v="176"/>
    <x v="6"/>
    <x v="0"/>
  </r>
  <r>
    <x v="18"/>
    <x v="677"/>
    <x v="176"/>
    <x v="6"/>
    <x v="0"/>
  </r>
  <r>
    <x v="18"/>
    <x v="448"/>
    <x v="176"/>
    <x v="6"/>
    <x v="0"/>
  </r>
  <r>
    <x v="18"/>
    <x v="29"/>
    <x v="176"/>
    <x v="6"/>
    <x v="0"/>
  </r>
  <r>
    <x v="18"/>
    <x v="437"/>
    <x v="180"/>
    <x v="6"/>
    <x v="0"/>
  </r>
  <r>
    <x v="18"/>
    <x v="535"/>
    <x v="180"/>
    <x v="6"/>
    <x v="0"/>
  </r>
  <r>
    <x v="18"/>
    <x v="844"/>
    <x v="180"/>
    <x v="6"/>
    <x v="0"/>
  </r>
  <r>
    <x v="18"/>
    <x v="845"/>
    <x v="180"/>
    <x v="6"/>
    <x v="0"/>
  </r>
  <r>
    <x v="18"/>
    <x v="540"/>
    <x v="180"/>
    <x v="6"/>
    <x v="0"/>
  </r>
  <r>
    <x v="18"/>
    <x v="846"/>
    <x v="180"/>
    <x v="6"/>
    <x v="0"/>
  </r>
  <r>
    <x v="18"/>
    <x v="820"/>
    <x v="180"/>
    <x v="6"/>
    <x v="0"/>
  </r>
  <r>
    <x v="18"/>
    <x v="616"/>
    <x v="180"/>
    <x v="6"/>
    <x v="0"/>
  </r>
  <r>
    <x v="18"/>
    <x v="382"/>
    <x v="180"/>
    <x v="6"/>
    <x v="0"/>
  </r>
  <r>
    <x v="18"/>
    <x v="42"/>
    <x v="180"/>
    <x v="6"/>
    <x v="0"/>
  </r>
  <r>
    <x v="19"/>
    <x v="111"/>
    <x v="423"/>
    <x v="5"/>
    <x v="0"/>
  </r>
  <r>
    <x v="19"/>
    <x v="438"/>
    <x v="10"/>
    <x v="2"/>
    <x v="0"/>
  </r>
  <r>
    <x v="19"/>
    <x v="51"/>
    <x v="424"/>
    <x v="2"/>
    <x v="0"/>
  </r>
  <r>
    <x v="19"/>
    <x v="575"/>
    <x v="425"/>
    <x v="2"/>
    <x v="0"/>
  </r>
  <r>
    <x v="19"/>
    <x v="847"/>
    <x v="369"/>
    <x v="2"/>
    <x v="0"/>
  </r>
  <r>
    <x v="19"/>
    <x v="741"/>
    <x v="426"/>
    <x v="2"/>
    <x v="0"/>
  </r>
  <r>
    <x v="19"/>
    <x v="388"/>
    <x v="427"/>
    <x v="6"/>
    <x v="0"/>
  </r>
  <r>
    <x v="19"/>
    <x v="761"/>
    <x v="349"/>
    <x v="6"/>
    <x v="0"/>
  </r>
  <r>
    <x v="19"/>
    <x v="444"/>
    <x v="428"/>
    <x v="2"/>
    <x v="0"/>
  </r>
  <r>
    <x v="19"/>
    <x v="848"/>
    <x v="429"/>
    <x v="2"/>
    <x v="0"/>
  </r>
  <r>
    <x v="19"/>
    <x v="333"/>
    <x v="398"/>
    <x v="6"/>
    <x v="0"/>
  </r>
  <r>
    <x v="19"/>
    <x v="370"/>
    <x v="352"/>
    <x v="6"/>
    <x v="0"/>
  </r>
  <r>
    <x v="19"/>
    <x v="144"/>
    <x v="352"/>
    <x v="6"/>
    <x v="0"/>
  </r>
  <r>
    <x v="19"/>
    <x v="382"/>
    <x v="400"/>
    <x v="6"/>
    <x v="0"/>
  </r>
  <r>
    <x v="19"/>
    <x v="56"/>
    <x v="430"/>
    <x v="6"/>
    <x v="0"/>
  </r>
  <r>
    <x v="19"/>
    <x v="169"/>
    <x v="431"/>
    <x v="6"/>
    <x v="0"/>
  </r>
  <r>
    <x v="19"/>
    <x v="42"/>
    <x v="43"/>
    <x v="6"/>
    <x v="0"/>
  </r>
  <r>
    <x v="19"/>
    <x v="445"/>
    <x v="432"/>
    <x v="6"/>
    <x v="0"/>
  </r>
  <r>
    <x v="19"/>
    <x v="351"/>
    <x v="433"/>
    <x v="6"/>
    <x v="0"/>
  </r>
  <r>
    <x v="19"/>
    <x v="101"/>
    <x v="113"/>
    <x v="6"/>
    <x v="0"/>
  </r>
  <r>
    <x v="19"/>
    <x v="832"/>
    <x v="176"/>
    <x v="6"/>
    <x v="0"/>
  </r>
  <r>
    <x v="19"/>
    <x v="200"/>
    <x v="176"/>
    <x v="6"/>
    <x v="0"/>
  </r>
  <r>
    <x v="19"/>
    <x v="535"/>
    <x v="176"/>
    <x v="6"/>
    <x v="0"/>
  </r>
  <r>
    <x v="19"/>
    <x v="439"/>
    <x v="176"/>
    <x v="6"/>
    <x v="0"/>
  </r>
  <r>
    <x v="19"/>
    <x v="849"/>
    <x v="176"/>
    <x v="6"/>
    <x v="0"/>
  </r>
  <r>
    <x v="19"/>
    <x v="850"/>
    <x v="176"/>
    <x v="6"/>
    <x v="0"/>
  </r>
  <r>
    <x v="19"/>
    <x v="851"/>
    <x v="176"/>
    <x v="6"/>
    <x v="0"/>
  </r>
  <r>
    <x v="19"/>
    <x v="646"/>
    <x v="176"/>
    <x v="6"/>
    <x v="0"/>
  </r>
  <r>
    <x v="19"/>
    <x v="668"/>
    <x v="176"/>
    <x v="6"/>
    <x v="0"/>
  </r>
  <r>
    <x v="19"/>
    <x v="852"/>
    <x v="176"/>
    <x v="6"/>
    <x v="0"/>
  </r>
  <r>
    <x v="19"/>
    <x v="660"/>
    <x v="176"/>
    <x v="6"/>
    <x v="0"/>
  </r>
  <r>
    <x v="20"/>
    <x v="71"/>
    <x v="434"/>
    <x v="3"/>
    <x v="0"/>
  </r>
  <r>
    <x v="20"/>
    <x v="575"/>
    <x v="435"/>
    <x v="2"/>
    <x v="0"/>
  </r>
  <r>
    <x v="20"/>
    <x v="853"/>
    <x v="238"/>
    <x v="2"/>
    <x v="0"/>
  </r>
  <r>
    <x v="20"/>
    <x v="854"/>
    <x v="131"/>
    <x v="6"/>
    <x v="0"/>
  </r>
  <r>
    <x v="20"/>
    <x v="111"/>
    <x v="436"/>
    <x v="6"/>
    <x v="0"/>
  </r>
  <r>
    <x v="20"/>
    <x v="382"/>
    <x v="428"/>
    <x v="2"/>
    <x v="0"/>
  </r>
  <r>
    <x v="20"/>
    <x v="849"/>
    <x v="398"/>
    <x v="6"/>
    <x v="0"/>
  </r>
  <r>
    <x v="20"/>
    <x v="855"/>
    <x v="398"/>
    <x v="6"/>
    <x v="0"/>
  </r>
  <r>
    <x v="20"/>
    <x v="295"/>
    <x v="437"/>
    <x v="6"/>
    <x v="0"/>
  </r>
  <r>
    <x v="20"/>
    <x v="56"/>
    <x v="438"/>
    <x v="5"/>
    <x v="0"/>
  </r>
  <r>
    <x v="20"/>
    <x v="856"/>
    <x v="439"/>
    <x v="6"/>
    <x v="0"/>
  </r>
  <r>
    <x v="20"/>
    <x v="545"/>
    <x v="37"/>
    <x v="6"/>
    <x v="0"/>
  </r>
  <r>
    <x v="20"/>
    <x v="643"/>
    <x v="37"/>
    <x v="6"/>
    <x v="0"/>
  </r>
  <r>
    <x v="20"/>
    <x v="348"/>
    <x v="289"/>
    <x v="6"/>
    <x v="0"/>
  </r>
  <r>
    <x v="20"/>
    <x v="101"/>
    <x v="440"/>
    <x v="2"/>
    <x v="0"/>
  </r>
  <r>
    <x v="20"/>
    <x v="762"/>
    <x v="441"/>
    <x v="2"/>
    <x v="0"/>
  </r>
  <r>
    <x v="20"/>
    <x v="52"/>
    <x v="418"/>
    <x v="6"/>
    <x v="0"/>
  </r>
  <r>
    <x v="20"/>
    <x v="857"/>
    <x v="46"/>
    <x v="2"/>
    <x v="0"/>
  </r>
  <r>
    <x v="20"/>
    <x v="858"/>
    <x v="228"/>
    <x v="2"/>
    <x v="0"/>
  </r>
  <r>
    <x v="20"/>
    <x v="859"/>
    <x v="48"/>
    <x v="6"/>
    <x v="0"/>
  </r>
  <r>
    <x v="20"/>
    <x v="581"/>
    <x v="49"/>
    <x v="2"/>
    <x v="0"/>
  </r>
  <r>
    <x v="20"/>
    <x v="860"/>
    <x v="51"/>
    <x v="6"/>
    <x v="0"/>
  </r>
  <r>
    <x v="20"/>
    <x v="359"/>
    <x v="53"/>
    <x v="6"/>
    <x v="0"/>
  </r>
  <r>
    <x v="20"/>
    <x v="195"/>
    <x v="176"/>
    <x v="6"/>
    <x v="0"/>
  </r>
  <r>
    <x v="20"/>
    <x v="861"/>
    <x v="176"/>
    <x v="6"/>
    <x v="0"/>
  </r>
  <r>
    <x v="20"/>
    <x v="51"/>
    <x v="176"/>
    <x v="6"/>
    <x v="0"/>
  </r>
  <r>
    <x v="20"/>
    <x v="40"/>
    <x v="176"/>
    <x v="6"/>
    <x v="0"/>
  </r>
  <r>
    <x v="20"/>
    <x v="765"/>
    <x v="176"/>
    <x v="6"/>
    <x v="0"/>
  </r>
  <r>
    <x v="20"/>
    <x v="862"/>
    <x v="176"/>
    <x v="6"/>
    <x v="0"/>
  </r>
  <r>
    <x v="20"/>
    <x v="351"/>
    <x v="176"/>
    <x v="6"/>
    <x v="0"/>
  </r>
  <r>
    <x v="20"/>
    <x v="19"/>
    <x v="176"/>
    <x v="6"/>
    <x v="0"/>
  </r>
  <r>
    <x v="20"/>
    <x v="193"/>
    <x v="176"/>
    <x v="6"/>
    <x v="0"/>
  </r>
  <r>
    <x v="20"/>
    <x v="863"/>
    <x v="176"/>
    <x v="6"/>
    <x v="0"/>
  </r>
  <r>
    <x v="20"/>
    <x v="362"/>
    <x v="176"/>
    <x v="6"/>
    <x v="0"/>
  </r>
  <r>
    <x v="21"/>
    <x v="445"/>
    <x v="442"/>
    <x v="3"/>
    <x v="0"/>
  </r>
  <r>
    <x v="21"/>
    <x v="864"/>
    <x v="398"/>
    <x v="6"/>
    <x v="0"/>
  </r>
  <r>
    <x v="21"/>
    <x v="151"/>
    <x v="47"/>
    <x v="2"/>
    <x v="0"/>
  </r>
  <r>
    <x v="21"/>
    <x v="42"/>
    <x v="51"/>
    <x v="6"/>
    <x v="0"/>
  </r>
  <r>
    <x v="21"/>
    <x v="160"/>
    <x v="52"/>
    <x v="6"/>
    <x v="0"/>
  </r>
  <r>
    <x v="21"/>
    <x v="362"/>
    <x v="52"/>
    <x v="6"/>
    <x v="0"/>
  </r>
  <r>
    <x v="21"/>
    <x v="494"/>
    <x v="247"/>
    <x v="2"/>
    <x v="0"/>
  </r>
  <r>
    <x v="21"/>
    <x v="865"/>
    <x v="53"/>
    <x v="6"/>
    <x v="0"/>
  </r>
  <r>
    <x v="21"/>
    <x v="297"/>
    <x v="53"/>
    <x v="6"/>
    <x v="0"/>
  </r>
  <r>
    <x v="21"/>
    <x v="643"/>
    <x v="53"/>
    <x v="6"/>
    <x v="0"/>
  </r>
  <r>
    <x v="21"/>
    <x v="866"/>
    <x v="176"/>
    <x v="6"/>
    <x v="0"/>
  </r>
  <r>
    <x v="21"/>
    <x v="867"/>
    <x v="176"/>
    <x v="6"/>
    <x v="0"/>
  </r>
  <r>
    <x v="21"/>
    <x v="541"/>
    <x v="176"/>
    <x v="6"/>
    <x v="0"/>
  </r>
  <r>
    <x v="21"/>
    <x v="546"/>
    <x v="176"/>
    <x v="6"/>
    <x v="0"/>
  </r>
  <r>
    <x v="22"/>
    <x v="865"/>
    <x v="443"/>
    <x v="0"/>
    <x v="0"/>
  </r>
  <r>
    <x v="22"/>
    <x v="351"/>
    <x v="444"/>
    <x v="4"/>
    <x v="0"/>
  </r>
  <r>
    <x v="22"/>
    <x v="56"/>
    <x v="207"/>
    <x v="3"/>
    <x v="0"/>
  </r>
  <r>
    <x v="22"/>
    <x v="860"/>
    <x v="426"/>
    <x v="5"/>
    <x v="0"/>
  </r>
  <r>
    <x v="22"/>
    <x v="51"/>
    <x v="445"/>
    <x v="5"/>
    <x v="0"/>
  </r>
  <r>
    <x v="22"/>
    <x v="111"/>
    <x v="384"/>
    <x v="5"/>
    <x v="0"/>
  </r>
  <r>
    <x v="22"/>
    <x v="391"/>
    <x v="284"/>
    <x v="2"/>
    <x v="0"/>
  </r>
  <r>
    <x v="22"/>
    <x v="541"/>
    <x v="446"/>
    <x v="2"/>
    <x v="0"/>
  </r>
  <r>
    <x v="22"/>
    <x v="175"/>
    <x v="447"/>
    <x v="2"/>
    <x v="0"/>
  </r>
  <r>
    <x v="22"/>
    <x v="575"/>
    <x v="448"/>
    <x v="2"/>
    <x v="0"/>
  </r>
  <r>
    <x v="22"/>
    <x v="868"/>
    <x v="449"/>
    <x v="2"/>
    <x v="0"/>
  </r>
  <r>
    <x v="22"/>
    <x v="869"/>
    <x v="374"/>
    <x v="6"/>
    <x v="0"/>
  </r>
  <r>
    <x v="22"/>
    <x v="363"/>
    <x v="374"/>
    <x v="6"/>
    <x v="0"/>
  </r>
  <r>
    <x v="22"/>
    <x v="249"/>
    <x v="32"/>
    <x v="2"/>
    <x v="0"/>
  </r>
  <r>
    <x v="22"/>
    <x v="554"/>
    <x v="414"/>
    <x v="5"/>
    <x v="0"/>
  </r>
  <r>
    <x v="22"/>
    <x v="341"/>
    <x v="318"/>
    <x v="2"/>
    <x v="0"/>
  </r>
  <r>
    <x v="22"/>
    <x v="546"/>
    <x v="34"/>
    <x v="6"/>
    <x v="0"/>
  </r>
  <r>
    <x v="22"/>
    <x v="101"/>
    <x v="52"/>
    <x v="6"/>
    <x v="0"/>
  </r>
  <r>
    <x v="22"/>
    <x v="540"/>
    <x v="52"/>
    <x v="6"/>
    <x v="0"/>
  </r>
  <r>
    <x v="22"/>
    <x v="490"/>
    <x v="176"/>
    <x v="6"/>
    <x v="0"/>
  </r>
  <r>
    <x v="22"/>
    <x v="32"/>
    <x v="176"/>
    <x v="6"/>
    <x v="0"/>
  </r>
  <r>
    <x v="22"/>
    <x v="870"/>
    <x v="176"/>
    <x v="6"/>
    <x v="0"/>
  </r>
  <r>
    <x v="22"/>
    <x v="545"/>
    <x v="176"/>
    <x v="6"/>
    <x v="0"/>
  </r>
  <r>
    <x v="23"/>
    <x v="111"/>
    <x v="450"/>
    <x v="2"/>
    <x v="0"/>
  </r>
  <r>
    <x v="23"/>
    <x v="871"/>
    <x v="129"/>
    <x v="6"/>
    <x v="0"/>
  </r>
  <r>
    <x v="23"/>
    <x v="872"/>
    <x v="129"/>
    <x v="6"/>
    <x v="0"/>
  </r>
  <r>
    <x v="23"/>
    <x v="316"/>
    <x v="129"/>
    <x v="6"/>
    <x v="0"/>
  </r>
  <r>
    <x v="23"/>
    <x v="873"/>
    <x v="451"/>
    <x v="6"/>
    <x v="0"/>
  </r>
  <r>
    <x v="23"/>
    <x v="234"/>
    <x v="452"/>
    <x v="6"/>
    <x v="0"/>
  </r>
  <r>
    <x v="23"/>
    <x v="263"/>
    <x v="22"/>
    <x v="6"/>
    <x v="0"/>
  </r>
  <r>
    <x v="23"/>
    <x v="327"/>
    <x v="244"/>
    <x v="6"/>
    <x v="0"/>
  </r>
  <r>
    <x v="23"/>
    <x v="874"/>
    <x v="453"/>
    <x v="2"/>
    <x v="0"/>
  </r>
  <r>
    <x v="23"/>
    <x v="346"/>
    <x v="48"/>
    <x v="6"/>
    <x v="0"/>
  </r>
  <r>
    <x v="23"/>
    <x v="444"/>
    <x v="48"/>
    <x v="6"/>
    <x v="0"/>
  </r>
  <r>
    <x v="23"/>
    <x v="875"/>
    <x v="48"/>
    <x v="6"/>
    <x v="0"/>
  </r>
  <r>
    <x v="23"/>
    <x v="101"/>
    <x v="48"/>
    <x v="6"/>
    <x v="0"/>
  </r>
  <r>
    <x v="23"/>
    <x v="876"/>
    <x v="52"/>
    <x v="6"/>
    <x v="0"/>
  </r>
  <r>
    <x v="23"/>
    <x v="568"/>
    <x v="52"/>
    <x v="6"/>
    <x v="0"/>
  </r>
  <r>
    <x v="23"/>
    <x v="201"/>
    <x v="52"/>
    <x v="6"/>
    <x v="0"/>
  </r>
  <r>
    <x v="23"/>
    <x v="198"/>
    <x v="52"/>
    <x v="6"/>
    <x v="0"/>
  </r>
  <r>
    <x v="24"/>
    <x v="354"/>
    <x v="83"/>
    <x v="6"/>
    <x v="0"/>
  </r>
  <r>
    <x v="24"/>
    <x v="54"/>
    <x v="454"/>
    <x v="6"/>
    <x v="0"/>
  </r>
  <r>
    <x v="24"/>
    <x v="217"/>
    <x v="455"/>
    <x v="6"/>
    <x v="0"/>
  </r>
  <r>
    <x v="24"/>
    <x v="877"/>
    <x v="456"/>
    <x v="5"/>
    <x v="0"/>
  </r>
  <r>
    <x v="24"/>
    <x v="111"/>
    <x v="457"/>
    <x v="2"/>
    <x v="0"/>
  </r>
  <r>
    <x v="24"/>
    <x v="878"/>
    <x v="129"/>
    <x v="6"/>
    <x v="0"/>
  </r>
  <r>
    <x v="24"/>
    <x v="879"/>
    <x v="129"/>
    <x v="6"/>
    <x v="0"/>
  </r>
  <r>
    <x v="24"/>
    <x v="880"/>
    <x v="129"/>
    <x v="6"/>
    <x v="0"/>
  </r>
  <r>
    <x v="24"/>
    <x v="348"/>
    <x v="135"/>
    <x v="6"/>
    <x v="0"/>
  </r>
  <r>
    <x v="24"/>
    <x v="266"/>
    <x v="53"/>
    <x v="6"/>
    <x v="0"/>
  </r>
  <r>
    <x v="25"/>
    <x v="22"/>
    <x v="458"/>
    <x v="2"/>
    <x v="0"/>
  </r>
  <r>
    <x v="25"/>
    <x v="881"/>
    <x v="83"/>
    <x v="6"/>
    <x v="0"/>
  </r>
  <r>
    <x v="25"/>
    <x v="882"/>
    <x v="83"/>
    <x v="6"/>
    <x v="0"/>
  </r>
  <r>
    <x v="25"/>
    <x v="883"/>
    <x v="459"/>
    <x v="6"/>
    <x v="0"/>
  </r>
  <r>
    <x v="25"/>
    <x v="84"/>
    <x v="102"/>
    <x v="2"/>
    <x v="0"/>
  </r>
  <r>
    <x v="25"/>
    <x v="214"/>
    <x v="460"/>
    <x v="2"/>
    <x v="0"/>
  </r>
  <r>
    <x v="25"/>
    <x v="884"/>
    <x v="461"/>
    <x v="2"/>
    <x v="0"/>
  </r>
  <r>
    <x v="25"/>
    <x v="885"/>
    <x v="462"/>
    <x v="6"/>
    <x v="0"/>
  </r>
  <r>
    <x v="25"/>
    <x v="886"/>
    <x v="462"/>
    <x v="6"/>
    <x v="0"/>
  </r>
  <r>
    <x v="25"/>
    <x v="887"/>
    <x v="462"/>
    <x v="6"/>
    <x v="0"/>
  </r>
  <r>
    <x v="25"/>
    <x v="888"/>
    <x v="462"/>
    <x v="6"/>
    <x v="0"/>
  </r>
  <r>
    <x v="25"/>
    <x v="263"/>
    <x v="462"/>
    <x v="6"/>
    <x v="0"/>
  </r>
  <r>
    <x v="25"/>
    <x v="54"/>
    <x v="462"/>
    <x v="6"/>
    <x v="0"/>
  </r>
  <r>
    <x v="25"/>
    <x v="889"/>
    <x v="463"/>
    <x v="6"/>
    <x v="0"/>
  </r>
  <r>
    <x v="25"/>
    <x v="282"/>
    <x v="463"/>
    <x v="6"/>
    <x v="0"/>
  </r>
  <r>
    <x v="25"/>
    <x v="890"/>
    <x v="71"/>
    <x v="6"/>
    <x v="0"/>
  </r>
  <r>
    <x v="25"/>
    <x v="308"/>
    <x v="464"/>
    <x v="5"/>
    <x v="0"/>
  </r>
  <r>
    <x v="25"/>
    <x v="415"/>
    <x v="127"/>
    <x v="6"/>
    <x v="0"/>
  </r>
  <r>
    <x v="25"/>
    <x v="891"/>
    <x v="127"/>
    <x v="6"/>
    <x v="0"/>
  </r>
  <r>
    <x v="25"/>
    <x v="892"/>
    <x v="127"/>
    <x v="6"/>
    <x v="0"/>
  </r>
  <r>
    <x v="25"/>
    <x v="893"/>
    <x v="127"/>
    <x v="6"/>
    <x v="0"/>
  </r>
  <r>
    <x v="25"/>
    <x v="894"/>
    <x v="127"/>
    <x v="6"/>
    <x v="0"/>
  </r>
  <r>
    <x v="25"/>
    <x v="895"/>
    <x v="127"/>
    <x v="6"/>
    <x v="0"/>
  </r>
  <r>
    <x v="25"/>
    <x v="896"/>
    <x v="129"/>
    <x v="6"/>
    <x v="0"/>
  </r>
  <r>
    <x v="25"/>
    <x v="897"/>
    <x v="129"/>
    <x v="6"/>
    <x v="0"/>
  </r>
  <r>
    <x v="25"/>
    <x v="70"/>
    <x v="129"/>
    <x v="6"/>
    <x v="0"/>
  </r>
  <r>
    <x v="25"/>
    <x v="898"/>
    <x v="18"/>
    <x v="6"/>
    <x v="0"/>
  </r>
  <r>
    <x v="25"/>
    <x v="475"/>
    <x v="465"/>
    <x v="6"/>
    <x v="0"/>
  </r>
  <r>
    <x v="25"/>
    <x v="899"/>
    <x v="118"/>
    <x v="6"/>
    <x v="0"/>
  </r>
  <r>
    <x v="25"/>
    <x v="900"/>
    <x v="466"/>
    <x v="2"/>
    <x v="0"/>
  </r>
  <r>
    <x v="25"/>
    <x v="901"/>
    <x v="466"/>
    <x v="2"/>
    <x v="0"/>
  </r>
  <r>
    <x v="25"/>
    <x v="108"/>
    <x v="467"/>
    <x v="2"/>
    <x v="0"/>
  </r>
  <r>
    <x v="25"/>
    <x v="56"/>
    <x v="468"/>
    <x v="2"/>
    <x v="0"/>
  </r>
  <r>
    <x v="25"/>
    <x v="902"/>
    <x v="469"/>
    <x v="6"/>
    <x v="0"/>
  </r>
  <r>
    <x v="25"/>
    <x v="903"/>
    <x v="469"/>
    <x v="6"/>
    <x v="0"/>
  </r>
  <r>
    <x v="25"/>
    <x v="40"/>
    <x v="469"/>
    <x v="6"/>
    <x v="0"/>
  </r>
  <r>
    <x v="25"/>
    <x v="404"/>
    <x v="470"/>
    <x v="6"/>
    <x v="0"/>
  </r>
  <r>
    <x v="25"/>
    <x v="323"/>
    <x v="262"/>
    <x v="6"/>
    <x v="0"/>
  </r>
  <r>
    <x v="25"/>
    <x v="401"/>
    <x v="471"/>
    <x v="6"/>
    <x v="0"/>
  </r>
  <r>
    <x v="25"/>
    <x v="904"/>
    <x v="472"/>
    <x v="6"/>
    <x v="0"/>
  </r>
  <r>
    <x v="25"/>
    <x v="575"/>
    <x v="473"/>
    <x v="6"/>
    <x v="0"/>
  </r>
  <r>
    <x v="25"/>
    <x v="101"/>
    <x v="474"/>
    <x v="6"/>
    <x v="0"/>
  </r>
  <r>
    <x v="25"/>
    <x v="905"/>
    <x v="48"/>
    <x v="6"/>
    <x v="0"/>
  </r>
  <r>
    <x v="25"/>
    <x v="510"/>
    <x v="50"/>
    <x v="6"/>
    <x v="0"/>
  </r>
  <r>
    <x v="25"/>
    <x v="353"/>
    <x v="50"/>
    <x v="6"/>
    <x v="0"/>
  </r>
  <r>
    <x v="25"/>
    <x v="235"/>
    <x v="50"/>
    <x v="6"/>
    <x v="0"/>
  </r>
  <r>
    <x v="26"/>
    <x v="676"/>
    <x v="475"/>
    <x v="1"/>
    <x v="0"/>
  </r>
  <r>
    <x v="26"/>
    <x v="906"/>
    <x v="476"/>
    <x v="3"/>
    <x v="0"/>
  </r>
  <r>
    <x v="26"/>
    <x v="388"/>
    <x v="477"/>
    <x v="2"/>
    <x v="0"/>
  </r>
  <r>
    <x v="26"/>
    <x v="907"/>
    <x v="478"/>
    <x v="2"/>
    <x v="0"/>
  </r>
  <r>
    <x v="26"/>
    <x v="908"/>
    <x v="479"/>
    <x v="2"/>
    <x v="0"/>
  </r>
  <r>
    <x v="26"/>
    <x v="909"/>
    <x v="480"/>
    <x v="5"/>
    <x v="0"/>
  </r>
  <r>
    <x v="26"/>
    <x v="262"/>
    <x v="205"/>
    <x v="2"/>
    <x v="0"/>
  </r>
  <r>
    <x v="26"/>
    <x v="143"/>
    <x v="481"/>
    <x v="2"/>
    <x v="0"/>
  </r>
  <r>
    <x v="26"/>
    <x v="84"/>
    <x v="482"/>
    <x v="5"/>
    <x v="0"/>
  </r>
  <r>
    <x v="26"/>
    <x v="910"/>
    <x v="462"/>
    <x v="6"/>
    <x v="0"/>
  </r>
  <r>
    <x v="26"/>
    <x v="911"/>
    <x v="462"/>
    <x v="6"/>
    <x v="0"/>
  </r>
  <r>
    <x v="26"/>
    <x v="912"/>
    <x v="462"/>
    <x v="6"/>
    <x v="0"/>
  </r>
  <r>
    <x v="26"/>
    <x v="323"/>
    <x v="462"/>
    <x v="6"/>
    <x v="0"/>
  </r>
  <r>
    <x v="26"/>
    <x v="913"/>
    <x v="18"/>
    <x v="6"/>
    <x v="0"/>
  </r>
  <r>
    <x v="26"/>
    <x v="111"/>
    <x v="483"/>
    <x v="6"/>
    <x v="0"/>
  </r>
  <r>
    <x v="26"/>
    <x v="914"/>
    <x v="484"/>
    <x v="5"/>
    <x v="0"/>
  </r>
  <r>
    <x v="26"/>
    <x v="915"/>
    <x v="485"/>
    <x v="2"/>
    <x v="0"/>
  </r>
  <r>
    <x v="26"/>
    <x v="3"/>
    <x v="486"/>
    <x v="2"/>
    <x v="0"/>
  </r>
  <r>
    <x v="26"/>
    <x v="916"/>
    <x v="328"/>
    <x v="6"/>
    <x v="0"/>
  </r>
  <r>
    <x v="26"/>
    <x v="917"/>
    <x v="328"/>
    <x v="6"/>
    <x v="0"/>
  </r>
  <r>
    <x v="26"/>
    <x v="263"/>
    <x v="136"/>
    <x v="6"/>
    <x v="0"/>
  </r>
  <r>
    <x v="26"/>
    <x v="54"/>
    <x v="487"/>
    <x v="6"/>
    <x v="0"/>
  </r>
  <r>
    <x v="26"/>
    <x v="918"/>
    <x v="48"/>
    <x v="6"/>
    <x v="0"/>
  </r>
  <r>
    <x v="26"/>
    <x v="361"/>
    <x v="48"/>
    <x v="6"/>
    <x v="0"/>
  </r>
  <r>
    <x v="26"/>
    <x v="216"/>
    <x v="488"/>
    <x v="6"/>
    <x v="0"/>
  </r>
  <r>
    <x v="26"/>
    <x v="445"/>
    <x v="50"/>
    <x v="6"/>
    <x v="0"/>
  </r>
  <r>
    <x v="27"/>
    <x v="919"/>
    <x v="489"/>
    <x v="5"/>
    <x v="0"/>
  </r>
  <r>
    <x v="27"/>
    <x v="914"/>
    <x v="490"/>
    <x v="2"/>
    <x v="0"/>
  </r>
  <r>
    <x v="27"/>
    <x v="920"/>
    <x v="83"/>
    <x v="6"/>
    <x v="0"/>
  </r>
  <r>
    <x v="27"/>
    <x v="921"/>
    <x v="462"/>
    <x v="6"/>
    <x v="0"/>
  </r>
  <r>
    <x v="27"/>
    <x v="273"/>
    <x v="491"/>
    <x v="6"/>
    <x v="0"/>
  </r>
  <r>
    <x v="27"/>
    <x v="922"/>
    <x v="492"/>
    <x v="6"/>
    <x v="0"/>
  </r>
  <r>
    <x v="27"/>
    <x v="923"/>
    <x v="18"/>
    <x v="6"/>
    <x v="0"/>
  </r>
  <r>
    <x v="27"/>
    <x v="215"/>
    <x v="18"/>
    <x v="6"/>
    <x v="0"/>
  </r>
  <r>
    <x v="27"/>
    <x v="924"/>
    <x v="118"/>
    <x v="6"/>
    <x v="0"/>
  </r>
  <r>
    <x v="27"/>
    <x v="925"/>
    <x v="118"/>
    <x v="6"/>
    <x v="0"/>
  </r>
  <r>
    <x v="27"/>
    <x v="202"/>
    <x v="118"/>
    <x v="6"/>
    <x v="0"/>
  </r>
  <r>
    <x v="27"/>
    <x v="328"/>
    <x v="132"/>
    <x v="6"/>
    <x v="0"/>
  </r>
  <r>
    <x v="27"/>
    <x v="334"/>
    <x v="469"/>
    <x v="6"/>
    <x v="0"/>
  </r>
  <r>
    <x v="27"/>
    <x v="926"/>
    <x v="328"/>
    <x v="6"/>
    <x v="0"/>
  </r>
  <r>
    <x v="27"/>
    <x v="927"/>
    <x v="83"/>
    <x v="6"/>
    <x v="0"/>
  </r>
  <r>
    <x v="27"/>
    <x v="928"/>
    <x v="129"/>
    <x v="6"/>
    <x v="0"/>
  </r>
  <r>
    <x v="27"/>
    <x v="919"/>
    <x v="18"/>
    <x v="6"/>
    <x v="0"/>
  </r>
  <r>
    <x v="28"/>
    <x v="929"/>
    <x v="493"/>
    <x v="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5" minRefreshableVersion="3" createdVersion="8" useAutoFormatting="1" indent="0" outline="1" outlineData="1" showDrill="1" multipleFieldFilters="0">
  <location ref="O7:Q44" firstHeaderRow="0" firstDataRow="1" firstDataCol="1" rowPageCount="1" colPageCount="1"/>
  <pivotFields count="13">
    <pivotField axis="axisPage" multipleItemSelectionAllowed="1" showAll="0">
      <items count="16">
        <item h="1" x="0"/>
        <item h="1" x="1"/>
        <item h="1" x="2"/>
        <item h="1" x="3"/>
        <item h="1" x="4"/>
        <item h="1" x="5"/>
        <item h="1" x="14"/>
        <item h="1" x="6"/>
        <item h="1" x="7"/>
        <item h="1" x="8"/>
        <item h="1" x="9"/>
        <item h="1" x="10"/>
        <item h="1" x="11"/>
        <item h="1" x="12"/>
        <item x="13"/>
        <item t="default"/>
      </items>
    </pivotField>
    <pivotField axis="axisRow" sortType="descending" showAll="0">
      <items count="156">
        <item x="51"/>
        <item x="36"/>
        <item x="43"/>
        <item x="41"/>
        <item x="56"/>
        <item x="55"/>
        <item x="48"/>
        <item x="50"/>
        <item x="44"/>
        <item x="47"/>
        <item x="37"/>
        <item x="42"/>
        <item x="35"/>
        <item x="45"/>
        <item x="38"/>
        <item x="53"/>
        <item x="57"/>
        <item x="52"/>
        <item x="49"/>
        <item x="54"/>
        <item x="39"/>
        <item x="40"/>
        <item x="46"/>
        <item x="3"/>
        <item x="8"/>
        <item x="20"/>
        <item x="17"/>
        <item x="22"/>
        <item x="16"/>
        <item x="23"/>
        <item x="14"/>
        <item x="4"/>
        <item x="60"/>
        <item x="28"/>
        <item x="1"/>
        <item x="33"/>
        <item x="31"/>
        <item x="34"/>
        <item x="19"/>
        <item x="58"/>
        <item x="7"/>
        <item x="18"/>
        <item x="21"/>
        <item x="30"/>
        <item x="0"/>
        <item x="15"/>
        <item x="13"/>
        <item x="29"/>
        <item x="59"/>
        <item x="11"/>
        <item x="6"/>
        <item x="12"/>
        <item x="24"/>
        <item x="10"/>
        <item x="32"/>
        <item x="26"/>
        <item x="27"/>
        <item x="25"/>
        <item x="9"/>
        <item x="5"/>
        <item x="2"/>
        <item x="154"/>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autoSortScope>
        <pivotArea fieldPosition="0">
          <references count="1">
            <reference field="4294967294" count="1" selected="0">
              <x v="0"/>
            </reference>
          </references>
        </pivotArea>
      </autoSortScope>
    </pivotField>
    <pivotField showAll="0"/>
    <pivotField showAll="0"/>
    <pivotField showAll="0"/>
    <pivotField showAll="0"/>
    <pivotField showAll="0">
      <items count="406">
        <item x="150"/>
        <item x="185"/>
        <item x="148"/>
        <item x="97"/>
        <item x="98"/>
        <item x="152"/>
        <item x="63"/>
        <item x="62"/>
        <item x="61"/>
        <item x="60"/>
        <item x="59"/>
        <item x="96"/>
        <item x="99"/>
        <item x="58"/>
        <item x="57"/>
        <item x="95"/>
        <item x="94"/>
        <item x="56"/>
        <item x="214"/>
        <item x="90"/>
        <item x="93"/>
        <item x="210"/>
        <item x="213"/>
        <item x="100"/>
        <item x="92"/>
        <item x="211"/>
        <item x="212"/>
        <item x="208"/>
        <item x="209"/>
        <item x="64"/>
        <item x="89"/>
        <item x="147"/>
        <item x="55"/>
        <item x="146"/>
        <item x="54"/>
        <item x="207"/>
        <item x="143"/>
        <item x="206"/>
        <item x="145"/>
        <item x="204"/>
        <item x="205"/>
        <item x="203"/>
        <item x="144"/>
        <item x="202"/>
        <item x="201"/>
        <item x="53"/>
        <item x="142"/>
        <item x="86"/>
        <item x="52"/>
        <item x="200"/>
        <item x="85"/>
        <item x="215"/>
        <item x="199"/>
        <item x="151"/>
        <item x="102"/>
        <item x="31"/>
        <item x="65"/>
        <item x="88"/>
        <item x="51"/>
        <item x="30"/>
        <item x="79"/>
        <item x="105"/>
        <item x="49"/>
        <item x="91"/>
        <item x="81"/>
        <item x="198"/>
        <item x="47"/>
        <item x="103"/>
        <item x="28"/>
        <item x="125"/>
        <item x="126"/>
        <item x="82"/>
        <item x="141"/>
        <item x="27"/>
        <item x="78"/>
        <item x="139"/>
        <item x="73"/>
        <item x="26"/>
        <item x="140"/>
        <item x="48"/>
        <item x="197"/>
        <item x="149"/>
        <item x="25"/>
        <item x="132"/>
        <item x="87"/>
        <item x="29"/>
        <item x="76"/>
        <item x="45"/>
        <item x="72"/>
        <item x="83"/>
        <item x="104"/>
        <item x="107"/>
        <item x="40"/>
        <item x="131"/>
        <item x="195"/>
        <item x="108"/>
        <item x="24"/>
        <item x="71"/>
        <item x="124"/>
        <item x="196"/>
        <item x="129"/>
        <item x="138"/>
        <item x="178"/>
        <item x="194"/>
        <item x="183"/>
        <item x="38"/>
        <item x="77"/>
        <item x="182"/>
        <item x="44"/>
        <item x="84"/>
        <item x="180"/>
        <item x="23"/>
        <item x="43"/>
        <item x="181"/>
        <item x="130"/>
        <item x="193"/>
        <item x="118"/>
        <item x="137"/>
        <item x="177"/>
        <item x="109"/>
        <item x="46"/>
        <item x="159"/>
        <item x="113"/>
        <item x="117"/>
        <item x="50"/>
        <item x="112"/>
        <item x="111"/>
        <item x="119"/>
        <item x="160"/>
        <item x="136"/>
        <item x="110"/>
        <item x="74"/>
        <item x="135"/>
        <item x="127"/>
        <item x="20"/>
        <item x="134"/>
        <item x="39"/>
        <item x="19"/>
        <item x="116"/>
        <item x="165"/>
        <item x="106"/>
        <item x="128"/>
        <item x="158"/>
        <item x="176"/>
        <item x="22"/>
        <item x="114"/>
        <item x="21"/>
        <item x="80"/>
        <item x="173"/>
        <item x="70"/>
        <item x="192"/>
        <item x="175"/>
        <item x="174"/>
        <item x="17"/>
        <item x="37"/>
        <item x="115"/>
        <item x="164"/>
        <item x="123"/>
        <item x="121"/>
        <item x="163"/>
        <item x="18"/>
        <item x="16"/>
        <item x="179"/>
        <item x="75"/>
        <item x="191"/>
        <item x="42"/>
        <item x="186"/>
        <item x="15"/>
        <item x="188"/>
        <item x="120"/>
        <item x="32"/>
        <item x="172"/>
        <item x="12"/>
        <item x="122"/>
        <item x="69"/>
        <item x="184"/>
        <item x="13"/>
        <item x="34"/>
        <item x="190"/>
        <item x="7"/>
        <item x="157"/>
        <item x="10"/>
        <item x="170"/>
        <item x="67"/>
        <item x="169"/>
        <item x="168"/>
        <item x="162"/>
        <item x="14"/>
        <item x="66"/>
        <item x="68"/>
        <item x="5"/>
        <item x="155"/>
        <item x="154"/>
        <item x="171"/>
        <item x="9"/>
        <item x="156"/>
        <item x="8"/>
        <item x="6"/>
        <item x="167"/>
        <item x="11"/>
        <item x="41"/>
        <item x="36"/>
        <item x="35"/>
        <item x="153"/>
        <item x="33"/>
        <item x="187"/>
        <item x="101"/>
        <item x="4"/>
        <item x="133"/>
        <item x="189"/>
        <item x="3"/>
        <item x="0"/>
        <item x="1"/>
        <item x="2"/>
        <item x="161"/>
        <item x="166"/>
        <item x="404"/>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pivotField>
    <pivotField showAll="0">
      <items count="161">
        <item x="97"/>
        <item x="48"/>
        <item x="49"/>
        <item x="50"/>
        <item x="51"/>
        <item x="119"/>
        <item x="45"/>
        <item x="46"/>
        <item x="26"/>
        <item x="29"/>
        <item x="16"/>
        <item x="47"/>
        <item x="23"/>
        <item x="37"/>
        <item x="86"/>
        <item x="41"/>
        <item x="21"/>
        <item x="92"/>
        <item x="25"/>
        <item x="40"/>
        <item x="90"/>
        <item x="65"/>
        <item x="18"/>
        <item x="22"/>
        <item x="58"/>
        <item x="67"/>
        <item x="44"/>
        <item x="62"/>
        <item x="19"/>
        <item x="87"/>
        <item x="69"/>
        <item x="68"/>
        <item x="91"/>
        <item x="20"/>
        <item x="24"/>
        <item x="28"/>
        <item x="117"/>
        <item x="36"/>
        <item x="12"/>
        <item x="35"/>
        <item x="130"/>
        <item x="53"/>
        <item x="107"/>
        <item x="63"/>
        <item x="52"/>
        <item x="42"/>
        <item x="7"/>
        <item x="132"/>
        <item x="66"/>
        <item x="77"/>
        <item x="57"/>
        <item x="133"/>
        <item x="13"/>
        <item x="85"/>
        <item x="70"/>
        <item x="5"/>
        <item x="96"/>
        <item x="110"/>
        <item x="76"/>
        <item x="134"/>
        <item x="27"/>
        <item x="105"/>
        <item x="73"/>
        <item x="106"/>
        <item x="100"/>
        <item x="131"/>
        <item x="95"/>
        <item x="122"/>
        <item x="71"/>
        <item x="43"/>
        <item x="123"/>
        <item x="116"/>
        <item x="81"/>
        <item x="17"/>
        <item x="30"/>
        <item x="83"/>
        <item x="64"/>
        <item x="114"/>
        <item x="112"/>
        <item x="34"/>
        <item x="75"/>
        <item x="124"/>
        <item x="10"/>
        <item x="56"/>
        <item x="82"/>
        <item x="126"/>
        <item x="127"/>
        <item x="128"/>
        <item x="78"/>
        <item x="111"/>
        <item x="94"/>
        <item x="15"/>
        <item x="125"/>
        <item x="89"/>
        <item x="61"/>
        <item x="118"/>
        <item x="72"/>
        <item x="80"/>
        <item x="60"/>
        <item x="32"/>
        <item x="54"/>
        <item x="59"/>
        <item x="39"/>
        <item x="6"/>
        <item x="84"/>
        <item x="102"/>
        <item x="120"/>
        <item x="33"/>
        <item x="109"/>
        <item x="108"/>
        <item x="104"/>
        <item x="9"/>
        <item x="74"/>
        <item x="129"/>
        <item x="88"/>
        <item x="121"/>
        <item x="11"/>
        <item x="98"/>
        <item x="4"/>
        <item x="14"/>
        <item x="79"/>
        <item x="31"/>
        <item x="38"/>
        <item x="55"/>
        <item x="8"/>
        <item x="113"/>
        <item x="99"/>
        <item x="93"/>
        <item x="115"/>
        <item x="3"/>
        <item x="101"/>
        <item x="2"/>
        <item x="0"/>
        <item x="103"/>
        <item x="1"/>
        <item x="159"/>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showAll="0"/>
    <pivotField showAll="0"/>
    <pivotField dataField="1" showAll="0">
      <items count="27">
        <item x="5"/>
        <item x="12"/>
        <item x="4"/>
        <item x="10"/>
        <item x="11"/>
        <item x="9"/>
        <item x="7"/>
        <item x="18"/>
        <item x="13"/>
        <item x="15"/>
        <item x="17"/>
        <item x="6"/>
        <item x="8"/>
        <item x="1"/>
        <item x="19"/>
        <item x="16"/>
        <item x="20"/>
        <item x="3"/>
        <item x="21"/>
        <item x="14"/>
        <item x="2"/>
        <item x="0"/>
        <item x="25"/>
        <item x="22"/>
        <item x="23"/>
        <item x="24"/>
        <item t="default"/>
      </items>
    </pivotField>
    <pivotField dataField="1" showAll="0">
      <items count="26">
        <item x="5"/>
        <item x="13"/>
        <item x="4"/>
        <item x="10"/>
        <item x="12"/>
        <item x="9"/>
        <item x="7"/>
        <item x="11"/>
        <item x="14"/>
        <item x="17"/>
        <item x="19"/>
        <item x="6"/>
        <item x="8"/>
        <item x="16"/>
        <item x="1"/>
        <item x="18"/>
        <item x="20"/>
        <item x="3"/>
        <item x="15"/>
        <item x="2"/>
        <item x="0"/>
        <item x="24"/>
        <item x="21"/>
        <item x="22"/>
        <item x="23"/>
        <item t="default"/>
      </items>
    </pivotField>
    <pivotField showAll="0">
      <items count="166">
        <item x="5"/>
        <item x="31"/>
        <item x="75"/>
        <item x="19"/>
        <item x="76"/>
        <item x="22"/>
        <item x="117"/>
        <item x="102"/>
        <item x="51"/>
        <item x="98"/>
        <item x="83"/>
        <item x="66"/>
        <item x="16"/>
        <item x="43"/>
        <item x="58"/>
        <item x="85"/>
        <item x="38"/>
        <item x="26"/>
        <item x="27"/>
        <item x="15"/>
        <item x="47"/>
        <item x="57"/>
        <item x="99"/>
        <item x="80"/>
        <item x="4"/>
        <item x="54"/>
        <item x="73"/>
        <item x="74"/>
        <item x="45"/>
        <item x="46"/>
        <item x="55"/>
        <item x="48"/>
        <item x="39"/>
        <item x="33"/>
        <item x="106"/>
        <item x="36"/>
        <item x="62"/>
        <item x="90"/>
        <item x="23"/>
        <item x="64"/>
        <item x="69"/>
        <item x="42"/>
        <item x="91"/>
        <item x="56"/>
        <item x="53"/>
        <item x="111"/>
        <item x="119"/>
        <item x="92"/>
        <item x="89"/>
        <item x="101"/>
        <item x="71"/>
        <item x="60"/>
        <item x="108"/>
        <item x="116"/>
        <item x="61"/>
        <item x="12"/>
        <item x="115"/>
        <item x="82"/>
        <item x="21"/>
        <item x="109"/>
        <item x="50"/>
        <item x="1"/>
        <item x="30"/>
        <item x="32"/>
        <item x="28"/>
        <item x="40"/>
        <item x="113"/>
        <item x="9"/>
        <item x="25"/>
        <item x="107"/>
        <item x="118"/>
        <item x="110"/>
        <item x="49"/>
        <item x="72"/>
        <item x="20"/>
        <item x="52"/>
        <item x="81"/>
        <item x="18"/>
        <item x="100"/>
        <item x="94"/>
        <item x="67"/>
        <item x="68"/>
        <item x="103"/>
        <item x="44"/>
        <item x="59"/>
        <item x="96"/>
        <item x="17"/>
        <item x="114"/>
        <item x="105"/>
        <item x="65"/>
        <item x="41"/>
        <item x="14"/>
        <item x="29"/>
        <item x="78"/>
        <item x="35"/>
        <item x="95"/>
        <item x="6"/>
        <item x="3"/>
        <item x="10"/>
        <item x="93"/>
        <item x="11"/>
        <item x="97"/>
        <item x="84"/>
        <item x="0"/>
        <item x="34"/>
        <item x="13"/>
        <item x="8"/>
        <item x="2"/>
        <item x="37"/>
        <item x="70"/>
        <item x="87"/>
        <item x="24"/>
        <item x="112"/>
        <item x="86"/>
        <item x="7"/>
        <item x="88"/>
        <item x="104"/>
        <item x="63"/>
        <item x="77"/>
        <item x="79"/>
        <item x="164"/>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s>
  <rowFields count="1">
    <field x="1"/>
  </rowFields>
  <rowItems count="37">
    <i>
      <x v="119"/>
    </i>
    <i>
      <x v="120"/>
    </i>
    <i>
      <x v="122"/>
    </i>
    <i>
      <x v="121"/>
    </i>
    <i>
      <x v="123"/>
    </i>
    <i>
      <x v="126"/>
    </i>
    <i>
      <x v="125"/>
    </i>
    <i>
      <x v="124"/>
    </i>
    <i>
      <x v="127"/>
    </i>
    <i>
      <x v="130"/>
    </i>
    <i>
      <x v="129"/>
    </i>
    <i>
      <x v="128"/>
    </i>
    <i>
      <x v="154"/>
    </i>
    <i>
      <x v="153"/>
    </i>
    <i>
      <x v="152"/>
    </i>
    <i>
      <x v="151"/>
    </i>
    <i>
      <x v="150"/>
    </i>
    <i>
      <x v="149"/>
    </i>
    <i>
      <x v="148"/>
    </i>
    <i>
      <x v="147"/>
    </i>
    <i>
      <x v="146"/>
    </i>
    <i>
      <x v="145"/>
    </i>
    <i>
      <x v="144"/>
    </i>
    <i>
      <x v="143"/>
    </i>
    <i>
      <x v="142"/>
    </i>
    <i>
      <x v="141"/>
    </i>
    <i>
      <x v="140"/>
    </i>
    <i>
      <x v="139"/>
    </i>
    <i>
      <x v="138"/>
    </i>
    <i>
      <x v="137"/>
    </i>
    <i>
      <x v="136"/>
    </i>
    <i>
      <x v="135"/>
    </i>
    <i>
      <x v="134"/>
    </i>
    <i>
      <x v="133"/>
    </i>
    <i>
      <x v="132"/>
    </i>
    <i>
      <x v="131"/>
    </i>
    <i t="grand">
      <x/>
    </i>
  </rowItems>
  <colFields count="1">
    <field x="-2"/>
  </colFields>
  <colItems count="2">
    <i>
      <x/>
    </i>
    <i i="1">
      <x v="1"/>
    </i>
  </colItems>
  <pageFields count="1">
    <pageField fld="0"/>
  </pageFields>
  <dataFields count="2">
    <dataField name="求和项:成交订单数" fld="11" baseField="0" baseItem="0"/>
    <dataField name="求和项:成交人数" fld="10" baseField="0" baseItem="0"/>
  </dataFields>
  <formats count="6">
    <format dxfId="0">
      <pivotArea dataOnly="0" labelOnly="1" fieldPosition="0">
        <references count="1">
          <reference field="1" count="1">
            <x v="73"/>
          </reference>
        </references>
      </pivotArea>
    </format>
    <format dxfId="1">
      <pivotArea dataOnly="0" labelOnly="1" fieldPosition="0">
        <references count="1">
          <reference field="1" count="1">
            <x v="86"/>
          </reference>
        </references>
      </pivotArea>
    </format>
    <format dxfId="2">
      <pivotArea dataOnly="0" labelOnly="1" fieldPosition="0">
        <references count="1">
          <reference field="1" count="1">
            <x v="69"/>
          </reference>
        </references>
      </pivotArea>
    </format>
    <format dxfId="3">
      <pivotArea dataOnly="0" labelOnly="1" fieldPosition="0">
        <references count="1">
          <reference field="1" count="1">
            <x v="92"/>
          </reference>
        </references>
      </pivotArea>
    </format>
    <format dxfId="4">
      <pivotArea dataOnly="0" labelOnly="1" fieldPosition="0">
        <references count="1">
          <reference field="1" count="1">
            <x v="91"/>
          </reference>
        </references>
      </pivotArea>
    </format>
    <format dxfId="5">
      <pivotArea dataOnly="0" labelOnly="1" fieldPosition="0">
        <references count="1">
          <reference field="1" count="1">
            <x v="3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8" useAutoFormatting="1" compact="0" indent="0" compactData="0" showDrill="1" multipleFieldFilters="0">
  <location ref="A8:C12" firstHeaderRow="0" firstDataRow="1" firstDataCol="1" rowPageCount="6" colPageCount="1"/>
  <pivotFields count="45">
    <pivotField dataField="1" compact="0" defaultSubtotal="0" outline="0" showAll="0">
      <items count="1152">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1151"/>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s>
    </pivotField>
    <pivotField compact="0" defaultSubtotal="0" outline="0" showAll="0">
      <items count="2">
        <item x="0"/>
        <item x="1"/>
      </items>
    </pivotField>
    <pivotField compact="0" defaultSubtotal="0" outline="0" showAll="0">
      <items count="3">
        <item x="0"/>
        <item x="1"/>
        <item x="2"/>
      </items>
    </pivotField>
    <pivotField axis="axisPage" compact="0" defaultSubtotal="0" outline="0" multipleItemSelectionAllowed="1" showAll="0">
      <items count="5">
        <item x="0"/>
        <item h="1" x="1"/>
        <item h="1" x="2"/>
        <item h="1" x="4"/>
        <item x="3"/>
      </items>
    </pivotField>
    <pivotField compact="0" defaultSubtotal="0" outline="0" showAll="0">
      <items count="1">
        <item x="0"/>
      </items>
    </pivotField>
    <pivotField compact="0" defaultSubtotal="0" outline="0" showAll="0">
      <items count="7">
        <item x="0"/>
        <item x="5"/>
        <item x="3"/>
        <item x="4"/>
        <item x="2"/>
        <item x="1"/>
        <item x="6"/>
      </items>
    </pivotField>
    <pivotField compact="0" defaultSubtotal="0" outline="0" showAll="0">
      <items count="1144">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2"/>
        <item x="123"/>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3"/>
        <item x="24"/>
        <item x="22"/>
        <item x="21"/>
        <item x="20"/>
        <item x="19"/>
        <item x="18"/>
        <item x="17"/>
        <item x="16"/>
        <item x="15"/>
        <item x="14"/>
        <item x="13"/>
        <item x="12"/>
        <item x="11"/>
        <item x="10"/>
        <item x="9"/>
        <item x="8"/>
        <item x="7"/>
        <item x="6"/>
        <item x="5"/>
        <item x="4"/>
        <item x="3"/>
        <item x="2"/>
        <item x="1"/>
        <item x="0"/>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1143"/>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s>
    </pivotField>
    <pivotField axis="axisPage" compact="0" defaultSubtotal="0" outline="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defaultSubtotal="0" outline="0" showAll="0">
      <items count="1">
        <item x="0"/>
      </items>
    </pivotField>
    <pivotField axis="axisPage" compact="0" defaultSubtotal="0" outline="0" multipleItemSelectionAllowed="1" showAll="0">
      <items count="3">
        <item x="2"/>
        <item h="1" x="0"/>
        <item h="1" x="1"/>
      </items>
    </pivotField>
    <pivotField compact="0" defaultSubtotal="0" outline="0" showAll="0">
      <items count="143">
        <item x="16"/>
        <item x="53"/>
        <item x="4"/>
        <item x="34"/>
        <item x="40"/>
        <item x="43"/>
        <item x="14"/>
        <item x="6"/>
        <item x="55"/>
        <item x="33"/>
        <item x="61"/>
        <item x="48"/>
        <item x="56"/>
        <item x="49"/>
        <item x="74"/>
        <item x="38"/>
        <item x="77"/>
        <item x="57"/>
        <item x="73"/>
        <item x="71"/>
        <item x="5"/>
        <item x="23"/>
        <item x="52"/>
        <item x="9"/>
        <item x="69"/>
        <item x="63"/>
        <item x="15"/>
        <item x="31"/>
        <item x="36"/>
        <item x="7"/>
        <item x="3"/>
        <item x="28"/>
        <item x="26"/>
        <item x="54"/>
        <item x="25"/>
        <item x="24"/>
        <item x="68"/>
        <item x="59"/>
        <item x="76"/>
        <item x="8"/>
        <item x="51"/>
        <item x="65"/>
        <item x="2"/>
        <item x="50"/>
        <item x="10"/>
        <item x="46"/>
        <item x="17"/>
        <item x="66"/>
        <item x="62"/>
        <item x="13"/>
        <item x="22"/>
        <item x="18"/>
        <item x="39"/>
        <item x="20"/>
        <item x="19"/>
        <item x="44"/>
        <item x="67"/>
        <item x="64"/>
        <item x="11"/>
        <item x="27"/>
        <item x="37"/>
        <item x="21"/>
        <item x="60"/>
        <item x="29"/>
        <item x="35"/>
        <item x="30"/>
        <item x="70"/>
        <item x="0"/>
        <item x="42"/>
        <item x="12"/>
        <item x="32"/>
        <item x="72"/>
        <item x="58"/>
        <item x="75"/>
        <item x="41"/>
        <item x="45"/>
        <item x="47"/>
        <item x="1"/>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s>
    </pivotField>
    <pivotField compact="0" defaultSubtotal="0" outline="0" showAll="0">
      <items count="144">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0"/>
        <item x="43"/>
        <item x="42"/>
        <item x="41"/>
        <item x="40"/>
        <item x="39"/>
        <item x="45"/>
        <item x="44"/>
        <item x="47"/>
        <item x="46"/>
        <item x="71"/>
        <item x="70"/>
        <item x="69"/>
        <item x="68"/>
        <item x="67"/>
        <item x="66"/>
        <item x="65"/>
        <item x="64"/>
        <item x="63"/>
        <item x="61"/>
        <item x="62"/>
        <item x="60"/>
        <item x="59"/>
        <item x="58"/>
        <item x="57"/>
        <item x="56"/>
        <item x="55"/>
        <item x="54"/>
        <item x="53"/>
        <item x="52"/>
        <item x="51"/>
        <item x="50"/>
        <item x="49"/>
        <item x="48"/>
        <item x="77"/>
        <item x="76"/>
        <item x="75"/>
        <item x="74"/>
        <item x="73"/>
        <item x="72"/>
        <item x="78"/>
        <item x="1"/>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s>
    </pivotField>
    <pivotField compact="0" defaultSubtotal="0" outline="0" showAll="0">
      <items count="93">
        <item x="9"/>
        <item x="18"/>
        <item x="14"/>
        <item x="36"/>
        <item x="21"/>
        <item x="10"/>
        <item x="20"/>
        <item x="51"/>
        <item x="13"/>
        <item x="0"/>
        <item x="45"/>
        <item x="5"/>
        <item x="17"/>
        <item x="15"/>
        <item x="16"/>
        <item x="4"/>
        <item x="2"/>
        <item x="1"/>
        <item x="32"/>
        <item x="48"/>
        <item x="24"/>
        <item x="52"/>
        <item x="25"/>
        <item x="43"/>
        <item x="27"/>
        <item x="28"/>
        <item x="44"/>
        <item x="29"/>
        <item x="47"/>
        <item x="53"/>
        <item x="3"/>
        <item x="39"/>
        <item x="7"/>
        <item x="41"/>
        <item x="30"/>
        <item x="19"/>
        <item x="38"/>
        <item x="35"/>
        <item x="46"/>
        <item x="8"/>
        <item x="6"/>
        <item x="42"/>
        <item x="12"/>
        <item x="49"/>
        <item x="23"/>
        <item x="22"/>
        <item x="50"/>
        <item x="31"/>
        <item x="11"/>
        <item x="34"/>
        <item x="33"/>
        <item x="37"/>
        <item x="26"/>
        <item x="40"/>
        <item x="92"/>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compact="0" defaultSubtotal="0" outline="0" showAll="0">
      <items count="3">
        <item x="0"/>
        <item x="1"/>
        <item x="2"/>
      </items>
    </pivotField>
    <pivotField compact="0" defaultSubtotal="0" outline="0" showAll="0">
      <items count="22">
        <item x="17"/>
        <item x="15"/>
        <item x="16"/>
        <item x="7"/>
        <item x="12"/>
        <item x="13"/>
        <item x="14"/>
        <item x="10"/>
        <item x="8"/>
        <item x="11"/>
        <item x="9"/>
        <item x="6"/>
        <item x="5"/>
        <item x="1"/>
        <item x="2"/>
        <item x="3"/>
        <item x="4"/>
        <item x="0"/>
        <item x="21"/>
        <item x="18"/>
        <item x="19"/>
        <item x="20"/>
      </items>
    </pivotField>
    <pivotField compact="0" defaultSubtotal="0" outline="0" showAll="0">
      <items count="2">
        <item x="0"/>
        <item x="1"/>
      </items>
    </pivotField>
    <pivotField compact="0" defaultSubtotal="0" outline="0" showAll="0">
      <items count="199">
        <item x="15"/>
        <item x="39"/>
        <item x="43"/>
        <item x="81"/>
        <item x="17"/>
        <item x="30"/>
        <item x="25"/>
        <item x="18"/>
        <item x="47"/>
        <item x="16"/>
        <item x="133"/>
        <item x="134"/>
        <item x="107"/>
        <item x="131"/>
        <item x="46"/>
        <item x="23"/>
        <item x="0"/>
        <item x="108"/>
        <item x="52"/>
        <item x="50"/>
        <item x="59"/>
        <item x="9"/>
        <item x="32"/>
        <item x="38"/>
        <item x="36"/>
        <item x="49"/>
        <item x="31"/>
        <item x="45"/>
        <item x="69"/>
        <item x="87"/>
        <item x="86"/>
        <item x="8"/>
        <item x="85"/>
        <item x="44"/>
        <item x="34"/>
        <item x="7"/>
        <item x="35"/>
        <item x="56"/>
        <item x="40"/>
        <item x="29"/>
        <item x="5"/>
        <item x="2"/>
        <item x="3"/>
        <item x="4"/>
        <item x="1"/>
        <item x="74"/>
        <item x="73"/>
        <item x="117"/>
        <item x="55"/>
        <item x="58"/>
        <item x="61"/>
        <item x="67"/>
        <item x="63"/>
        <item x="114"/>
        <item x="102"/>
        <item x="64"/>
        <item x="65"/>
        <item x="70"/>
        <item x="66"/>
        <item x="112"/>
        <item x="21"/>
        <item x="6"/>
        <item x="90"/>
        <item x="20"/>
        <item x="28"/>
        <item x="98"/>
        <item x="68"/>
        <item x="14"/>
        <item x="71"/>
        <item x="11"/>
        <item x="94"/>
        <item x="106"/>
        <item x="132"/>
        <item x="42"/>
        <item x="89"/>
        <item x="125"/>
        <item x="111"/>
        <item x="110"/>
        <item x="123"/>
        <item x="80"/>
        <item x="109"/>
        <item x="60"/>
        <item x="51"/>
        <item x="12"/>
        <item x="13"/>
        <item x="41"/>
        <item x="96"/>
        <item x="53"/>
        <item x="99"/>
        <item x="57"/>
        <item x="33"/>
        <item x="37"/>
        <item x="10"/>
        <item x="115"/>
        <item x="116"/>
        <item x="130"/>
        <item x="101"/>
        <item x="95"/>
        <item x="27"/>
        <item x="26"/>
        <item x="79"/>
        <item x="22"/>
        <item x="24"/>
        <item x="118"/>
        <item x="121"/>
        <item x="120"/>
        <item x="54"/>
        <item x="48"/>
        <item x="126"/>
        <item x="129"/>
        <item x="119"/>
        <item x="128"/>
        <item x="127"/>
        <item x="93"/>
        <item x="75"/>
        <item x="100"/>
        <item x="72"/>
        <item x="19"/>
        <item x="92"/>
        <item x="97"/>
        <item x="113"/>
        <item x="105"/>
        <item x="78"/>
        <item x="124"/>
        <item x="77"/>
        <item x="76"/>
        <item x="83"/>
        <item x="104"/>
        <item x="103"/>
        <item x="84"/>
        <item x="88"/>
        <item x="122"/>
        <item x="82"/>
        <item x="62"/>
        <item x="91"/>
        <item x="198"/>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s>
    </pivotField>
    <pivotField dataField="1" compact="0" defaultSubtotal="0" outline="0" showAll="0">
      <items count="177">
        <item x="1"/>
        <item x="10"/>
        <item x="34"/>
        <item x="38"/>
        <item x="69"/>
        <item x="12"/>
        <item x="25"/>
        <item x="20"/>
        <item x="13"/>
        <item x="42"/>
        <item x="11"/>
        <item x="116"/>
        <item x="117"/>
        <item x="90"/>
        <item x="114"/>
        <item x="41"/>
        <item x="18"/>
        <item x="0"/>
        <item x="93"/>
        <item x="46"/>
        <item x="44"/>
        <item x="50"/>
        <item x="27"/>
        <item x="33"/>
        <item x="30"/>
        <item x="26"/>
        <item x="40"/>
        <item x="59"/>
        <item x="74"/>
        <item x="5"/>
        <item x="73"/>
        <item x="39"/>
        <item x="29"/>
        <item x="4"/>
        <item x="28"/>
        <item x="48"/>
        <item x="35"/>
        <item x="24"/>
        <item x="3"/>
        <item x="43"/>
        <item x="2"/>
        <item x="58"/>
        <item x="100"/>
        <item x="49"/>
        <item x="52"/>
        <item x="56"/>
        <item x="53"/>
        <item x="86"/>
        <item x="54"/>
        <item x="55"/>
        <item x="60"/>
        <item x="97"/>
        <item x="16"/>
        <item x="92"/>
        <item x="77"/>
        <item x="15"/>
        <item x="23"/>
        <item x="84"/>
        <item x="57"/>
        <item x="61"/>
        <item x="7"/>
        <item x="81"/>
        <item x="89"/>
        <item x="115"/>
        <item x="37"/>
        <item x="109"/>
        <item x="104"/>
        <item x="96"/>
        <item x="107"/>
        <item x="68"/>
        <item x="95"/>
        <item x="51"/>
        <item x="45"/>
        <item x="8"/>
        <item x="9"/>
        <item x="36"/>
        <item x="83"/>
        <item x="47"/>
        <item x="85"/>
        <item x="76"/>
        <item x="31"/>
        <item x="32"/>
        <item x="6"/>
        <item x="99"/>
        <item x="88"/>
        <item x="82"/>
        <item x="22"/>
        <item x="21"/>
        <item x="67"/>
        <item x="17"/>
        <item x="19"/>
        <item x="101"/>
        <item x="105"/>
        <item x="103"/>
        <item x="110"/>
        <item x="113"/>
        <item x="102"/>
        <item x="112"/>
        <item x="111"/>
        <item x="80"/>
        <item x="63"/>
        <item x="91"/>
        <item x="62"/>
        <item x="14"/>
        <item x="79"/>
        <item x="94"/>
        <item x="98"/>
        <item x="66"/>
        <item x="108"/>
        <item x="65"/>
        <item x="64"/>
        <item x="71"/>
        <item x="87"/>
        <item x="72"/>
        <item x="75"/>
        <item x="106"/>
        <item x="70"/>
        <item x="78"/>
        <item x="176"/>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s>
    </pivotField>
    <pivotField compact="0" defaultSubtotal="0" outline="0" showAll="0">
      <items count="21">
        <item x="4"/>
        <item x="10"/>
        <item x="14"/>
        <item x="13"/>
        <item x="12"/>
        <item x="7"/>
        <item x="3"/>
        <item x="16"/>
        <item x="15"/>
        <item x="17"/>
        <item x="2"/>
        <item x="1"/>
        <item x="5"/>
        <item x="6"/>
        <item x="9"/>
        <item x="11"/>
        <item x="8"/>
        <item x="0"/>
        <item x="18"/>
        <item x="19"/>
        <item x="20"/>
      </items>
    </pivotField>
    <pivotField compact="0" defaultSubtotal="0" outline="0" showAll="0">
      <items count="504">
        <item x="121"/>
        <item x="278"/>
        <item x="156"/>
        <item x="41"/>
        <item x="33"/>
        <item x="30"/>
        <item x="116"/>
        <item x="0"/>
        <item x="48"/>
        <item x="272"/>
        <item x="270"/>
        <item x="256"/>
        <item x="251"/>
        <item x="275"/>
        <item x="266"/>
        <item x="242"/>
        <item x="276"/>
        <item x="127"/>
        <item x="89"/>
        <item x="46"/>
        <item x="98"/>
        <item x="112"/>
        <item x="167"/>
        <item x="134"/>
        <item x="45"/>
        <item x="110"/>
        <item x="96"/>
        <item x="111"/>
        <item x="133"/>
        <item x="94"/>
        <item x="62"/>
        <item x="64"/>
        <item x="95"/>
        <item x="131"/>
        <item x="55"/>
        <item x="289"/>
        <item x="153"/>
        <item x="61"/>
        <item x="154"/>
        <item x="254"/>
        <item x="97"/>
        <item x="81"/>
        <item x="79"/>
        <item x="135"/>
        <item x="108"/>
        <item x="277"/>
        <item x="149"/>
        <item x="159"/>
        <item x="20"/>
        <item x="109"/>
        <item x="78"/>
        <item x="132"/>
        <item x="63"/>
        <item x="237"/>
        <item x="40"/>
        <item x="158"/>
        <item x="198"/>
        <item x="76"/>
        <item x="195"/>
        <item x="160"/>
        <item x="129"/>
        <item x="141"/>
        <item x="233"/>
        <item x="280"/>
        <item x="261"/>
        <item x="142"/>
        <item x="271"/>
        <item x="75"/>
        <item x="77"/>
        <item x="248"/>
        <item x="50"/>
        <item x="130"/>
        <item x="74"/>
        <item x="208"/>
        <item x="179"/>
        <item x="243"/>
        <item x="180"/>
        <item x="177"/>
        <item x="178"/>
        <item x="209"/>
        <item x="1"/>
        <item x="2"/>
        <item x="3"/>
        <item x="56"/>
        <item x="60"/>
        <item x="146"/>
        <item x="57"/>
        <item x="58"/>
        <item x="176"/>
        <item x="59"/>
        <item x="241"/>
        <item x="216"/>
        <item x="265"/>
        <item x="247"/>
        <item x="218"/>
        <item x="103"/>
        <item x="226"/>
        <item x="268"/>
        <item x="80"/>
        <item x="249"/>
        <item x="87"/>
        <item x="219"/>
        <item x="246"/>
        <item x="86"/>
        <item x="170"/>
        <item x="184"/>
        <item x="213"/>
        <item x="186"/>
        <item x="171"/>
        <item x="200"/>
        <item x="197"/>
        <item x="212"/>
        <item x="253"/>
        <item x="214"/>
        <item x="221"/>
        <item x="101"/>
        <item x="8"/>
        <item x="126"/>
        <item x="128"/>
        <item x="315"/>
        <item x="308"/>
        <item x="293"/>
        <item x="313"/>
        <item x="311"/>
        <item x="316"/>
        <item x="85"/>
        <item x="329"/>
        <item x="339"/>
        <item x="341"/>
        <item x="340"/>
        <item x="230"/>
        <item x="162"/>
        <item x="27"/>
        <item x="143"/>
        <item x="255"/>
        <item x="136"/>
        <item x="140"/>
        <item x="37"/>
        <item x="65"/>
        <item x="15"/>
        <item x="137"/>
        <item x="31"/>
        <item x="138"/>
        <item x="53"/>
        <item x="322"/>
        <item x="323"/>
        <item x="335"/>
        <item x="334"/>
        <item x="317"/>
        <item x="328"/>
        <item x="202"/>
        <item x="203"/>
        <item x="273"/>
        <item x="190"/>
        <item x="189"/>
        <item x="250"/>
        <item x="210"/>
        <item x="244"/>
        <item x="245"/>
        <item x="292"/>
        <item x="296"/>
        <item x="286"/>
        <item x="333"/>
        <item x="295"/>
        <item x="331"/>
        <item x="332"/>
        <item x="235"/>
        <item x="188"/>
        <item x="182"/>
        <item x="267"/>
        <item x="224"/>
        <item x="187"/>
        <item x="236"/>
        <item x="326"/>
        <item x="325"/>
        <item x="324"/>
        <item x="229"/>
        <item x="291"/>
        <item x="287"/>
        <item x="297"/>
        <item x="300"/>
        <item x="301"/>
        <item x="274"/>
        <item x="327"/>
        <item x="306"/>
        <item x="304"/>
        <item x="302"/>
        <item x="314"/>
        <item x="299"/>
        <item x="207"/>
        <item x="150"/>
        <item x="42"/>
        <item x="14"/>
        <item x="38"/>
        <item x="36"/>
        <item x="28"/>
        <item x="10"/>
        <item x="164"/>
        <item x="43"/>
        <item x="165"/>
        <item x="263"/>
        <item x="196"/>
        <item x="105"/>
        <item x="321"/>
        <item x="12"/>
        <item x="11"/>
        <item x="13"/>
        <item x="225"/>
        <item x="234"/>
        <item x="211"/>
        <item x="9"/>
        <item x="231"/>
        <item x="264"/>
        <item x="201"/>
        <item x="181"/>
        <item x="84"/>
        <item x="72"/>
        <item x="262"/>
        <item x="21"/>
        <item x="102"/>
        <item x="169"/>
        <item x="69"/>
        <item x="26"/>
        <item x="71"/>
        <item x="124"/>
        <item x="25"/>
        <item x="23"/>
        <item x="122"/>
        <item x="54"/>
        <item x="73"/>
        <item x="24"/>
        <item x="22"/>
        <item x="139"/>
        <item x="123"/>
        <item x="70"/>
        <item x="19"/>
        <item x="337"/>
        <item x="336"/>
        <item x="193"/>
        <item x="239"/>
        <item x="240"/>
        <item x="5"/>
        <item x="320"/>
        <item x="319"/>
        <item x="310"/>
        <item x="305"/>
        <item x="294"/>
        <item x="307"/>
        <item x="298"/>
        <item x="88"/>
        <item x="199"/>
        <item x="206"/>
        <item x="91"/>
        <item x="92"/>
        <item x="44"/>
        <item x="90"/>
        <item x="118"/>
        <item x="152"/>
        <item x="161"/>
        <item x="183"/>
        <item x="117"/>
        <item x="39"/>
        <item x="4"/>
        <item x="93"/>
        <item x="6"/>
        <item x="145"/>
        <item x="125"/>
        <item x="148"/>
        <item x="205"/>
        <item x="204"/>
        <item x="279"/>
        <item x="318"/>
        <item x="217"/>
        <item x="288"/>
        <item x="185"/>
        <item x="106"/>
        <item x="107"/>
        <item x="338"/>
        <item x="157"/>
        <item x="163"/>
        <item x="174"/>
        <item x="173"/>
        <item x="220"/>
        <item x="223"/>
        <item x="232"/>
        <item x="312"/>
        <item x="191"/>
        <item x="192"/>
        <item x="257"/>
        <item x="238"/>
        <item x="222"/>
        <item x="119"/>
        <item x="269"/>
        <item x="227"/>
        <item x="175"/>
        <item x="168"/>
        <item x="34"/>
        <item x="151"/>
        <item x="35"/>
        <item x="215"/>
        <item x="290"/>
        <item x="258"/>
        <item x="259"/>
        <item x="32"/>
        <item x="29"/>
        <item x="172"/>
        <item x="166"/>
        <item x="252"/>
        <item x="260"/>
        <item x="144"/>
        <item x="194"/>
        <item x="16"/>
        <item x="83"/>
        <item x="113"/>
        <item x="17"/>
        <item x="68"/>
        <item x="100"/>
        <item x="228"/>
        <item x="104"/>
        <item x="82"/>
        <item x="114"/>
        <item x="120"/>
        <item x="115"/>
        <item x="99"/>
        <item x="52"/>
        <item x="49"/>
        <item x="47"/>
        <item x="66"/>
        <item x="147"/>
        <item x="67"/>
        <item x="155"/>
        <item x="51"/>
        <item x="18"/>
        <item x="282"/>
        <item x="283"/>
        <item x="285"/>
        <item x="284"/>
        <item x="281"/>
        <item x="7"/>
        <item x="303"/>
        <item x="309"/>
        <item x="330"/>
        <item x="503"/>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s>
    </pivotField>
    <pivotField compact="0" defaultSubtotal="0" outline="0" showAll="0">
      <items count="4">
        <item x="0"/>
        <item x="1"/>
        <item x="3"/>
        <item x="2"/>
      </items>
    </pivotField>
    <pivotField compact="0" defaultSubtotal="0" outline="0" showAll="0">
      <items count="2">
        <item x="0"/>
        <item x="1"/>
      </items>
    </pivotField>
    <pivotField compact="0" defaultSubtotal="0" outline="0" showAll="0">
      <items count="1">
        <item x="0"/>
      </items>
    </pivotField>
    <pivotField axis="axisRow" compact="0" sortType="descending" defaultSubtotal="0" outline="0" multipleItemSelectionAllowed="1" showAll="0">
      <items count="582">
        <item x="149"/>
        <item x="21"/>
        <item x="90"/>
        <item x="66"/>
        <item x="176"/>
        <item x="139"/>
        <item x="69"/>
        <item x="163"/>
        <item x="101"/>
        <item x="152"/>
        <item x="177"/>
        <item x="155"/>
        <item x="13"/>
        <item x="141"/>
        <item x="31"/>
        <item x="123"/>
        <item x="145"/>
        <item x="122"/>
        <item x="168"/>
        <item x="140"/>
        <item x="37"/>
        <item x="111"/>
        <item x="92"/>
        <item x="127"/>
        <item x="20"/>
        <item x="33"/>
        <item x="8"/>
        <item x="84"/>
        <item x="153"/>
        <item x="22"/>
        <item x="124"/>
        <item x="58"/>
        <item x="117"/>
        <item x="23"/>
        <item x="160"/>
        <item x="70"/>
        <item x="82"/>
        <item x="67"/>
        <item x="35"/>
        <item x="16"/>
        <item x="165"/>
        <item x="39"/>
        <item x="30"/>
        <item x="45"/>
        <item x="0"/>
        <item x="42"/>
        <item x="182"/>
        <item x="51"/>
        <item x="146"/>
        <item x="41"/>
        <item x="10"/>
        <item x="150"/>
        <item x="87"/>
        <item x="181"/>
        <item x="142"/>
        <item x="138"/>
        <item x="134"/>
        <item x="106"/>
        <item x="52"/>
        <item x="18"/>
        <item x="61"/>
        <item x="95"/>
        <item x="102"/>
        <item x="49"/>
        <item x="46"/>
        <item x="75"/>
        <item x="109"/>
        <item x="172"/>
        <item x="98"/>
        <item x="1"/>
        <item x="180"/>
        <item x="80"/>
        <item x="50"/>
        <item x="14"/>
        <item x="55"/>
        <item x="62"/>
        <item x="65"/>
        <item x="107"/>
        <item x="68"/>
        <item x="131"/>
        <item x="38"/>
        <item x="79"/>
        <item x="7"/>
        <item x="64"/>
        <item x="151"/>
        <item x="86"/>
        <item x="2"/>
        <item x="104"/>
        <item x="74"/>
        <item x="97"/>
        <item x="99"/>
        <item x="88"/>
        <item x="56"/>
        <item x="12"/>
        <item x="119"/>
        <item x="144"/>
        <item x="148"/>
        <item x="28"/>
        <item x="116"/>
        <item x="110"/>
        <item x="6"/>
        <item x="103"/>
        <item x="24"/>
        <item x="133"/>
        <item x="169"/>
        <item x="136"/>
        <item x="156"/>
        <item x="154"/>
        <item x="81"/>
        <item x="4"/>
        <item x="19"/>
        <item x="32"/>
        <item x="112"/>
        <item x="128"/>
        <item x="48"/>
        <item x="125"/>
        <item x="77"/>
        <item x="118"/>
        <item x="94"/>
        <item x="147"/>
        <item x="78"/>
        <item x="126"/>
        <item x="171"/>
        <item x="93"/>
        <item x="175"/>
        <item x="96"/>
        <item x="170"/>
        <item x="25"/>
        <item x="17"/>
        <item x="11"/>
        <item x="9"/>
        <item x="60"/>
        <item x="179"/>
        <item x="54"/>
        <item x="157"/>
        <item x="183"/>
        <item x="47"/>
        <item x="164"/>
        <item x="85"/>
        <item x="162"/>
        <item x="158"/>
        <item x="159"/>
        <item x="59"/>
        <item x="3"/>
        <item x="121"/>
        <item x="5"/>
        <item x="72"/>
        <item x="100"/>
        <item x="29"/>
        <item x="76"/>
        <item x="26"/>
        <item x="120"/>
        <item x="27"/>
        <item x="53"/>
        <item x="135"/>
        <item x="161"/>
        <item x="83"/>
        <item x="129"/>
        <item x="91"/>
        <item x="15"/>
        <item x="113"/>
        <item x="130"/>
        <item x="178"/>
        <item x="40"/>
        <item x="115"/>
        <item x="166"/>
        <item x="137"/>
        <item x="44"/>
        <item x="34"/>
        <item x="57"/>
        <item x="89"/>
        <item x="108"/>
        <item x="114"/>
        <item x="71"/>
        <item x="105"/>
        <item x="63"/>
        <item x="167"/>
        <item x="143"/>
        <item x="174"/>
        <item x="43"/>
        <item x="184"/>
        <item x="73"/>
        <item x="36"/>
        <item x="132"/>
        <item x="173"/>
        <item x="581"/>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s>
      <autoSortScope>
        <pivotArea fieldPosition="0">
          <references count="1">
            <reference field="4294967294" count="1" selected="0">
              <x v="0"/>
            </reference>
          </references>
        </pivotArea>
      </autoSortScope>
    </pivotField>
    <pivotField compact="0" defaultSubtotal="0" outline="0" showAll="0">
      <items count="600">
        <item x="151"/>
        <item x="272"/>
        <item x="194"/>
        <item x="319"/>
        <item x="237"/>
        <item x="11"/>
        <item x="197"/>
        <item x="109"/>
        <item x="413"/>
        <item x="378"/>
        <item x="174"/>
        <item x="213"/>
        <item x="16"/>
        <item x="364"/>
        <item x="443"/>
        <item x="105"/>
        <item x="35"/>
        <item x="103"/>
        <item x="410"/>
        <item x="173"/>
        <item x="316"/>
        <item x="139"/>
        <item x="221"/>
        <item x="29"/>
        <item x="41"/>
        <item x="414"/>
        <item x="63"/>
        <item x="294"/>
        <item x="232"/>
        <item x="50"/>
        <item x="60"/>
        <item x="170"/>
        <item x="321"/>
        <item x="452"/>
        <item x="308"/>
        <item x="150"/>
        <item x="312"/>
        <item x="10"/>
        <item x="116"/>
        <item x="252"/>
        <item x="138"/>
        <item x="198"/>
        <item x="179"/>
        <item x="445"/>
        <item x="193"/>
        <item x="214"/>
        <item x="450"/>
        <item x="418"/>
        <item x="52"/>
        <item x="348"/>
        <item x="449"/>
        <item x="148"/>
        <item x="439"/>
        <item x="158"/>
        <item x="12"/>
        <item x="382"/>
        <item x="360"/>
        <item x="62"/>
        <item x="59"/>
        <item x="88"/>
        <item x="190"/>
        <item x="208"/>
        <item x="211"/>
        <item x="395"/>
        <item x="345"/>
        <item x="14"/>
        <item x="30"/>
        <item x="290"/>
        <item x="187"/>
        <item x="393"/>
        <item x="440"/>
        <item x="104"/>
        <item x="349"/>
        <item x="74"/>
        <item x="368"/>
        <item x="25"/>
        <item x="396"/>
        <item x="46"/>
        <item x="326"/>
        <item x="177"/>
        <item x="362"/>
        <item x="247"/>
        <item x="119"/>
        <item x="0"/>
        <item x="427"/>
        <item x="65"/>
        <item x="51"/>
        <item x="28"/>
        <item x="426"/>
        <item x="251"/>
        <item x="315"/>
        <item x="313"/>
        <item x="346"/>
        <item x="215"/>
        <item x="205"/>
        <item x="140"/>
        <item x="108"/>
        <item x="423"/>
        <item x="75"/>
        <item x="195"/>
        <item x="419"/>
        <item x="181"/>
        <item x="113"/>
        <item x="354"/>
        <item x="355"/>
        <item x="381"/>
        <item x="114"/>
        <item x="202"/>
        <item x="206"/>
        <item x="432"/>
        <item x="162"/>
        <item x="33"/>
        <item x="267"/>
        <item x="39"/>
        <item x="34"/>
        <item x="101"/>
        <item x="361"/>
        <item x="240"/>
        <item x="199"/>
        <item x="282"/>
        <item x="448"/>
        <item x="76"/>
        <item x="415"/>
        <item x="233"/>
        <item x="192"/>
        <item x="336"/>
        <item x="399"/>
        <item x="322"/>
        <item x="93"/>
        <item x="424"/>
        <item x="133"/>
        <item x="277"/>
        <item x="458"/>
        <item x="324"/>
        <item x="417"/>
        <item x="84"/>
        <item x="262"/>
        <item x="333"/>
        <item x="66"/>
        <item x="446"/>
        <item x="390"/>
        <item x="323"/>
        <item x="455"/>
        <item x="457"/>
        <item x="280"/>
        <item x="223"/>
        <item x="310"/>
        <item x="293"/>
        <item x="379"/>
        <item x="335"/>
        <item x="281"/>
        <item x="238"/>
        <item x="98"/>
        <item x="270"/>
        <item x="350"/>
        <item x="409"/>
        <item x="307"/>
        <item x="268"/>
        <item x="257"/>
        <item x="9"/>
        <item x="4"/>
        <item x="454"/>
        <item x="124"/>
        <item x="303"/>
        <item x="121"/>
        <item x="394"/>
        <item x="337"/>
        <item x="387"/>
        <item x="118"/>
        <item x="7"/>
        <item x="386"/>
        <item x="107"/>
        <item x="397"/>
        <item x="374"/>
        <item x="20"/>
        <item x="369"/>
        <item x="329"/>
        <item x="147"/>
        <item x="189"/>
        <item x="402"/>
        <item x="444"/>
        <item x="19"/>
        <item x="411"/>
        <item x="332"/>
        <item x="89"/>
        <item x="428"/>
        <item x="100"/>
        <item x="425"/>
        <item x="286"/>
        <item x="123"/>
        <item x="40"/>
        <item x="17"/>
        <item x="120"/>
        <item x="306"/>
        <item x="32"/>
        <item x="91"/>
        <item x="26"/>
        <item x="344"/>
        <item x="212"/>
        <item x="161"/>
        <item x="250"/>
        <item x="441"/>
        <item x="299"/>
        <item x="389"/>
        <item x="180"/>
        <item x="366"/>
        <item x="405"/>
        <item x="128"/>
        <item x="284"/>
        <item x="3"/>
        <item x="375"/>
        <item x="377"/>
        <item x="85"/>
        <item x="131"/>
        <item x="77"/>
        <item x="248"/>
        <item x="227"/>
        <item x="305"/>
        <item x="23"/>
        <item x="320"/>
        <item x="352"/>
        <item x="178"/>
        <item x="111"/>
        <item x="235"/>
        <item x="69"/>
        <item x="406"/>
        <item x="55"/>
        <item x="153"/>
        <item x="142"/>
        <item x="68"/>
        <item x="438"/>
        <item x="43"/>
        <item x="442"/>
        <item x="97"/>
        <item x="185"/>
        <item x="265"/>
        <item x="363"/>
        <item x="67"/>
        <item x="304"/>
        <item x="117"/>
        <item x="152"/>
        <item x="54"/>
        <item x="72"/>
        <item x="92"/>
        <item x="210"/>
        <item x="430"/>
        <item x="157"/>
        <item x="269"/>
        <item x="129"/>
        <item x="149"/>
        <item x="83"/>
        <item x="58"/>
        <item x="357"/>
        <item x="80"/>
        <item x="53"/>
        <item x="338"/>
        <item x="184"/>
        <item x="79"/>
        <item x="412"/>
        <item x="171"/>
        <item x="420"/>
        <item x="259"/>
        <item x="86"/>
        <item x="70"/>
        <item x="245"/>
        <item x="230"/>
        <item x="274"/>
        <item x="127"/>
        <item x="435"/>
        <item x="125"/>
        <item x="228"/>
        <item x="154"/>
        <item x="314"/>
        <item x="359"/>
        <item x="256"/>
        <item x="49"/>
        <item x="137"/>
        <item x="456"/>
        <item x="2"/>
        <item x="13"/>
        <item x="431"/>
        <item x="64"/>
        <item x="239"/>
        <item x="388"/>
        <item x="126"/>
        <item x="209"/>
        <item x="225"/>
        <item x="156"/>
        <item x="204"/>
        <item x="207"/>
        <item x="56"/>
        <item x="365"/>
        <item x="176"/>
        <item x="421"/>
        <item x="311"/>
        <item x="231"/>
        <item x="400"/>
        <item x="342"/>
        <item x="296"/>
        <item x="261"/>
        <item x="408"/>
        <item x="38"/>
        <item x="82"/>
        <item x="5"/>
        <item x="297"/>
        <item x="278"/>
        <item x="216"/>
        <item x="81"/>
        <item x="353"/>
        <item x="222"/>
        <item x="334"/>
        <item x="95"/>
        <item x="203"/>
        <item x="134"/>
        <item x="159"/>
        <item x="36"/>
        <item x="226"/>
        <item x="6"/>
        <item x="302"/>
        <item x="130"/>
        <item x="71"/>
        <item x="169"/>
        <item x="155"/>
        <item x="273"/>
        <item x="295"/>
        <item x="380"/>
        <item x="376"/>
        <item x="351"/>
        <item x="22"/>
        <item x="200"/>
        <item x="422"/>
        <item x="99"/>
        <item x="433"/>
        <item x="367"/>
        <item x="298"/>
        <item x="196"/>
        <item x="370"/>
        <item x="407"/>
        <item x="15"/>
        <item x="47"/>
        <item x="102"/>
        <item x="144"/>
        <item x="246"/>
        <item x="453"/>
        <item x="218"/>
        <item x="437"/>
        <item x="255"/>
        <item x="301"/>
        <item x="401"/>
        <item x="371"/>
        <item x="217"/>
        <item x="112"/>
        <item x="266"/>
        <item x="356"/>
        <item x="57"/>
        <item x="242"/>
        <item x="404"/>
        <item x="219"/>
        <item x="110"/>
        <item x="160"/>
        <item x="331"/>
        <item x="285"/>
        <item x="373"/>
        <item x="21"/>
        <item x="143"/>
        <item x="436"/>
        <item x="287"/>
        <item x="166"/>
        <item x="384"/>
        <item x="145"/>
        <item x="275"/>
        <item x="325"/>
        <item x="94"/>
        <item x="106"/>
        <item x="115"/>
        <item x="339"/>
        <item x="271"/>
        <item x="90"/>
        <item x="309"/>
        <item x="398"/>
        <item x="96"/>
        <item x="44"/>
        <item x="234"/>
        <item x="372"/>
        <item x="447"/>
        <item x="136"/>
        <item x="328"/>
        <item x="122"/>
        <item x="358"/>
        <item x="224"/>
        <item x="172"/>
        <item x="182"/>
        <item x="291"/>
        <item x="37"/>
        <item x="249"/>
        <item x="429"/>
        <item x="289"/>
        <item x="191"/>
        <item x="243"/>
        <item x="391"/>
        <item x="347"/>
        <item x="279"/>
        <item x="135"/>
        <item x="340"/>
        <item x="459"/>
        <item x="186"/>
        <item x="292"/>
        <item x="383"/>
        <item x="167"/>
        <item x="78"/>
        <item x="18"/>
        <item x="318"/>
        <item x="392"/>
        <item x="146"/>
        <item x="188"/>
        <item x="253"/>
        <item x="175"/>
        <item x="220"/>
        <item x="48"/>
        <item x="141"/>
        <item x="263"/>
        <item x="164"/>
        <item x="341"/>
        <item x="460"/>
        <item x="403"/>
        <item x="73"/>
        <item x="317"/>
        <item x="254"/>
        <item x="229"/>
        <item x="241"/>
        <item x="24"/>
        <item x="163"/>
        <item x="258"/>
        <item x="168"/>
        <item x="244"/>
        <item x="183"/>
        <item x="260"/>
        <item x="330"/>
        <item x="132"/>
        <item x="27"/>
        <item x="343"/>
        <item x="434"/>
        <item x="283"/>
        <item x="385"/>
        <item x="87"/>
        <item x="264"/>
        <item x="416"/>
        <item x="236"/>
        <item x="201"/>
        <item x="327"/>
        <item x="300"/>
        <item x="1"/>
        <item x="288"/>
        <item x="45"/>
        <item x="451"/>
        <item x="165"/>
        <item x="61"/>
        <item x="8"/>
        <item x="276"/>
        <item x="31"/>
        <item x="42"/>
        <item x="599"/>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s>
    </pivotField>
    <pivotField compact="0" defaultSubtotal="0" outline="0" showAll="0">
      <items count="29">
        <item x="20"/>
        <item x="10"/>
        <item x="3"/>
        <item x="25"/>
        <item x="0"/>
        <item x="7"/>
        <item x="2"/>
        <item x="27"/>
        <item x="16"/>
        <item x="8"/>
        <item x="11"/>
        <item x="6"/>
        <item x="1"/>
        <item x="21"/>
        <item x="18"/>
        <item x="9"/>
        <item x="26"/>
        <item x="15"/>
        <item x="4"/>
        <item x="13"/>
        <item x="14"/>
        <item x="19"/>
        <item x="24"/>
        <item x="5"/>
        <item x="22"/>
        <item x="12"/>
        <item x="17"/>
        <item x="23"/>
        <item x="28"/>
      </items>
    </pivotField>
    <pivotField compact="0" defaultSubtotal="0" outline="0" showAll="0">
      <items count="201">
        <item x="151"/>
        <item x="43"/>
        <item x="89"/>
        <item x="170"/>
        <item x="20"/>
        <item x="171"/>
        <item x="32"/>
        <item x="114"/>
        <item x="19"/>
        <item x="84"/>
        <item x="87"/>
        <item x="58"/>
        <item x="73"/>
        <item x="9"/>
        <item x="154"/>
        <item x="77"/>
        <item x="41"/>
        <item x="162"/>
        <item x="123"/>
        <item x="172"/>
        <item x="100"/>
        <item x="45"/>
        <item x="98"/>
        <item x="0"/>
        <item x="152"/>
        <item x="158"/>
        <item x="52"/>
        <item x="34"/>
        <item x="12"/>
        <item x="66"/>
        <item x="16"/>
        <item x="85"/>
        <item x="166"/>
        <item x="24"/>
        <item x="64"/>
        <item x="99"/>
        <item x="65"/>
        <item x="125"/>
        <item x="115"/>
        <item x="103"/>
        <item x="131"/>
        <item x="76"/>
        <item x="165"/>
        <item x="104"/>
        <item x="146"/>
        <item x="35"/>
        <item x="1"/>
        <item x="105"/>
        <item x="93"/>
        <item x="21"/>
        <item x="47"/>
        <item x="23"/>
        <item x="82"/>
        <item x="63"/>
        <item x="53"/>
        <item x="46"/>
        <item x="121"/>
        <item x="142"/>
        <item x="71"/>
        <item x="81"/>
        <item x="108"/>
        <item x="126"/>
        <item x="113"/>
        <item x="132"/>
        <item x="130"/>
        <item x="25"/>
        <item x="33"/>
        <item x="160"/>
        <item x="122"/>
        <item x="144"/>
        <item x="37"/>
        <item x="88"/>
        <item x="95"/>
        <item x="28"/>
        <item x="13"/>
        <item x="139"/>
        <item x="6"/>
        <item x="156"/>
        <item x="48"/>
        <item x="15"/>
        <item x="78"/>
        <item x="92"/>
        <item x="83"/>
        <item x="27"/>
        <item x="96"/>
        <item x="153"/>
        <item x="155"/>
        <item x="36"/>
        <item x="54"/>
        <item x="69"/>
        <item x="119"/>
        <item x="174"/>
        <item x="133"/>
        <item x="112"/>
        <item x="2"/>
        <item x="176"/>
        <item x="55"/>
        <item x="31"/>
        <item x="62"/>
        <item x="134"/>
        <item x="59"/>
        <item x="49"/>
        <item x="29"/>
        <item x="109"/>
        <item x="18"/>
        <item x="118"/>
        <item x="167"/>
        <item x="79"/>
        <item x="129"/>
        <item x="137"/>
        <item x="26"/>
        <item x="150"/>
        <item x="50"/>
        <item x="94"/>
        <item x="124"/>
        <item x="61"/>
        <item x="11"/>
        <item x="111"/>
        <item x="106"/>
        <item x="72"/>
        <item x="90"/>
        <item x="38"/>
        <item x="145"/>
        <item x="110"/>
        <item x="138"/>
        <item x="91"/>
        <item x="140"/>
        <item x="68"/>
        <item x="143"/>
        <item x="80"/>
        <item x="102"/>
        <item x="135"/>
        <item x="42"/>
        <item x="148"/>
        <item x="39"/>
        <item x="147"/>
        <item x="161"/>
        <item x="149"/>
        <item x="128"/>
        <item x="8"/>
        <item x="116"/>
        <item x="86"/>
        <item x="40"/>
        <item x="74"/>
        <item x="141"/>
        <item x="4"/>
        <item x="175"/>
        <item x="30"/>
        <item x="159"/>
        <item x="173"/>
        <item x="169"/>
        <item x="117"/>
        <item x="56"/>
        <item x="163"/>
        <item x="101"/>
        <item x="3"/>
        <item x="10"/>
        <item x="168"/>
        <item x="120"/>
        <item x="164"/>
        <item x="17"/>
        <item x="107"/>
        <item x="44"/>
        <item x="127"/>
        <item x="51"/>
        <item x="67"/>
        <item x="14"/>
        <item x="7"/>
        <item x="22"/>
        <item x="60"/>
        <item x="75"/>
        <item x="97"/>
        <item x="5"/>
        <item x="157"/>
        <item x="136"/>
        <item x="70"/>
        <item x="57"/>
        <item x="200"/>
        <item x="177"/>
        <item x="178"/>
        <item x="179"/>
        <item x="180"/>
        <item x="181"/>
        <item x="182"/>
        <item x="183"/>
        <item x="184"/>
        <item x="185"/>
        <item x="186"/>
        <item x="187"/>
        <item x="188"/>
        <item x="189"/>
        <item x="190"/>
        <item x="191"/>
        <item x="192"/>
        <item x="193"/>
        <item x="194"/>
        <item x="195"/>
        <item x="196"/>
        <item x="197"/>
        <item x="198"/>
        <item x="199"/>
      </items>
    </pivotField>
    <pivotField compact="0" defaultSubtotal="0" outline="0" showAll="0">
      <items count="432">
        <item x="91"/>
        <item x="255"/>
        <item x="339"/>
        <item x="223"/>
        <item x="322"/>
        <item x="274"/>
        <item x="231"/>
        <item x="251"/>
        <item x="200"/>
        <item x="115"/>
        <item x="195"/>
        <item x="241"/>
        <item x="283"/>
        <item x="72"/>
        <item x="332"/>
        <item x="172"/>
        <item x="295"/>
        <item x="199"/>
        <item x="167"/>
        <item x="128"/>
        <item x="337"/>
        <item x="219"/>
        <item x="262"/>
        <item x="101"/>
        <item x="146"/>
        <item x="93"/>
        <item x="229"/>
        <item x="117"/>
        <item x="299"/>
        <item x="88"/>
        <item x="119"/>
        <item x="28"/>
        <item x="205"/>
        <item x="143"/>
        <item x="85"/>
        <item x="150"/>
        <item x="87"/>
        <item x="340"/>
        <item x="297"/>
        <item x="2"/>
        <item x="187"/>
        <item x="86"/>
        <item x="7"/>
        <item x="156"/>
        <item x="26"/>
        <item x="162"/>
        <item x="60"/>
        <item x="122"/>
        <item x="287"/>
        <item x="212"/>
        <item x="192"/>
        <item x="65"/>
        <item x="129"/>
        <item x="20"/>
        <item x="75"/>
        <item x="0"/>
        <item x="185"/>
        <item x="190"/>
        <item x="207"/>
        <item x="256"/>
        <item x="144"/>
        <item x="182"/>
        <item x="142"/>
        <item x="302"/>
        <item x="281"/>
        <item x="97"/>
        <item x="155"/>
        <item x="123"/>
        <item x="194"/>
        <item x="315"/>
        <item x="272"/>
        <item x="31"/>
        <item x="305"/>
        <item x="245"/>
        <item x="67"/>
        <item x="171"/>
        <item x="236"/>
        <item x="130"/>
        <item x="37"/>
        <item x="317"/>
        <item x="9"/>
        <item x="180"/>
        <item x="188"/>
        <item x="71"/>
        <item x="304"/>
        <item x="138"/>
        <item x="191"/>
        <item x="1"/>
        <item x="235"/>
        <item x="174"/>
        <item x="104"/>
        <item x="227"/>
        <item x="163"/>
        <item x="103"/>
        <item x="234"/>
        <item x="140"/>
        <item x="73"/>
        <item x="248"/>
        <item x="56"/>
        <item x="166"/>
        <item x="70"/>
        <item x="278"/>
        <item x="24"/>
        <item x="15"/>
        <item x="121"/>
        <item x="69"/>
        <item x="81"/>
        <item x="288"/>
        <item x="259"/>
        <item x="105"/>
        <item x="141"/>
        <item x="3"/>
        <item x="96"/>
        <item x="151"/>
        <item x="181"/>
        <item x="41"/>
        <item x="343"/>
        <item x="193"/>
        <item x="186"/>
        <item x="252"/>
        <item x="249"/>
        <item x="23"/>
        <item x="16"/>
        <item x="17"/>
        <item x="154"/>
        <item x="99"/>
        <item x="204"/>
        <item x="237"/>
        <item x="94"/>
        <item x="32"/>
        <item x="202"/>
        <item x="239"/>
        <item x="213"/>
        <item x="216"/>
        <item x="257"/>
        <item x="133"/>
        <item x="66"/>
        <item x="57"/>
        <item x="327"/>
        <item x="169"/>
        <item x="74"/>
        <item x="77"/>
        <item x="286"/>
        <item x="39"/>
        <item x="8"/>
        <item x="175"/>
        <item x="48"/>
        <item x="126"/>
        <item x="183"/>
        <item x="55"/>
        <item x="316"/>
        <item x="279"/>
        <item x="148"/>
        <item x="176"/>
        <item x="326"/>
        <item x="13"/>
        <item x="338"/>
        <item x="311"/>
        <item x="61"/>
        <item x="266"/>
        <item x="19"/>
        <item x="135"/>
        <item x="280"/>
        <item x="68"/>
        <item x="243"/>
        <item x="232"/>
        <item x="168"/>
        <item x="342"/>
        <item x="268"/>
        <item x="203"/>
        <item x="58"/>
        <item x="270"/>
        <item x="153"/>
        <item x="33"/>
        <item x="240"/>
        <item x="161"/>
        <item x="54"/>
        <item x="344"/>
        <item x="92"/>
        <item x="250"/>
        <item x="189"/>
        <item x="12"/>
        <item x="21"/>
        <item x="116"/>
        <item x="330"/>
        <item x="328"/>
        <item x="14"/>
        <item x="226"/>
        <item x="323"/>
        <item x="263"/>
        <item x="331"/>
        <item x="220"/>
        <item x="329"/>
        <item x="90"/>
        <item x="78"/>
        <item x="228"/>
        <item x="244"/>
        <item x="147"/>
        <item x="149"/>
        <item x="267"/>
        <item x="211"/>
        <item x="261"/>
        <item x="114"/>
        <item x="346"/>
        <item x="222"/>
        <item x="36"/>
        <item x="52"/>
        <item x="42"/>
        <item x="152"/>
        <item x="313"/>
        <item x="82"/>
        <item x="35"/>
        <item x="102"/>
        <item x="307"/>
        <item x="277"/>
        <item x="178"/>
        <item x="209"/>
        <item x="308"/>
        <item x="177"/>
        <item x="112"/>
        <item x="27"/>
        <item x="136"/>
        <item x="341"/>
        <item x="170"/>
        <item x="258"/>
        <item x="145"/>
        <item x="284"/>
        <item x="118"/>
        <item x="285"/>
        <item x="300"/>
        <item x="113"/>
        <item x="45"/>
        <item x="159"/>
        <item x="46"/>
        <item x="51"/>
        <item x="271"/>
        <item x="179"/>
        <item x="80"/>
        <item x="63"/>
        <item x="40"/>
        <item x="345"/>
        <item x="109"/>
        <item x="59"/>
        <item x="336"/>
        <item x="260"/>
        <item x="325"/>
        <item x="100"/>
        <item x="301"/>
        <item x="335"/>
        <item x="201"/>
        <item x="314"/>
        <item x="224"/>
        <item x="47"/>
        <item x="214"/>
        <item x="49"/>
        <item x="293"/>
        <item x="111"/>
        <item x="198"/>
        <item x="275"/>
        <item x="264"/>
        <item x="319"/>
        <item x="242"/>
        <item x="218"/>
        <item x="225"/>
        <item x="210"/>
        <item x="43"/>
        <item x="132"/>
        <item x="208"/>
        <item x="221"/>
        <item x="321"/>
        <item x="5"/>
        <item x="296"/>
        <item x="265"/>
        <item x="4"/>
        <item x="84"/>
        <item x="95"/>
        <item x="303"/>
        <item x="34"/>
        <item x="289"/>
        <item x="89"/>
        <item x="334"/>
        <item x="215"/>
        <item x="6"/>
        <item x="139"/>
        <item x="238"/>
        <item x="137"/>
        <item x="38"/>
        <item x="30"/>
        <item x="18"/>
        <item x="196"/>
        <item x="10"/>
        <item x="164"/>
        <item x="320"/>
        <item x="107"/>
        <item x="53"/>
        <item x="318"/>
        <item x="44"/>
        <item x="233"/>
        <item x="127"/>
        <item x="131"/>
        <item x="22"/>
        <item x="165"/>
        <item x="312"/>
        <item x="50"/>
        <item x="292"/>
        <item x="110"/>
        <item x="310"/>
        <item x="324"/>
        <item x="269"/>
        <item x="333"/>
        <item x="173"/>
        <item x="98"/>
        <item x="134"/>
        <item x="230"/>
        <item x="158"/>
        <item x="106"/>
        <item x="294"/>
        <item x="247"/>
        <item x="206"/>
        <item x="306"/>
        <item x="29"/>
        <item x="298"/>
        <item x="254"/>
        <item x="64"/>
        <item x="76"/>
        <item x="160"/>
        <item x="120"/>
        <item x="25"/>
        <item x="184"/>
        <item x="83"/>
        <item x="291"/>
        <item x="11"/>
        <item x="125"/>
        <item x="157"/>
        <item x="282"/>
        <item x="108"/>
        <item x="309"/>
        <item x="276"/>
        <item x="253"/>
        <item x="246"/>
        <item x="290"/>
        <item x="62"/>
        <item x="79"/>
        <item x="197"/>
        <item x="273"/>
        <item x="217"/>
        <item x="124"/>
        <item x="431"/>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s>
    </pivotField>
    <pivotField compact="0" defaultSubtotal="0" outline="0" showAll="0">
      <items count="621">
        <item x="55"/>
        <item x="442"/>
        <item x="363"/>
        <item x="247"/>
        <item x="420"/>
        <item x="280"/>
        <item x="279"/>
        <item x="301"/>
        <item x="344"/>
        <item x="412"/>
        <item x="84"/>
        <item x="20"/>
        <item x="288"/>
        <item x="306"/>
        <item x="295"/>
        <item x="454"/>
        <item x="348"/>
        <item x="474"/>
        <item x="102"/>
        <item x="6"/>
        <item x="426"/>
        <item x="223"/>
        <item x="171"/>
        <item x="115"/>
        <item x="157"/>
        <item x="310"/>
        <item x="85"/>
        <item x="97"/>
        <item x="165"/>
        <item x="34"/>
        <item x="208"/>
        <item x="206"/>
        <item x="284"/>
        <item x="423"/>
        <item x="365"/>
        <item x="366"/>
        <item x="370"/>
        <item x="338"/>
        <item x="201"/>
        <item x="69"/>
        <item x="113"/>
        <item x="250"/>
        <item x="146"/>
        <item x="337"/>
        <item x="104"/>
        <item x="0"/>
        <item x="356"/>
        <item x="312"/>
        <item x="331"/>
        <item x="253"/>
        <item x="68"/>
        <item x="184"/>
        <item x="332"/>
        <item x="143"/>
        <item x="12"/>
        <item x="110"/>
        <item x="87"/>
        <item x="359"/>
        <item x="136"/>
        <item x="416"/>
        <item x="309"/>
        <item x="388"/>
        <item x="296"/>
        <item x="328"/>
        <item x="385"/>
        <item x="149"/>
        <item x="290"/>
        <item x="39"/>
        <item x="120"/>
        <item x="297"/>
        <item x="80"/>
        <item x="211"/>
        <item x="141"/>
        <item x="134"/>
        <item x="233"/>
        <item x="402"/>
        <item x="244"/>
        <item x="105"/>
        <item x="152"/>
        <item x="64"/>
        <item x="25"/>
        <item x="86"/>
        <item x="418"/>
        <item x="458"/>
        <item x="106"/>
        <item x="61"/>
        <item x="379"/>
        <item x="193"/>
        <item x="289"/>
        <item x="196"/>
        <item x="76"/>
        <item x="445"/>
        <item x="172"/>
        <item x="228"/>
        <item x="453"/>
        <item x="192"/>
        <item x="161"/>
        <item x="31"/>
        <item x="36"/>
        <item x="147"/>
        <item x="135"/>
        <item x="54"/>
        <item x="28"/>
        <item x="463"/>
        <item x="464"/>
        <item x="311"/>
        <item x="19"/>
        <item x="371"/>
        <item x="263"/>
        <item x="407"/>
        <item x="377"/>
        <item x="313"/>
        <item x="130"/>
        <item x="103"/>
        <item x="238"/>
        <item x="278"/>
        <item x="367"/>
        <item x="428"/>
        <item x="409"/>
        <item x="79"/>
        <item x="419"/>
        <item x="166"/>
        <item x="319"/>
        <item x="267"/>
        <item x="78"/>
        <item x="66"/>
        <item x="392"/>
        <item x="304"/>
        <item x="386"/>
        <item x="151"/>
        <item x="209"/>
        <item x="158"/>
        <item x="358"/>
        <item x="448"/>
        <item x="3"/>
        <item x="47"/>
        <item x="283"/>
        <item x="153"/>
        <item x="346"/>
        <item x="239"/>
        <item x="393"/>
        <item x="252"/>
        <item x="7"/>
        <item x="256"/>
        <item x="231"/>
        <item x="406"/>
        <item x="397"/>
        <item x="190"/>
        <item x="90"/>
        <item x="403"/>
        <item x="89"/>
        <item x="372"/>
        <item x="16"/>
        <item x="266"/>
        <item x="462"/>
        <item x="5"/>
        <item x="440"/>
        <item x="251"/>
        <item x="230"/>
        <item x="182"/>
        <item x="245"/>
        <item x="100"/>
        <item x="175"/>
        <item x="197"/>
        <item x="125"/>
        <item x="417"/>
        <item x="281"/>
        <item x="187"/>
        <item x="40"/>
        <item x="13"/>
        <item x="43"/>
        <item x="421"/>
        <item x="333"/>
        <item x="46"/>
        <item x="476"/>
        <item x="383"/>
        <item x="199"/>
        <item x="452"/>
        <item x="154"/>
        <item x="242"/>
        <item x="459"/>
        <item x="268"/>
        <item x="2"/>
        <item x="330"/>
        <item x="82"/>
        <item x="236"/>
        <item x="235"/>
        <item x="334"/>
        <item x="249"/>
        <item x="232"/>
        <item x="277"/>
        <item x="178"/>
        <item x="83"/>
        <item x="364"/>
        <item x="42"/>
        <item x="159"/>
        <item x="414"/>
        <item x="354"/>
        <item x="212"/>
        <item x="131"/>
        <item x="436"/>
        <item x="451"/>
        <item x="316"/>
        <item x="273"/>
        <item x="15"/>
        <item x="254"/>
        <item x="429"/>
        <item x="91"/>
        <item x="353"/>
        <item x="433"/>
        <item x="38"/>
        <item x="23"/>
        <item x="398"/>
        <item x="343"/>
        <item x="101"/>
        <item x="241"/>
        <item x="224"/>
        <item x="210"/>
        <item x="226"/>
        <item x="123"/>
        <item x="24"/>
        <item x="207"/>
        <item x="70"/>
        <item x="41"/>
        <item x="276"/>
        <item x="22"/>
        <item x="237"/>
        <item x="248"/>
        <item x="215"/>
        <item x="434"/>
        <item x="11"/>
        <item x="470"/>
        <item x="292"/>
        <item x="264"/>
        <item x="302"/>
        <item x="225"/>
        <item x="286"/>
        <item x="218"/>
        <item x="121"/>
        <item x="191"/>
        <item x="460"/>
        <item x="432"/>
        <item x="435"/>
        <item x="96"/>
        <item x="9"/>
        <item x="126"/>
        <item x="170"/>
        <item x="111"/>
        <item x="1"/>
        <item x="203"/>
        <item x="162"/>
        <item x="376"/>
        <item x="342"/>
        <item x="469"/>
        <item x="27"/>
        <item x="265"/>
        <item x="163"/>
        <item x="128"/>
        <item x="262"/>
        <item x="303"/>
        <item x="4"/>
        <item x="94"/>
        <item x="234"/>
        <item x="444"/>
        <item x="382"/>
        <item x="391"/>
        <item x="405"/>
        <item x="465"/>
        <item x="475"/>
        <item x="323"/>
        <item x="294"/>
        <item x="441"/>
        <item x="461"/>
        <item x="14"/>
        <item x="272"/>
        <item x="307"/>
        <item x="29"/>
        <item x="352"/>
        <item x="30"/>
        <item x="95"/>
        <item x="325"/>
        <item x="116"/>
        <item x="179"/>
        <item x="287"/>
        <item x="77"/>
        <item x="375"/>
        <item x="107"/>
        <item x="150"/>
        <item x="340"/>
        <item x="72"/>
        <item x="155"/>
        <item x="351"/>
        <item x="49"/>
        <item x="240"/>
        <item x="472"/>
        <item x="380"/>
        <item x="447"/>
        <item x="401"/>
        <item x="430"/>
        <item x="177"/>
        <item x="411"/>
        <item x="17"/>
        <item x="456"/>
        <item x="145"/>
        <item x="443"/>
        <item x="140"/>
        <item x="156"/>
        <item x="350"/>
        <item x="214"/>
        <item x="384"/>
        <item x="243"/>
        <item x="227"/>
        <item x="291"/>
        <item x="408"/>
        <item x="362"/>
        <item x="449"/>
        <item x="164"/>
        <item x="355"/>
        <item x="186"/>
        <item x="399"/>
        <item x="329"/>
        <item x="321"/>
        <item x="37"/>
        <item x="44"/>
        <item x="202"/>
        <item x="349"/>
        <item x="422"/>
        <item x="260"/>
        <item x="198"/>
        <item x="8"/>
        <item x="45"/>
        <item x="18"/>
        <item x="144"/>
        <item x="174"/>
        <item x="324"/>
        <item x="188"/>
        <item x="320"/>
        <item x="119"/>
        <item x="71"/>
        <item x="368"/>
        <item x="132"/>
        <item x="124"/>
        <item x="60"/>
        <item x="118"/>
        <item x="167"/>
        <item x="387"/>
        <item x="33"/>
        <item x="62"/>
        <item x="394"/>
        <item x="345"/>
        <item x="339"/>
        <item x="138"/>
        <item x="74"/>
        <item x="81"/>
        <item x="467"/>
        <item x="137"/>
        <item x="65"/>
        <item x="274"/>
        <item x="285"/>
        <item x="410"/>
        <item x="50"/>
        <item x="219"/>
        <item x="317"/>
        <item x="305"/>
        <item x="378"/>
        <item x="261"/>
        <item x="139"/>
        <item x="204"/>
        <item x="314"/>
        <item x="468"/>
        <item x="127"/>
        <item x="108"/>
        <item x="213"/>
        <item x="35"/>
        <item x="58"/>
        <item x="216"/>
        <item x="217"/>
        <item x="221"/>
        <item x="53"/>
        <item x="450"/>
        <item x="51"/>
        <item x="258"/>
        <item x="374"/>
        <item x="431"/>
        <item x="270"/>
        <item x="222"/>
        <item x="308"/>
        <item x="300"/>
        <item x="455"/>
        <item x="400"/>
        <item x="129"/>
        <item x="195"/>
        <item x="341"/>
        <item x="133"/>
        <item x="21"/>
        <item x="395"/>
        <item x="466"/>
        <item x="180"/>
        <item x="347"/>
        <item x="299"/>
        <item x="205"/>
        <item x="92"/>
        <item x="404"/>
        <item x="169"/>
        <item x="75"/>
        <item x="52"/>
        <item x="298"/>
        <item x="99"/>
        <item x="259"/>
        <item x="59"/>
        <item x="67"/>
        <item x="425"/>
        <item x="229"/>
        <item x="373"/>
        <item x="73"/>
        <item x="63"/>
        <item x="390"/>
        <item x="142"/>
        <item x="396"/>
        <item x="168"/>
        <item x="326"/>
        <item x="160"/>
        <item x="88"/>
        <item x="10"/>
        <item x="112"/>
        <item x="148"/>
        <item x="117"/>
        <item x="255"/>
        <item x="246"/>
        <item x="471"/>
        <item x="413"/>
        <item x="457"/>
        <item x="293"/>
        <item x="357"/>
        <item x="322"/>
        <item x="424"/>
        <item x="176"/>
        <item x="360"/>
        <item x="189"/>
        <item x="271"/>
        <item x="98"/>
        <item x="26"/>
        <item x="32"/>
        <item x="335"/>
        <item x="336"/>
        <item x="275"/>
        <item x="194"/>
        <item x="200"/>
        <item x="93"/>
        <item x="361"/>
        <item x="381"/>
        <item x="427"/>
        <item x="185"/>
        <item x="438"/>
        <item x="114"/>
        <item x="57"/>
        <item x="56"/>
        <item x="48"/>
        <item x="109"/>
        <item x="446"/>
        <item x="257"/>
        <item x="318"/>
        <item x="269"/>
        <item x="282"/>
        <item x="437"/>
        <item x="183"/>
        <item x="181"/>
        <item x="439"/>
        <item x="173"/>
        <item x="315"/>
        <item x="220"/>
        <item x="389"/>
        <item x="327"/>
        <item x="122"/>
        <item x="473"/>
        <item x="369"/>
        <item x="415"/>
        <item x="620"/>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s>
    </pivotField>
    <pivotField compact="0" defaultSubtotal="0" outline="0" showAll="0">
      <items count="67">
        <item x="11"/>
        <item x="33"/>
        <item x="34"/>
        <item x="32"/>
        <item x="37"/>
        <item x="5"/>
        <item x="26"/>
        <item x="38"/>
        <item x="16"/>
        <item x="18"/>
        <item x="14"/>
        <item x="10"/>
        <item x="31"/>
        <item x="25"/>
        <item x="17"/>
        <item x="9"/>
        <item x="23"/>
        <item x="22"/>
        <item x="35"/>
        <item x="21"/>
        <item x="30"/>
        <item x="24"/>
        <item x="8"/>
        <item x="7"/>
        <item x="19"/>
        <item x="1"/>
        <item x="15"/>
        <item x="28"/>
        <item x="20"/>
        <item x="3"/>
        <item x="2"/>
        <item x="6"/>
        <item x="36"/>
        <item x="12"/>
        <item x="13"/>
        <item x="27"/>
        <item x="29"/>
        <item x="4"/>
        <item x="0"/>
        <item x="39"/>
        <item x="40"/>
        <item x="41"/>
        <item x="42"/>
        <item x="43"/>
        <item x="44"/>
        <item x="45"/>
        <item x="46"/>
        <item x="47"/>
        <item x="48"/>
        <item x="49"/>
        <item x="50"/>
        <item x="51"/>
        <item x="52"/>
        <item x="53"/>
        <item x="54"/>
        <item x="55"/>
        <item x="56"/>
        <item x="57"/>
        <item x="58"/>
        <item x="59"/>
        <item x="60"/>
        <item x="61"/>
        <item x="62"/>
        <item x="63"/>
        <item x="64"/>
        <item x="65"/>
        <item x="66"/>
      </items>
    </pivotField>
    <pivotField compact="0" defaultSubtotal="0" outline="0" showAll="0">
      <items count="1">
        <item x="0"/>
      </items>
    </pivotField>
    <pivotField compact="0" defaultSubtotal="0" outline="0" showAll="0">
      <items count="624">
        <item x="155"/>
        <item x="325"/>
        <item x="107"/>
        <item x="396"/>
        <item x="356"/>
        <item x="450"/>
        <item x="125"/>
        <item x="295"/>
        <item x="388"/>
        <item x="400"/>
        <item x="99"/>
        <item x="90"/>
        <item x="265"/>
        <item x="222"/>
        <item x="440"/>
        <item x="304"/>
        <item x="58"/>
        <item x="412"/>
        <item x="315"/>
        <item x="248"/>
        <item x="186"/>
        <item x="158"/>
        <item x="169"/>
        <item x="139"/>
        <item x="151"/>
        <item x="123"/>
        <item x="137"/>
        <item x="89"/>
        <item x="120"/>
        <item x="114"/>
        <item x="245"/>
        <item x="81"/>
        <item x="64"/>
        <item x="212"/>
        <item x="22"/>
        <item x="218"/>
        <item x="215"/>
        <item x="214"/>
        <item x="204"/>
        <item x="422"/>
        <item x="316"/>
        <item x="312"/>
        <item x="410"/>
        <item x="306"/>
        <item x="300"/>
        <item x="302"/>
        <item x="296"/>
        <item x="294"/>
        <item x="291"/>
        <item x="408"/>
        <item x="397"/>
        <item x="361"/>
        <item x="390"/>
        <item x="371"/>
        <item x="375"/>
        <item x="343"/>
        <item x="418"/>
        <item x="458"/>
        <item x="439"/>
        <item x="421"/>
        <item x="449"/>
        <item x="452"/>
        <item x="460"/>
        <item x="455"/>
        <item x="453"/>
        <item x="264"/>
        <item x="279"/>
        <item x="349"/>
        <item x="133"/>
        <item x="179"/>
        <item x="12"/>
        <item x="467"/>
        <item x="75"/>
        <item x="244"/>
        <item x="330"/>
        <item x="468"/>
        <item x="201"/>
        <item x="25"/>
        <item x="419"/>
        <item x="187"/>
        <item x="221"/>
        <item x="167"/>
        <item x="140"/>
        <item x="161"/>
        <item x="44"/>
        <item x="105"/>
        <item x="92"/>
        <item x="86"/>
        <item x="82"/>
        <item x="70"/>
        <item x="42"/>
        <item x="26"/>
        <item x="387"/>
        <item x="409"/>
        <item x="227"/>
        <item x="210"/>
        <item x="225"/>
        <item x="219"/>
        <item x="217"/>
        <item x="205"/>
        <item x="267"/>
        <item x="277"/>
        <item x="260"/>
        <item x="252"/>
        <item x="251"/>
        <item x="329"/>
        <item x="438"/>
        <item x="340"/>
        <item x="353"/>
        <item x="298"/>
        <item x="289"/>
        <item x="399"/>
        <item x="403"/>
        <item x="386"/>
        <item x="367"/>
        <item x="456"/>
        <item x="344"/>
        <item x="338"/>
        <item x="342"/>
        <item x="354"/>
        <item x="459"/>
        <item x="335"/>
        <item x="434"/>
        <item x="429"/>
        <item x="424"/>
        <item x="473"/>
        <item x="466"/>
        <item x="451"/>
        <item x="448"/>
        <item x="331"/>
        <item x="284"/>
        <item x="171"/>
        <item x="350"/>
        <item x="437"/>
        <item x="198"/>
        <item x="143"/>
        <item x="183"/>
        <item x="258"/>
        <item x="154"/>
        <item x="50"/>
        <item x="317"/>
        <item x="128"/>
        <item x="190"/>
        <item x="85"/>
        <item x="172"/>
        <item x="328"/>
        <item x="152"/>
        <item x="32"/>
        <item x="51"/>
        <item x="370"/>
        <item x="207"/>
        <item x="165"/>
        <item x="200"/>
        <item x="182"/>
        <item x="88"/>
        <item x="23"/>
        <item x="476"/>
        <item x="308"/>
        <item x="253"/>
        <item x="0"/>
        <item x="103"/>
        <item x="326"/>
        <item x="436"/>
        <item x="136"/>
        <item x="276"/>
        <item x="72"/>
        <item x="254"/>
        <item x="256"/>
        <item x="236"/>
        <item x="3"/>
        <item x="5"/>
        <item x="454"/>
        <item x="91"/>
        <item x="380"/>
        <item x="233"/>
        <item x="463"/>
        <item x="84"/>
        <item x="10"/>
        <item x="15"/>
        <item x="184"/>
        <item x="433"/>
        <item x="226"/>
        <item x="283"/>
        <item x="21"/>
        <item x="321"/>
        <item x="94"/>
        <item x="255"/>
        <item x="368"/>
        <item x="31"/>
        <item x="431"/>
        <item x="65"/>
        <item x="462"/>
        <item x="333"/>
        <item x="175"/>
        <item x="56"/>
        <item x="382"/>
        <item x="34"/>
        <item x="365"/>
        <item x="392"/>
        <item x="394"/>
        <item x="395"/>
        <item x="146"/>
        <item x="170"/>
        <item x="159"/>
        <item x="185"/>
        <item x="13"/>
        <item x="242"/>
        <item x="228"/>
        <item x="213"/>
        <item x="457"/>
        <item x="223"/>
        <item x="231"/>
        <item x="124"/>
        <item x="138"/>
        <item x="230"/>
        <item x="156"/>
        <item x="176"/>
        <item x="474"/>
        <item x="147"/>
        <item x="359"/>
        <item x="104"/>
        <item x="432"/>
        <item x="95"/>
        <item x="132"/>
        <item x="282"/>
        <item x="192"/>
        <item x="443"/>
        <item x="108"/>
        <item x="20"/>
        <item x="69"/>
        <item x="93"/>
        <item x="229"/>
        <item x="216"/>
        <item x="174"/>
        <item x="363"/>
        <item x="57"/>
        <item x="8"/>
        <item x="303"/>
        <item x="63"/>
        <item x="206"/>
        <item x="269"/>
        <item x="80"/>
        <item x="240"/>
        <item x="313"/>
        <item x="292"/>
        <item x="319"/>
        <item x="362"/>
        <item x="287"/>
        <item x="323"/>
        <item x="274"/>
        <item x="238"/>
        <item x="142"/>
        <item x="241"/>
        <item x="271"/>
        <item x="415"/>
        <item x="232"/>
        <item x="324"/>
        <item x="320"/>
        <item x="16"/>
        <item x="163"/>
        <item x="379"/>
        <item x="121"/>
        <item x="357"/>
        <item x="40"/>
        <item x="423"/>
        <item x="141"/>
        <item x="130"/>
        <item x="153"/>
        <item x="280"/>
        <item x="83"/>
        <item x="119"/>
        <item x="118"/>
        <item x="250"/>
        <item x="310"/>
        <item x="336"/>
        <item x="157"/>
        <item x="263"/>
        <item x="472"/>
        <item x="286"/>
        <item x="11"/>
        <item x="189"/>
        <item x="334"/>
        <item x="209"/>
        <item x="461"/>
        <item x="332"/>
        <item x="273"/>
        <item x="149"/>
        <item x="52"/>
        <item x="18"/>
        <item x="393"/>
        <item x="106"/>
        <item x="49"/>
        <item x="62"/>
        <item x="385"/>
        <item x="127"/>
        <item x="76"/>
        <item x="113"/>
        <item x="475"/>
        <item x="416"/>
        <item x="378"/>
        <item x="351"/>
        <item x="285"/>
        <item x="301"/>
        <item x="102"/>
        <item x="203"/>
        <item x="311"/>
        <item x="14"/>
        <item x="55"/>
        <item x="391"/>
        <item x="404"/>
        <item x="7"/>
        <item x="290"/>
        <item x="417"/>
        <item x="426"/>
        <item x="101"/>
        <item x="243"/>
        <item x="67"/>
        <item x="477"/>
        <item x="9"/>
        <item x="115"/>
        <item x="247"/>
        <item x="420"/>
        <item x="430"/>
        <item x="59"/>
        <item x="29"/>
        <item x="261"/>
        <item x="53"/>
        <item x="220"/>
        <item x="366"/>
        <item x="307"/>
        <item x="337"/>
        <item x="36"/>
        <item x="297"/>
        <item x="374"/>
        <item x="96"/>
        <item x="166"/>
        <item x="407"/>
        <item x="71"/>
        <item x="373"/>
        <item x="360"/>
        <item x="364"/>
        <item x="376"/>
        <item x="43"/>
        <item x="122"/>
        <item x="6"/>
        <item x="469"/>
        <item x="358"/>
        <item x="275"/>
        <item x="19"/>
        <item x="180"/>
        <item x="278"/>
        <item x="208"/>
        <item x="61"/>
        <item x="188"/>
        <item x="262"/>
        <item x="177"/>
        <item x="148"/>
        <item x="322"/>
        <item x="470"/>
        <item x="341"/>
        <item x="347"/>
        <item x="1"/>
        <item x="168"/>
        <item x="197"/>
        <item x="401"/>
        <item x="369"/>
        <item x="447"/>
        <item x="318"/>
        <item x="73"/>
        <item x="4"/>
        <item x="211"/>
        <item x="237"/>
        <item x="346"/>
        <item x="41"/>
        <item x="299"/>
        <item x="193"/>
        <item x="413"/>
        <item x="442"/>
        <item x="33"/>
        <item x="79"/>
        <item x="116"/>
        <item x="377"/>
        <item x="129"/>
        <item x="97"/>
        <item x="160"/>
        <item x="339"/>
        <item x="224"/>
        <item x="402"/>
        <item x="110"/>
        <item x="100"/>
        <item x="144"/>
        <item x="178"/>
        <item x="17"/>
        <item x="435"/>
        <item x="195"/>
        <item x="98"/>
        <item x="2"/>
        <item x="112"/>
        <item x="162"/>
        <item x="414"/>
        <item x="54"/>
        <item x="249"/>
        <item x="259"/>
        <item x="164"/>
        <item x="191"/>
        <item x="47"/>
        <item x="87"/>
        <item x="293"/>
        <item x="131"/>
        <item x="465"/>
        <item x="46"/>
        <item x="48"/>
        <item x="145"/>
        <item x="60"/>
        <item x="384"/>
        <item x="309"/>
        <item x="268"/>
        <item x="398"/>
        <item x="246"/>
        <item x="68"/>
        <item x="38"/>
        <item x="352"/>
        <item x="30"/>
        <item x="381"/>
        <item x="194"/>
        <item x="77"/>
        <item x="27"/>
        <item x="28"/>
        <item x="235"/>
        <item x="74"/>
        <item x="411"/>
        <item x="257"/>
        <item x="446"/>
        <item x="234"/>
        <item x="173"/>
        <item x="78"/>
        <item x="39"/>
        <item x="270"/>
        <item x="239"/>
        <item x="305"/>
        <item x="272"/>
        <item x="444"/>
        <item x="126"/>
        <item x="117"/>
        <item x="406"/>
        <item x="45"/>
        <item x="281"/>
        <item x="35"/>
        <item x="372"/>
        <item x="464"/>
        <item x="445"/>
        <item x="109"/>
        <item x="428"/>
        <item x="405"/>
        <item x="66"/>
        <item x="199"/>
        <item x="24"/>
        <item x="135"/>
        <item x="389"/>
        <item x="327"/>
        <item x="314"/>
        <item x="348"/>
        <item x="111"/>
        <item x="196"/>
        <item x="150"/>
        <item x="425"/>
        <item x="383"/>
        <item x="345"/>
        <item x="202"/>
        <item x="266"/>
        <item x="471"/>
        <item x="134"/>
        <item x="37"/>
        <item x="288"/>
        <item x="355"/>
        <item x="441"/>
        <item x="427"/>
        <item x="181"/>
        <item x="623"/>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s>
    </pivotField>
    <pivotField compact="0" defaultSubtotal="0" outline="0" showAll="0">
      <items count="3">
        <item x="0"/>
        <item x="1"/>
        <item x="2"/>
      </items>
    </pivotField>
    <pivotField compact="0" defaultSubtotal="0" outline="0" showAll="0">
      <items count="404">
        <item x="118"/>
        <item x="152"/>
        <item x="229"/>
        <item x="180"/>
        <item x="11"/>
        <item x="155"/>
        <item x="85"/>
        <item x="287"/>
        <item x="136"/>
        <item x="16"/>
        <item x="81"/>
        <item x="285"/>
        <item x="135"/>
        <item x="227"/>
        <item x="107"/>
        <item x="25"/>
        <item x="257"/>
        <item x="35"/>
        <item x="158"/>
        <item x="176"/>
        <item x="51"/>
        <item x="132"/>
        <item x="231"/>
        <item x="222"/>
        <item x="224"/>
        <item x="10"/>
        <item x="91"/>
        <item x="188"/>
        <item x="106"/>
        <item x="140"/>
        <item x="151"/>
        <item x="303"/>
        <item x="44"/>
        <item x="245"/>
        <item x="302"/>
        <item x="115"/>
        <item x="123"/>
        <item x="254"/>
        <item x="53"/>
        <item x="50"/>
        <item x="148"/>
        <item x="276"/>
        <item x="243"/>
        <item x="60"/>
        <item x="14"/>
        <item x="212"/>
        <item x="274"/>
        <item x="80"/>
        <item x="246"/>
        <item x="259"/>
        <item x="33"/>
        <item x="277"/>
        <item x="38"/>
        <item x="234"/>
        <item x="138"/>
        <item x="256"/>
        <item x="145"/>
        <item x="93"/>
        <item x="0"/>
        <item x="43"/>
        <item x="24"/>
        <item x="226"/>
        <item x="161"/>
        <item x="108"/>
        <item x="84"/>
        <item x="153"/>
        <item x="290"/>
        <item x="142"/>
        <item x="250"/>
        <item x="251"/>
        <item x="89"/>
        <item x="159"/>
        <item x="296"/>
        <item x="126"/>
        <item x="29"/>
        <item x="197"/>
        <item x="30"/>
        <item x="78"/>
        <item x="255"/>
        <item x="183"/>
        <item x="156"/>
        <item x="209"/>
        <item x="301"/>
        <item x="61"/>
        <item x="177"/>
        <item x="150"/>
        <item x="232"/>
        <item x="72"/>
        <item x="244"/>
        <item x="307"/>
        <item x="288"/>
        <item x="42"/>
        <item x="281"/>
        <item x="54"/>
        <item x="272"/>
        <item x="26"/>
        <item x="88"/>
        <item x="305"/>
        <item x="306"/>
        <item x="207"/>
        <item x="168"/>
        <item x="208"/>
        <item x="181"/>
        <item x="76"/>
        <item x="200"/>
        <item x="247"/>
        <item x="198"/>
        <item x="304"/>
        <item x="96"/>
        <item x="218"/>
        <item x="275"/>
        <item x="269"/>
        <item x="7"/>
        <item x="268"/>
        <item x="83"/>
        <item x="116"/>
        <item x="18"/>
        <item x="260"/>
        <item x="147"/>
        <item x="280"/>
        <item x="17"/>
        <item x="70"/>
        <item x="34"/>
        <item x="94"/>
        <item x="28"/>
        <item x="71"/>
        <item x="22"/>
        <item x="242"/>
        <item x="164"/>
        <item x="187"/>
        <item x="271"/>
        <item x="141"/>
        <item x="258"/>
        <item x="100"/>
        <item x="3"/>
        <item x="264"/>
        <item x="67"/>
        <item x="62"/>
        <item x="171"/>
        <item x="220"/>
        <item x="21"/>
        <item x="230"/>
        <item x="139"/>
        <item x="87"/>
        <item x="179"/>
        <item x="56"/>
        <item x="249"/>
        <item x="47"/>
        <item x="120"/>
        <item x="110"/>
        <item x="55"/>
        <item x="124"/>
        <item x="134"/>
        <item x="36"/>
        <item x="195"/>
        <item x="219"/>
        <item x="92"/>
        <item x="119"/>
        <item x="46"/>
        <item x="58"/>
        <item x="295"/>
        <item x="199"/>
        <item x="101"/>
        <item x="66"/>
        <item x="65"/>
        <item x="45"/>
        <item x="143"/>
        <item x="64"/>
        <item x="286"/>
        <item x="133"/>
        <item x="192"/>
        <item x="68"/>
        <item x="186"/>
        <item x="4"/>
        <item x="203"/>
        <item x="172"/>
        <item x="225"/>
        <item x="191"/>
        <item x="41"/>
        <item x="105"/>
        <item x="252"/>
        <item x="2"/>
        <item x="13"/>
        <item x="182"/>
        <item x="270"/>
        <item x="9"/>
        <item x="98"/>
        <item x="169"/>
        <item x="48"/>
        <item x="162"/>
        <item x="137"/>
        <item x="174"/>
        <item x="223"/>
        <item x="175"/>
        <item x="278"/>
        <item x="240"/>
        <item x="214"/>
        <item x="193"/>
        <item x="37"/>
        <item x="52"/>
        <item x="5"/>
        <item x="205"/>
        <item x="165"/>
        <item x="213"/>
        <item x="167"/>
        <item x="74"/>
        <item x="160"/>
        <item x="31"/>
        <item x="170"/>
        <item x="6"/>
        <item x="217"/>
        <item x="102"/>
        <item x="57"/>
        <item x="131"/>
        <item x="121"/>
        <item x="202"/>
        <item x="265"/>
        <item x="113"/>
        <item x="248"/>
        <item x="20"/>
        <item x="122"/>
        <item x="292"/>
        <item x="77"/>
        <item x="297"/>
        <item x="215"/>
        <item x="154"/>
        <item x="261"/>
        <item x="117"/>
        <item x="284"/>
        <item x="15"/>
        <item x="39"/>
        <item x="79"/>
        <item x="112"/>
        <item x="221"/>
        <item x="279"/>
        <item x="239"/>
        <item x="262"/>
        <item x="196"/>
        <item x="49"/>
        <item x="184"/>
        <item x="283"/>
        <item x="86"/>
        <item x="236"/>
        <item x="211"/>
        <item x="263"/>
        <item x="19"/>
        <item x="111"/>
        <item x="128"/>
        <item x="266"/>
        <item x="216"/>
        <item x="204"/>
        <item x="1"/>
        <item x="233"/>
        <item x="73"/>
        <item x="99"/>
        <item x="82"/>
        <item x="90"/>
        <item x="237"/>
        <item x="201"/>
        <item x="75"/>
        <item x="178"/>
        <item x="300"/>
        <item x="95"/>
        <item x="253"/>
        <item x="32"/>
        <item x="294"/>
        <item x="149"/>
        <item x="299"/>
        <item x="97"/>
        <item x="206"/>
        <item x="104"/>
        <item x="238"/>
        <item x="289"/>
        <item x="308"/>
        <item x="144"/>
        <item x="129"/>
        <item x="69"/>
        <item x="63"/>
        <item x="273"/>
        <item x="114"/>
        <item x="146"/>
        <item x="291"/>
        <item x="189"/>
        <item x="166"/>
        <item x="130"/>
        <item x="40"/>
        <item x="109"/>
        <item x="194"/>
        <item x="127"/>
        <item x="309"/>
        <item x="282"/>
        <item x="228"/>
        <item x="190"/>
        <item x="173"/>
        <item x="185"/>
        <item x="103"/>
        <item x="23"/>
        <item x="241"/>
        <item x="298"/>
        <item x="210"/>
        <item x="267"/>
        <item x="125"/>
        <item x="157"/>
        <item x="235"/>
        <item x="8"/>
        <item x="27"/>
        <item x="163"/>
        <item x="59"/>
        <item x="293"/>
        <item x="12"/>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s>
    </pivotField>
    <pivotField compact="0" defaultSubtotal="0" outline="0" showAll="0">
      <items count="1">
        <item x="0"/>
      </items>
    </pivotField>
    <pivotField compact="0" defaultSubtotal="0" outline="0" showAll="0">
      <items count="3">
        <item x="2"/>
        <item x="1"/>
        <item x="0"/>
      </items>
    </pivotField>
    <pivotField compact="0" defaultSubtotal="0" outline="0" showAll="0">
      <items count="26">
        <item x="0"/>
        <item x="18"/>
        <item x="12"/>
        <item x="1"/>
        <item x="3"/>
        <item x="14"/>
        <item x="4"/>
        <item x="17"/>
        <item x="10"/>
        <item x="2"/>
        <item x="16"/>
        <item x="7"/>
        <item x="15"/>
        <item x="11"/>
        <item x="5"/>
        <item x="13"/>
        <item x="6"/>
        <item x="9"/>
        <item x="8"/>
        <item x="25"/>
        <item x="19"/>
        <item x="20"/>
        <item x="21"/>
        <item x="22"/>
        <item x="23"/>
        <item x="24"/>
      </items>
    </pivotField>
    <pivotField compact="0" defaultSubtotal="0" outline="0" showAll="0">
      <items count="55">
        <item x="38"/>
        <item x="8"/>
        <item x="7"/>
        <item x="13"/>
        <item x="14"/>
        <item x="9"/>
        <item x="2"/>
        <item x="24"/>
        <item x="33"/>
        <item x="32"/>
        <item x="3"/>
        <item x="5"/>
        <item x="16"/>
        <item x="6"/>
        <item x="37"/>
        <item x="36"/>
        <item x="1"/>
        <item x="34"/>
        <item x="26"/>
        <item x="40"/>
        <item x="25"/>
        <item x="17"/>
        <item x="39"/>
        <item x="29"/>
        <item x="15"/>
        <item x="23"/>
        <item x="18"/>
        <item x="10"/>
        <item x="31"/>
        <item x="30"/>
        <item x="21"/>
        <item x="22"/>
        <item x="4"/>
        <item x="28"/>
        <item x="12"/>
        <item x="19"/>
        <item x="20"/>
        <item x="35"/>
        <item x="11"/>
        <item x="27"/>
        <item x="0"/>
        <item x="41"/>
        <item x="42"/>
        <item x="43"/>
        <item x="44"/>
        <item x="45"/>
        <item x="46"/>
        <item x="47"/>
        <item x="48"/>
        <item x="49"/>
        <item x="50"/>
        <item x="51"/>
        <item x="52"/>
        <item x="53"/>
        <item x="54"/>
      </items>
    </pivotField>
    <pivotField compact="0" defaultSubtotal="0" outline="0" showAll="0">
      <items count="3">
        <item x="0"/>
        <item x="1"/>
        <item x="2"/>
      </items>
    </pivotField>
    <pivotField compact="0" defaultSubtotal="0" outline="0" showAll="0">
      <items count="1">
        <item x="0"/>
      </items>
    </pivotField>
    <pivotField compact="0" defaultSubtotal="0" outline="0" showAll="0">
      <items count="2">
        <item x="0"/>
        <item x="1"/>
      </items>
    </pivotField>
    <pivotField compact="0" defaultSubtotal="0" outline="0" showAll="0">
      <items count="2">
        <item x="0"/>
        <item x="1"/>
      </items>
    </pivotField>
    <pivotField axis="axisPage" compact="0" defaultSubtotal="0" outline="0" showAl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61"/>
      </items>
    </pivotField>
    <pivotField axis="axisPage" compact="0" defaultSubtotal="0" outline="0" multipleItemSelectionAllowed="1" showAll="0">
      <items count="26">
        <item h="1" sd="0" x="0"/>
        <item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x="25"/>
      </items>
    </pivotField>
    <pivotField axis="axisPage" compact="0" defaultSubtotal="0" outline="0" multipleItemSelectionAllowed="1" showAll="0">
      <items count="368">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h="1"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h="1" sd="0" x="125"/>
        <item h="1" sd="0" x="126"/>
        <item h="1" sd="0" x="127"/>
        <item h="1" sd="0" x="128"/>
        <item h="1" sd="0" x="129"/>
        <item h="1" sd="0" x="130"/>
        <item h="1" sd="0" x="131"/>
        <item h="1" sd="0" x="132"/>
        <item h="1" sd="0" x="133"/>
        <item h="1" sd="0" x="134"/>
        <item h="1" sd="0" x="135"/>
        <item h="1" sd="0" x="136"/>
        <item h="1" sd="0" x="137"/>
        <item h="1" sd="0" x="138"/>
        <item h="1" sd="0" x="139"/>
        <item h="1" sd="0" x="140"/>
        <item h="1" sd="0" x="141"/>
        <item h="1" sd="0" x="142"/>
        <item h="1" sd="0" x="143"/>
        <item h="1" sd="0" x="144"/>
        <item h="1" sd="0" x="145"/>
        <item h="1" sd="0" x="146"/>
        <item h="1" sd="0" x="147"/>
        <item h="1" sd="0" x="148"/>
        <item h="1" sd="0" x="149"/>
        <item h="1" sd="0" x="150"/>
        <item h="1" sd="0" x="151"/>
        <item h="1" sd="0" x="152"/>
        <item h="1" sd="0" x="153"/>
        <item h="1" sd="0" x="154"/>
        <item h="1" sd="0" x="155"/>
        <item h="1" sd="0" x="156"/>
        <item h="1" sd="0" x="157"/>
        <item h="1" sd="0" x="158"/>
        <item h="1" sd="0" x="159"/>
        <item h="1" sd="0" x="160"/>
        <item h="1" sd="0" x="161"/>
        <item h="1" sd="0" x="162"/>
        <item h="1" sd="0" x="163"/>
        <item h="1" sd="0" x="164"/>
        <item h="1" sd="0" x="165"/>
        <item h="1" sd="0" x="166"/>
        <item h="1" sd="0" x="167"/>
        <item h="1" sd="0" x="168"/>
        <item h="1" sd="0" x="169"/>
        <item h="1" sd="0" x="170"/>
        <item h="1" sd="0" x="171"/>
        <item h="1" sd="0" x="172"/>
        <item h="1" sd="0" x="173"/>
        <item h="1" sd="0" x="174"/>
        <item h="1" sd="0" x="175"/>
        <item h="1" sd="0" x="176"/>
        <item h="1" sd="0" x="177"/>
        <item h="1" sd="0" x="178"/>
        <item h="1" sd="0" x="179"/>
        <item h="1" sd="0" x="180"/>
        <item h="1" sd="0" x="181"/>
        <item h="1" sd="0" x="182"/>
        <item h="1" sd="0" x="183"/>
        <item h="1" sd="0" x="184"/>
        <item h="1" sd="0" x="185"/>
        <item h="1" sd="0" x="186"/>
        <item h="1" sd="0" x="187"/>
        <item h="1" sd="0" x="188"/>
        <item h="1" sd="0" x="189"/>
        <item h="1" sd="0" x="190"/>
        <item h="1" sd="0" x="191"/>
        <item h="1" sd="0" x="192"/>
        <item h="1" sd="0" x="193"/>
        <item h="1" sd="0" x="194"/>
        <item h="1" sd="0" x="195"/>
        <item h="1" sd="0" x="196"/>
        <item h="1" sd="0" x="197"/>
        <item h="1" sd="0" x="198"/>
        <item h="1" sd="0" x="199"/>
        <item h="1" sd="0" x="200"/>
        <item h="1" sd="0" x="201"/>
        <item h="1" sd="0" x="202"/>
        <item h="1" sd="0" x="203"/>
        <item h="1" sd="0" x="204"/>
        <item h="1" sd="0" x="205"/>
        <item h="1" sd="0" x="206"/>
        <item h="1" sd="0" x="207"/>
        <item h="1" sd="0" x="208"/>
        <item h="1" sd="0" x="209"/>
        <item h="1" sd="0" x="210"/>
        <item h="1" sd="0" x="211"/>
        <item h="1" sd="0" x="212"/>
        <item h="1" sd="0" x="213"/>
        <item h="1" sd="0" x="214"/>
        <item h="1" sd="0" x="215"/>
        <item h="1" sd="0" x="216"/>
        <item h="1" sd="0" x="217"/>
        <item h="1" sd="0" x="218"/>
        <item h="1" sd="0" x="219"/>
        <item h="1" sd="0" x="220"/>
        <item h="1" sd="0" x="221"/>
        <item h="1" sd="0" x="222"/>
        <item h="1" sd="0" x="223"/>
        <item h="1" sd="0" x="224"/>
        <item h="1" sd="0" x="225"/>
        <item h="1" sd="0" x="226"/>
        <item h="1" sd="0" x="227"/>
        <item h="1" sd="0" x="228"/>
        <item h="1" sd="0" x="229"/>
        <item h="1" sd="0" x="230"/>
        <item h="1" sd="0" x="231"/>
        <item h="1" sd="0" x="232"/>
        <item h="1" sd="0" x="233"/>
        <item h="1" sd="0" x="234"/>
        <item h="1" sd="0" x="235"/>
        <item h="1" sd="0" x="236"/>
        <item h="1" sd="0" x="237"/>
        <item h="1" sd="0" x="238"/>
        <item h="1" sd="0" x="239"/>
        <item h="1" sd="0" x="240"/>
        <item h="1" sd="0" x="241"/>
        <item h="1" sd="0" x="242"/>
        <item h="1" sd="0" x="243"/>
        <item h="1" sd="0" x="244"/>
        <item h="1" sd="0" x="245"/>
        <item h="1" sd="0" x="246"/>
        <item h="1" sd="0" x="247"/>
        <item h="1" sd="0" x="248"/>
        <item h="1" sd="0" x="249"/>
        <item h="1" sd="0" x="250"/>
        <item h="1" sd="0" x="251"/>
        <item h="1" sd="0" x="252"/>
        <item h="1" sd="0" x="253"/>
        <item h="1" sd="0" x="254"/>
        <item h="1" sd="0" x="255"/>
        <item h="1" sd="0" x="256"/>
        <item h="1" sd="0" x="257"/>
        <item h="1" sd="0" x="258"/>
        <item h="1" sd="0" x="259"/>
        <item h="1" sd="0" x="260"/>
        <item h="1" sd="0" x="261"/>
        <item h="1" sd="0" x="262"/>
        <item h="1" sd="0" x="263"/>
        <item h="1" sd="0" x="264"/>
        <item h="1" sd="0" x="265"/>
        <item h="1" sd="0" x="266"/>
        <item h="1" sd="0" x="267"/>
        <item h="1" sd="0" x="268"/>
        <item h="1" sd="0" x="269"/>
        <item h="1" sd="0" x="270"/>
        <item h="1" sd="0" x="271"/>
        <item sd="0" x="272"/>
        <item h="1" sd="0" x="273"/>
        <item h="1" sd="0" x="274"/>
        <item h="1" sd="0" x="275"/>
        <item h="1" sd="0" x="276"/>
        <item h="1" sd="0" x="277"/>
        <item h="1" sd="0" x="278"/>
        <item h="1" sd="0" x="279"/>
        <item h="1" sd="0" x="280"/>
        <item h="1" sd="0" x="281"/>
        <item h="1" sd="0" x="282"/>
        <item h="1" sd="0" x="283"/>
        <item h="1" sd="0" x="284"/>
        <item h="1" sd="0" x="285"/>
        <item h="1" sd="0" x="286"/>
        <item h="1" sd="0" x="287"/>
        <item h="1" sd="0" x="288"/>
        <item h="1" sd="0" x="289"/>
        <item h="1" sd="0" x="290"/>
        <item h="1" sd="0" x="291"/>
        <item h="1" sd="0" x="292"/>
        <item h="1" sd="0" x="293"/>
        <item h="1" sd="0" x="294"/>
        <item h="1" sd="0" x="295"/>
        <item h="1" sd="0" x="296"/>
        <item h="1" sd="0" x="297"/>
        <item h="1" sd="0" x="298"/>
        <item h="1" sd="0" x="299"/>
        <item h="1" sd="0" x="300"/>
        <item h="1" sd="0" x="301"/>
        <item h="1" sd="0" x="302"/>
        <item h="1" sd="0" x="303"/>
        <item h="1" sd="0" x="304"/>
        <item h="1" sd="0" x="305"/>
        <item h="1" sd="0" x="306"/>
        <item h="1" sd="0" x="307"/>
        <item h="1" sd="0" x="308"/>
        <item h="1" sd="0" x="309"/>
        <item h="1" sd="0" x="310"/>
        <item h="1" sd="0" x="311"/>
        <item h="1" sd="0" x="312"/>
        <item h="1" sd="0" x="313"/>
        <item h="1" sd="0" x="314"/>
        <item h="1" sd="0" x="315"/>
        <item h="1" sd="0" x="316"/>
        <item h="1" sd="0" x="317"/>
        <item h="1" sd="0" x="318"/>
        <item h="1" sd="0" x="319"/>
        <item h="1" sd="0" x="320"/>
        <item h="1" sd="0" x="321"/>
        <item h="1" sd="0" x="322"/>
        <item h="1" sd="0" x="323"/>
        <item h="1" sd="0" x="324"/>
        <item h="1" sd="0" x="325"/>
        <item h="1" sd="0" x="326"/>
        <item h="1" sd="0" x="327"/>
        <item h="1" sd="0" x="328"/>
        <item h="1" sd="0" x="329"/>
        <item h="1" sd="0" x="330"/>
        <item h="1" sd="0" x="331"/>
        <item h="1" sd="0" x="332"/>
        <item h="1" sd="0" x="333"/>
        <item h="1" sd="0" x="334"/>
        <item h="1" sd="0" x="335"/>
        <item h="1" sd="0" x="336"/>
        <item h="1" sd="0" x="337"/>
        <item h="1" sd="0" x="338"/>
        <item h="1" sd="0" x="339"/>
        <item h="1" sd="0" x="340"/>
        <item h="1" sd="0" x="341"/>
        <item h="1" sd="0" x="342"/>
        <item h="1" sd="0" x="343"/>
        <item h="1" sd="0" x="344"/>
        <item h="1" sd="0" x="345"/>
        <item h="1" sd="0" x="346"/>
        <item h="1" sd="0" x="347"/>
        <item h="1" sd="0" x="348"/>
        <item h="1" sd="0" x="349"/>
        <item h="1" sd="0" x="350"/>
        <item h="1" sd="0" x="351"/>
        <item h="1" sd="0" x="352"/>
        <item h="1" sd="0" x="353"/>
        <item h="1" sd="0" x="354"/>
        <item h="1" sd="0" x="355"/>
        <item h="1" sd="0" x="356"/>
        <item h="1" sd="0" x="357"/>
        <item h="1" sd="0" x="358"/>
        <item h="1" sd="0" x="359"/>
        <item h="1" sd="0" x="360"/>
        <item h="1" sd="0" x="361"/>
        <item h="1" sd="0" x="362"/>
        <item h="1" sd="0" x="363"/>
        <item h="1" sd="0" x="364"/>
        <item h="1" sd="0" x="365"/>
        <item h="1" sd="0" x="366"/>
        <item h="1" x="367"/>
      </items>
    </pivotField>
  </pivotFields>
  <rowFields count="1">
    <field x="23"/>
  </rowFields>
  <rowItems count="4">
    <i>
      <x v="572"/>
    </i>
    <i>
      <x v="573"/>
    </i>
    <i>
      <x v="574"/>
    </i>
    <i t="grand">
      <x/>
    </i>
  </rowItems>
  <colFields count="1">
    <field x="-2"/>
  </colFields>
  <colItems count="2">
    <i>
      <x/>
    </i>
    <i i="1">
      <x v="1"/>
    </i>
  </colItems>
  <pageFields count="6">
    <pageField fld="9"/>
    <pageField fld="3"/>
    <pageField fld="7"/>
    <pageField fld="44"/>
    <pageField fld="43"/>
    <pageField fld="42"/>
  </pageFields>
  <dataFields count="2">
    <dataField name="求和项:订单实付金额" fld="17" baseField="0" baseItem="0"/>
    <dataField name="计数项:订单号"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2" cacheId="2" autoFormatId="1" applyNumberFormats="0" applyBorderFormats="0" applyFontFormats="0" applyPatternFormats="0" applyAlignmentFormats="0" applyWidthHeightFormats="1" dataCaption="值" updatedVersion="5" minRefreshableVersion="3" createdVersion="8" useAutoFormatting="1" indent="0" outline="1" outlineData="1" showDrill="1" multipleFieldFilters="0">
  <location ref="O9:R939" firstHeaderRow="0" firstDataRow="1" firstDataCol="1" rowPageCount="1" colPageCount="1"/>
  <pivotFields count="5">
    <pivotField axis="axisPage" multipleItemSelectionAllowed="1" showAll="0">
      <items count="30">
        <item x="0"/>
        <item x="1"/>
        <item x="2"/>
        <item x="3"/>
        <item x="4"/>
        <item h="1" x="28"/>
        <item x="5"/>
        <item x="6"/>
        <item x="7"/>
        <item x="8"/>
        <item x="9"/>
        <item x="10"/>
        <item x="11"/>
        <item x="12"/>
        <item x="13"/>
        <item x="14"/>
        <item x="15"/>
        <item x="16"/>
        <item x="17"/>
        <item x="18"/>
        <item x="19"/>
        <item x="20"/>
        <item x="21"/>
        <item x="22"/>
        <item x="23"/>
        <item x="24"/>
        <item x="25"/>
        <item x="26"/>
        <item x="27"/>
        <item t="default"/>
      </items>
    </pivotField>
    <pivotField axis="axisRow" sortType="descending" showAll="0">
      <items count="931">
        <item x="17"/>
        <item x="244"/>
        <item x="285"/>
        <item x="130"/>
        <item x="292"/>
        <item x="85"/>
        <item x="204"/>
        <item x="279"/>
        <item x="267"/>
        <item x="254"/>
        <item x="202"/>
        <item x="295"/>
        <item x="106"/>
        <item x="203"/>
        <item x="21"/>
        <item x="107"/>
        <item x="82"/>
        <item x="181"/>
        <item x="78"/>
        <item x="36"/>
        <item x="255"/>
        <item x="198"/>
        <item x="166"/>
        <item x="41"/>
        <item x="29"/>
        <item x="262"/>
        <item x="191"/>
        <item x="288"/>
        <item x="269"/>
        <item x="50"/>
        <item x="196"/>
        <item x="272"/>
        <item x="175"/>
        <item x="42"/>
        <item x="173"/>
        <item x="284"/>
        <item x="37"/>
        <item x="103"/>
        <item x="26"/>
        <item x="34"/>
        <item x="239"/>
        <item x="297"/>
        <item x="168"/>
        <item x="257"/>
        <item x="14"/>
        <item x="184"/>
        <item x="28"/>
        <item x="294"/>
        <item x="87"/>
        <item x="221"/>
        <item x="192"/>
        <item x="24"/>
        <item x="162"/>
        <item x="242"/>
        <item x="261"/>
        <item x="16"/>
        <item x="216"/>
        <item x="286"/>
        <item x="233"/>
        <item x="126"/>
        <item x="156"/>
        <item x="187"/>
        <item x="9"/>
        <item x="117"/>
        <item x="153"/>
        <item x="243"/>
        <item x="75"/>
        <item x="4"/>
        <item x="225"/>
        <item x="108"/>
        <item x="220"/>
        <item x="54"/>
        <item x="299"/>
        <item x="260"/>
        <item x="94"/>
        <item x="226"/>
        <item x="100"/>
        <item x="131"/>
        <item x="167"/>
        <item x="207"/>
        <item x="206"/>
        <item x="83"/>
        <item x="0"/>
        <item x="199"/>
        <item x="235"/>
        <item x="122"/>
        <item x="109"/>
        <item x="169"/>
        <item x="144"/>
        <item x="268"/>
        <item x="193"/>
        <item x="205"/>
        <item x="125"/>
        <item x="68"/>
        <item x="19"/>
        <item x="52"/>
        <item x="172"/>
        <item x="213"/>
        <item x="174"/>
        <item x="140"/>
        <item x="158"/>
        <item x="72"/>
        <item x="247"/>
        <item x="282"/>
        <item x="86"/>
        <item x="289"/>
        <item x="56"/>
        <item x="266"/>
        <item x="281"/>
        <item x="91"/>
        <item x="214"/>
        <item x="256"/>
        <item x="7"/>
        <item x="296"/>
        <item x="70"/>
        <item x="159"/>
        <item x="237"/>
        <item x="212"/>
        <item x="121"/>
        <item x="209"/>
        <item x="251"/>
        <item x="165"/>
        <item x="228"/>
        <item x="177"/>
        <item x="252"/>
        <item x="217"/>
        <item x="64"/>
        <item x="55"/>
        <item x="186"/>
        <item x="135"/>
        <item x="143"/>
        <item x="218"/>
        <item x="77"/>
        <item x="66"/>
        <item x="99"/>
        <item x="23"/>
        <item x="164"/>
        <item x="176"/>
        <item x="96"/>
        <item x="69"/>
        <item x="115"/>
        <item x="298"/>
        <item x="147"/>
        <item x="259"/>
        <item x="210"/>
        <item x="95"/>
        <item x="123"/>
        <item x="81"/>
        <item x="49"/>
        <item x="234"/>
        <item x="1"/>
        <item x="178"/>
        <item x="74"/>
        <item x="119"/>
        <item x="67"/>
        <item x="48"/>
        <item x="229"/>
        <item x="133"/>
        <item x="60"/>
        <item x="139"/>
        <item x="277"/>
        <item x="30"/>
        <item x="15"/>
        <item x="32"/>
        <item x="20"/>
        <item x="223"/>
        <item x="245"/>
        <item x="276"/>
        <item x="63"/>
        <item x="6"/>
        <item x="31"/>
        <item x="189"/>
        <item x="111"/>
        <item x="113"/>
        <item x="290"/>
        <item x="293"/>
        <item x="280"/>
        <item x="248"/>
        <item x="170"/>
        <item x="57"/>
        <item x="232"/>
        <item x="79"/>
        <item x="227"/>
        <item x="145"/>
        <item x="44"/>
        <item x="2"/>
        <item x="300"/>
        <item x="38"/>
        <item x="127"/>
        <item x="271"/>
        <item x="154"/>
        <item x="129"/>
        <item x="39"/>
        <item x="40"/>
        <item x="51"/>
        <item x="231"/>
        <item x="27"/>
        <item x="291"/>
        <item x="97"/>
        <item x="263"/>
        <item x="270"/>
        <item x="118"/>
        <item x="183"/>
        <item x="283"/>
        <item x="13"/>
        <item x="120"/>
        <item x="46"/>
        <item x="157"/>
        <item x="236"/>
        <item x="110"/>
        <item x="3"/>
        <item x="25"/>
        <item x="246"/>
        <item x="219"/>
        <item x="134"/>
        <item x="275"/>
        <item x="138"/>
        <item x="201"/>
        <item x="250"/>
        <item x="101"/>
        <item x="47"/>
        <item x="105"/>
        <item x="163"/>
        <item x="71"/>
        <item x="80"/>
        <item x="215"/>
        <item x="180"/>
        <item x="58"/>
        <item x="53"/>
        <item x="146"/>
        <item x="65"/>
        <item x="301"/>
        <item x="265"/>
        <item x="230"/>
        <item x="241"/>
        <item x="258"/>
        <item x="274"/>
        <item x="208"/>
        <item x="5"/>
        <item x="182"/>
        <item x="142"/>
        <item x="35"/>
        <item x="149"/>
        <item x="62"/>
        <item x="12"/>
        <item x="151"/>
        <item x="92"/>
        <item x="59"/>
        <item x="89"/>
        <item x="90"/>
        <item x="33"/>
        <item x="273"/>
        <item x="148"/>
        <item x="18"/>
        <item x="302"/>
        <item x="137"/>
        <item x="73"/>
        <item x="150"/>
        <item x="76"/>
        <item x="224"/>
        <item x="171"/>
        <item x="84"/>
        <item x="61"/>
        <item x="88"/>
        <item x="8"/>
        <item x="264"/>
        <item x="188"/>
        <item x="155"/>
        <item x="43"/>
        <item x="102"/>
        <item x="240"/>
        <item x="190"/>
        <item x="160"/>
        <item x="124"/>
        <item x="161"/>
        <item x="222"/>
        <item x="45"/>
        <item x="10"/>
        <item x="211"/>
        <item x="98"/>
        <item x="128"/>
        <item x="112"/>
        <item x="93"/>
        <item x="104"/>
        <item x="185"/>
        <item x="132"/>
        <item x="197"/>
        <item x="141"/>
        <item x="152"/>
        <item x="195"/>
        <item x="114"/>
        <item x="278"/>
        <item x="253"/>
        <item x="249"/>
        <item x="194"/>
        <item x="200"/>
        <item x="11"/>
        <item x="287"/>
        <item x="22"/>
        <item x="238"/>
        <item x="136"/>
        <item x="116"/>
        <item x="179"/>
        <item x="929"/>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t="default"/>
      </items>
      <autoSortScope>
        <pivotArea dataOnly="0" outline="0" fieldPosition="0">
          <references count="1">
            <reference field="4294967294" count="1" selected="0">
              <x v="0"/>
            </reference>
          </references>
        </pivotArea>
      </autoSortScope>
    </pivotField>
    <pivotField dataField="1" showAll="0">
      <items count="495">
        <item x="53"/>
        <item x="64"/>
        <item x="52"/>
        <item x="51"/>
        <item x="50"/>
        <item x="49"/>
        <item x="48"/>
        <item x="137"/>
        <item x="136"/>
        <item x="135"/>
        <item x="47"/>
        <item x="46"/>
        <item x="45"/>
        <item x="44"/>
        <item x="113"/>
        <item x="43"/>
        <item x="42"/>
        <item x="63"/>
        <item x="41"/>
        <item x="77"/>
        <item x="134"/>
        <item x="95"/>
        <item x="40"/>
        <item x="94"/>
        <item x="62"/>
        <item x="61"/>
        <item x="39"/>
        <item x="76"/>
        <item x="38"/>
        <item x="37"/>
        <item x="36"/>
        <item x="60"/>
        <item x="35"/>
        <item x="34"/>
        <item x="75"/>
        <item x="59"/>
        <item x="33"/>
        <item x="32"/>
        <item x="74"/>
        <item x="31"/>
        <item x="30"/>
        <item x="29"/>
        <item x="28"/>
        <item x="58"/>
        <item x="27"/>
        <item x="93"/>
        <item x="26"/>
        <item x="92"/>
        <item x="91"/>
        <item x="25"/>
        <item x="112"/>
        <item x="133"/>
        <item x="119"/>
        <item x="24"/>
        <item x="132"/>
        <item x="131"/>
        <item x="118"/>
        <item x="23"/>
        <item x="22"/>
        <item x="90"/>
        <item x="21"/>
        <item x="89"/>
        <item x="88"/>
        <item x="87"/>
        <item x="20"/>
        <item x="19"/>
        <item x="86"/>
        <item x="73"/>
        <item x="18"/>
        <item x="130"/>
        <item x="17"/>
        <item x="129"/>
        <item x="111"/>
        <item x="72"/>
        <item x="110"/>
        <item x="85"/>
        <item x="16"/>
        <item x="128"/>
        <item x="15"/>
        <item x="127"/>
        <item x="14"/>
        <item x="13"/>
        <item x="12"/>
        <item x="71"/>
        <item x="70"/>
        <item x="11"/>
        <item x="10"/>
        <item x="57"/>
        <item x="109"/>
        <item x="117"/>
        <item x="108"/>
        <item x="9"/>
        <item x="8"/>
        <item x="107"/>
        <item x="7"/>
        <item x="56"/>
        <item x="55"/>
        <item x="6"/>
        <item x="54"/>
        <item x="106"/>
        <item x="105"/>
        <item x="116"/>
        <item x="5"/>
        <item x="115"/>
        <item x="104"/>
        <item x="103"/>
        <item x="69"/>
        <item x="102"/>
        <item x="68"/>
        <item x="126"/>
        <item x="4"/>
        <item x="84"/>
        <item x="114"/>
        <item x="3"/>
        <item x="101"/>
        <item x="125"/>
        <item x="83"/>
        <item x="2"/>
        <item x="82"/>
        <item x="81"/>
        <item x="1"/>
        <item x="124"/>
        <item x="100"/>
        <item x="99"/>
        <item x="98"/>
        <item x="80"/>
        <item x="79"/>
        <item x="67"/>
        <item x="78"/>
        <item x="123"/>
        <item x="66"/>
        <item x="65"/>
        <item x="97"/>
        <item x="0"/>
        <item x="122"/>
        <item x="96"/>
        <item x="121"/>
        <item x="120"/>
        <item x="493"/>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dataField="1" showAll="0">
      <items count="17">
        <item x="6"/>
        <item x="2"/>
        <item x="5"/>
        <item x="3"/>
        <item x="4"/>
        <item x="1"/>
        <item x="0"/>
        <item x="7"/>
        <item x="15"/>
        <item x="8"/>
        <item x="9"/>
        <item x="10"/>
        <item x="11"/>
        <item x="12"/>
        <item x="13"/>
        <item x="14"/>
        <item t="default"/>
      </items>
    </pivotField>
    <pivotField dataField="1" showAll="0">
      <items count="3">
        <item x="0"/>
        <item x="1"/>
        <item t="default"/>
      </items>
    </pivotField>
  </pivotFields>
  <rowFields count="1">
    <field x="1"/>
  </rowFields>
  <rowItems count="930">
    <i>
      <x v="328"/>
    </i>
    <i>
      <x v="576"/>
    </i>
    <i>
      <x v="172"/>
    </i>
    <i>
      <x v="8"/>
    </i>
    <i>
      <x v="389"/>
    </i>
    <i>
      <x v="82"/>
    </i>
    <i>
      <x v="65"/>
    </i>
    <i>
      <x v="245"/>
    </i>
    <i>
      <x v="71"/>
    </i>
    <i>
      <x v="284"/>
    </i>
    <i>
      <x v="677"/>
    </i>
    <i>
      <x v="329"/>
    </i>
    <i>
      <x v="110"/>
    </i>
    <i>
      <x v="185"/>
    </i>
    <i>
      <x v="920"/>
    </i>
    <i>
      <x v="261"/>
    </i>
    <i>
      <x v="491"/>
    </i>
    <i>
      <x v="292"/>
    </i>
    <i>
      <x v="125"/>
    </i>
    <i>
      <x v="106"/>
    </i>
    <i>
      <x v="194"/>
    </i>
    <i>
      <x v="355"/>
    </i>
    <i>
      <x v="602"/>
    </i>
    <i>
      <x v="127"/>
    </i>
    <i>
      <x v="38"/>
    </i>
    <i>
      <x v="56"/>
    </i>
    <i>
      <x v="199"/>
    </i>
    <i>
      <x v="210"/>
    </i>
    <i>
      <x v="9"/>
    </i>
    <i>
      <x v="114"/>
    </i>
    <i>
      <x v="225"/>
    </i>
    <i>
      <x v="352"/>
    </i>
    <i>
      <x v="193"/>
    </i>
    <i>
      <x v="219"/>
    </i>
    <i>
      <x v="136"/>
    </i>
    <i>
      <x v="640"/>
    </i>
    <i>
      <x v="907"/>
    </i>
    <i>
      <x v="222"/>
    </i>
    <i>
      <x v="298"/>
    </i>
    <i>
      <x v="405"/>
    </i>
    <i>
      <x v="908"/>
    </i>
    <i>
      <x v="288"/>
    </i>
    <i>
      <x v="446"/>
    </i>
    <i>
      <x v="32"/>
    </i>
    <i>
      <x v="383"/>
    </i>
    <i>
      <x v="88"/>
    </i>
    <i>
      <x v="150"/>
    </i>
    <i>
      <x v="25"/>
    </i>
    <i>
      <x v="447"/>
    </i>
    <i>
      <x v="90"/>
    </i>
    <i>
      <x v="330"/>
    </i>
    <i>
      <x v="392"/>
    </i>
    <i>
      <x v="128"/>
    </i>
    <i>
      <x v="223"/>
    </i>
    <i>
      <x v="20"/>
    </i>
    <i>
      <x v="121"/>
    </i>
    <i>
      <x v="111"/>
    </i>
    <i>
      <x v="142"/>
    </i>
    <i>
      <x v="43"/>
    </i>
    <i>
      <x v="266"/>
    </i>
    <i>
      <x v="232"/>
    </i>
    <i>
      <x v="130"/>
    </i>
    <i>
      <x v="915"/>
    </i>
    <i>
      <x v="445"/>
    </i>
    <i>
      <x v="353"/>
    </i>
    <i>
      <x v="95"/>
    </i>
    <i>
      <x v="102"/>
    </i>
    <i>
      <x v="207"/>
    </i>
    <i>
      <x v="866"/>
    </i>
    <i>
      <x v="795"/>
    </i>
    <i>
      <x v="364"/>
    </i>
    <i>
      <x v="293"/>
    </i>
    <i>
      <x v="334"/>
    </i>
    <i>
      <x v="331"/>
    </i>
    <i>
      <x v="240"/>
    </i>
    <i>
      <x v="304"/>
    </i>
    <i>
      <x v="189"/>
    </i>
    <i>
      <x v="641"/>
    </i>
    <i>
      <x v="909"/>
    </i>
    <i>
      <x v="347"/>
    </i>
    <i>
      <x v="674"/>
    </i>
    <i>
      <x v="131"/>
    </i>
    <i>
      <x v="382"/>
    </i>
    <i>
      <x v="336"/>
    </i>
    <i>
      <x v="928"/>
    </i>
    <i>
      <x v="921"/>
    </i>
    <i>
      <x v="883"/>
    </i>
    <i>
      <x v="882"/>
    </i>
    <i>
      <x v="332"/>
    </i>
    <i>
      <x v="235"/>
    </i>
    <i>
      <x v="213"/>
    </i>
    <i>
      <x v="143"/>
    </i>
    <i>
      <x v="346"/>
    </i>
    <i>
      <x v="884"/>
    </i>
    <i>
      <x v="333"/>
    </i>
    <i>
      <x v="73"/>
    </i>
    <i>
      <x v="103"/>
    </i>
    <i>
      <x v="54"/>
    </i>
    <i>
      <x v="439"/>
    </i>
    <i>
      <x v="878"/>
    </i>
    <i>
      <x v="708"/>
    </i>
    <i>
      <x v="756"/>
    </i>
    <i>
      <x v="371"/>
    </i>
    <i>
      <x v="84"/>
    </i>
    <i>
      <x v="309"/>
    </i>
    <i>
      <x v="251"/>
    </i>
    <i>
      <x v="404"/>
    </i>
    <i>
      <x v="277"/>
    </i>
    <i>
      <x v="356"/>
    </i>
    <i>
      <x v="324"/>
    </i>
    <i>
      <x v="10"/>
    </i>
    <i>
      <x v="448"/>
    </i>
    <i>
      <x v="139"/>
    </i>
    <i>
      <x v="551"/>
    </i>
    <i>
      <x v="335"/>
    </i>
    <i>
      <x v="238"/>
    </i>
    <i>
      <x v="342"/>
    </i>
    <i>
      <x v="70"/>
    </i>
    <i>
      <x v="320"/>
    </i>
    <i>
      <x v="62"/>
    </i>
    <i>
      <x v="317"/>
    </i>
    <i>
      <x v="64"/>
    </i>
    <i>
      <x v="579"/>
    </i>
    <i>
      <x v="67"/>
    </i>
    <i>
      <x v="104"/>
    </i>
    <i>
      <x v="264"/>
    </i>
    <i>
      <x v="61"/>
    </i>
    <i>
      <x v="265"/>
    </i>
    <i>
      <x v="156"/>
    </i>
    <i>
      <x v="305"/>
    </i>
    <i>
      <x v="46"/>
    </i>
    <i>
      <x v="323"/>
    </i>
    <i>
      <x v="297"/>
    </i>
    <i>
      <x v="107"/>
    </i>
    <i>
      <x v="1"/>
    </i>
    <i>
      <x v="555"/>
    </i>
    <i>
      <x v="306"/>
    </i>
    <i>
      <x v="149"/>
    </i>
    <i>
      <x v="33"/>
    </i>
    <i>
      <x v="349"/>
    </i>
    <i>
      <x v="608"/>
    </i>
    <i>
      <x v="548"/>
    </i>
    <i>
      <x v="99"/>
    </i>
    <i>
      <x v="295"/>
    </i>
    <i>
      <x v="675"/>
    </i>
    <i>
      <x v="227"/>
    </i>
    <i>
      <x v="44"/>
    </i>
    <i>
      <x v="257"/>
    </i>
    <i>
      <x v="263"/>
    </i>
    <i>
      <x v="581"/>
    </i>
    <i>
      <x v="93"/>
    </i>
    <i>
      <x v="287"/>
    </i>
    <i>
      <x v="169"/>
    </i>
    <i>
      <x v="11"/>
    </i>
    <i>
      <x v="910"/>
    </i>
    <i>
      <x v="549"/>
    </i>
    <i>
      <x v="762"/>
    </i>
    <i>
      <x v="318"/>
    </i>
    <i>
      <x v="885"/>
    </i>
    <i>
      <x v="171"/>
    </i>
    <i>
      <x v="112"/>
    </i>
    <i>
      <x v="702"/>
    </i>
    <i>
      <x v="233"/>
    </i>
    <i>
      <x v="758"/>
    </i>
    <i>
      <x v="449"/>
    </i>
    <i>
      <x v="58"/>
    </i>
    <i>
      <x v="217"/>
    </i>
    <i>
      <x v="393"/>
    </i>
    <i>
      <x v="66"/>
    </i>
    <i>
      <x v="148"/>
    </i>
    <i>
      <x v="28"/>
    </i>
    <i>
      <x v="89"/>
    </i>
    <i>
      <x v="200"/>
    </i>
    <i>
      <x v="268"/>
    </i>
    <i>
      <x v="550"/>
    </i>
    <i>
      <x v="206"/>
    </i>
    <i>
      <x/>
    </i>
    <i>
      <x v="463"/>
    </i>
    <i>
      <x v="296"/>
    </i>
    <i>
      <x v="577"/>
    </i>
    <i>
      <x v="244"/>
    </i>
    <i>
      <x v="394"/>
    </i>
    <i>
      <x v="922"/>
    </i>
    <i>
      <x v="913"/>
    </i>
    <i>
      <x v="912"/>
    </i>
    <i>
      <x v="911"/>
    </i>
    <i>
      <x v="889"/>
    </i>
    <i>
      <x v="888"/>
    </i>
    <i>
      <x v="887"/>
    </i>
    <i>
      <x v="886"/>
    </i>
    <i>
      <x v="21"/>
    </i>
    <i>
      <x v="49"/>
    </i>
    <i>
      <x v="890"/>
    </i>
    <i>
      <x v="796"/>
    </i>
    <i>
      <x v="891"/>
    </i>
    <i>
      <x v="578"/>
    </i>
    <i>
      <x v="271"/>
    </i>
    <i>
      <x v="26"/>
    </i>
    <i>
      <x v="348"/>
    </i>
    <i>
      <x v="651"/>
    </i>
    <i>
      <x v="204"/>
    </i>
    <i>
      <x v="362"/>
    </i>
    <i>
      <x v="416"/>
    </i>
    <i>
      <x v="91"/>
    </i>
    <i>
      <x v="676"/>
    </i>
    <i>
      <x v="162"/>
    </i>
    <i>
      <x v="63"/>
    </i>
    <i>
      <x v="24"/>
    </i>
    <i>
      <x v="437"/>
    </i>
    <i>
      <x v="854"/>
    </i>
    <i>
      <x v="351"/>
    </i>
    <i>
      <x v="363"/>
    </i>
    <i>
      <x v="896"/>
    </i>
    <i>
      <x v="895"/>
    </i>
    <i>
      <x v="894"/>
    </i>
    <i>
      <x v="893"/>
    </i>
    <i>
      <x v="892"/>
    </i>
    <i>
      <x v="55"/>
    </i>
    <i>
      <x v="476"/>
    </i>
    <i>
      <x v="450"/>
    </i>
    <i>
      <x v="451"/>
    </i>
    <i>
      <x v="923"/>
    </i>
    <i>
      <x v="395"/>
    </i>
    <i>
      <x v="444"/>
    </i>
    <i>
      <x v="75"/>
    </i>
    <i>
      <x v="183"/>
    </i>
    <i>
      <x v="402"/>
    </i>
    <i>
      <x v="50"/>
    </i>
    <i>
      <x v="31"/>
    </i>
    <i>
      <x v="861"/>
    </i>
    <i>
      <x v="191"/>
    </i>
    <i>
      <x v="321"/>
    </i>
    <i>
      <x v="455"/>
    </i>
    <i>
      <x v="94"/>
    </i>
    <i>
      <x v="368"/>
    </i>
    <i>
      <x v="452"/>
    </i>
    <i>
      <x v="582"/>
    </i>
    <i>
      <x v="590"/>
    </i>
    <i>
      <x v="19"/>
    </i>
    <i>
      <x v="929"/>
    </i>
    <i>
      <x v="898"/>
    </i>
    <i>
      <x v="897"/>
    </i>
    <i>
      <x v="881"/>
    </i>
    <i>
      <x v="880"/>
    </i>
    <i>
      <x v="879"/>
    </i>
    <i>
      <x v="873"/>
    </i>
    <i>
      <x v="872"/>
    </i>
    <i>
      <x v="338"/>
    </i>
    <i>
      <x v="337"/>
    </i>
    <i>
      <x v="454"/>
    </i>
    <i>
      <x v="453"/>
    </i>
    <i>
      <x v="397"/>
    </i>
    <i>
      <x v="253"/>
    </i>
    <i>
      <x v="237"/>
    </i>
    <i>
      <x v="289"/>
    </i>
    <i>
      <x v="874"/>
    </i>
    <i>
      <x v="709"/>
    </i>
    <i>
      <x v="644"/>
    </i>
    <i>
      <x v="366"/>
    </i>
    <i>
      <x v="35"/>
    </i>
    <i>
      <x v="166"/>
    </i>
    <i>
      <x v="458"/>
    </i>
    <i>
      <x v="457"/>
    </i>
    <i>
      <x v="456"/>
    </i>
    <i>
      <x v="27"/>
    </i>
    <i>
      <x v="924"/>
    </i>
    <i>
      <x v="914"/>
    </i>
    <i>
      <x v="899"/>
    </i>
    <i>
      <x v="275"/>
    </i>
    <i>
      <x v="164"/>
    </i>
    <i>
      <x v="566"/>
    </i>
    <i>
      <x v="552"/>
    </i>
    <i>
      <x v="399"/>
    </i>
    <i>
      <x v="396"/>
    </i>
    <i>
      <x v="3"/>
    </i>
    <i>
      <x v="196"/>
    </i>
    <i>
      <x v="79"/>
    </i>
    <i>
      <x v="354"/>
    </i>
    <i>
      <x v="547"/>
    </i>
    <i>
      <x v="459"/>
    </i>
    <i>
      <x v="436"/>
    </i>
    <i>
      <x v="398"/>
    </i>
    <i>
      <x v="710"/>
    </i>
    <i>
      <x v="461"/>
    </i>
    <i>
      <x v="460"/>
    </i>
    <i>
      <x v="316"/>
    </i>
    <i>
      <x v="315"/>
    </i>
    <i>
      <x v="314"/>
    </i>
    <i>
      <x v="313"/>
    </i>
    <i>
      <x v="312"/>
    </i>
    <i>
      <x v="311"/>
    </i>
    <i>
      <x v="310"/>
    </i>
    <i>
      <x v="308"/>
    </i>
    <i>
      <x v="307"/>
    </i>
    <i>
      <x v="294"/>
    </i>
    <i>
      <x v="291"/>
    </i>
    <i>
      <x v="259"/>
    </i>
    <i>
      <x v="236"/>
    </i>
    <i>
      <x v="215"/>
    </i>
    <i>
      <x v="211"/>
    </i>
    <i>
      <x v="203"/>
    </i>
    <i>
      <x v="182"/>
    </i>
    <i>
      <x v="176"/>
    </i>
    <i>
      <x v="167"/>
    </i>
    <i>
      <x v="165"/>
    </i>
    <i>
      <x v="160"/>
    </i>
    <i>
      <x v="135"/>
    </i>
    <i>
      <x v="122"/>
    </i>
    <i>
      <x v="108"/>
    </i>
    <i>
      <x v="68"/>
    </i>
    <i>
      <x v="57"/>
    </i>
    <i>
      <x v="51"/>
    </i>
    <i>
      <x v="30"/>
    </i>
    <i>
      <x v="14"/>
    </i>
    <i>
      <x v="7"/>
    </i>
    <i>
      <x v="2"/>
    </i>
    <i>
      <x v="848"/>
    </i>
    <i>
      <x v="757"/>
    </i>
    <i>
      <x v="711"/>
    </i>
    <i>
      <x v="400"/>
    </i>
    <i>
      <x v="339"/>
    </i>
    <i>
      <x v="350"/>
    </i>
    <i>
      <x v="195"/>
    </i>
    <i>
      <x v="816"/>
    </i>
    <i>
      <x v="712"/>
    </i>
    <i>
      <x v="180"/>
    </i>
    <i>
      <x v="763"/>
    </i>
    <i>
      <x v="462"/>
    </i>
    <i>
      <x v="229"/>
    </i>
    <i>
      <x v="680"/>
    </i>
    <i>
      <x v="319"/>
    </i>
    <i>
      <x v="742"/>
    </i>
    <i>
      <x v="926"/>
    </i>
    <i>
      <x v="925"/>
    </i>
    <i>
      <x v="900"/>
    </i>
    <i>
      <x v="832"/>
    </i>
    <i>
      <x v="759"/>
    </i>
    <i>
      <x v="340"/>
    </i>
    <i>
      <x v="322"/>
    </i>
    <i>
      <x v="855"/>
    </i>
    <i>
      <x v="341"/>
    </i>
    <i>
      <x v="713"/>
    </i>
    <i>
      <x v="161"/>
    </i>
    <i>
      <x v="760"/>
    </i>
    <i>
      <x v="542"/>
    </i>
    <i>
      <x v="588"/>
    </i>
    <i>
      <x v="163"/>
    </i>
    <i>
      <x v="105"/>
    </i>
    <i>
      <x v="97"/>
    </i>
    <i>
      <x v="170"/>
    </i>
    <i>
      <x v="69"/>
    </i>
    <i>
      <x v="250"/>
    </i>
    <i>
      <x v="29"/>
    </i>
    <i>
      <x v="464"/>
    </i>
    <i>
      <x v="420"/>
    </i>
    <i>
      <x v="902"/>
    </i>
    <i>
      <x v="901"/>
    </i>
    <i>
      <x v="678"/>
    </i>
    <i>
      <x v="39"/>
    </i>
    <i>
      <x v="761"/>
    </i>
    <i>
      <x v="683"/>
    </i>
    <i>
      <x v="679"/>
    </i>
    <i>
      <x v="361"/>
    </i>
    <i>
      <x v="580"/>
    </i>
    <i>
      <x v="642"/>
    </i>
    <i>
      <x v="241"/>
    </i>
    <i>
      <x v="714"/>
    </i>
    <i>
      <x v="87"/>
    </i>
    <i>
      <x v="643"/>
    </i>
    <i>
      <x v="646"/>
    </i>
    <i>
      <x v="438"/>
    </i>
    <i>
      <x v="647"/>
    </i>
    <i>
      <x v="904"/>
    </i>
    <i>
      <x v="903"/>
    </i>
    <i>
      <x v="48"/>
    </i>
    <i>
      <x v="22"/>
    </i>
    <i>
      <x v="412"/>
    </i>
    <i>
      <x v="797"/>
    </i>
    <i>
      <x v="905"/>
    </i>
    <i>
      <x v="157"/>
    </i>
    <i>
      <x v="553"/>
    </i>
    <i>
      <x v="850"/>
    </i>
    <i>
      <x v="715"/>
    </i>
    <i>
      <x v="205"/>
    </i>
    <i>
      <x v="36"/>
    </i>
    <i>
      <x v="187"/>
    </i>
    <i>
      <x v="849"/>
    </i>
    <i>
      <x v="617"/>
    </i>
    <i>
      <x v="367"/>
    </i>
    <i>
      <x v="360"/>
    </i>
    <i>
      <x v="865"/>
    </i>
    <i>
      <x v="856"/>
    </i>
    <i>
      <x v="286"/>
    </i>
    <i>
      <x v="188"/>
    </i>
    <i>
      <x v="869"/>
    </i>
    <i>
      <x v="299"/>
    </i>
    <i>
      <x v="870"/>
    </i>
    <i>
      <x v="192"/>
    </i>
    <i>
      <x v="716"/>
    </i>
    <i>
      <x v="645"/>
    </i>
    <i>
      <x v="252"/>
    </i>
    <i>
      <x v="155"/>
    </i>
    <i>
      <x v="41"/>
    </i>
    <i>
      <x v="327"/>
    </i>
    <i>
      <x v="365"/>
    </i>
    <i>
      <x v="357"/>
    </i>
    <i>
      <x v="359"/>
    </i>
    <i>
      <x v="184"/>
    </i>
    <i>
      <x v="358"/>
    </i>
    <i>
      <x v="546"/>
    </i>
    <i>
      <x v="554"/>
    </i>
    <i>
      <x v="158"/>
    </i>
    <i>
      <x v="682"/>
    </i>
    <i>
      <x v="4"/>
    </i>
    <i>
      <x v="603"/>
    </i>
    <i>
      <x v="493"/>
    </i>
    <i>
      <x v="401"/>
    </i>
    <i>
      <x v="86"/>
    </i>
    <i>
      <x v="473"/>
    </i>
    <i>
      <x v="648"/>
    </i>
    <i>
      <x v="369"/>
    </i>
    <i>
      <x v="465"/>
    </i>
    <i>
      <x v="857"/>
    </i>
    <i>
      <x v="403"/>
    </i>
    <i>
      <x v="120"/>
    </i>
    <i>
      <x v="604"/>
    </i>
    <i>
      <x v="379"/>
    </i>
    <i>
      <x v="828"/>
    </i>
    <i>
      <x v="466"/>
    </i>
    <i>
      <x v="916"/>
    </i>
    <i>
      <x v="718"/>
    </i>
    <i>
      <x v="717"/>
    </i>
    <i>
      <x v="276"/>
    </i>
    <i>
      <x v="242"/>
    </i>
    <i>
      <x v="208"/>
    </i>
    <i>
      <x v="116"/>
    </i>
    <i>
      <x v="83"/>
    </i>
    <i>
      <x v="23"/>
    </i>
    <i>
      <x v="220"/>
    </i>
    <i>
      <x v="407"/>
    </i>
    <i>
      <x v="467"/>
    </i>
    <i>
      <x v="228"/>
    </i>
    <i>
      <x v="605"/>
    </i>
    <i>
      <x v="477"/>
    </i>
    <i>
      <x v="649"/>
    </i>
    <i>
      <x v="764"/>
    </i>
    <i>
      <x v="681"/>
    </i>
    <i>
      <x v="40"/>
    </i>
    <i>
      <x v="272"/>
    </i>
    <i>
      <x v="606"/>
    </i>
    <i>
      <x v="495"/>
    </i>
    <i>
      <x v="684"/>
    </i>
    <i>
      <x v="343"/>
    </i>
    <i>
      <x v="80"/>
    </i>
    <i>
      <x v="765"/>
    </i>
    <i>
      <x v="719"/>
    </i>
    <i>
      <x v="583"/>
    </i>
    <i>
      <x v="100"/>
    </i>
    <i>
      <x v="53"/>
    </i>
    <i>
      <x v="5"/>
    </i>
    <i>
      <x v="584"/>
    </i>
    <i>
      <x v="441"/>
    </i>
    <i>
      <x v="179"/>
    </i>
    <i>
      <x v="798"/>
    </i>
    <i>
      <x v="190"/>
    </i>
    <i>
      <x v="247"/>
    </i>
    <i>
      <x v="6"/>
    </i>
    <i>
      <x v="875"/>
    </i>
    <i>
      <x v="138"/>
    </i>
    <i>
      <x v="685"/>
    </i>
    <i>
      <x v="686"/>
    </i>
    <i>
      <x v="243"/>
    </i>
    <i>
      <x v="799"/>
    </i>
    <i>
      <x v="248"/>
    </i>
    <i>
      <x v="468"/>
    </i>
    <i>
      <x v="833"/>
    </i>
    <i>
      <x v="620"/>
    </i>
    <i>
      <x v="406"/>
    </i>
    <i>
      <x v="409"/>
    </i>
    <i>
      <x v="408"/>
    </i>
    <i>
      <x v="274"/>
    </i>
    <i>
      <x v="270"/>
    </i>
    <i>
      <x v="267"/>
    </i>
    <i>
      <x v="262"/>
    </i>
    <i>
      <x v="230"/>
    </i>
    <i>
      <x v="181"/>
    </i>
    <i>
      <x v="168"/>
    </i>
    <i>
      <x v="146"/>
    </i>
    <i>
      <x v="133"/>
    </i>
    <i>
      <x v="126"/>
    </i>
    <i>
      <x v="52"/>
    </i>
    <i>
      <x v="13"/>
    </i>
    <i>
      <x v="154"/>
    </i>
    <i>
      <x v="858"/>
    </i>
    <i>
      <x v="98"/>
    </i>
    <i>
      <x v="60"/>
    </i>
    <i>
      <x v="414"/>
    </i>
    <i>
      <x v="76"/>
    </i>
    <i>
      <x v="660"/>
    </i>
    <i>
      <x v="707"/>
    </i>
    <i>
      <x v="720"/>
    </i>
    <i>
      <x v="152"/>
    </i>
    <i>
      <x v="17"/>
    </i>
    <i>
      <x v="927"/>
    </i>
    <i>
      <x v="918"/>
    </i>
    <i>
      <x v="917"/>
    </i>
    <i>
      <x v="650"/>
    </i>
    <i>
      <x v="721"/>
    </i>
    <i>
      <x v="556"/>
    </i>
    <i>
      <x v="78"/>
    </i>
    <i>
      <x v="722"/>
    </i>
    <i>
      <x v="557"/>
    </i>
    <i>
      <x v="413"/>
    </i>
    <i>
      <x v="197"/>
    </i>
    <i>
      <x v="344"/>
    </i>
    <i>
      <x v="859"/>
    </i>
    <i>
      <x v="834"/>
    </i>
    <i>
      <x v="585"/>
    </i>
    <i>
      <x v="558"/>
    </i>
    <i>
      <x v="469"/>
    </i>
    <i>
      <x v="474"/>
    </i>
    <i>
      <x v="202"/>
    </i>
    <i>
      <x v="119"/>
    </i>
    <i>
      <x v="800"/>
    </i>
    <i>
      <x v="724"/>
    </i>
    <i>
      <x v="723"/>
    </i>
    <i>
      <x v="472"/>
    </i>
    <i>
      <x v="471"/>
    </i>
    <i>
      <x v="470"/>
    </i>
    <i>
      <x v="115"/>
    </i>
    <i>
      <x v="475"/>
    </i>
    <i>
      <x v="373"/>
    </i>
    <i>
      <x v="260"/>
    </i>
    <i>
      <x v="919"/>
    </i>
    <i>
      <x v="906"/>
    </i>
    <i>
      <x v="876"/>
    </i>
    <i>
      <x v="860"/>
    </i>
    <i>
      <x v="801"/>
    </i>
    <i>
      <x v="725"/>
    </i>
    <i>
      <x v="687"/>
    </i>
    <i>
      <x v="586"/>
    </i>
    <i>
      <x v="511"/>
    </i>
    <i>
      <x v="410"/>
    </i>
    <i>
      <x v="370"/>
    </i>
    <i>
      <x v="325"/>
    </i>
    <i>
      <x v="258"/>
    </i>
    <i>
      <x v="256"/>
    </i>
    <i>
      <x v="234"/>
    </i>
    <i>
      <x v="224"/>
    </i>
    <i>
      <x v="147"/>
    </i>
    <i>
      <x v="132"/>
    </i>
    <i>
      <x v="101"/>
    </i>
    <i>
      <x v="18"/>
    </i>
    <i>
      <x v="16"/>
    </i>
    <i>
      <x v="607"/>
    </i>
    <i>
      <x v="478"/>
    </i>
    <i>
      <x v="411"/>
    </i>
    <i>
      <x v="123"/>
    </i>
    <i>
      <x v="81"/>
    </i>
    <i>
      <x v="541"/>
    </i>
    <i>
      <x v="479"/>
    </i>
    <i>
      <x v="145"/>
    </i>
    <i>
      <x v="42"/>
    </i>
    <i>
      <x v="587"/>
    </i>
    <i>
      <x v="569"/>
    </i>
    <i>
      <x v="559"/>
    </i>
    <i>
      <x v="249"/>
    </i>
    <i>
      <x v="174"/>
    </i>
    <i>
      <x v="109"/>
    </i>
    <i>
      <x v="74"/>
    </i>
    <i>
      <x v="622"/>
    </i>
    <i>
      <x v="609"/>
    </i>
    <i>
      <x v="877"/>
    </i>
    <i>
      <x v="282"/>
    </i>
    <i>
      <x v="246"/>
    </i>
    <i>
      <x v="198"/>
    </i>
    <i>
      <x v="688"/>
    </i>
    <i>
      <x v="610"/>
    </i>
    <i>
      <x v="482"/>
    </i>
    <i>
      <x v="766"/>
    </i>
    <i>
      <x v="726"/>
    </i>
    <i>
      <x v="501"/>
    </i>
    <i>
      <x v="442"/>
    </i>
    <i>
      <x v="415"/>
    </i>
    <i>
      <x v="201"/>
    </i>
    <i>
      <x v="652"/>
    </i>
    <i>
      <x v="178"/>
    </i>
    <i>
      <x v="802"/>
    </i>
    <i>
      <x v="727"/>
    </i>
    <i>
      <x v="611"/>
    </i>
    <i>
      <x v="560"/>
    </i>
    <i>
      <x v="428"/>
    </i>
    <i>
      <x v="653"/>
    </i>
    <i>
      <x v="372"/>
    </i>
    <i>
      <x v="494"/>
    </i>
    <i>
      <x v="545"/>
    </i>
    <i>
      <x v="748"/>
    </i>
    <i>
      <x v="212"/>
    </i>
    <i>
      <x v="743"/>
    </i>
    <i>
      <x v="613"/>
    </i>
    <i>
      <x v="612"/>
    </i>
    <i>
      <x v="539"/>
    </i>
    <i>
      <x v="481"/>
    </i>
    <i>
      <x v="480"/>
    </i>
    <i>
      <x v="443"/>
    </i>
    <i>
      <x v="231"/>
    </i>
    <i>
      <x v="144"/>
    </i>
    <i>
      <x v="835"/>
    </i>
    <i>
      <x v="804"/>
    </i>
    <i>
      <x v="803"/>
    </i>
    <i>
      <x v="770"/>
    </i>
    <i>
      <x v="769"/>
    </i>
    <i>
      <x v="768"/>
    </i>
    <i>
      <x v="767"/>
    </i>
    <i>
      <x v="728"/>
    </i>
    <i>
      <x v="691"/>
    </i>
    <i>
      <x v="690"/>
    </i>
    <i>
      <x v="689"/>
    </i>
    <i>
      <x v="616"/>
    </i>
    <i>
      <x v="615"/>
    </i>
    <i>
      <x v="614"/>
    </i>
    <i>
      <x v="592"/>
    </i>
    <i>
      <x v="591"/>
    </i>
    <i>
      <x v="589"/>
    </i>
    <i>
      <x v="492"/>
    </i>
    <i>
      <x v="490"/>
    </i>
    <i>
      <x v="489"/>
    </i>
    <i>
      <x v="488"/>
    </i>
    <i>
      <x v="487"/>
    </i>
    <i>
      <x v="486"/>
    </i>
    <i>
      <x v="485"/>
    </i>
    <i>
      <x v="484"/>
    </i>
    <i>
      <x v="483"/>
    </i>
    <i>
      <x v="345"/>
    </i>
    <i>
      <x v="326"/>
    </i>
    <i>
      <x v="302"/>
    </i>
    <i>
      <x v="301"/>
    </i>
    <i>
      <x v="300"/>
    </i>
    <i>
      <x v="290"/>
    </i>
    <i>
      <x v="285"/>
    </i>
    <i>
      <x v="283"/>
    </i>
    <i>
      <x v="281"/>
    </i>
    <i>
      <x v="280"/>
    </i>
    <i>
      <x v="279"/>
    </i>
    <i>
      <x v="278"/>
    </i>
    <i>
      <x v="273"/>
    </i>
    <i>
      <x v="269"/>
    </i>
    <i>
      <x v="255"/>
    </i>
    <i>
      <x v="254"/>
    </i>
    <i>
      <x v="239"/>
    </i>
    <i>
      <x v="226"/>
    </i>
    <i>
      <x v="221"/>
    </i>
    <i>
      <x v="218"/>
    </i>
    <i>
      <x v="216"/>
    </i>
    <i>
      <x v="214"/>
    </i>
    <i>
      <x v="209"/>
    </i>
    <i>
      <x v="186"/>
    </i>
    <i>
      <x v="177"/>
    </i>
    <i>
      <x v="175"/>
    </i>
    <i>
      <x v="173"/>
    </i>
    <i>
      <x v="159"/>
    </i>
    <i>
      <x v="153"/>
    </i>
    <i>
      <x v="151"/>
    </i>
    <i>
      <x v="141"/>
    </i>
    <i>
      <x v="140"/>
    </i>
    <i>
      <x v="137"/>
    </i>
    <i>
      <x v="134"/>
    </i>
    <i>
      <x v="129"/>
    </i>
    <i>
      <x v="124"/>
    </i>
    <i>
      <x v="118"/>
    </i>
    <i>
      <x v="117"/>
    </i>
    <i>
      <x v="113"/>
    </i>
    <i>
      <x v="96"/>
    </i>
    <i>
      <x v="92"/>
    </i>
    <i>
      <x v="85"/>
    </i>
    <i>
      <x v="77"/>
    </i>
    <i>
      <x v="72"/>
    </i>
    <i>
      <x v="59"/>
    </i>
    <i>
      <x v="47"/>
    </i>
    <i>
      <x v="45"/>
    </i>
    <i>
      <x v="37"/>
    </i>
    <i>
      <x v="34"/>
    </i>
    <i>
      <x v="15"/>
    </i>
    <i>
      <x v="12"/>
    </i>
    <i>
      <x v="836"/>
    </i>
    <i>
      <x v="561"/>
    </i>
    <i>
      <x v="378"/>
    </i>
    <i>
      <x v="703"/>
    </i>
    <i>
      <x v="663"/>
    </i>
    <i>
      <x v="654"/>
    </i>
    <i>
      <x v="536"/>
    </i>
    <i>
      <x v="661"/>
    </i>
    <i>
      <x v="376"/>
    </i>
    <i>
      <x v="837"/>
    </i>
    <i>
      <x v="839"/>
    </i>
    <i>
      <x v="838"/>
    </i>
    <i>
      <x v="821"/>
    </i>
    <i>
      <x v="811"/>
    </i>
    <i>
      <x v="810"/>
    </i>
    <i>
      <x v="809"/>
    </i>
    <i>
      <x v="808"/>
    </i>
    <i>
      <x v="807"/>
    </i>
    <i>
      <x v="806"/>
    </i>
    <i>
      <x v="805"/>
    </i>
    <i>
      <x v="776"/>
    </i>
    <i>
      <x v="775"/>
    </i>
    <i>
      <x v="774"/>
    </i>
    <i>
      <x v="773"/>
    </i>
    <i>
      <x v="772"/>
    </i>
    <i>
      <x v="771"/>
    </i>
    <i>
      <x v="731"/>
    </i>
    <i>
      <x v="730"/>
    </i>
    <i>
      <x v="729"/>
    </i>
    <i>
      <x v="694"/>
    </i>
    <i>
      <x v="693"/>
    </i>
    <i>
      <x v="692"/>
    </i>
    <i>
      <x v="669"/>
    </i>
    <i>
      <x v="655"/>
    </i>
    <i>
      <x v="639"/>
    </i>
    <i>
      <x v="619"/>
    </i>
    <i>
      <x v="618"/>
    </i>
    <i>
      <x v="595"/>
    </i>
    <i>
      <x v="594"/>
    </i>
    <i>
      <x v="593"/>
    </i>
    <i>
      <x v="562"/>
    </i>
    <i>
      <x v="500"/>
    </i>
    <i>
      <x v="499"/>
    </i>
    <i>
      <x v="498"/>
    </i>
    <i>
      <x v="497"/>
    </i>
    <i>
      <x v="496"/>
    </i>
    <i>
      <x v="440"/>
    </i>
    <i>
      <x v="419"/>
    </i>
    <i>
      <x v="418"/>
    </i>
    <i>
      <x v="417"/>
    </i>
    <i>
      <x v="374"/>
    </i>
    <i>
      <x v="871"/>
    </i>
    <i>
      <x v="868"/>
    </i>
    <i>
      <x v="867"/>
    </i>
    <i>
      <x v="864"/>
    </i>
    <i>
      <x v="863"/>
    </i>
    <i>
      <x v="862"/>
    </i>
    <i>
      <x v="853"/>
    </i>
    <i>
      <x v="852"/>
    </i>
    <i>
      <x v="851"/>
    </i>
    <i>
      <x v="844"/>
    </i>
    <i>
      <x v="843"/>
    </i>
    <i>
      <x v="842"/>
    </i>
    <i>
      <x v="841"/>
    </i>
    <i>
      <x v="840"/>
    </i>
    <i>
      <x v="825"/>
    </i>
    <i>
      <x v="824"/>
    </i>
    <i>
      <x v="823"/>
    </i>
    <i>
      <x v="822"/>
    </i>
    <i>
      <x v="820"/>
    </i>
    <i>
      <x v="819"/>
    </i>
    <i>
      <x v="818"/>
    </i>
    <i>
      <x v="817"/>
    </i>
    <i>
      <x v="815"/>
    </i>
    <i>
      <x v="814"/>
    </i>
    <i>
      <x v="813"/>
    </i>
    <i>
      <x v="812"/>
    </i>
    <i>
      <x v="785"/>
    </i>
    <i>
      <x v="784"/>
    </i>
    <i>
      <x v="783"/>
    </i>
    <i>
      <x v="782"/>
    </i>
    <i>
      <x v="781"/>
    </i>
    <i>
      <x v="780"/>
    </i>
    <i>
      <x v="779"/>
    </i>
    <i>
      <x v="778"/>
    </i>
    <i>
      <x v="777"/>
    </i>
    <i>
      <x v="741"/>
    </i>
    <i>
      <x v="740"/>
    </i>
    <i>
      <x v="739"/>
    </i>
    <i>
      <x v="738"/>
    </i>
    <i>
      <x v="737"/>
    </i>
    <i>
      <x v="736"/>
    </i>
    <i>
      <x v="735"/>
    </i>
    <i>
      <x v="734"/>
    </i>
    <i>
      <x v="733"/>
    </i>
    <i>
      <x v="732"/>
    </i>
    <i>
      <x v="700"/>
    </i>
    <i>
      <x v="699"/>
    </i>
    <i>
      <x v="698"/>
    </i>
    <i>
      <x v="697"/>
    </i>
    <i>
      <x v="696"/>
    </i>
    <i>
      <x v="695"/>
    </i>
    <i>
      <x v="656"/>
    </i>
    <i>
      <x v="624"/>
    </i>
    <i>
      <x v="623"/>
    </i>
    <i>
      <x v="621"/>
    </i>
    <i>
      <x v="565"/>
    </i>
    <i>
      <x v="564"/>
    </i>
    <i>
      <x v="563"/>
    </i>
    <i>
      <x v="509"/>
    </i>
    <i>
      <x v="508"/>
    </i>
    <i>
      <x v="507"/>
    </i>
    <i>
      <x v="506"/>
    </i>
    <i>
      <x v="505"/>
    </i>
    <i>
      <x v="504"/>
    </i>
    <i>
      <x v="503"/>
    </i>
    <i>
      <x v="502"/>
    </i>
    <i>
      <x v="427"/>
    </i>
    <i>
      <x v="426"/>
    </i>
    <i>
      <x v="425"/>
    </i>
    <i>
      <x v="424"/>
    </i>
    <i>
      <x v="423"/>
    </i>
    <i>
      <x v="422"/>
    </i>
    <i>
      <x v="421"/>
    </i>
    <i>
      <x v="375"/>
    </i>
    <i>
      <x v="658"/>
    </i>
    <i>
      <x v="657"/>
    </i>
    <i>
      <x v="377"/>
    </i>
    <i>
      <x v="381"/>
    </i>
    <i>
      <x v="792"/>
    </i>
    <i>
      <x v="662"/>
    </i>
    <i>
      <x v="659"/>
    </i>
    <i>
      <x v="635"/>
    </i>
    <i>
      <x v="626"/>
    </i>
    <i>
      <x v="625"/>
    </i>
    <i>
      <x v="544"/>
    </i>
    <i>
      <x v="543"/>
    </i>
    <i>
      <x v="538"/>
    </i>
    <i>
      <x v="391"/>
    </i>
    <i>
      <x v="380"/>
    </i>
    <i>
      <x v="847"/>
    </i>
    <i>
      <x v="846"/>
    </i>
    <i>
      <x v="845"/>
    </i>
    <i>
      <x v="831"/>
    </i>
    <i>
      <x v="830"/>
    </i>
    <i>
      <x v="829"/>
    </i>
    <i>
      <x v="827"/>
    </i>
    <i>
      <x v="826"/>
    </i>
    <i>
      <x v="794"/>
    </i>
    <i>
      <x v="793"/>
    </i>
    <i>
      <x v="791"/>
    </i>
    <i>
      <x v="790"/>
    </i>
    <i>
      <x v="789"/>
    </i>
    <i>
      <x v="788"/>
    </i>
    <i>
      <x v="787"/>
    </i>
    <i>
      <x v="786"/>
    </i>
    <i>
      <x v="755"/>
    </i>
    <i>
      <x v="754"/>
    </i>
    <i>
      <x v="753"/>
    </i>
    <i>
      <x v="752"/>
    </i>
    <i>
      <x v="751"/>
    </i>
    <i>
      <x v="750"/>
    </i>
    <i>
      <x v="749"/>
    </i>
    <i>
      <x v="747"/>
    </i>
    <i>
      <x v="746"/>
    </i>
    <i>
      <x v="745"/>
    </i>
    <i>
      <x v="744"/>
    </i>
    <i>
      <x v="706"/>
    </i>
    <i>
      <x v="705"/>
    </i>
    <i>
      <x v="704"/>
    </i>
    <i>
      <x v="701"/>
    </i>
    <i>
      <x v="673"/>
    </i>
    <i>
      <x v="672"/>
    </i>
    <i>
      <x v="671"/>
    </i>
    <i>
      <x v="670"/>
    </i>
    <i>
      <x v="668"/>
    </i>
    <i>
      <x v="667"/>
    </i>
    <i>
      <x v="666"/>
    </i>
    <i>
      <x v="665"/>
    </i>
    <i>
      <x v="664"/>
    </i>
    <i>
      <x v="638"/>
    </i>
    <i>
      <x v="637"/>
    </i>
    <i>
      <x v="636"/>
    </i>
    <i>
      <x v="634"/>
    </i>
    <i>
      <x v="633"/>
    </i>
    <i>
      <x v="632"/>
    </i>
    <i>
      <x v="631"/>
    </i>
    <i>
      <x v="630"/>
    </i>
    <i>
      <x v="629"/>
    </i>
    <i>
      <x v="628"/>
    </i>
    <i>
      <x v="627"/>
    </i>
    <i>
      <x v="601"/>
    </i>
    <i>
      <x v="600"/>
    </i>
    <i>
      <x v="599"/>
    </i>
    <i>
      <x v="598"/>
    </i>
    <i>
      <x v="597"/>
    </i>
    <i>
      <x v="596"/>
    </i>
    <i>
      <x v="575"/>
    </i>
    <i>
      <x v="574"/>
    </i>
    <i>
      <x v="573"/>
    </i>
    <i>
      <x v="572"/>
    </i>
    <i>
      <x v="571"/>
    </i>
    <i>
      <x v="570"/>
    </i>
    <i>
      <x v="568"/>
    </i>
    <i>
      <x v="567"/>
    </i>
    <i>
      <x v="540"/>
    </i>
    <i>
      <x v="537"/>
    </i>
    <i>
      <x v="535"/>
    </i>
    <i>
      <x v="534"/>
    </i>
    <i>
      <x v="533"/>
    </i>
    <i>
      <x v="532"/>
    </i>
    <i>
      <x v="531"/>
    </i>
    <i>
      <x v="530"/>
    </i>
    <i>
      <x v="529"/>
    </i>
    <i>
      <x v="528"/>
    </i>
    <i>
      <x v="527"/>
    </i>
    <i>
      <x v="526"/>
    </i>
    <i>
      <x v="525"/>
    </i>
    <i>
      <x v="524"/>
    </i>
    <i>
      <x v="523"/>
    </i>
    <i>
      <x v="522"/>
    </i>
    <i>
      <x v="521"/>
    </i>
    <i>
      <x v="520"/>
    </i>
    <i>
      <x v="519"/>
    </i>
    <i>
      <x v="518"/>
    </i>
    <i>
      <x v="517"/>
    </i>
    <i>
      <x v="516"/>
    </i>
    <i>
      <x v="515"/>
    </i>
    <i>
      <x v="514"/>
    </i>
    <i>
      <x v="513"/>
    </i>
    <i>
      <x v="512"/>
    </i>
    <i>
      <x v="510"/>
    </i>
    <i>
      <x v="435"/>
    </i>
    <i>
      <x v="434"/>
    </i>
    <i>
      <x v="433"/>
    </i>
    <i>
      <x v="432"/>
    </i>
    <i>
      <x v="431"/>
    </i>
    <i>
      <x v="430"/>
    </i>
    <i>
      <x v="429"/>
    </i>
    <i>
      <x v="390"/>
    </i>
    <i>
      <x v="388"/>
    </i>
    <i>
      <x v="387"/>
    </i>
    <i>
      <x v="386"/>
    </i>
    <i>
      <x v="385"/>
    </i>
    <i>
      <x v="384"/>
    </i>
    <i t="grand">
      <x/>
    </i>
  </rowItems>
  <colFields count="1">
    <field x="-2"/>
  </colFields>
  <colItems count="3">
    <i>
      <x/>
    </i>
    <i i="1">
      <x v="1"/>
    </i>
    <i i="2">
      <x v="2"/>
    </i>
  </colItems>
  <pageFields count="1">
    <pageField fld="0"/>
  </pageFields>
  <dataFields count="3">
    <dataField name="求和项:直播下单金额" fld="2" baseField="0" baseItem="0"/>
    <dataField name="求和项:直播下单数" fld="3" baseField="0" baseItem="0"/>
    <dataField name="求和项:直播下单天数" fld="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AC66"/>
  <sheetViews>
    <sheetView topLeftCell="A21" workbookViewId="0">
      <selection activeCell="B37" sqref="B37"/>
    </sheetView>
  </sheetViews>
  <sheetFormatPr defaultColWidth="0" defaultRowHeight="14.25"/>
  <cols>
    <col min="1" max="1" width="27.875" style="94" customWidth="1"/>
    <col min="2" max="2" width="12.875" style="94" customWidth="1"/>
    <col min="3" max="3" width="19.5" style="94" customWidth="1"/>
    <col min="4" max="5" width="12.5" style="94" customWidth="1"/>
    <col min="6" max="7" width="13.75" style="94" customWidth="1"/>
    <col min="8" max="8" width="16" style="94" customWidth="1"/>
    <col min="9" max="9" width="14.5" style="94" customWidth="1"/>
    <col min="10" max="10" width="17.25" style="94" customWidth="1"/>
    <col min="11" max="11" width="12.625" style="94" customWidth="1"/>
    <col min="12" max="12" width="11.5" style="94" customWidth="1"/>
    <col min="13" max="13" width="16.375" style="94" customWidth="1"/>
    <col min="14" max="15" width="16" style="94" customWidth="1"/>
    <col min="16" max="16" width="12.5" style="94" customWidth="1"/>
    <col min="17" max="17" width="17.5" style="94" customWidth="1"/>
    <col min="18" max="18" width="17.25" style="94" customWidth="1"/>
    <col min="19" max="19" width="11" style="94" customWidth="1"/>
    <col min="20" max="21" width="9" style="2"/>
    <col min="22" max="22" width="11.375" style="2" customWidth="1"/>
    <col min="23" max="26" width="9" style="2"/>
    <col min="27" max="27" width="16" style="2" customWidth="1"/>
    <col min="28" max="28" width="9.375" style="2" customWidth="1"/>
    <col min="29" max="29" width="7.625" style="94" customWidth="1"/>
    <col min="30" max="30" width="17.25" style="2" customWidth="1"/>
    <col min="31" max="31" width="12.875" style="2" customWidth="1"/>
    <col min="32" max="32" width="16.125" style="2" customWidth="1"/>
    <col min="33" max="16384" width="9" style="2" customWidth="1"/>
  </cols>
  <sheetData>
    <row r="1" hidden="1" spans="1:26">
      <c r="A1" s="132" t="s">
        <v>0</v>
      </c>
      <c r="B1" s="132"/>
      <c r="V1" s="29" t="s">
        <v>1</v>
      </c>
      <c r="W1" s="29" t="s">
        <v>2</v>
      </c>
      <c r="X1" s="29" t="s">
        <v>3</v>
      </c>
      <c r="Y1" s="29" t="s">
        <v>4</v>
      </c>
      <c r="Z1" s="29" t="s">
        <v>5</v>
      </c>
    </row>
    <row r="2" hidden="1" spans="1:29">
      <c r="A2" s="133" t="s">
        <v>6</v>
      </c>
      <c r="B2" s="133" t="s">
        <v>7</v>
      </c>
      <c r="C2" s="133" t="s">
        <v>8</v>
      </c>
      <c r="D2" s="133" t="s">
        <v>3</v>
      </c>
      <c r="E2" s="133" t="s">
        <v>9</v>
      </c>
      <c r="F2" s="133" t="s">
        <v>10</v>
      </c>
      <c r="G2" s="133" t="s">
        <v>11</v>
      </c>
      <c r="H2" s="133" t="s">
        <v>12</v>
      </c>
      <c r="I2" s="133" t="s">
        <v>13</v>
      </c>
      <c r="J2" s="133" t="s">
        <v>14</v>
      </c>
      <c r="K2" s="133" t="s">
        <v>15</v>
      </c>
      <c r="L2" s="133" t="s">
        <v>16</v>
      </c>
      <c r="M2" s="133" t="s">
        <v>17</v>
      </c>
      <c r="N2" s="133" t="s">
        <v>18</v>
      </c>
      <c r="O2" s="133" t="s">
        <v>19</v>
      </c>
      <c r="P2" s="133" t="s">
        <v>20</v>
      </c>
      <c r="Q2" s="133" t="s">
        <v>21</v>
      </c>
      <c r="R2" s="133" t="s">
        <v>22</v>
      </c>
      <c r="S2" s="133" t="s">
        <v>23</v>
      </c>
      <c r="T2" s="133" t="s">
        <v>24</v>
      </c>
      <c r="V2" s="140">
        <v>44781</v>
      </c>
      <c r="W2" s="149">
        <v>4639.3</v>
      </c>
      <c r="X2" s="39">
        <v>1158</v>
      </c>
      <c r="Y2" s="168">
        <f t="shared" ref="Y2:Y19" si="0">W2/X2</f>
        <v>4.00630397236615</v>
      </c>
      <c r="Z2" s="52">
        <v>418</v>
      </c>
      <c r="AA2" s="94"/>
      <c r="AC2" s="2"/>
    </row>
    <row r="3" hidden="1" spans="1:29">
      <c r="A3" s="39" t="s">
        <v>25</v>
      </c>
      <c r="B3" s="39" t="s">
        <v>26</v>
      </c>
      <c r="C3" s="39" t="s">
        <v>27</v>
      </c>
      <c r="D3" s="39">
        <v>1158</v>
      </c>
      <c r="E3" s="39">
        <v>1720</v>
      </c>
      <c r="F3" s="39">
        <v>90</v>
      </c>
      <c r="G3" s="39" t="s">
        <v>28</v>
      </c>
      <c r="H3" s="39">
        <v>2826</v>
      </c>
      <c r="I3" s="39">
        <v>812</v>
      </c>
      <c r="J3" s="39">
        <v>39</v>
      </c>
      <c r="K3" s="39">
        <v>94</v>
      </c>
      <c r="L3" s="28">
        <f t="shared" ref="L3:L19" si="1">K3/D3</f>
        <v>0.0811744386873921</v>
      </c>
      <c r="M3" s="39">
        <v>11</v>
      </c>
      <c r="N3" s="39">
        <v>0</v>
      </c>
      <c r="O3" s="39">
        <v>0</v>
      </c>
      <c r="P3" s="149">
        <v>4639.3</v>
      </c>
      <c r="Q3" s="39">
        <v>87</v>
      </c>
      <c r="R3" s="39">
        <v>63</v>
      </c>
      <c r="S3" s="28">
        <f t="shared" ref="S3:S19" si="2">R3/D3</f>
        <v>0.0544041450777202</v>
      </c>
      <c r="T3" s="39">
        <v>1</v>
      </c>
      <c r="V3" s="140">
        <v>44782</v>
      </c>
      <c r="W3" s="149">
        <v>5684.5</v>
      </c>
      <c r="X3" s="39">
        <v>1061</v>
      </c>
      <c r="Y3" s="168">
        <f t="shared" si="0"/>
        <v>5.35768143261074</v>
      </c>
      <c r="Z3" s="52">
        <v>687</v>
      </c>
      <c r="AA3" s="94"/>
      <c r="AC3" s="2"/>
    </row>
    <row r="4" hidden="1" spans="1:29">
      <c r="A4" s="39" t="s">
        <v>29</v>
      </c>
      <c r="B4" s="39" t="s">
        <v>30</v>
      </c>
      <c r="C4" s="39" t="s">
        <v>31</v>
      </c>
      <c r="D4" s="39">
        <v>1061</v>
      </c>
      <c r="E4" s="39">
        <v>1576</v>
      </c>
      <c r="F4" s="39">
        <v>67</v>
      </c>
      <c r="G4" s="39" t="s">
        <v>32</v>
      </c>
      <c r="H4" s="39">
        <v>10005</v>
      </c>
      <c r="I4" s="39">
        <v>1295</v>
      </c>
      <c r="J4" s="39">
        <v>51</v>
      </c>
      <c r="K4" s="39">
        <v>29</v>
      </c>
      <c r="L4" s="28">
        <f t="shared" si="1"/>
        <v>0.0273327049952875</v>
      </c>
      <c r="M4" s="39">
        <v>5282</v>
      </c>
      <c r="N4" s="39">
        <v>0</v>
      </c>
      <c r="O4" s="39">
        <v>0</v>
      </c>
      <c r="P4" s="149">
        <v>5684.5</v>
      </c>
      <c r="Q4" s="39">
        <v>72</v>
      </c>
      <c r="R4" s="39">
        <v>29</v>
      </c>
      <c r="S4" s="28">
        <f t="shared" si="2"/>
        <v>0.0273327049952875</v>
      </c>
      <c r="T4" s="39">
        <v>2</v>
      </c>
      <c r="V4" s="140">
        <v>44783</v>
      </c>
      <c r="W4" s="149">
        <v>731.8</v>
      </c>
      <c r="X4" s="39">
        <v>321</v>
      </c>
      <c r="Y4" s="168">
        <f t="shared" si="0"/>
        <v>2.2797507788162</v>
      </c>
      <c r="Z4" s="52">
        <v>587</v>
      </c>
      <c r="AA4" s="94"/>
      <c r="AC4" s="2"/>
    </row>
    <row r="5" hidden="1" spans="1:29">
      <c r="A5" s="39" t="s">
        <v>29</v>
      </c>
      <c r="B5" s="39" t="s">
        <v>33</v>
      </c>
      <c r="C5" s="39" t="s">
        <v>34</v>
      </c>
      <c r="D5" s="39">
        <v>321</v>
      </c>
      <c r="E5" s="39">
        <v>455</v>
      </c>
      <c r="F5" s="39">
        <v>41</v>
      </c>
      <c r="G5" s="39" t="s">
        <v>35</v>
      </c>
      <c r="H5" s="39">
        <v>2226</v>
      </c>
      <c r="I5" s="39">
        <v>448</v>
      </c>
      <c r="J5" s="39">
        <v>16</v>
      </c>
      <c r="K5" s="39">
        <v>16</v>
      </c>
      <c r="L5" s="28">
        <f t="shared" si="1"/>
        <v>0.0498442367601246</v>
      </c>
      <c r="M5" s="39">
        <v>276</v>
      </c>
      <c r="N5" s="39">
        <v>20</v>
      </c>
      <c r="O5" s="39">
        <v>20</v>
      </c>
      <c r="P5" s="149">
        <v>731.8</v>
      </c>
      <c r="Q5" s="39">
        <v>24</v>
      </c>
      <c r="R5" s="39">
        <v>17</v>
      </c>
      <c r="S5" s="28">
        <f t="shared" si="2"/>
        <v>0.0529595015576324</v>
      </c>
      <c r="T5" s="39">
        <v>3</v>
      </c>
      <c r="V5" s="140">
        <v>44788</v>
      </c>
      <c r="W5" s="149">
        <v>7117.6</v>
      </c>
      <c r="X5" s="39">
        <v>1270</v>
      </c>
      <c r="Y5" s="168">
        <f t="shared" si="0"/>
        <v>5.6044094488189</v>
      </c>
      <c r="Z5" s="52">
        <v>461</v>
      </c>
      <c r="AA5" s="94"/>
      <c r="AC5" s="2"/>
    </row>
    <row r="6" hidden="1" spans="1:29">
      <c r="A6" s="39" t="s">
        <v>36</v>
      </c>
      <c r="B6" s="39" t="s">
        <v>37</v>
      </c>
      <c r="C6" s="39" t="s">
        <v>38</v>
      </c>
      <c r="D6" s="39">
        <v>1270</v>
      </c>
      <c r="E6" s="39">
        <v>1805</v>
      </c>
      <c r="F6" s="39">
        <v>59</v>
      </c>
      <c r="G6" s="39" t="s">
        <v>39</v>
      </c>
      <c r="H6" s="39">
        <v>21028</v>
      </c>
      <c r="I6" s="39">
        <v>1150</v>
      </c>
      <c r="J6" s="39">
        <v>33</v>
      </c>
      <c r="K6" s="39">
        <v>52</v>
      </c>
      <c r="L6" s="28">
        <f t="shared" si="1"/>
        <v>0.0409448818897638</v>
      </c>
      <c r="M6" s="39">
        <v>435</v>
      </c>
      <c r="N6" s="39">
        <v>29</v>
      </c>
      <c r="O6" s="39">
        <v>29</v>
      </c>
      <c r="P6" s="149">
        <v>7117.6</v>
      </c>
      <c r="Q6" s="39">
        <v>72</v>
      </c>
      <c r="R6" s="39">
        <v>45</v>
      </c>
      <c r="S6" s="28">
        <f t="shared" si="2"/>
        <v>0.0354330708661417</v>
      </c>
      <c r="T6" s="39">
        <v>4</v>
      </c>
      <c r="V6" s="140">
        <v>44789</v>
      </c>
      <c r="W6" s="149">
        <v>7343.44</v>
      </c>
      <c r="X6" s="39">
        <v>1636</v>
      </c>
      <c r="Y6" s="168">
        <f t="shared" si="0"/>
        <v>4.48865525672372</v>
      </c>
      <c r="Z6" s="52">
        <v>447</v>
      </c>
      <c r="AA6" s="94"/>
      <c r="AC6" s="2"/>
    </row>
    <row r="7" hidden="1" spans="1:29">
      <c r="A7" s="39" t="s">
        <v>29</v>
      </c>
      <c r="B7" s="39" t="s">
        <v>40</v>
      </c>
      <c r="C7" s="39" t="s">
        <v>41</v>
      </c>
      <c r="D7" s="39">
        <v>1636</v>
      </c>
      <c r="E7" s="39">
        <v>2922</v>
      </c>
      <c r="F7" s="39">
        <v>61</v>
      </c>
      <c r="G7" s="39" t="s">
        <v>42</v>
      </c>
      <c r="H7" s="39">
        <v>20338</v>
      </c>
      <c r="I7" s="39">
        <v>1667</v>
      </c>
      <c r="J7" s="39">
        <v>61</v>
      </c>
      <c r="K7" s="39">
        <v>60</v>
      </c>
      <c r="L7" s="28">
        <f t="shared" si="1"/>
        <v>0.0366748166259169</v>
      </c>
      <c r="M7" s="39">
        <v>110</v>
      </c>
      <c r="N7" s="39">
        <v>10</v>
      </c>
      <c r="O7" s="39">
        <v>10</v>
      </c>
      <c r="P7" s="149">
        <v>7343.44</v>
      </c>
      <c r="Q7" s="39">
        <v>65</v>
      </c>
      <c r="R7" s="39">
        <v>39</v>
      </c>
      <c r="S7" s="28">
        <f t="shared" si="2"/>
        <v>0.023838630806846</v>
      </c>
      <c r="T7" s="39">
        <v>5</v>
      </c>
      <c r="V7" s="140">
        <v>44790</v>
      </c>
      <c r="W7" s="149">
        <v>6583.3</v>
      </c>
      <c r="X7" s="39">
        <v>1916</v>
      </c>
      <c r="Y7" s="168">
        <f t="shared" si="0"/>
        <v>3.43596033402923</v>
      </c>
      <c r="Z7" s="52">
        <v>462</v>
      </c>
      <c r="AA7" s="94"/>
      <c r="AC7" s="2"/>
    </row>
    <row r="8" hidden="1" spans="1:26">
      <c r="A8" s="39" t="s">
        <v>43</v>
      </c>
      <c r="B8" s="39" t="s">
        <v>44</v>
      </c>
      <c r="C8" s="39" t="s">
        <v>45</v>
      </c>
      <c r="D8" s="39">
        <v>1916</v>
      </c>
      <c r="E8" s="39">
        <v>2900</v>
      </c>
      <c r="F8" s="39">
        <v>65</v>
      </c>
      <c r="G8" s="39" t="s">
        <v>46</v>
      </c>
      <c r="H8" s="39">
        <v>11177</v>
      </c>
      <c r="I8" s="39">
        <v>1214</v>
      </c>
      <c r="J8" s="39">
        <v>39</v>
      </c>
      <c r="K8" s="39">
        <v>80</v>
      </c>
      <c r="L8" s="28">
        <f t="shared" si="1"/>
        <v>0.0417536534446764</v>
      </c>
      <c r="M8" s="39">
        <v>333</v>
      </c>
      <c r="N8" s="39">
        <v>18</v>
      </c>
      <c r="O8" s="39">
        <v>19</v>
      </c>
      <c r="P8" s="149">
        <v>6583.3</v>
      </c>
      <c r="Q8" s="39">
        <v>152</v>
      </c>
      <c r="R8" s="39">
        <v>79</v>
      </c>
      <c r="S8" s="28">
        <f t="shared" si="2"/>
        <v>0.041231732776618</v>
      </c>
      <c r="T8" s="39">
        <v>6</v>
      </c>
      <c r="V8" s="140">
        <v>44791</v>
      </c>
      <c r="W8" s="149">
        <v>6192.12</v>
      </c>
      <c r="X8" s="39">
        <v>2091</v>
      </c>
      <c r="Y8" s="168">
        <f t="shared" si="0"/>
        <v>2.96131994261119</v>
      </c>
      <c r="Z8" s="52">
        <v>449</v>
      </c>
    </row>
    <row r="9" hidden="1" spans="1:26">
      <c r="A9" s="39" t="s">
        <v>47</v>
      </c>
      <c r="B9" s="39" t="s">
        <v>48</v>
      </c>
      <c r="C9" s="39" t="s">
        <v>49</v>
      </c>
      <c r="D9" s="39">
        <v>2091</v>
      </c>
      <c r="E9" s="39">
        <v>3086</v>
      </c>
      <c r="F9" s="39">
        <v>69</v>
      </c>
      <c r="G9" s="39" t="s">
        <v>50</v>
      </c>
      <c r="H9" s="39">
        <v>7613</v>
      </c>
      <c r="I9" s="39">
        <v>1526</v>
      </c>
      <c r="J9" s="39">
        <v>48</v>
      </c>
      <c r="K9" s="39">
        <v>83</v>
      </c>
      <c r="L9" s="28">
        <f t="shared" si="1"/>
        <v>0.0396939263510282</v>
      </c>
      <c r="M9" s="39">
        <v>155</v>
      </c>
      <c r="N9" s="39">
        <v>11</v>
      </c>
      <c r="O9" s="39">
        <v>11</v>
      </c>
      <c r="P9" s="149">
        <v>6192.12</v>
      </c>
      <c r="Q9" s="39">
        <v>167</v>
      </c>
      <c r="R9" s="39">
        <v>96</v>
      </c>
      <c r="S9" s="28">
        <f t="shared" si="2"/>
        <v>0.0459110473457676</v>
      </c>
      <c r="T9" s="39">
        <v>7</v>
      </c>
      <c r="V9" s="140">
        <v>44793</v>
      </c>
      <c r="W9" s="149">
        <v>5997.65</v>
      </c>
      <c r="X9" s="39">
        <v>1506</v>
      </c>
      <c r="Y9" s="168">
        <f t="shared" si="0"/>
        <v>3.98250332005312</v>
      </c>
      <c r="Z9" s="52">
        <v>494</v>
      </c>
    </row>
    <row r="10" hidden="1" spans="1:26">
      <c r="A10" s="39" t="s">
        <v>29</v>
      </c>
      <c r="B10" s="39" t="s">
        <v>51</v>
      </c>
      <c r="C10" s="39" t="s">
        <v>52</v>
      </c>
      <c r="D10" s="39">
        <v>1506</v>
      </c>
      <c r="E10" s="39">
        <v>2375</v>
      </c>
      <c r="F10" s="39">
        <v>62</v>
      </c>
      <c r="G10" s="39" t="s">
        <v>53</v>
      </c>
      <c r="H10" s="39">
        <v>2688</v>
      </c>
      <c r="I10" s="39">
        <v>1198</v>
      </c>
      <c r="J10" s="39">
        <v>63</v>
      </c>
      <c r="K10" s="39">
        <v>64</v>
      </c>
      <c r="L10" s="28">
        <f t="shared" si="1"/>
        <v>0.0424966799468791</v>
      </c>
      <c r="M10" s="39">
        <v>197</v>
      </c>
      <c r="N10" s="39">
        <v>11</v>
      </c>
      <c r="O10" s="39">
        <v>11</v>
      </c>
      <c r="P10" s="149">
        <v>5997.65</v>
      </c>
      <c r="Q10" s="39">
        <v>168</v>
      </c>
      <c r="R10" s="39">
        <v>101</v>
      </c>
      <c r="S10" s="28">
        <f t="shared" si="2"/>
        <v>0.0670650730411687</v>
      </c>
      <c r="T10" s="39">
        <v>8</v>
      </c>
      <c r="V10" s="140">
        <v>44794</v>
      </c>
      <c r="W10" s="149">
        <v>7163.16</v>
      </c>
      <c r="X10" s="39">
        <v>2531</v>
      </c>
      <c r="Y10" s="168">
        <f t="shared" si="0"/>
        <v>2.8301698933228</v>
      </c>
      <c r="Z10" s="52">
        <v>361</v>
      </c>
    </row>
    <row r="11" hidden="1" spans="1:26">
      <c r="A11" s="39" t="s">
        <v>54</v>
      </c>
      <c r="B11" s="39" t="s">
        <v>55</v>
      </c>
      <c r="C11" s="39" t="s">
        <v>56</v>
      </c>
      <c r="D11" s="39">
        <v>2531</v>
      </c>
      <c r="E11" s="39">
        <v>3995</v>
      </c>
      <c r="F11" s="39">
        <v>77</v>
      </c>
      <c r="G11" s="39" t="s">
        <v>57</v>
      </c>
      <c r="H11" s="39">
        <v>15859</v>
      </c>
      <c r="I11" s="39">
        <v>2071</v>
      </c>
      <c r="J11" s="39">
        <v>54</v>
      </c>
      <c r="K11" s="39">
        <v>142</v>
      </c>
      <c r="L11" s="28">
        <f t="shared" si="1"/>
        <v>0.0561043065981825</v>
      </c>
      <c r="M11" s="39">
        <v>426</v>
      </c>
      <c r="N11" s="39">
        <v>26</v>
      </c>
      <c r="O11" s="39">
        <v>28</v>
      </c>
      <c r="P11" s="149">
        <v>7163.16</v>
      </c>
      <c r="Q11" s="39">
        <v>183</v>
      </c>
      <c r="R11" s="39">
        <v>110</v>
      </c>
      <c r="S11" s="28">
        <f t="shared" si="2"/>
        <v>0.0434610825760569</v>
      </c>
      <c r="T11" s="39">
        <v>9</v>
      </c>
      <c r="V11" s="140">
        <v>44795</v>
      </c>
      <c r="W11" s="149">
        <v>10294.31</v>
      </c>
      <c r="X11" s="39">
        <v>1687</v>
      </c>
      <c r="Y11" s="168">
        <f t="shared" si="0"/>
        <v>6.10213989330172</v>
      </c>
      <c r="Z11" s="52">
        <v>532</v>
      </c>
    </row>
    <row r="12" hidden="1" spans="1:26">
      <c r="A12" s="39" t="s">
        <v>58</v>
      </c>
      <c r="B12" s="39" t="s">
        <v>59</v>
      </c>
      <c r="C12" s="39" t="s">
        <v>60</v>
      </c>
      <c r="D12" s="39">
        <v>1687</v>
      </c>
      <c r="E12" s="39">
        <v>2712</v>
      </c>
      <c r="F12" s="39">
        <v>56</v>
      </c>
      <c r="G12" s="39" t="s">
        <v>61</v>
      </c>
      <c r="H12" s="39">
        <v>3696</v>
      </c>
      <c r="I12" s="39">
        <v>1583</v>
      </c>
      <c r="J12" s="39">
        <v>68</v>
      </c>
      <c r="K12" s="39">
        <v>87</v>
      </c>
      <c r="L12" s="28">
        <f t="shared" si="1"/>
        <v>0.0515708358032009</v>
      </c>
      <c r="M12" s="39">
        <v>366</v>
      </c>
      <c r="N12" s="39">
        <v>24</v>
      </c>
      <c r="O12" s="39">
        <v>24</v>
      </c>
      <c r="P12" s="149">
        <v>10294.31</v>
      </c>
      <c r="Q12" s="39">
        <v>167</v>
      </c>
      <c r="R12" s="39">
        <v>88</v>
      </c>
      <c r="S12" s="28">
        <f t="shared" si="2"/>
        <v>0.0521636040308239</v>
      </c>
      <c r="T12" s="39">
        <v>10</v>
      </c>
      <c r="V12" s="140">
        <v>44797</v>
      </c>
      <c r="W12" s="149">
        <v>8709.26</v>
      </c>
      <c r="X12" s="39">
        <v>1116</v>
      </c>
      <c r="Y12" s="168">
        <f t="shared" si="0"/>
        <v>7.80399641577061</v>
      </c>
      <c r="Z12" s="52">
        <v>831</v>
      </c>
    </row>
    <row r="13" hidden="1" spans="1:26">
      <c r="A13" s="39" t="s">
        <v>62</v>
      </c>
      <c r="B13" s="39" t="s">
        <v>63</v>
      </c>
      <c r="C13" s="39" t="s">
        <v>64</v>
      </c>
      <c r="D13" s="39">
        <v>1116</v>
      </c>
      <c r="E13" s="39">
        <v>1866</v>
      </c>
      <c r="F13" s="39">
        <v>58</v>
      </c>
      <c r="G13" s="39" t="s">
        <v>65</v>
      </c>
      <c r="H13" s="39">
        <v>9142</v>
      </c>
      <c r="I13" s="39">
        <v>2030</v>
      </c>
      <c r="J13" s="39">
        <v>69</v>
      </c>
      <c r="K13" s="39">
        <v>17</v>
      </c>
      <c r="L13" s="28">
        <f t="shared" si="1"/>
        <v>0.0152329749103943</v>
      </c>
      <c r="M13" s="39">
        <v>343</v>
      </c>
      <c r="N13" s="39">
        <v>18</v>
      </c>
      <c r="O13" s="39">
        <v>21</v>
      </c>
      <c r="P13" s="149">
        <v>8709.26</v>
      </c>
      <c r="Q13" s="39">
        <v>304</v>
      </c>
      <c r="R13" s="39">
        <v>104</v>
      </c>
      <c r="S13" s="28">
        <f t="shared" si="2"/>
        <v>0.0931899641577061</v>
      </c>
      <c r="T13" s="39">
        <v>11</v>
      </c>
      <c r="V13" s="140">
        <v>44798</v>
      </c>
      <c r="W13" s="149">
        <v>5693.24</v>
      </c>
      <c r="X13" s="39">
        <v>1728</v>
      </c>
      <c r="Y13" s="168">
        <f t="shared" si="0"/>
        <v>3.29469907407407</v>
      </c>
      <c r="Z13" s="52">
        <v>409</v>
      </c>
    </row>
    <row r="14" hidden="1" spans="1:26">
      <c r="A14" s="39" t="s">
        <v>36</v>
      </c>
      <c r="B14" s="39" t="s">
        <v>66</v>
      </c>
      <c r="C14" s="39" t="s">
        <v>67</v>
      </c>
      <c r="D14" s="39">
        <v>1728</v>
      </c>
      <c r="E14" s="39">
        <v>2458</v>
      </c>
      <c r="F14" s="39">
        <v>58</v>
      </c>
      <c r="G14" s="39" t="s">
        <v>68</v>
      </c>
      <c r="H14" s="39">
        <v>5552</v>
      </c>
      <c r="I14" s="39">
        <v>1148</v>
      </c>
      <c r="J14" s="39">
        <v>56</v>
      </c>
      <c r="K14" s="39">
        <v>39</v>
      </c>
      <c r="L14" s="28">
        <f t="shared" si="1"/>
        <v>0.0225694444444444</v>
      </c>
      <c r="M14" s="39">
        <v>262</v>
      </c>
      <c r="N14" s="39">
        <v>16</v>
      </c>
      <c r="O14" s="39">
        <v>18</v>
      </c>
      <c r="P14" s="149">
        <v>5693.24</v>
      </c>
      <c r="Q14" s="39">
        <v>115</v>
      </c>
      <c r="R14" s="39">
        <v>73</v>
      </c>
      <c r="S14" s="28">
        <f t="shared" si="2"/>
        <v>0.0422453703703704</v>
      </c>
      <c r="T14" s="39">
        <v>12</v>
      </c>
      <c r="V14" s="140">
        <v>44799</v>
      </c>
      <c r="W14" s="149">
        <v>8625.67</v>
      </c>
      <c r="X14" s="39">
        <v>1348</v>
      </c>
      <c r="Y14" s="168">
        <f t="shared" si="0"/>
        <v>6.3988649851632</v>
      </c>
      <c r="Z14" s="52">
        <v>626</v>
      </c>
    </row>
    <row r="15" hidden="1" spans="1:26">
      <c r="A15" s="39" t="s">
        <v>69</v>
      </c>
      <c r="B15" s="39" t="s">
        <v>70</v>
      </c>
      <c r="C15" s="39" t="s">
        <v>71</v>
      </c>
      <c r="D15" s="39">
        <v>1348</v>
      </c>
      <c r="E15" s="39">
        <v>2166</v>
      </c>
      <c r="F15" s="39">
        <v>71</v>
      </c>
      <c r="G15" s="39" t="s">
        <v>72</v>
      </c>
      <c r="H15" s="39">
        <v>5241</v>
      </c>
      <c r="I15" s="39">
        <v>1403</v>
      </c>
      <c r="J15" s="39">
        <v>50</v>
      </c>
      <c r="K15" s="39">
        <v>60</v>
      </c>
      <c r="L15" s="28">
        <f t="shared" si="1"/>
        <v>0.0445103857566766</v>
      </c>
      <c r="M15" s="39">
        <v>283</v>
      </c>
      <c r="N15" s="39">
        <v>17</v>
      </c>
      <c r="O15" s="39">
        <v>22</v>
      </c>
      <c r="P15" s="149">
        <v>8625.67</v>
      </c>
      <c r="Q15" s="39">
        <v>169</v>
      </c>
      <c r="R15" s="39">
        <v>94</v>
      </c>
      <c r="S15" s="28">
        <f t="shared" si="2"/>
        <v>0.0697329376854599</v>
      </c>
      <c r="T15" s="39">
        <v>13</v>
      </c>
      <c r="V15" s="140">
        <v>44800</v>
      </c>
      <c r="W15" s="149">
        <v>8128.78</v>
      </c>
      <c r="X15" s="39">
        <v>2192</v>
      </c>
      <c r="Y15" s="168">
        <f t="shared" si="0"/>
        <v>3.70838503649635</v>
      </c>
      <c r="Z15" s="52">
        <v>370</v>
      </c>
    </row>
    <row r="16" hidden="1" spans="1:26">
      <c r="A16" s="39" t="s">
        <v>73</v>
      </c>
      <c r="B16" s="39" t="s">
        <v>74</v>
      </c>
      <c r="C16" s="39" t="s">
        <v>75</v>
      </c>
      <c r="D16" s="39">
        <v>2192</v>
      </c>
      <c r="E16" s="39">
        <v>3065</v>
      </c>
      <c r="F16" s="39">
        <v>67</v>
      </c>
      <c r="G16" s="39" t="s">
        <v>76</v>
      </c>
      <c r="H16" s="39">
        <v>68389</v>
      </c>
      <c r="I16" s="39">
        <v>1391</v>
      </c>
      <c r="J16" s="39">
        <v>79</v>
      </c>
      <c r="K16" s="39">
        <v>82</v>
      </c>
      <c r="L16" s="28">
        <f t="shared" si="1"/>
        <v>0.0374087591240876</v>
      </c>
      <c r="M16" s="39">
        <v>451</v>
      </c>
      <c r="N16" s="39">
        <v>25</v>
      </c>
      <c r="O16" s="39">
        <v>31</v>
      </c>
      <c r="P16" s="149">
        <v>8128.78</v>
      </c>
      <c r="Q16" s="39">
        <v>118</v>
      </c>
      <c r="R16" s="39">
        <v>73</v>
      </c>
      <c r="S16" s="28">
        <f t="shared" si="2"/>
        <v>0.0333029197080292</v>
      </c>
      <c r="T16" s="39">
        <v>14</v>
      </c>
      <c r="V16" s="140">
        <v>44801</v>
      </c>
      <c r="W16" s="149">
        <v>12451.6</v>
      </c>
      <c r="X16" s="39">
        <v>3796</v>
      </c>
      <c r="Y16" s="168">
        <f t="shared" si="0"/>
        <v>3.28018967334036</v>
      </c>
      <c r="Z16" s="52">
        <v>380</v>
      </c>
    </row>
    <row r="17" hidden="1" spans="1:26">
      <c r="A17" s="39" t="s">
        <v>73</v>
      </c>
      <c r="B17" s="39" t="s">
        <v>77</v>
      </c>
      <c r="C17" s="39" t="s">
        <v>78</v>
      </c>
      <c r="D17" s="39">
        <v>3796</v>
      </c>
      <c r="E17" s="39">
        <v>5389</v>
      </c>
      <c r="F17" s="39">
        <v>140</v>
      </c>
      <c r="G17" s="39" t="s">
        <v>79</v>
      </c>
      <c r="H17" s="39">
        <v>80637</v>
      </c>
      <c r="I17" s="39">
        <v>2351</v>
      </c>
      <c r="J17" s="39">
        <v>106</v>
      </c>
      <c r="K17" s="39">
        <v>247</v>
      </c>
      <c r="L17" s="28">
        <f t="shared" si="1"/>
        <v>0.0650684931506849</v>
      </c>
      <c r="M17" s="39">
        <v>846</v>
      </c>
      <c r="N17" s="39">
        <v>51</v>
      </c>
      <c r="O17" s="39">
        <v>56</v>
      </c>
      <c r="P17" s="149">
        <v>12451.6</v>
      </c>
      <c r="Q17" s="39">
        <v>324</v>
      </c>
      <c r="R17" s="39">
        <v>184</v>
      </c>
      <c r="S17" s="28">
        <f t="shared" si="2"/>
        <v>0.0484720758693361</v>
      </c>
      <c r="T17" s="39">
        <v>15</v>
      </c>
      <c r="V17" s="140">
        <v>44802</v>
      </c>
      <c r="W17" s="149">
        <v>9100.75</v>
      </c>
      <c r="X17" s="39">
        <v>1886</v>
      </c>
      <c r="Y17" s="168">
        <f t="shared" si="0"/>
        <v>4.82542417815483</v>
      </c>
      <c r="Z17" s="52">
        <v>496</v>
      </c>
    </row>
    <row r="18" hidden="1" spans="1:26">
      <c r="A18" s="39" t="s">
        <v>80</v>
      </c>
      <c r="B18" s="39" t="s">
        <v>81</v>
      </c>
      <c r="C18" s="39" t="s">
        <v>82</v>
      </c>
      <c r="D18" s="39">
        <v>1886</v>
      </c>
      <c r="E18" s="39">
        <v>2939</v>
      </c>
      <c r="F18" s="39">
        <v>59</v>
      </c>
      <c r="G18" s="39" t="s">
        <v>83</v>
      </c>
      <c r="H18" s="39">
        <v>90236</v>
      </c>
      <c r="I18" s="39">
        <v>1603</v>
      </c>
      <c r="J18" s="39">
        <v>76</v>
      </c>
      <c r="K18" s="39">
        <v>133</v>
      </c>
      <c r="L18" s="28">
        <f t="shared" si="1"/>
        <v>0.0705196182396607</v>
      </c>
      <c r="M18" s="39">
        <v>673</v>
      </c>
      <c r="N18" s="39">
        <v>42</v>
      </c>
      <c r="O18" s="39">
        <v>59</v>
      </c>
      <c r="P18" s="149">
        <v>9100.75</v>
      </c>
      <c r="Q18" s="39">
        <v>155</v>
      </c>
      <c r="R18" s="39">
        <v>101</v>
      </c>
      <c r="S18" s="28">
        <f t="shared" si="2"/>
        <v>0.0535524920466596</v>
      </c>
      <c r="T18" s="39">
        <v>16</v>
      </c>
      <c r="V18" s="140">
        <v>44804</v>
      </c>
      <c r="W18" s="150">
        <v>6216.94</v>
      </c>
      <c r="X18" s="52">
        <v>2890</v>
      </c>
      <c r="Y18" s="168">
        <f t="shared" si="0"/>
        <v>2.15119031141868</v>
      </c>
      <c r="Z18" s="52">
        <v>274</v>
      </c>
    </row>
    <row r="19" hidden="1" spans="1:26">
      <c r="A19" s="52" t="s">
        <v>84</v>
      </c>
      <c r="B19" s="52" t="s">
        <v>85</v>
      </c>
      <c r="C19" s="52" t="s">
        <v>86</v>
      </c>
      <c r="D19" s="52">
        <v>2890</v>
      </c>
      <c r="E19" s="52">
        <v>3702</v>
      </c>
      <c r="F19" s="52">
        <v>80</v>
      </c>
      <c r="G19" s="52" t="s">
        <v>87</v>
      </c>
      <c r="H19" s="52">
        <v>4185</v>
      </c>
      <c r="I19" s="52">
        <v>1372</v>
      </c>
      <c r="J19" s="52">
        <v>45</v>
      </c>
      <c r="K19" s="52">
        <v>15</v>
      </c>
      <c r="L19" s="28">
        <f t="shared" si="1"/>
        <v>0.00519031141868512</v>
      </c>
      <c r="M19" s="52">
        <v>127</v>
      </c>
      <c r="N19" s="52">
        <v>9</v>
      </c>
      <c r="O19" s="52">
        <v>13</v>
      </c>
      <c r="P19" s="150">
        <v>6216.94</v>
      </c>
      <c r="Q19" s="52">
        <v>180</v>
      </c>
      <c r="R19" s="52">
        <v>72</v>
      </c>
      <c r="S19" s="28">
        <f t="shared" si="2"/>
        <v>0.0249134948096886</v>
      </c>
      <c r="T19" s="39">
        <v>17</v>
      </c>
      <c r="V19" s="29" t="s">
        <v>88</v>
      </c>
      <c r="W19" s="29">
        <f>SUM(W3:W18)</f>
        <v>116034.12</v>
      </c>
      <c r="X19" s="29">
        <f>SUM(X3:X18)</f>
        <v>28975</v>
      </c>
      <c r="Y19" s="169">
        <f t="shared" si="0"/>
        <v>4.00462881794651</v>
      </c>
      <c r="Z19" s="170">
        <v>487</v>
      </c>
    </row>
    <row r="20" hidden="1"/>
    <row r="21" ht="21" customHeight="1" spans="1:19">
      <c r="A21" s="134" t="s">
        <v>89</v>
      </c>
      <c r="B21" s="6" t="s">
        <v>90</v>
      </c>
      <c r="C21" s="6" t="s">
        <v>91</v>
      </c>
      <c r="D21" s="6" t="s">
        <v>92</v>
      </c>
      <c r="E21" s="6" t="s">
        <v>22</v>
      </c>
      <c r="F21" s="6" t="s">
        <v>23</v>
      </c>
      <c r="G21" s="6" t="s">
        <v>3</v>
      </c>
      <c r="H21" s="29" t="s">
        <v>9</v>
      </c>
      <c r="I21" s="6" t="s">
        <v>15</v>
      </c>
      <c r="J21" s="29" t="s">
        <v>16</v>
      </c>
      <c r="K21" s="29" t="s">
        <v>10</v>
      </c>
      <c r="L21" s="29" t="s">
        <v>14</v>
      </c>
      <c r="M21" s="6" t="s">
        <v>18</v>
      </c>
      <c r="N21" s="29" t="s">
        <v>19</v>
      </c>
      <c r="O21" s="29" t="s">
        <v>5</v>
      </c>
      <c r="P21" s="6" t="s">
        <v>93</v>
      </c>
      <c r="Q21" s="6" t="s">
        <v>94</v>
      </c>
      <c r="R21" s="6" t="s">
        <v>95</v>
      </c>
      <c r="S21" s="6" t="s">
        <v>96</v>
      </c>
    </row>
    <row r="22" ht="21" customHeight="1" spans="1:19">
      <c r="A22" s="135"/>
      <c r="B22" s="9">
        <f>COUNT(B26:B41)</f>
        <v>14</v>
      </c>
      <c r="C22" s="8">
        <f t="shared" ref="C22:J22" si="3">B43</f>
        <v>133018.32</v>
      </c>
      <c r="D22" s="9">
        <f t="shared" si="3"/>
        <v>957</v>
      </c>
      <c r="E22" s="9">
        <f t="shared" si="3"/>
        <v>630</v>
      </c>
      <c r="F22" s="96">
        <f t="shared" si="3"/>
        <v>0.012828605754546</v>
      </c>
      <c r="G22" s="9">
        <f t="shared" si="3"/>
        <v>49109</v>
      </c>
      <c r="H22" s="39">
        <f t="shared" si="3"/>
        <v>65509</v>
      </c>
      <c r="I22" s="9">
        <f>K43</f>
        <v>1361</v>
      </c>
      <c r="J22" s="151">
        <f>L43</f>
        <v>0.0277138610030748</v>
      </c>
      <c r="K22" s="152">
        <f>H42</f>
        <v>74.3076923076923</v>
      </c>
      <c r="L22" s="39">
        <f>J43</f>
        <v>720</v>
      </c>
      <c r="M22" s="39">
        <f>M43</f>
        <v>224</v>
      </c>
      <c r="N22" s="39">
        <f>N43</f>
        <v>277</v>
      </c>
      <c r="O22" s="153">
        <f>I42</f>
        <v>264.384615384615</v>
      </c>
      <c r="P22" s="8">
        <f>C22/E22</f>
        <v>211.14019047619</v>
      </c>
      <c r="Q22" s="8">
        <f>C22/B22</f>
        <v>9501.30857142857</v>
      </c>
      <c r="R22" s="10">
        <f>D22/B22</f>
        <v>68.3571428571429</v>
      </c>
      <c r="S22" s="159">
        <f>C22/G22</f>
        <v>2.7086342625588</v>
      </c>
    </row>
    <row r="23" ht="21" customHeight="1" spans="1:19">
      <c r="A23" s="136"/>
      <c r="B23" s="95"/>
      <c r="C23" s="137"/>
      <c r="D23" s="95"/>
      <c r="E23" s="2"/>
      <c r="F23" s="2"/>
      <c r="G23" s="95"/>
      <c r="I23" s="137"/>
      <c r="J23" s="154"/>
      <c r="K23" s="137"/>
      <c r="L23" s="155"/>
      <c r="M23" s="156"/>
      <c r="S23" s="2"/>
    </row>
    <row r="24" spans="1:6">
      <c r="A24" s="61" t="s">
        <v>97</v>
      </c>
      <c r="B24" s="62" t="s">
        <v>98</v>
      </c>
      <c r="C24" s="12" t="s">
        <v>99</v>
      </c>
      <c r="E24" s="2"/>
      <c r="F24" s="2"/>
    </row>
    <row r="25" spans="1:29">
      <c r="A25" s="50" t="s">
        <v>1</v>
      </c>
      <c r="B25" s="50" t="s">
        <v>100</v>
      </c>
      <c r="C25" s="50" t="s">
        <v>21</v>
      </c>
      <c r="D25" s="50" t="s">
        <v>22</v>
      </c>
      <c r="E25" s="50" t="s">
        <v>23</v>
      </c>
      <c r="F25" s="50" t="s">
        <v>3</v>
      </c>
      <c r="G25" s="50" t="s">
        <v>9</v>
      </c>
      <c r="H25" s="50" t="s">
        <v>10</v>
      </c>
      <c r="I25" s="50" t="s">
        <v>5</v>
      </c>
      <c r="J25" s="50" t="s">
        <v>14</v>
      </c>
      <c r="K25" s="50" t="s">
        <v>15</v>
      </c>
      <c r="L25" s="50" t="s">
        <v>16</v>
      </c>
      <c r="M25" s="50" t="s">
        <v>18</v>
      </c>
      <c r="N25" s="50" t="s">
        <v>19</v>
      </c>
      <c r="O25" s="50" t="s">
        <v>93</v>
      </c>
      <c r="P25" s="50" t="s">
        <v>96</v>
      </c>
      <c r="R25" s="2"/>
      <c r="S25" s="2"/>
      <c r="AC25" s="2"/>
    </row>
    <row r="26" ht="15.75" spans="1:29">
      <c r="A26" s="65">
        <v>44808</v>
      </c>
      <c r="B26" s="138">
        <v>15929.71</v>
      </c>
      <c r="C26" s="52">
        <v>222</v>
      </c>
      <c r="D26" s="52">
        <v>132</v>
      </c>
      <c r="E26" s="139">
        <f t="shared" ref="E26:E41" si="4">D26/F26</f>
        <v>0.0285961871750433</v>
      </c>
      <c r="F26" s="52">
        <v>4616</v>
      </c>
      <c r="G26" s="52">
        <v>6277</v>
      </c>
      <c r="H26" s="52">
        <v>127</v>
      </c>
      <c r="I26" s="52">
        <v>274</v>
      </c>
      <c r="J26" s="52">
        <v>95</v>
      </c>
      <c r="K26" s="52">
        <v>211</v>
      </c>
      <c r="L26" s="157">
        <f t="shared" ref="L26:L41" si="5">K26/F26</f>
        <v>0.0457105719237435</v>
      </c>
      <c r="M26" s="52">
        <v>42</v>
      </c>
      <c r="N26" s="52">
        <v>46</v>
      </c>
      <c r="O26" s="158">
        <f t="shared" ref="O26:O41" si="6">B26/D26</f>
        <v>120.679621212121</v>
      </c>
      <c r="P26" s="159">
        <f t="shared" ref="P26:P43" si="7">B26/F26</f>
        <v>3.45097703639515</v>
      </c>
      <c r="R26" s="2"/>
      <c r="S26" s="2"/>
      <c r="AC26" s="2"/>
    </row>
    <row r="27" ht="15.75" spans="1:29">
      <c r="A27" s="140">
        <v>44809</v>
      </c>
      <c r="B27" s="141">
        <v>5382</v>
      </c>
      <c r="C27" s="52">
        <v>83</v>
      </c>
      <c r="D27" s="52">
        <v>55</v>
      </c>
      <c r="E27" s="139">
        <f t="shared" si="4"/>
        <v>0.0317919075144509</v>
      </c>
      <c r="F27" s="52">
        <v>1730</v>
      </c>
      <c r="G27" s="52">
        <v>2471</v>
      </c>
      <c r="H27" s="52">
        <v>57</v>
      </c>
      <c r="I27" s="52">
        <v>378</v>
      </c>
      <c r="J27" s="52">
        <v>42</v>
      </c>
      <c r="K27" s="52">
        <v>72</v>
      </c>
      <c r="L27" s="157">
        <f t="shared" si="5"/>
        <v>0.0416184971098266</v>
      </c>
      <c r="M27" s="52">
        <v>6</v>
      </c>
      <c r="N27" s="52">
        <v>10</v>
      </c>
      <c r="O27" s="158">
        <f t="shared" si="6"/>
        <v>97.8545454545455</v>
      </c>
      <c r="P27" s="159">
        <f t="shared" si="7"/>
        <v>3.11098265895954</v>
      </c>
      <c r="R27" s="2"/>
      <c r="S27" s="2"/>
      <c r="AC27" s="2"/>
    </row>
    <row r="28" ht="15.75" spans="1:29">
      <c r="A28" s="140">
        <v>44811</v>
      </c>
      <c r="B28" s="138">
        <v>9594.6</v>
      </c>
      <c r="C28" s="52">
        <v>73</v>
      </c>
      <c r="D28" s="52">
        <v>40</v>
      </c>
      <c r="E28" s="139">
        <f t="shared" si="4"/>
        <v>0.0115506786023679</v>
      </c>
      <c r="F28" s="52">
        <v>3463</v>
      </c>
      <c r="G28" s="52">
        <v>4457</v>
      </c>
      <c r="H28" s="52">
        <v>60</v>
      </c>
      <c r="I28" s="52">
        <v>247</v>
      </c>
      <c r="J28" s="52">
        <v>54</v>
      </c>
      <c r="K28" s="52">
        <v>79</v>
      </c>
      <c r="L28" s="157">
        <f t="shared" si="5"/>
        <v>0.0228125902396766</v>
      </c>
      <c r="M28" s="52">
        <v>10</v>
      </c>
      <c r="N28" s="52">
        <v>11</v>
      </c>
      <c r="O28" s="158">
        <f t="shared" si="6"/>
        <v>239.865</v>
      </c>
      <c r="P28" s="159">
        <f t="shared" si="7"/>
        <v>2.77060352295697</v>
      </c>
      <c r="R28" s="2"/>
      <c r="S28" s="2"/>
      <c r="AC28" s="2"/>
    </row>
    <row r="29" ht="15.75" spans="1:29">
      <c r="A29" s="140">
        <v>44812</v>
      </c>
      <c r="B29" s="141">
        <v>2830</v>
      </c>
      <c r="C29" s="52">
        <v>30</v>
      </c>
      <c r="D29" s="52">
        <v>21</v>
      </c>
      <c r="E29" s="139">
        <f t="shared" si="4"/>
        <v>0.0151405912040375</v>
      </c>
      <c r="F29" s="52">
        <v>1387</v>
      </c>
      <c r="G29" s="52">
        <v>2166</v>
      </c>
      <c r="H29" s="52">
        <v>83</v>
      </c>
      <c r="I29" s="52">
        <v>495</v>
      </c>
      <c r="J29" s="52">
        <v>55</v>
      </c>
      <c r="K29" s="52">
        <v>45</v>
      </c>
      <c r="L29" s="157">
        <f t="shared" si="5"/>
        <v>0.0324441240086518</v>
      </c>
      <c r="M29" s="52">
        <v>20</v>
      </c>
      <c r="N29" s="52">
        <v>27</v>
      </c>
      <c r="O29" s="158">
        <f t="shared" si="6"/>
        <v>134.761904761905</v>
      </c>
      <c r="P29" s="159">
        <f t="shared" si="7"/>
        <v>2.04037490987743</v>
      </c>
      <c r="R29" s="2"/>
      <c r="S29" s="2"/>
      <c r="AC29" s="2"/>
    </row>
    <row r="30" ht="15.75" spans="1:29">
      <c r="A30" s="140">
        <v>44813</v>
      </c>
      <c r="B30" s="138">
        <v>12530.65</v>
      </c>
      <c r="C30" s="52">
        <v>67</v>
      </c>
      <c r="D30" s="52">
        <v>49</v>
      </c>
      <c r="E30" s="139">
        <f t="shared" si="4"/>
        <v>0.0173206079886886</v>
      </c>
      <c r="F30" s="52">
        <v>2829</v>
      </c>
      <c r="G30" s="52">
        <v>3859</v>
      </c>
      <c r="H30" s="52">
        <v>54</v>
      </c>
      <c r="I30" s="52">
        <v>299</v>
      </c>
      <c r="J30" s="52">
        <v>57</v>
      </c>
      <c r="K30" s="52">
        <v>84</v>
      </c>
      <c r="L30" s="157">
        <f t="shared" si="5"/>
        <v>0.0296924708377519</v>
      </c>
      <c r="M30" s="52">
        <v>17</v>
      </c>
      <c r="N30" s="52">
        <v>23</v>
      </c>
      <c r="O30" s="158">
        <f t="shared" si="6"/>
        <v>255.727551020408</v>
      </c>
      <c r="P30" s="159">
        <f t="shared" si="7"/>
        <v>4.42935666313185</v>
      </c>
      <c r="R30" s="2"/>
      <c r="S30" s="2"/>
      <c r="AC30" s="2"/>
    </row>
    <row r="31" ht="15.75" spans="1:29">
      <c r="A31" s="65">
        <v>44815</v>
      </c>
      <c r="B31" s="138">
        <v>19456.2</v>
      </c>
      <c r="C31" s="52">
        <v>89</v>
      </c>
      <c r="D31" s="52">
        <v>63</v>
      </c>
      <c r="E31" s="139">
        <f t="shared" si="4"/>
        <v>0.0114089098152843</v>
      </c>
      <c r="F31" s="52">
        <v>5522</v>
      </c>
      <c r="G31" s="52">
        <v>7216</v>
      </c>
      <c r="H31" s="52">
        <v>122</v>
      </c>
      <c r="I31" s="52">
        <v>246</v>
      </c>
      <c r="J31" s="52">
        <v>79</v>
      </c>
      <c r="K31" s="52">
        <v>182</v>
      </c>
      <c r="L31" s="157">
        <f t="shared" si="5"/>
        <v>0.0329590727997102</v>
      </c>
      <c r="M31" s="52">
        <v>26</v>
      </c>
      <c r="N31" s="52">
        <v>37</v>
      </c>
      <c r="O31" s="158">
        <f t="shared" si="6"/>
        <v>308.828571428571</v>
      </c>
      <c r="P31" s="159">
        <f t="shared" si="7"/>
        <v>3.52339731981166</v>
      </c>
      <c r="R31" s="2"/>
      <c r="S31" s="2"/>
      <c r="AC31" s="2"/>
    </row>
    <row r="32" ht="15.75" spans="1:29">
      <c r="A32" s="140">
        <v>44816</v>
      </c>
      <c r="B32" s="138">
        <v>8158.7</v>
      </c>
      <c r="C32" s="52">
        <v>43</v>
      </c>
      <c r="D32" s="52">
        <v>37</v>
      </c>
      <c r="E32" s="139">
        <f t="shared" si="4"/>
        <v>0.00899368011667477</v>
      </c>
      <c r="F32" s="52">
        <v>4114</v>
      </c>
      <c r="G32" s="52">
        <v>5235</v>
      </c>
      <c r="H32" s="52">
        <v>68</v>
      </c>
      <c r="I32" s="52">
        <v>157</v>
      </c>
      <c r="J32" s="52">
        <v>51</v>
      </c>
      <c r="K32" s="52">
        <v>85</v>
      </c>
      <c r="L32" s="157">
        <f t="shared" si="5"/>
        <v>0.0206611570247934</v>
      </c>
      <c r="M32" s="52">
        <v>26</v>
      </c>
      <c r="N32" s="52">
        <v>27</v>
      </c>
      <c r="O32" s="158">
        <f t="shared" si="6"/>
        <v>220.505405405405</v>
      </c>
      <c r="P32" s="159">
        <f t="shared" si="7"/>
        <v>1.9831550802139</v>
      </c>
      <c r="R32" s="2"/>
      <c r="S32" s="2"/>
      <c r="AC32" s="2"/>
    </row>
    <row r="33" ht="15.75" spans="1:29">
      <c r="A33" s="140">
        <v>44817</v>
      </c>
      <c r="B33" s="138">
        <v>16744</v>
      </c>
      <c r="C33" s="102">
        <v>65</v>
      </c>
      <c r="D33" s="102">
        <v>35</v>
      </c>
      <c r="E33" s="139">
        <f t="shared" si="4"/>
        <v>0.00907441016333938</v>
      </c>
      <c r="F33" s="102">
        <v>3857</v>
      </c>
      <c r="G33" s="102">
        <v>5138</v>
      </c>
      <c r="H33" s="102">
        <v>59</v>
      </c>
      <c r="I33" s="102">
        <v>216</v>
      </c>
      <c r="J33" s="102">
        <v>54</v>
      </c>
      <c r="K33" s="102">
        <v>89</v>
      </c>
      <c r="L33" s="160">
        <f t="shared" si="5"/>
        <v>0.023074928701063</v>
      </c>
      <c r="M33" s="102">
        <v>15</v>
      </c>
      <c r="N33" s="102">
        <v>21</v>
      </c>
      <c r="O33" s="158">
        <f t="shared" si="6"/>
        <v>478.4</v>
      </c>
      <c r="P33" s="159">
        <f t="shared" si="7"/>
        <v>4.34119782214156</v>
      </c>
      <c r="R33" s="2"/>
      <c r="S33" s="2"/>
      <c r="AC33" s="2"/>
    </row>
    <row r="34" ht="15.75" spans="1:29">
      <c r="A34" s="140">
        <v>44818</v>
      </c>
      <c r="B34" s="142">
        <v>2212</v>
      </c>
      <c r="C34" s="17">
        <v>17</v>
      </c>
      <c r="D34" s="17">
        <v>15</v>
      </c>
      <c r="E34" s="139">
        <f t="shared" si="4"/>
        <v>0.00548847420417124</v>
      </c>
      <c r="F34" s="143">
        <v>2733</v>
      </c>
      <c r="G34" s="143">
        <v>3503</v>
      </c>
      <c r="H34" s="143">
        <v>68</v>
      </c>
      <c r="I34" s="17">
        <v>172</v>
      </c>
      <c r="J34" s="17">
        <v>22</v>
      </c>
      <c r="K34" s="143">
        <v>42</v>
      </c>
      <c r="L34" s="161">
        <f t="shared" si="5"/>
        <v>0.0153677277716795</v>
      </c>
      <c r="M34" s="17">
        <v>3</v>
      </c>
      <c r="N34" s="17">
        <v>3</v>
      </c>
      <c r="O34" s="158">
        <f t="shared" si="6"/>
        <v>147.466666666667</v>
      </c>
      <c r="P34" s="159">
        <f t="shared" si="7"/>
        <v>0.809366995975119</v>
      </c>
      <c r="R34" s="2"/>
      <c r="S34" s="2"/>
      <c r="AC34" s="2"/>
    </row>
    <row r="35" ht="15.75" spans="1:29">
      <c r="A35" s="140">
        <v>44820</v>
      </c>
      <c r="B35" s="144">
        <v>4030.8</v>
      </c>
      <c r="C35" s="17">
        <v>12</v>
      </c>
      <c r="D35" s="17">
        <v>10</v>
      </c>
      <c r="E35" s="139">
        <f t="shared" si="4"/>
        <v>0.00385653682992673</v>
      </c>
      <c r="F35" s="17">
        <v>2593</v>
      </c>
      <c r="G35" s="17">
        <v>3443</v>
      </c>
      <c r="H35" s="17">
        <v>55</v>
      </c>
      <c r="I35" s="17">
        <v>254</v>
      </c>
      <c r="J35" s="17">
        <v>18</v>
      </c>
      <c r="K35" s="17">
        <v>65</v>
      </c>
      <c r="L35" s="162">
        <f t="shared" si="5"/>
        <v>0.0250674893945237</v>
      </c>
      <c r="M35" s="17">
        <v>6</v>
      </c>
      <c r="N35" s="17">
        <v>7</v>
      </c>
      <c r="O35" s="158">
        <f t="shared" si="6"/>
        <v>403.08</v>
      </c>
      <c r="P35" s="159">
        <f t="shared" si="7"/>
        <v>1.55449286540686</v>
      </c>
      <c r="R35" s="2"/>
      <c r="S35" s="2"/>
      <c r="AC35" s="2"/>
    </row>
    <row r="36" ht="15.75" spans="1:29">
      <c r="A36" s="65">
        <v>44829</v>
      </c>
      <c r="B36" s="144">
        <v>13762.92</v>
      </c>
      <c r="C36" s="17">
        <v>59</v>
      </c>
      <c r="D36" s="17">
        <v>47</v>
      </c>
      <c r="E36" s="139">
        <f t="shared" si="4"/>
        <v>0.00978758850478967</v>
      </c>
      <c r="F36" s="17">
        <v>4802</v>
      </c>
      <c r="G36" s="17">
        <v>6459</v>
      </c>
      <c r="H36" s="17">
        <v>115</v>
      </c>
      <c r="I36" s="17">
        <v>252</v>
      </c>
      <c r="J36" s="17">
        <v>60</v>
      </c>
      <c r="K36" s="17">
        <v>180</v>
      </c>
      <c r="L36" s="162">
        <f t="shared" si="5"/>
        <v>0.0374843815077051</v>
      </c>
      <c r="M36" s="17">
        <v>23</v>
      </c>
      <c r="N36" s="17">
        <v>25</v>
      </c>
      <c r="O36" s="158">
        <f t="shared" si="6"/>
        <v>292.828085106383</v>
      </c>
      <c r="P36" s="159">
        <f t="shared" si="7"/>
        <v>2.86608079966681</v>
      </c>
      <c r="R36" s="2"/>
      <c r="S36" s="2"/>
      <c r="AC36" s="2"/>
    </row>
    <row r="37" ht="15.75" spans="1:29">
      <c r="A37" s="140">
        <v>44830</v>
      </c>
      <c r="B37" s="144">
        <v>8944.04</v>
      </c>
      <c r="C37" s="17">
        <v>49</v>
      </c>
      <c r="D37" s="17">
        <v>27</v>
      </c>
      <c r="E37" s="139">
        <f t="shared" si="4"/>
        <v>0.0101085735679521</v>
      </c>
      <c r="F37" s="17">
        <v>2671</v>
      </c>
      <c r="G37" s="17">
        <v>3692</v>
      </c>
      <c r="H37" s="17">
        <v>56</v>
      </c>
      <c r="I37" s="17">
        <v>257</v>
      </c>
      <c r="J37" s="17">
        <v>41</v>
      </c>
      <c r="K37" s="17">
        <v>99</v>
      </c>
      <c r="L37" s="162">
        <f t="shared" si="5"/>
        <v>0.0370647697491576</v>
      </c>
      <c r="M37" s="17">
        <v>13</v>
      </c>
      <c r="N37" s="17">
        <v>19</v>
      </c>
      <c r="O37" s="158">
        <f t="shared" si="6"/>
        <v>331.260740740741</v>
      </c>
      <c r="P37" s="159">
        <f t="shared" si="7"/>
        <v>3.34857356795208</v>
      </c>
      <c r="R37" s="2"/>
      <c r="S37" s="2"/>
      <c r="AC37" s="2"/>
    </row>
    <row r="38" ht="15.75" spans="1:29">
      <c r="A38" s="140">
        <v>44831</v>
      </c>
      <c r="B38" s="144">
        <v>5548.9</v>
      </c>
      <c r="C38" s="17">
        <v>18</v>
      </c>
      <c r="D38" s="17">
        <v>15</v>
      </c>
      <c r="E38" s="139">
        <f t="shared" si="4"/>
        <v>0.00772399588053553</v>
      </c>
      <c r="F38" s="17">
        <v>1942</v>
      </c>
      <c r="G38" s="17">
        <v>2714</v>
      </c>
      <c r="H38" s="17">
        <v>52</v>
      </c>
      <c r="I38" s="17">
        <v>300</v>
      </c>
      <c r="J38" s="17">
        <v>27</v>
      </c>
      <c r="K38" s="17">
        <v>51</v>
      </c>
      <c r="L38" s="162">
        <f t="shared" si="5"/>
        <v>0.0262615859938208</v>
      </c>
      <c r="M38" s="17">
        <v>6</v>
      </c>
      <c r="N38" s="17">
        <v>6</v>
      </c>
      <c r="O38" s="158">
        <f t="shared" si="6"/>
        <v>369.926666666667</v>
      </c>
      <c r="P38" s="159">
        <f t="shared" si="7"/>
        <v>2.85731204943357</v>
      </c>
      <c r="R38" s="2"/>
      <c r="S38" s="2"/>
      <c r="AC38" s="2"/>
    </row>
    <row r="39" ht="15.75" spans="1:29">
      <c r="A39" s="140">
        <v>44832</v>
      </c>
      <c r="B39" s="144">
        <v>7893.8</v>
      </c>
      <c r="C39" s="17">
        <v>130</v>
      </c>
      <c r="D39" s="17">
        <v>84</v>
      </c>
      <c r="E39" s="139">
        <f t="shared" si="4"/>
        <v>0.0122627737226277</v>
      </c>
      <c r="F39" s="17">
        <v>6850</v>
      </c>
      <c r="G39" s="17">
        <v>8879</v>
      </c>
      <c r="H39" s="17">
        <v>117</v>
      </c>
      <c r="I39" s="17">
        <v>164</v>
      </c>
      <c r="J39" s="17">
        <v>65</v>
      </c>
      <c r="K39" s="17">
        <v>77</v>
      </c>
      <c r="L39" s="162">
        <f t="shared" si="5"/>
        <v>0.0112408759124088</v>
      </c>
      <c r="M39" s="17">
        <v>11</v>
      </c>
      <c r="N39" s="17">
        <v>15</v>
      </c>
      <c r="O39" s="158">
        <f t="shared" si="6"/>
        <v>93.9738095238095</v>
      </c>
      <c r="P39" s="159">
        <f t="shared" si="7"/>
        <v>1.1523795620438</v>
      </c>
      <c r="R39" s="2"/>
      <c r="S39" s="2"/>
      <c r="AC39" s="2"/>
    </row>
    <row r="40" ht="15.75" spans="1:29">
      <c r="A40" s="140">
        <v>44833</v>
      </c>
      <c r="B40" s="76"/>
      <c r="C40" s="52"/>
      <c r="D40" s="52"/>
      <c r="E40" s="139" t="e">
        <f t="shared" si="4"/>
        <v>#DIV/0!</v>
      </c>
      <c r="F40" s="39"/>
      <c r="G40" s="39"/>
      <c r="H40" s="39"/>
      <c r="I40" s="39"/>
      <c r="J40" s="39"/>
      <c r="K40" s="39"/>
      <c r="L40" s="163" t="e">
        <f t="shared" si="5"/>
        <v>#DIV/0!</v>
      </c>
      <c r="M40" s="39"/>
      <c r="N40" s="39"/>
      <c r="O40" s="158" t="e">
        <f t="shared" si="6"/>
        <v>#DIV/0!</v>
      </c>
      <c r="P40" s="159" t="e">
        <f t="shared" si="7"/>
        <v>#DIV/0!</v>
      </c>
      <c r="R40" s="2"/>
      <c r="S40" s="2"/>
      <c r="AC40" s="2"/>
    </row>
    <row r="41" ht="15.75" spans="1:29">
      <c r="A41" s="140">
        <v>44834</v>
      </c>
      <c r="B41" s="76"/>
      <c r="C41" s="52"/>
      <c r="D41" s="52"/>
      <c r="E41" s="139" t="e">
        <f t="shared" si="4"/>
        <v>#DIV/0!</v>
      </c>
      <c r="F41" s="52"/>
      <c r="G41" s="52"/>
      <c r="H41" s="52"/>
      <c r="I41" s="52"/>
      <c r="J41" s="52"/>
      <c r="K41" s="52"/>
      <c r="L41" s="157" t="e">
        <f t="shared" si="5"/>
        <v>#DIV/0!</v>
      </c>
      <c r="M41" s="52"/>
      <c r="N41" s="52"/>
      <c r="O41" s="158" t="e">
        <f t="shared" si="6"/>
        <v>#DIV/0!</v>
      </c>
      <c r="P41" s="159" t="e">
        <f t="shared" si="7"/>
        <v>#DIV/0!</v>
      </c>
      <c r="R41" s="2"/>
      <c r="S41" s="2"/>
      <c r="AC41" s="2"/>
    </row>
    <row r="42" ht="15.75" spans="1:29">
      <c r="A42" s="112" t="s">
        <v>101</v>
      </c>
      <c r="B42" s="145">
        <f t="shared" ref="B42:L42" si="8">AVERAGE(B27:B41)</f>
        <v>9006.81615384615</v>
      </c>
      <c r="C42" s="146">
        <f t="shared" si="8"/>
        <v>56.5384615384615</v>
      </c>
      <c r="D42" s="146">
        <f t="shared" si="8"/>
        <v>38.3076923076923</v>
      </c>
      <c r="E42" s="146" t="e">
        <f t="shared" si="8"/>
        <v>#DIV/0!</v>
      </c>
      <c r="F42" s="146">
        <f t="shared" si="8"/>
        <v>3422.53846153846</v>
      </c>
      <c r="G42" s="146">
        <f t="shared" si="8"/>
        <v>4556.30769230769</v>
      </c>
      <c r="H42" s="146">
        <f t="shared" si="8"/>
        <v>74.3076923076923</v>
      </c>
      <c r="I42" s="164">
        <f t="shared" si="8"/>
        <v>264.384615384615</v>
      </c>
      <c r="J42" s="146">
        <f t="shared" si="8"/>
        <v>48.0769230769231</v>
      </c>
      <c r="K42" s="146">
        <f t="shared" si="8"/>
        <v>88.4615384615385</v>
      </c>
      <c r="L42" s="116" t="e">
        <f t="shared" si="8"/>
        <v>#DIV/0!</v>
      </c>
      <c r="M42" s="146">
        <f>AVERAGE(M27:M40)</f>
        <v>14</v>
      </c>
      <c r="N42" s="164">
        <f>AVERAGE(N27:N40)</f>
        <v>17.7692307692308</v>
      </c>
      <c r="O42" s="146" t="e">
        <f>AVERAGE(O26:O41)</f>
        <v>#DIV/0!</v>
      </c>
      <c r="P42" s="165">
        <f t="shared" si="7"/>
        <v>2.63161868159036</v>
      </c>
      <c r="R42" s="2"/>
      <c r="S42" s="2"/>
      <c r="AC42" s="2"/>
    </row>
    <row r="43" spans="1:29">
      <c r="A43" s="29" t="s">
        <v>102</v>
      </c>
      <c r="B43" s="147">
        <f>SUM(B26:B41)</f>
        <v>133018.32</v>
      </c>
      <c r="C43" s="148">
        <f>SUM(C26:C41)</f>
        <v>957</v>
      </c>
      <c r="D43" s="148">
        <f>SUM(D26:D41)</f>
        <v>630</v>
      </c>
      <c r="E43" s="44">
        <f>D43/F43</f>
        <v>0.012828605754546</v>
      </c>
      <c r="F43" s="29">
        <f>SUM(F26:F41)</f>
        <v>49109</v>
      </c>
      <c r="G43" s="29">
        <f>SUM(G26:G41)</f>
        <v>65509</v>
      </c>
      <c r="H43" s="29"/>
      <c r="I43" s="29"/>
      <c r="J43" s="29">
        <f>SUM(J26:J41)</f>
        <v>720</v>
      </c>
      <c r="K43" s="29">
        <f>SUM(K26:K41)</f>
        <v>1361</v>
      </c>
      <c r="L43" s="44">
        <f>K43/F43</f>
        <v>0.0277138610030748</v>
      </c>
      <c r="M43" s="29">
        <f>SUM(M26:M41)</f>
        <v>224</v>
      </c>
      <c r="N43" s="29">
        <f>SUM(N26:N41)</f>
        <v>277</v>
      </c>
      <c r="O43" s="31">
        <f>B43/D43</f>
        <v>211.14019047619</v>
      </c>
      <c r="P43" s="166">
        <f t="shared" si="7"/>
        <v>2.7086342625588</v>
      </c>
      <c r="R43" s="2"/>
      <c r="S43" s="2"/>
      <c r="AC43" s="2"/>
    </row>
    <row r="44" spans="18:29">
      <c r="R44" s="2"/>
      <c r="S44" s="2"/>
      <c r="AC44" s="2"/>
    </row>
    <row r="45" spans="18:29">
      <c r="R45" s="2"/>
      <c r="S45" s="2"/>
      <c r="AC45" s="2"/>
    </row>
    <row r="46" spans="18:29">
      <c r="R46" s="2"/>
      <c r="S46" s="2"/>
      <c r="AC46" s="2"/>
    </row>
    <row r="47" spans="18:29">
      <c r="R47" s="2"/>
      <c r="S47" s="2"/>
      <c r="AC47" s="2"/>
    </row>
    <row r="48" spans="18:29">
      <c r="R48" s="2"/>
      <c r="S48" s="2"/>
      <c r="AC48" s="2"/>
    </row>
    <row r="49" spans="16:29">
      <c r="P49" s="110"/>
      <c r="T49" s="94"/>
      <c r="U49" s="94"/>
      <c r="V49" s="94"/>
      <c r="W49" s="94"/>
      <c r="X49" s="94"/>
      <c r="Y49" s="94"/>
      <c r="Z49" s="94"/>
      <c r="AA49" s="94"/>
      <c r="AC49" s="2"/>
    </row>
    <row r="50" spans="9:28">
      <c r="I50" s="167"/>
      <c r="T50" s="94"/>
      <c r="U50" s="94"/>
      <c r="V50" s="94"/>
      <c r="W50" s="94"/>
      <c r="X50" s="94"/>
      <c r="Y50" s="94"/>
      <c r="Z50" s="94"/>
      <c r="AA50" s="94"/>
      <c r="AB50" s="94"/>
    </row>
    <row r="51" spans="20:28">
      <c r="T51" s="94"/>
      <c r="U51" s="94"/>
      <c r="V51" s="94"/>
      <c r="W51" s="94"/>
      <c r="X51" s="94"/>
      <c r="Y51" s="94"/>
      <c r="Z51" s="94"/>
      <c r="AA51" s="94"/>
      <c r="AB51" s="94"/>
    </row>
    <row r="52" spans="20:28">
      <c r="T52" s="94"/>
      <c r="U52" s="94"/>
      <c r="V52" s="94"/>
      <c r="W52" s="94"/>
      <c r="X52" s="94"/>
      <c r="Y52" s="94"/>
      <c r="Z52" s="94"/>
      <c r="AA52" s="94"/>
      <c r="AB52" s="94"/>
    </row>
    <row r="53" spans="20:28">
      <c r="T53" s="94"/>
      <c r="U53" s="94"/>
      <c r="V53" s="94"/>
      <c r="W53" s="94"/>
      <c r="X53" s="94"/>
      <c r="Y53" s="94"/>
      <c r="Z53" s="94"/>
      <c r="AA53" s="94"/>
      <c r="AB53" s="94"/>
    </row>
    <row r="54" spans="20:28">
      <c r="T54" s="94"/>
      <c r="U54" s="94"/>
      <c r="V54" s="94"/>
      <c r="W54" s="94"/>
      <c r="X54" s="94"/>
      <c r="Y54" s="94"/>
      <c r="Z54" s="94"/>
      <c r="AA54" s="94"/>
      <c r="AB54" s="94"/>
    </row>
    <row r="55" spans="20:28">
      <c r="T55" s="94"/>
      <c r="U55" s="94"/>
      <c r="V55" s="94"/>
      <c r="W55" s="94"/>
      <c r="X55" s="94"/>
      <c r="Y55" s="94"/>
      <c r="Z55" s="94"/>
      <c r="AA55" s="94"/>
      <c r="AB55" s="94"/>
    </row>
    <row r="56" spans="20:28">
      <c r="T56" s="94"/>
      <c r="U56" s="94"/>
      <c r="V56" s="94"/>
      <c r="W56" s="94"/>
      <c r="X56" s="94"/>
      <c r="Y56" s="94"/>
      <c r="Z56" s="94"/>
      <c r="AA56" s="94"/>
      <c r="AB56" s="94"/>
    </row>
    <row r="57" spans="20:28">
      <c r="T57" s="94"/>
      <c r="U57" s="94"/>
      <c r="V57" s="94"/>
      <c r="W57" s="94"/>
      <c r="X57" s="94"/>
      <c r="Y57" s="94"/>
      <c r="Z57" s="94"/>
      <c r="AA57" s="94"/>
      <c r="AB57" s="94"/>
    </row>
    <row r="58" spans="20:28">
      <c r="T58" s="94"/>
      <c r="U58" s="94"/>
      <c r="V58" s="94"/>
      <c r="W58" s="94"/>
      <c r="X58" s="94"/>
      <c r="Y58" s="94"/>
      <c r="Z58" s="94"/>
      <c r="AA58" s="94"/>
      <c r="AB58" s="94"/>
    </row>
    <row r="59" spans="20:28">
      <c r="T59" s="94"/>
      <c r="U59" s="94"/>
      <c r="V59" s="94"/>
      <c r="W59" s="94"/>
      <c r="X59" s="94"/>
      <c r="Y59" s="94"/>
      <c r="Z59" s="94"/>
      <c r="AA59" s="94"/>
      <c r="AB59" s="94"/>
    </row>
    <row r="60" spans="20:28">
      <c r="T60" s="94"/>
      <c r="U60" s="94"/>
      <c r="V60" s="94"/>
      <c r="W60" s="94"/>
      <c r="X60" s="94"/>
      <c r="Y60" s="94"/>
      <c r="Z60" s="94"/>
      <c r="AA60" s="94"/>
      <c r="AB60" s="94"/>
    </row>
    <row r="61" spans="20:28">
      <c r="T61" s="94"/>
      <c r="U61" s="94"/>
      <c r="V61" s="94"/>
      <c r="W61" s="94"/>
      <c r="X61" s="94"/>
      <c r="Y61" s="94"/>
      <c r="Z61" s="94"/>
      <c r="AA61" s="94"/>
      <c r="AB61" s="94"/>
    </row>
    <row r="62" spans="20:28">
      <c r="T62" s="94"/>
      <c r="U62" s="94"/>
      <c r="V62" s="94"/>
      <c r="W62" s="94"/>
      <c r="X62" s="94"/>
      <c r="Y62" s="94"/>
      <c r="Z62" s="94"/>
      <c r="AA62" s="94"/>
      <c r="AB62" s="94"/>
    </row>
    <row r="63" spans="20:28">
      <c r="T63" s="94"/>
      <c r="U63" s="94"/>
      <c r="V63" s="94"/>
      <c r="W63" s="94"/>
      <c r="X63" s="94"/>
      <c r="Y63" s="94"/>
      <c r="Z63" s="94"/>
      <c r="AA63" s="94"/>
      <c r="AB63" s="94"/>
    </row>
    <row r="64" spans="20:28">
      <c r="T64" s="94"/>
      <c r="U64" s="94"/>
      <c r="V64" s="94"/>
      <c r="W64" s="94"/>
      <c r="X64" s="94"/>
      <c r="Y64" s="94"/>
      <c r="Z64" s="94"/>
      <c r="AA64" s="94"/>
      <c r="AB64" s="94"/>
    </row>
    <row r="65" spans="20:28">
      <c r="T65" s="94"/>
      <c r="U65" s="94"/>
      <c r="V65" s="94"/>
      <c r="W65" s="94"/>
      <c r="X65" s="94"/>
      <c r="Y65" s="94"/>
      <c r="Z65" s="94"/>
      <c r="AA65" s="94"/>
      <c r="AB65" s="94"/>
    </row>
    <row r="66" spans="20:28">
      <c r="T66" s="94"/>
      <c r="U66" s="94"/>
      <c r="V66" s="94"/>
      <c r="W66" s="94"/>
      <c r="X66" s="94"/>
      <c r="Y66" s="94"/>
      <c r="Z66" s="94"/>
      <c r="AA66" s="94"/>
      <c r="AB66" s="94"/>
    </row>
  </sheetData>
  <mergeCells count="1">
    <mergeCell ref="A21:A22"/>
  </mergeCells>
  <conditionalFormatting sqref="S19">
    <cfRule type="aboveAverage" dxfId="6" priority="98"/>
  </conditionalFormatting>
  <conditionalFormatting sqref="E26:E41">
    <cfRule type="top10" dxfId="7" priority="164" percent="1" bottom="1" rank="10"/>
    <cfRule type="top10" dxfId="8" priority="165" percent="1" rank="10"/>
  </conditionalFormatting>
  <conditionalFormatting sqref="F26:F41">
    <cfRule type="top10" dxfId="8" priority="24" percent="1" rank="1"/>
    <cfRule type="top10" dxfId="7" priority="23" percent="1" bottom="1" rank="1"/>
  </conditionalFormatting>
  <conditionalFormatting sqref="G26:G41">
    <cfRule type="top10" dxfId="8" priority="22" percent="1" rank="1"/>
    <cfRule type="top10" dxfId="7" priority="21" percent="1" bottom="1" rank="1"/>
  </conditionalFormatting>
  <conditionalFormatting sqref="H26:H41">
    <cfRule type="top10" dxfId="8" priority="20" percent="1" rank="1"/>
    <cfRule type="top10" dxfId="7" priority="19" percent="1" bottom="1" rank="1"/>
  </conditionalFormatting>
  <conditionalFormatting sqref="I26:I41">
    <cfRule type="top10" dxfId="8" priority="18" percent="1" rank="1"/>
    <cfRule type="top10" dxfId="7" priority="17" percent="1" bottom="1" rank="1"/>
  </conditionalFormatting>
  <conditionalFormatting sqref="J26:J41">
    <cfRule type="top10" dxfId="8" priority="16" percent="1" rank="1"/>
    <cfRule type="top10" dxfId="7" priority="15" percent="1" bottom="1" rank="1"/>
  </conditionalFormatting>
  <conditionalFormatting sqref="K26:K41">
    <cfRule type="top10" dxfId="8" priority="14" percent="1" rank="1"/>
    <cfRule type="top10" dxfId="7" priority="13" percent="1" bottom="1" rank="1"/>
  </conditionalFormatting>
  <conditionalFormatting sqref="L3:L19">
    <cfRule type="top10" dxfId="7" priority="71" percent="1" bottom="1" rank="10"/>
    <cfRule type="top10" dxfId="8" priority="72" percent="1" rank="10"/>
  </conditionalFormatting>
  <conditionalFormatting sqref="L26:L41">
    <cfRule type="top10" dxfId="8" priority="12" percent="1" rank="1"/>
    <cfRule type="top10" dxfId="7" priority="11" percent="1" bottom="1" rank="1"/>
  </conditionalFormatting>
  <conditionalFormatting sqref="M26:M41">
    <cfRule type="top10" dxfId="8" priority="10" percent="1" rank="1"/>
    <cfRule type="top10" dxfId="7" priority="9" percent="1" bottom="1" rank="1"/>
  </conditionalFormatting>
  <conditionalFormatting sqref="N26:N41">
    <cfRule type="top10" dxfId="8" priority="8" percent="1" rank="1"/>
    <cfRule type="top10" dxfId="7" priority="7" percent="1" bottom="1" rank="1"/>
  </conditionalFormatting>
  <conditionalFormatting sqref="O26:O41">
    <cfRule type="top10" dxfId="8" priority="4" percent="1" rank="1"/>
    <cfRule type="top10" dxfId="7" priority="3" percent="1" bottom="1" rank="1"/>
  </conditionalFormatting>
  <conditionalFormatting sqref="P26:P41">
    <cfRule type="top10" dxfId="8" priority="2" percent="1" rank="1"/>
    <cfRule type="top10" dxfId="7" priority="1" percent="1" bottom="1" rank="1"/>
  </conditionalFormatting>
  <conditionalFormatting sqref="S3:S18">
    <cfRule type="aboveAverage" dxfId="6" priority="111"/>
  </conditionalFormatting>
  <conditionalFormatting sqref="W2:W18">
    <cfRule type="top10" dxfId="7" priority="77" percent="1" bottom="1" rank="10"/>
    <cfRule type="top10" dxfId="8" priority="78" percent="1" rank="10"/>
  </conditionalFormatting>
  <conditionalFormatting sqref="X2:X18">
    <cfRule type="top10" dxfId="7" priority="75" percent="1" bottom="1" rank="10"/>
    <cfRule type="top10" dxfId="8" priority="76" percent="1" rank="10"/>
  </conditionalFormatting>
  <conditionalFormatting sqref="Y2:Y18">
    <cfRule type="top10" dxfId="7" priority="73" percent="1" bottom="1" rank="10"/>
    <cfRule type="top10" dxfId="8" priority="74" percent="1" rank="10"/>
  </conditionalFormatting>
  <conditionalFormatting sqref="B26:B34 B40:B41">
    <cfRule type="top10" dxfId="7" priority="36" percent="1" bottom="1" rank="10"/>
    <cfRule type="top10" dxfId="8" priority="37" percent="1" rank="10"/>
  </conditionalFormatting>
  <conditionalFormatting sqref="C26:C35 C40:C41">
    <cfRule type="top10" dxfId="7" priority="27" percent="1" bottom="1" rank="5"/>
    <cfRule type="top10" dxfId="8" priority="28" percent="1" rank="5"/>
  </conditionalFormatting>
  <conditionalFormatting sqref="D26:D35 D40:D41">
    <cfRule type="top10" dxfId="7" priority="25" percent="1" bottom="1" rank="5"/>
    <cfRule type="top10" dxfId="8" priority="26" percent="1" rank="5"/>
  </conditionalFormatting>
  <pageMargins left="0.7" right="0.7" top="0.75" bottom="0.75" header="0.3" footer="0.3"/>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16"/>
  <sheetViews>
    <sheetView workbookViewId="0">
      <selection activeCell="B6" sqref="B6"/>
    </sheetView>
  </sheetViews>
  <sheetFormatPr defaultColWidth="9" defaultRowHeight="14.25"/>
  <cols>
    <col min="1" max="1" width="18.875" customWidth="1"/>
    <col min="2" max="2" width="21.875" customWidth="1"/>
    <col min="3" max="3" width="21.125" customWidth="1"/>
    <col min="4" max="4" width="16.5" customWidth="1"/>
    <col min="8" max="8" width="13" customWidth="1"/>
    <col min="13" max="13" width="7.125" customWidth="1"/>
    <col min="16" max="16" width="10.25" customWidth="1"/>
  </cols>
  <sheetData>
    <row r="2" spans="1:18">
      <c r="A2" s="121" t="s">
        <v>6</v>
      </c>
      <c r="B2" s="121" t="s">
        <v>103</v>
      </c>
      <c r="C2" s="121" t="s">
        <v>7</v>
      </c>
      <c r="D2" s="121" t="s">
        <v>8</v>
      </c>
      <c r="E2" s="121" t="s">
        <v>3</v>
      </c>
      <c r="F2" s="121" t="s">
        <v>9</v>
      </c>
      <c r="G2" s="121" t="s">
        <v>10</v>
      </c>
      <c r="H2" s="121" t="s">
        <v>11</v>
      </c>
      <c r="I2" s="121" t="s">
        <v>12</v>
      </c>
      <c r="J2" s="121" t="s">
        <v>13</v>
      </c>
      <c r="K2" s="121" t="s">
        <v>14</v>
      </c>
      <c r="L2" s="121" t="s">
        <v>15</v>
      </c>
      <c r="M2" s="121" t="s">
        <v>17</v>
      </c>
      <c r="N2" s="121" t="s">
        <v>18</v>
      </c>
      <c r="O2" s="121" t="s">
        <v>19</v>
      </c>
      <c r="P2" s="121" t="s">
        <v>20</v>
      </c>
      <c r="Q2" s="121" t="s">
        <v>21</v>
      </c>
      <c r="R2" s="121" t="s">
        <v>22</v>
      </c>
    </row>
    <row r="3" spans="1:19">
      <c r="A3" s="121" t="s">
        <v>104</v>
      </c>
      <c r="B3" s="121" t="s">
        <v>105</v>
      </c>
      <c r="C3" s="121" t="s">
        <v>106</v>
      </c>
      <c r="D3" s="121" t="s">
        <v>107</v>
      </c>
      <c r="E3" s="121">
        <v>4616</v>
      </c>
      <c r="F3" s="121">
        <v>6277</v>
      </c>
      <c r="G3" s="121">
        <v>127</v>
      </c>
      <c r="H3" s="121" t="s">
        <v>87</v>
      </c>
      <c r="I3" s="121">
        <v>36705</v>
      </c>
      <c r="J3" s="121">
        <v>2109</v>
      </c>
      <c r="K3" s="121">
        <v>95</v>
      </c>
      <c r="L3" s="121">
        <v>211</v>
      </c>
      <c r="M3" s="121">
        <v>701</v>
      </c>
      <c r="N3" s="121">
        <v>42</v>
      </c>
      <c r="O3" s="121">
        <v>46</v>
      </c>
      <c r="P3" s="125">
        <v>15929.71</v>
      </c>
      <c r="Q3" s="121">
        <v>222</v>
      </c>
      <c r="R3" s="121">
        <v>132</v>
      </c>
      <c r="S3" s="87">
        <f>P3/R3</f>
        <v>120.679621212121</v>
      </c>
    </row>
    <row r="4" spans="1:18">
      <c r="A4" s="121" t="s">
        <v>108</v>
      </c>
      <c r="B4" s="121" t="s">
        <v>109</v>
      </c>
      <c r="C4" s="121" t="s">
        <v>110</v>
      </c>
      <c r="D4" s="121" t="s">
        <v>111</v>
      </c>
      <c r="E4" s="121">
        <v>1730</v>
      </c>
      <c r="F4" s="121">
        <v>2471</v>
      </c>
      <c r="G4" s="121">
        <v>57</v>
      </c>
      <c r="H4" s="121" t="s">
        <v>112</v>
      </c>
      <c r="I4" s="121">
        <v>24297</v>
      </c>
      <c r="J4" s="121">
        <v>925</v>
      </c>
      <c r="K4" s="121">
        <v>42</v>
      </c>
      <c r="L4" s="121">
        <v>72</v>
      </c>
      <c r="M4" s="121">
        <v>89</v>
      </c>
      <c r="N4" s="121">
        <v>6</v>
      </c>
      <c r="O4" s="121">
        <v>10</v>
      </c>
      <c r="P4" s="126">
        <v>5382</v>
      </c>
      <c r="Q4" s="121">
        <v>83</v>
      </c>
      <c r="R4" s="121">
        <v>55</v>
      </c>
    </row>
    <row r="5" spans="1:18">
      <c r="A5" s="121" t="s">
        <v>113</v>
      </c>
      <c r="B5" s="121" t="s">
        <v>105</v>
      </c>
      <c r="C5" s="121" t="s">
        <v>114</v>
      </c>
      <c r="D5" s="121" t="s">
        <v>115</v>
      </c>
      <c r="E5" s="121">
        <v>3463</v>
      </c>
      <c r="F5" s="121">
        <v>4457</v>
      </c>
      <c r="G5" s="121">
        <v>60</v>
      </c>
      <c r="H5" s="121" t="s">
        <v>116</v>
      </c>
      <c r="I5" s="121">
        <v>45750</v>
      </c>
      <c r="J5" s="121">
        <v>1491</v>
      </c>
      <c r="K5" s="121">
        <v>54</v>
      </c>
      <c r="L5" s="121">
        <v>79</v>
      </c>
      <c r="M5" s="121">
        <v>193</v>
      </c>
      <c r="N5" s="121">
        <v>10</v>
      </c>
      <c r="O5" s="121">
        <v>11</v>
      </c>
      <c r="P5" s="125">
        <v>9594.6</v>
      </c>
      <c r="Q5" s="121">
        <v>73</v>
      </c>
      <c r="R5" s="121">
        <v>40</v>
      </c>
    </row>
    <row r="6" spans="1:18">
      <c r="A6" s="122" t="s">
        <v>117</v>
      </c>
      <c r="B6" s="122" t="s">
        <v>118</v>
      </c>
      <c r="C6" s="122" t="s">
        <v>119</v>
      </c>
      <c r="D6" s="122" t="s">
        <v>120</v>
      </c>
      <c r="E6" s="122">
        <v>1387</v>
      </c>
      <c r="F6" s="122">
        <v>2166</v>
      </c>
      <c r="G6" s="122">
        <v>83</v>
      </c>
      <c r="H6" s="122" t="s">
        <v>121</v>
      </c>
      <c r="I6" s="122">
        <v>31749</v>
      </c>
      <c r="J6" s="122">
        <v>2136</v>
      </c>
      <c r="K6" s="122">
        <v>55</v>
      </c>
      <c r="L6" s="122">
        <v>45</v>
      </c>
      <c r="M6" s="122">
        <v>403</v>
      </c>
      <c r="N6" s="122">
        <v>20</v>
      </c>
      <c r="O6" s="122">
        <v>27</v>
      </c>
      <c r="P6" s="127">
        <v>2830</v>
      </c>
      <c r="Q6" s="122">
        <v>30</v>
      </c>
      <c r="R6" s="122">
        <v>21</v>
      </c>
    </row>
    <row r="7" spans="1:18">
      <c r="A7" s="122" t="s">
        <v>122</v>
      </c>
      <c r="B7" s="122" t="s">
        <v>105</v>
      </c>
      <c r="C7" s="122" t="s">
        <v>123</v>
      </c>
      <c r="D7" s="122" t="s">
        <v>124</v>
      </c>
      <c r="E7" s="122">
        <v>2829</v>
      </c>
      <c r="F7" s="122">
        <v>3859</v>
      </c>
      <c r="G7" s="122">
        <v>54</v>
      </c>
      <c r="H7" s="122" t="s">
        <v>125</v>
      </c>
      <c r="I7" s="122">
        <v>31270</v>
      </c>
      <c r="J7" s="122">
        <v>1050</v>
      </c>
      <c r="K7" s="122">
        <v>57</v>
      </c>
      <c r="L7" s="122">
        <v>84</v>
      </c>
      <c r="M7" s="122">
        <v>306</v>
      </c>
      <c r="N7" s="122">
        <v>17</v>
      </c>
      <c r="O7" s="122">
        <v>23</v>
      </c>
      <c r="P7" s="128">
        <v>12530.65</v>
      </c>
      <c r="Q7" s="122">
        <v>67</v>
      </c>
      <c r="R7" s="122">
        <v>49</v>
      </c>
    </row>
    <row r="8" spans="1:18">
      <c r="A8" s="122" t="s">
        <v>126</v>
      </c>
      <c r="B8" s="122" t="s">
        <v>105</v>
      </c>
      <c r="C8" s="122" t="s">
        <v>127</v>
      </c>
      <c r="D8" s="122" t="s">
        <v>128</v>
      </c>
      <c r="E8" s="122">
        <v>5522</v>
      </c>
      <c r="F8" s="122">
        <v>7216</v>
      </c>
      <c r="G8" s="122">
        <v>122</v>
      </c>
      <c r="H8" s="122" t="s">
        <v>129</v>
      </c>
      <c r="I8" s="122">
        <v>55237</v>
      </c>
      <c r="J8" s="122">
        <v>1542</v>
      </c>
      <c r="K8" s="122">
        <v>79</v>
      </c>
      <c r="L8" s="122">
        <v>182</v>
      </c>
      <c r="M8" s="122">
        <v>444</v>
      </c>
      <c r="N8" s="122">
        <v>26</v>
      </c>
      <c r="O8" s="122">
        <v>37</v>
      </c>
      <c r="P8" s="128">
        <v>19456.2</v>
      </c>
      <c r="Q8" s="122">
        <v>89</v>
      </c>
      <c r="R8" s="122">
        <v>63</v>
      </c>
    </row>
    <row r="9" spans="1:18">
      <c r="A9" s="122" t="s">
        <v>126</v>
      </c>
      <c r="B9" s="122" t="s">
        <v>105</v>
      </c>
      <c r="C9" s="122" t="s">
        <v>130</v>
      </c>
      <c r="D9" s="122" t="s">
        <v>131</v>
      </c>
      <c r="E9" s="122">
        <v>4114</v>
      </c>
      <c r="F9" s="122">
        <v>5235</v>
      </c>
      <c r="G9" s="122">
        <v>68</v>
      </c>
      <c r="H9" s="122" t="s">
        <v>132</v>
      </c>
      <c r="I9" s="122">
        <v>10363</v>
      </c>
      <c r="J9" s="122">
        <v>581</v>
      </c>
      <c r="K9" s="122">
        <v>51</v>
      </c>
      <c r="L9" s="122">
        <v>85</v>
      </c>
      <c r="M9" s="122">
        <v>260</v>
      </c>
      <c r="N9" s="122">
        <v>26</v>
      </c>
      <c r="O9" s="122">
        <v>27</v>
      </c>
      <c r="P9" s="128">
        <v>8158.7</v>
      </c>
      <c r="Q9" s="122">
        <v>43</v>
      </c>
      <c r="R9" s="122">
        <v>37</v>
      </c>
    </row>
    <row r="10" spans="1:18">
      <c r="A10" s="123" t="s">
        <v>126</v>
      </c>
      <c r="B10" s="123" t="s">
        <v>105</v>
      </c>
      <c r="C10" s="123" t="s">
        <v>133</v>
      </c>
      <c r="D10" s="123" t="s">
        <v>134</v>
      </c>
      <c r="E10" s="123">
        <v>3857</v>
      </c>
      <c r="F10" s="123">
        <v>5138</v>
      </c>
      <c r="G10" s="123">
        <v>59</v>
      </c>
      <c r="H10" s="123" t="s">
        <v>135</v>
      </c>
      <c r="I10" s="123">
        <v>2954</v>
      </c>
      <c r="J10" s="123">
        <v>936</v>
      </c>
      <c r="K10" s="123">
        <v>54</v>
      </c>
      <c r="L10" s="123">
        <v>89</v>
      </c>
      <c r="M10" s="123">
        <v>293</v>
      </c>
      <c r="N10" s="123">
        <v>15</v>
      </c>
      <c r="O10" s="123">
        <v>21</v>
      </c>
      <c r="P10" s="129">
        <v>16744</v>
      </c>
      <c r="Q10" s="123">
        <v>65</v>
      </c>
      <c r="R10" s="123">
        <v>35</v>
      </c>
    </row>
    <row r="11" spans="1:18">
      <c r="A11" s="124" t="s">
        <v>136</v>
      </c>
      <c r="B11" s="124" t="s">
        <v>105</v>
      </c>
      <c r="C11" s="124" t="s">
        <v>137</v>
      </c>
      <c r="D11" s="124" t="s">
        <v>138</v>
      </c>
      <c r="E11" s="124">
        <v>2733</v>
      </c>
      <c r="F11" s="124">
        <v>3503</v>
      </c>
      <c r="G11" s="124">
        <v>68</v>
      </c>
      <c r="H11" s="124" t="s">
        <v>139</v>
      </c>
      <c r="I11" s="124">
        <v>2456</v>
      </c>
      <c r="J11" s="124">
        <v>229</v>
      </c>
      <c r="K11" s="124">
        <v>22</v>
      </c>
      <c r="L11" s="124">
        <v>42</v>
      </c>
      <c r="M11" s="124">
        <v>45</v>
      </c>
      <c r="N11" s="124">
        <v>3</v>
      </c>
      <c r="O11" s="124">
        <v>3</v>
      </c>
      <c r="P11" s="130">
        <v>2212</v>
      </c>
      <c r="Q11" s="124">
        <v>17</v>
      </c>
      <c r="R11" s="124">
        <v>15</v>
      </c>
    </row>
    <row r="12" spans="1:18">
      <c r="A12" s="124" t="s">
        <v>140</v>
      </c>
      <c r="B12" s="124" t="s">
        <v>105</v>
      </c>
      <c r="C12" s="124" t="s">
        <v>141</v>
      </c>
      <c r="D12" s="124" t="s">
        <v>142</v>
      </c>
      <c r="E12" s="124">
        <v>2593</v>
      </c>
      <c r="F12" s="124">
        <v>3443</v>
      </c>
      <c r="G12" s="124">
        <v>55</v>
      </c>
      <c r="H12" s="124" t="s">
        <v>143</v>
      </c>
      <c r="I12" s="124">
        <v>3262</v>
      </c>
      <c r="J12" s="124">
        <v>541</v>
      </c>
      <c r="K12" s="124">
        <v>18</v>
      </c>
      <c r="L12" s="124">
        <v>65</v>
      </c>
      <c r="M12" s="124">
        <v>69</v>
      </c>
      <c r="N12" s="124">
        <v>6</v>
      </c>
      <c r="O12" s="124">
        <v>7</v>
      </c>
      <c r="P12" s="131">
        <v>4030.8</v>
      </c>
      <c r="Q12" s="124">
        <v>12</v>
      </c>
      <c r="R12" s="124">
        <v>10</v>
      </c>
    </row>
    <row r="13" spans="1:18">
      <c r="A13" s="124" t="s">
        <v>144</v>
      </c>
      <c r="B13" s="124" t="s">
        <v>105</v>
      </c>
      <c r="C13" s="124" t="s">
        <v>145</v>
      </c>
      <c r="D13" s="124" t="s">
        <v>146</v>
      </c>
      <c r="E13" s="124">
        <v>4802</v>
      </c>
      <c r="F13" s="124">
        <v>6459</v>
      </c>
      <c r="G13" s="124">
        <v>115</v>
      </c>
      <c r="H13" s="124" t="s">
        <v>147</v>
      </c>
      <c r="I13" s="124">
        <v>49188</v>
      </c>
      <c r="J13" s="124">
        <v>1240</v>
      </c>
      <c r="K13" s="124">
        <v>60</v>
      </c>
      <c r="L13" s="124">
        <v>180</v>
      </c>
      <c r="M13" s="124">
        <v>299</v>
      </c>
      <c r="N13" s="124">
        <v>23</v>
      </c>
      <c r="O13" s="124">
        <v>25</v>
      </c>
      <c r="P13" s="131">
        <v>13762.92</v>
      </c>
      <c r="Q13" s="124">
        <v>59</v>
      </c>
      <c r="R13" s="124">
        <v>47</v>
      </c>
    </row>
    <row r="14" spans="1:18">
      <c r="A14" s="124" t="s">
        <v>148</v>
      </c>
      <c r="B14" s="124" t="s">
        <v>105</v>
      </c>
      <c r="C14" s="124" t="s">
        <v>149</v>
      </c>
      <c r="D14" s="124" t="s">
        <v>150</v>
      </c>
      <c r="E14" s="124">
        <v>2671</v>
      </c>
      <c r="F14" s="124">
        <v>3692</v>
      </c>
      <c r="G14" s="124">
        <v>56</v>
      </c>
      <c r="H14" s="124" t="s">
        <v>151</v>
      </c>
      <c r="I14" s="124">
        <v>72942</v>
      </c>
      <c r="J14" s="124">
        <v>787</v>
      </c>
      <c r="K14" s="124">
        <v>41</v>
      </c>
      <c r="L14" s="124">
        <v>99</v>
      </c>
      <c r="M14" s="124">
        <v>250</v>
      </c>
      <c r="N14" s="124">
        <v>13</v>
      </c>
      <c r="O14" s="124">
        <v>19</v>
      </c>
      <c r="P14" s="131">
        <v>8944.04</v>
      </c>
      <c r="Q14" s="124">
        <v>49</v>
      </c>
      <c r="R14" s="124">
        <v>27</v>
      </c>
    </row>
    <row r="15" spans="1:18">
      <c r="A15" s="124" t="s">
        <v>152</v>
      </c>
      <c r="B15" s="124" t="s">
        <v>105</v>
      </c>
      <c r="C15" s="124" t="s">
        <v>153</v>
      </c>
      <c r="D15" s="124" t="s">
        <v>154</v>
      </c>
      <c r="E15" s="124">
        <v>1942</v>
      </c>
      <c r="F15" s="124">
        <v>2714</v>
      </c>
      <c r="G15" s="124">
        <v>52</v>
      </c>
      <c r="H15" s="124" t="s">
        <v>155</v>
      </c>
      <c r="I15" s="124">
        <v>58760</v>
      </c>
      <c r="J15" s="124">
        <v>722</v>
      </c>
      <c r="K15" s="124">
        <v>27</v>
      </c>
      <c r="L15" s="124">
        <v>51</v>
      </c>
      <c r="M15" s="124">
        <v>88</v>
      </c>
      <c r="N15" s="124">
        <v>6</v>
      </c>
      <c r="O15" s="124">
        <v>6</v>
      </c>
      <c r="P15" s="131">
        <v>5548.9</v>
      </c>
      <c r="Q15" s="124">
        <v>18</v>
      </c>
      <c r="R15" s="124">
        <v>15</v>
      </c>
    </row>
    <row r="16" spans="1:18">
      <c r="A16" s="124" t="s">
        <v>156</v>
      </c>
      <c r="B16" s="124" t="s">
        <v>157</v>
      </c>
      <c r="C16" s="124" t="s">
        <v>158</v>
      </c>
      <c r="D16" s="124" t="s">
        <v>159</v>
      </c>
      <c r="E16" s="124">
        <v>6850</v>
      </c>
      <c r="F16" s="124">
        <v>8879</v>
      </c>
      <c r="G16" s="124">
        <v>117</v>
      </c>
      <c r="H16" s="124" t="s">
        <v>160</v>
      </c>
      <c r="I16" s="124">
        <v>19431</v>
      </c>
      <c r="J16" s="124">
        <v>1575</v>
      </c>
      <c r="K16" s="124">
        <v>65</v>
      </c>
      <c r="L16" s="124">
        <v>77</v>
      </c>
      <c r="M16" s="124">
        <v>197</v>
      </c>
      <c r="N16" s="124">
        <v>11</v>
      </c>
      <c r="O16" s="124">
        <v>15</v>
      </c>
      <c r="P16" s="131">
        <v>7893.8</v>
      </c>
      <c r="Q16" s="124">
        <v>130</v>
      </c>
      <c r="R16" s="124">
        <v>84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X34"/>
  <sheetViews>
    <sheetView workbookViewId="0">
      <selection activeCell="H8" sqref="H8:H21"/>
    </sheetView>
  </sheetViews>
  <sheetFormatPr defaultColWidth="9" defaultRowHeight="14.25"/>
  <cols>
    <col min="1" max="1" width="11.75" style="94" customWidth="1"/>
    <col min="2" max="2" width="13.75" style="94" customWidth="1"/>
    <col min="3" max="3" width="12.5" style="94" customWidth="1"/>
    <col min="4" max="4" width="13.75" style="94" customWidth="1"/>
    <col min="5" max="5" width="14.75" style="94" customWidth="1"/>
    <col min="6" max="6" width="11.5" style="94" customWidth="1"/>
    <col min="7" max="7" width="14.75" style="94" customWidth="1"/>
    <col min="8" max="8" width="11.5" style="94" customWidth="1"/>
    <col min="9" max="9" width="14.75" style="94" customWidth="1"/>
    <col min="10" max="10" width="11.375" style="94" customWidth="1"/>
    <col min="11" max="12" width="14.375" style="94" customWidth="1"/>
    <col min="13" max="13" width="22.375" style="2" customWidth="1"/>
    <col min="14" max="14" width="5.875" style="2" customWidth="1"/>
    <col min="15" max="15" width="59.5" style="2" customWidth="1"/>
    <col min="16" max="16" width="16.375" style="2" customWidth="1"/>
    <col min="17" max="17" width="9.375" style="2" customWidth="1"/>
    <col min="18" max="18" width="16.5" style="2" customWidth="1"/>
    <col min="19" max="19" width="8.25" style="94" customWidth="1"/>
    <col min="20" max="20" width="62" style="2" customWidth="1"/>
    <col min="21" max="21" width="11.5" style="2" customWidth="1"/>
    <col min="22" max="22" width="9" style="2"/>
    <col min="23" max="23" width="63.875" style="2" customWidth="1"/>
    <col min="24" max="16384" width="9" style="2"/>
  </cols>
  <sheetData>
    <row r="1" s="57" customFormat="1" ht="15.75" spans="1:22">
      <c r="A1" s="55">
        <v>44805</v>
      </c>
      <c r="B1" s="56"/>
      <c r="C1" s="95"/>
      <c r="D1" s="95"/>
      <c r="E1" s="95"/>
      <c r="F1" s="95"/>
      <c r="G1" s="95"/>
      <c r="H1" s="95"/>
      <c r="I1" s="95"/>
      <c r="J1" s="95"/>
      <c r="K1" s="95"/>
      <c r="L1" s="95"/>
      <c r="N1" s="104" t="s">
        <v>161</v>
      </c>
      <c r="O1" s="2"/>
      <c r="P1" s="2"/>
      <c r="Q1" s="2"/>
      <c r="S1" s="84" t="s">
        <v>162</v>
      </c>
      <c r="T1" s="2"/>
      <c r="U1" s="94"/>
      <c r="V1" s="2"/>
    </row>
    <row r="2" s="57" customFormat="1" ht="15.75" spans="1:22">
      <c r="A2" s="6" t="s">
        <v>163</v>
      </c>
      <c r="B2" s="6" t="s">
        <v>164</v>
      </c>
      <c r="C2" s="6" t="s">
        <v>165</v>
      </c>
      <c r="D2" s="6" t="s">
        <v>166</v>
      </c>
      <c r="E2" s="6" t="s">
        <v>167</v>
      </c>
      <c r="F2" s="6" t="s">
        <v>168</v>
      </c>
      <c r="G2" s="6" t="s">
        <v>169</v>
      </c>
      <c r="H2" s="6" t="s">
        <v>170</v>
      </c>
      <c r="I2" s="6" t="s">
        <v>171</v>
      </c>
      <c r="J2" s="6" t="s">
        <v>172</v>
      </c>
      <c r="K2" s="6" t="s">
        <v>20</v>
      </c>
      <c r="L2" s="6" t="s">
        <v>173</v>
      </c>
      <c r="N2" s="29" t="s">
        <v>174</v>
      </c>
      <c r="O2" s="29" t="s">
        <v>175</v>
      </c>
      <c r="P2" s="29" t="s">
        <v>20</v>
      </c>
      <c r="Q2" s="29" t="s">
        <v>176</v>
      </c>
      <c r="S2" s="29" t="s">
        <v>174</v>
      </c>
      <c r="T2" s="114" t="s">
        <v>177</v>
      </c>
      <c r="U2" s="29" t="s">
        <v>173</v>
      </c>
      <c r="V2" s="29" t="s">
        <v>178</v>
      </c>
    </row>
    <row r="3" s="57" customFormat="1" ht="15.75" spans="1:22">
      <c r="A3" s="58">
        <v>30</v>
      </c>
      <c r="B3" s="58">
        <f>COUNT(B8:B23)</f>
        <v>14</v>
      </c>
      <c r="C3" s="9">
        <v>154</v>
      </c>
      <c r="D3" s="9">
        <v>91</v>
      </c>
      <c r="E3" s="96">
        <f>D3/C3</f>
        <v>0.590909090909091</v>
      </c>
      <c r="F3" s="9">
        <f>E24</f>
        <v>666760</v>
      </c>
      <c r="G3" s="9">
        <f>F24</f>
        <v>30530</v>
      </c>
      <c r="H3" s="96">
        <f>G3/F3</f>
        <v>0.0457885895974564</v>
      </c>
      <c r="I3" s="9">
        <f>H24</f>
        <v>903</v>
      </c>
      <c r="J3" s="96">
        <f>I3/G3</f>
        <v>0.0295774647887324</v>
      </c>
      <c r="K3" s="8">
        <f>L24</f>
        <v>132788.32</v>
      </c>
      <c r="L3" s="105">
        <f>I24</f>
        <v>957</v>
      </c>
      <c r="N3" s="39">
        <v>1</v>
      </c>
      <c r="O3" s="23" t="s">
        <v>179</v>
      </c>
      <c r="P3" s="68">
        <v>22610</v>
      </c>
      <c r="Q3" s="28">
        <f>P3/$L$24</f>
        <v>0.170270999738531</v>
      </c>
      <c r="S3" s="39">
        <v>1</v>
      </c>
      <c r="T3" s="17" t="s">
        <v>180</v>
      </c>
      <c r="U3" s="17">
        <v>144</v>
      </c>
      <c r="V3" s="28">
        <f>U3/$U$14</f>
        <v>0.150470219435737</v>
      </c>
    </row>
    <row r="4" spans="14:22">
      <c r="N4" s="39">
        <v>2</v>
      </c>
      <c r="O4" s="23" t="s">
        <v>181</v>
      </c>
      <c r="P4" s="68">
        <v>15429</v>
      </c>
      <c r="Q4" s="28">
        <f t="shared" ref="Q4:Q32" si="0">P4/$L$24</f>
        <v>0.116192448251473</v>
      </c>
      <c r="S4" s="39">
        <v>2</v>
      </c>
      <c r="T4" s="17" t="s">
        <v>179</v>
      </c>
      <c r="U4" s="17">
        <v>89</v>
      </c>
      <c r="V4" s="28">
        <f t="shared" ref="V4:V12" si="1">U4/$U$14</f>
        <v>0.0929989550679206</v>
      </c>
    </row>
    <row r="5" spans="14:22">
      <c r="N5" s="39">
        <v>3</v>
      </c>
      <c r="O5" s="23" t="s">
        <v>182</v>
      </c>
      <c r="P5" s="68">
        <v>8093</v>
      </c>
      <c r="Q5" s="28">
        <f t="shared" si="0"/>
        <v>0.0609466254260917</v>
      </c>
      <c r="S5" s="39">
        <v>3</v>
      </c>
      <c r="T5" s="17" t="s">
        <v>183</v>
      </c>
      <c r="U5" s="17">
        <v>82</v>
      </c>
      <c r="V5" s="28">
        <f t="shared" si="1"/>
        <v>0.0856844305120167</v>
      </c>
    </row>
    <row r="6" spans="1:22">
      <c r="A6" s="61" t="s">
        <v>97</v>
      </c>
      <c r="B6" s="62" t="s">
        <v>98</v>
      </c>
      <c r="C6" s="12" t="s">
        <v>99</v>
      </c>
      <c r="N6" s="39">
        <v>4</v>
      </c>
      <c r="O6" s="23" t="s">
        <v>184</v>
      </c>
      <c r="P6" s="68">
        <v>7164</v>
      </c>
      <c r="Q6" s="28">
        <f t="shared" si="0"/>
        <v>0.0539505281789844</v>
      </c>
      <c r="S6" s="39">
        <v>4</v>
      </c>
      <c r="T6" s="17" t="s">
        <v>185</v>
      </c>
      <c r="U6" s="17">
        <v>77</v>
      </c>
      <c r="V6" s="28">
        <f t="shared" si="1"/>
        <v>0.0804597701149425</v>
      </c>
    </row>
    <row r="7" spans="1:22">
      <c r="A7" s="50" t="s">
        <v>186</v>
      </c>
      <c r="B7" s="50" t="s">
        <v>187</v>
      </c>
      <c r="C7" s="50" t="s">
        <v>188</v>
      </c>
      <c r="D7" s="50" t="s">
        <v>167</v>
      </c>
      <c r="E7" s="50" t="s">
        <v>168</v>
      </c>
      <c r="F7" s="50" t="s">
        <v>169</v>
      </c>
      <c r="G7" s="50" t="s">
        <v>170</v>
      </c>
      <c r="H7" s="63" t="s">
        <v>171</v>
      </c>
      <c r="I7" s="63" t="s">
        <v>189</v>
      </c>
      <c r="J7" s="50" t="s">
        <v>172</v>
      </c>
      <c r="K7" s="50" t="s">
        <v>190</v>
      </c>
      <c r="L7" s="50" t="s">
        <v>20</v>
      </c>
      <c r="N7" s="39">
        <v>5</v>
      </c>
      <c r="O7" s="23" t="s">
        <v>191</v>
      </c>
      <c r="P7" s="68">
        <v>5960</v>
      </c>
      <c r="Q7" s="28">
        <f t="shared" si="0"/>
        <v>0.0448834656542082</v>
      </c>
      <c r="S7" s="39">
        <v>5</v>
      </c>
      <c r="T7" s="17" t="s">
        <v>181</v>
      </c>
      <c r="U7" s="17">
        <v>62</v>
      </c>
      <c r="V7" s="28">
        <f t="shared" si="1"/>
        <v>0.06478578892372</v>
      </c>
    </row>
    <row r="8" spans="1:22">
      <c r="A8" s="65">
        <v>44808</v>
      </c>
      <c r="B8" s="52">
        <v>32</v>
      </c>
      <c r="C8" s="52">
        <v>16</v>
      </c>
      <c r="D8" s="97">
        <f t="shared" ref="D8:D23" si="2">C8/B8</f>
        <v>0.5</v>
      </c>
      <c r="E8" s="98">
        <v>85321</v>
      </c>
      <c r="F8" s="99">
        <v>4277</v>
      </c>
      <c r="G8" s="21">
        <f t="shared" ref="G8:G17" si="3">F8/E8</f>
        <v>0.0501283388614761</v>
      </c>
      <c r="H8" s="100">
        <v>209</v>
      </c>
      <c r="I8" s="39">
        <v>222</v>
      </c>
      <c r="J8" s="21">
        <f t="shared" ref="J8:J17" si="4">H8/F8</f>
        <v>0.0488660275894318</v>
      </c>
      <c r="K8" s="21">
        <f t="shared" ref="K8:K17" si="5">H8/E8</f>
        <v>0.00244957278981728</v>
      </c>
      <c r="L8" s="67">
        <v>15879.71</v>
      </c>
      <c r="N8" s="39">
        <v>6</v>
      </c>
      <c r="O8" s="23" t="s">
        <v>192</v>
      </c>
      <c r="P8" s="68">
        <v>4622</v>
      </c>
      <c r="Q8" s="28">
        <f t="shared" si="0"/>
        <v>0.034807278230495</v>
      </c>
      <c r="S8" s="39">
        <v>6</v>
      </c>
      <c r="T8" s="17" t="s">
        <v>193</v>
      </c>
      <c r="U8" s="17">
        <v>51</v>
      </c>
      <c r="V8" s="28">
        <f t="shared" si="1"/>
        <v>0.0532915360501567</v>
      </c>
    </row>
    <row r="9" spans="1:22">
      <c r="A9" s="51">
        <v>44809</v>
      </c>
      <c r="B9" s="52">
        <v>32</v>
      </c>
      <c r="C9" s="52">
        <v>11</v>
      </c>
      <c r="D9" s="97">
        <f t="shared" si="2"/>
        <v>0.34375</v>
      </c>
      <c r="E9" s="98">
        <v>44170</v>
      </c>
      <c r="F9" s="99">
        <v>1647</v>
      </c>
      <c r="G9" s="21">
        <f t="shared" si="3"/>
        <v>0.0372877518677836</v>
      </c>
      <c r="H9" s="101">
        <v>80</v>
      </c>
      <c r="I9" s="39">
        <v>83</v>
      </c>
      <c r="J9" s="21">
        <f t="shared" si="4"/>
        <v>0.0485731633272617</v>
      </c>
      <c r="K9" s="21">
        <f t="shared" si="5"/>
        <v>0.00181118406158026</v>
      </c>
      <c r="L9" s="67">
        <v>5372</v>
      </c>
      <c r="N9" s="39">
        <v>7</v>
      </c>
      <c r="O9" s="23" t="s">
        <v>194</v>
      </c>
      <c r="P9" s="68">
        <v>3930</v>
      </c>
      <c r="Q9" s="28">
        <f t="shared" si="0"/>
        <v>0.029595976513597</v>
      </c>
      <c r="S9" s="39">
        <v>7</v>
      </c>
      <c r="T9" s="17" t="s">
        <v>195</v>
      </c>
      <c r="U9" s="17">
        <v>34</v>
      </c>
      <c r="V9" s="28">
        <f t="shared" si="1"/>
        <v>0.0355276907001045</v>
      </c>
    </row>
    <row r="10" spans="1:22">
      <c r="A10" s="51">
        <v>44811</v>
      </c>
      <c r="B10" s="52">
        <v>35</v>
      </c>
      <c r="C10" s="52">
        <v>18</v>
      </c>
      <c r="D10" s="97">
        <f t="shared" si="2"/>
        <v>0.514285714285714</v>
      </c>
      <c r="E10" s="98">
        <v>40438</v>
      </c>
      <c r="F10" s="98">
        <v>1729</v>
      </c>
      <c r="G10" s="21">
        <f t="shared" si="3"/>
        <v>0.0427568128987586</v>
      </c>
      <c r="H10" s="100">
        <v>72</v>
      </c>
      <c r="I10" s="39">
        <v>73</v>
      </c>
      <c r="J10" s="21">
        <f t="shared" si="4"/>
        <v>0.0416425679583574</v>
      </c>
      <c r="K10" s="21">
        <f t="shared" si="5"/>
        <v>0.00178050348681933</v>
      </c>
      <c r="L10" s="67">
        <v>9584.6</v>
      </c>
      <c r="N10" s="39">
        <v>8</v>
      </c>
      <c r="O10" s="23" t="s">
        <v>196</v>
      </c>
      <c r="P10" s="68">
        <v>3373</v>
      </c>
      <c r="Q10" s="28">
        <f t="shared" si="0"/>
        <v>0.0254013304784638</v>
      </c>
      <c r="S10" s="39">
        <v>8</v>
      </c>
      <c r="T10" s="17" t="s">
        <v>197</v>
      </c>
      <c r="U10" s="17">
        <v>27</v>
      </c>
      <c r="V10" s="28">
        <f t="shared" si="1"/>
        <v>0.0282131661442006</v>
      </c>
    </row>
    <row r="11" spans="1:22">
      <c r="A11" s="51">
        <v>44812</v>
      </c>
      <c r="B11" s="52">
        <v>23</v>
      </c>
      <c r="C11" s="52">
        <v>11</v>
      </c>
      <c r="D11" s="97">
        <f t="shared" si="2"/>
        <v>0.478260869565217</v>
      </c>
      <c r="E11" s="99">
        <v>31209</v>
      </c>
      <c r="F11" s="98">
        <v>1731</v>
      </c>
      <c r="G11" s="21">
        <f t="shared" si="3"/>
        <v>0.0554647697779487</v>
      </c>
      <c r="H11" s="100">
        <v>30</v>
      </c>
      <c r="I11" s="39">
        <v>30</v>
      </c>
      <c r="J11" s="21">
        <f t="shared" si="4"/>
        <v>0.0173310225303293</v>
      </c>
      <c r="K11" s="21">
        <f t="shared" si="5"/>
        <v>0.000961261174661155</v>
      </c>
      <c r="L11" s="67">
        <v>2830</v>
      </c>
      <c r="N11" s="39">
        <v>9</v>
      </c>
      <c r="O11" s="23" t="s">
        <v>185</v>
      </c>
      <c r="P11" s="68">
        <v>3036.2</v>
      </c>
      <c r="Q11" s="28">
        <f t="shared" si="0"/>
        <v>0.0228649628220313</v>
      </c>
      <c r="S11" s="39">
        <v>9</v>
      </c>
      <c r="T11" s="17" t="s">
        <v>198</v>
      </c>
      <c r="U11" s="17">
        <v>27</v>
      </c>
      <c r="V11" s="28">
        <f t="shared" si="1"/>
        <v>0.0282131661442006</v>
      </c>
    </row>
    <row r="12" spans="1:22">
      <c r="A12" s="51">
        <v>44813</v>
      </c>
      <c r="B12" s="52">
        <v>36</v>
      </c>
      <c r="C12" s="52">
        <v>22</v>
      </c>
      <c r="D12" s="97">
        <f t="shared" si="2"/>
        <v>0.611111111111111</v>
      </c>
      <c r="E12" s="98">
        <v>45040</v>
      </c>
      <c r="F12" s="98">
        <v>2000</v>
      </c>
      <c r="G12" s="21">
        <f t="shared" si="3"/>
        <v>0.044404973357016</v>
      </c>
      <c r="H12" s="100">
        <v>63</v>
      </c>
      <c r="I12" s="39">
        <v>67</v>
      </c>
      <c r="J12" s="21">
        <f t="shared" si="4"/>
        <v>0.0315</v>
      </c>
      <c r="K12" s="21">
        <f t="shared" si="5"/>
        <v>0.001398756660746</v>
      </c>
      <c r="L12" s="67">
        <v>12520.65</v>
      </c>
      <c r="N12" s="39">
        <v>10</v>
      </c>
      <c r="O12" s="23" t="s">
        <v>199</v>
      </c>
      <c r="P12" s="68">
        <v>3013</v>
      </c>
      <c r="Q12" s="28">
        <f t="shared" si="0"/>
        <v>0.0226902486604244</v>
      </c>
      <c r="S12" s="39">
        <v>10</v>
      </c>
      <c r="T12" s="17" t="s">
        <v>182</v>
      </c>
      <c r="U12" s="17">
        <v>24</v>
      </c>
      <c r="V12" s="28">
        <f t="shared" si="1"/>
        <v>0.0250783699059561</v>
      </c>
    </row>
    <row r="13" spans="1:22">
      <c r="A13" s="65">
        <v>44815</v>
      </c>
      <c r="B13" s="52">
        <v>33</v>
      </c>
      <c r="C13" s="52">
        <v>18</v>
      </c>
      <c r="D13" s="97">
        <f t="shared" si="2"/>
        <v>0.545454545454545</v>
      </c>
      <c r="E13" s="98">
        <v>91770</v>
      </c>
      <c r="F13" s="98">
        <v>3614</v>
      </c>
      <c r="G13" s="21">
        <f t="shared" si="3"/>
        <v>0.0393810613490247</v>
      </c>
      <c r="H13" s="101">
        <v>89</v>
      </c>
      <c r="I13" s="39">
        <v>89</v>
      </c>
      <c r="J13" s="21">
        <f t="shared" si="4"/>
        <v>0.0246264526840066</v>
      </c>
      <c r="K13" s="21">
        <f t="shared" si="5"/>
        <v>0.00096981584395772</v>
      </c>
      <c r="L13" s="67">
        <v>19446.2</v>
      </c>
      <c r="N13" s="39">
        <v>11</v>
      </c>
      <c r="O13" s="23" t="s">
        <v>200</v>
      </c>
      <c r="P13" s="68">
        <v>2952.92</v>
      </c>
      <c r="Q13" s="28">
        <f t="shared" si="0"/>
        <v>0.0222377992281249</v>
      </c>
      <c r="S13" s="115" t="s">
        <v>201</v>
      </c>
      <c r="T13" s="115"/>
      <c r="U13" s="112">
        <f>SUM(U3:U12)</f>
        <v>617</v>
      </c>
      <c r="V13" s="116">
        <f>U13/U14</f>
        <v>0.644723092998955</v>
      </c>
    </row>
    <row r="14" spans="1:22">
      <c r="A14" s="51">
        <v>44816</v>
      </c>
      <c r="B14" s="52">
        <v>33</v>
      </c>
      <c r="C14" s="52">
        <v>10</v>
      </c>
      <c r="D14" s="97">
        <f t="shared" si="2"/>
        <v>0.303030303030303</v>
      </c>
      <c r="E14" s="98">
        <v>40520</v>
      </c>
      <c r="F14" s="98">
        <v>1677</v>
      </c>
      <c r="G14" s="21">
        <f t="shared" si="3"/>
        <v>0.0413869693978282</v>
      </c>
      <c r="H14" s="100">
        <v>41</v>
      </c>
      <c r="I14" s="39">
        <v>43</v>
      </c>
      <c r="J14" s="21">
        <f t="shared" si="4"/>
        <v>0.024448419797257</v>
      </c>
      <c r="K14" s="21">
        <f t="shared" si="5"/>
        <v>0.00101184600197433</v>
      </c>
      <c r="L14" s="106">
        <v>8158.7</v>
      </c>
      <c r="N14" s="39">
        <v>12</v>
      </c>
      <c r="O14" s="23" t="s">
        <v>180</v>
      </c>
      <c r="P14" s="68">
        <v>2914.7</v>
      </c>
      <c r="Q14" s="28">
        <f t="shared" si="0"/>
        <v>0.021949972708443</v>
      </c>
      <c r="S14" s="114" t="s">
        <v>88</v>
      </c>
      <c r="T14" s="114" t="s">
        <v>202</v>
      </c>
      <c r="U14" s="29">
        <f>L3</f>
        <v>957</v>
      </c>
      <c r="V14" s="114"/>
    </row>
    <row r="15" spans="1:22">
      <c r="A15" s="51">
        <v>44817</v>
      </c>
      <c r="B15" s="52">
        <v>33</v>
      </c>
      <c r="C15" s="52">
        <v>24</v>
      </c>
      <c r="D15" s="97">
        <f t="shared" si="2"/>
        <v>0.727272727272727</v>
      </c>
      <c r="E15" s="102">
        <v>56271</v>
      </c>
      <c r="F15" s="102">
        <v>2736</v>
      </c>
      <c r="G15" s="21">
        <f t="shared" si="3"/>
        <v>0.0486218478434718</v>
      </c>
      <c r="H15" s="100">
        <v>60</v>
      </c>
      <c r="I15" s="39">
        <v>65</v>
      </c>
      <c r="J15" s="21">
        <f t="shared" si="4"/>
        <v>0.0219298245614035</v>
      </c>
      <c r="K15" s="21">
        <f t="shared" si="5"/>
        <v>0.00106626859305859</v>
      </c>
      <c r="L15" s="106">
        <v>16614</v>
      </c>
      <c r="N15" s="39">
        <v>13</v>
      </c>
      <c r="O15" s="23" t="s">
        <v>203</v>
      </c>
      <c r="P15" s="68">
        <v>2726</v>
      </c>
      <c r="Q15" s="28">
        <f t="shared" si="0"/>
        <v>0.0205289139888207</v>
      </c>
      <c r="S15" s="110"/>
      <c r="T15" s="83"/>
      <c r="U15" s="110"/>
      <c r="V15" s="117"/>
    </row>
    <row r="16" spans="1:22">
      <c r="A16" s="51">
        <v>44818</v>
      </c>
      <c r="B16" s="52">
        <v>31</v>
      </c>
      <c r="C16" s="52">
        <v>17</v>
      </c>
      <c r="D16" s="97">
        <f t="shared" si="2"/>
        <v>0.548387096774194</v>
      </c>
      <c r="E16" s="102">
        <v>29401</v>
      </c>
      <c r="F16" s="102">
        <v>1336</v>
      </c>
      <c r="G16" s="21">
        <f t="shared" si="3"/>
        <v>0.0454406312710452</v>
      </c>
      <c r="H16" s="100">
        <v>17</v>
      </c>
      <c r="I16" s="39">
        <v>17</v>
      </c>
      <c r="J16" s="21">
        <f t="shared" si="4"/>
        <v>0.0127245508982036</v>
      </c>
      <c r="K16" s="21">
        <f t="shared" si="5"/>
        <v>0.000578211625454917</v>
      </c>
      <c r="L16" s="107">
        <v>2212</v>
      </c>
      <c r="N16" s="39">
        <v>14</v>
      </c>
      <c r="O16" s="23" t="s">
        <v>198</v>
      </c>
      <c r="P16" s="68">
        <v>2633</v>
      </c>
      <c r="Q16" s="28">
        <f t="shared" si="0"/>
        <v>0.0198285511858272</v>
      </c>
      <c r="S16" s="110"/>
      <c r="T16" s="83"/>
      <c r="U16" s="110"/>
      <c r="V16" s="117"/>
    </row>
    <row r="17" spans="1:22">
      <c r="A17" s="51">
        <v>44820</v>
      </c>
      <c r="B17" s="52">
        <v>28</v>
      </c>
      <c r="C17" s="52">
        <v>6</v>
      </c>
      <c r="D17" s="97">
        <f t="shared" si="2"/>
        <v>0.214285714285714</v>
      </c>
      <c r="E17" s="102">
        <v>32071</v>
      </c>
      <c r="F17" s="102">
        <v>1418</v>
      </c>
      <c r="G17" s="21">
        <f t="shared" si="3"/>
        <v>0.0442143993015497</v>
      </c>
      <c r="H17" s="100">
        <v>11</v>
      </c>
      <c r="I17" s="39">
        <v>12</v>
      </c>
      <c r="J17" s="21">
        <f t="shared" si="4"/>
        <v>0.0077574047954866</v>
      </c>
      <c r="K17" s="21">
        <f t="shared" si="5"/>
        <v>0.000342988993171401</v>
      </c>
      <c r="L17" s="107">
        <v>4030.8</v>
      </c>
      <c r="N17" s="39">
        <v>15</v>
      </c>
      <c r="O17" s="23" t="s">
        <v>204</v>
      </c>
      <c r="P17" s="68">
        <v>2280</v>
      </c>
      <c r="Q17" s="28">
        <f t="shared" si="0"/>
        <v>0.017170184847583</v>
      </c>
      <c r="S17" s="110"/>
      <c r="T17" s="83"/>
      <c r="U17" s="110"/>
      <c r="V17" s="117"/>
    </row>
    <row r="18" spans="1:22">
      <c r="A18" s="65">
        <v>44829</v>
      </c>
      <c r="B18" s="39">
        <v>31</v>
      </c>
      <c r="C18" s="39">
        <v>14</v>
      </c>
      <c r="D18" s="97">
        <f t="shared" si="2"/>
        <v>0.451612903225806</v>
      </c>
      <c r="E18" s="39">
        <v>68258</v>
      </c>
      <c r="F18" s="39">
        <v>3411</v>
      </c>
      <c r="G18" s="21">
        <f t="shared" ref="G18:G24" si="6">F18/E18</f>
        <v>0.049972164434938</v>
      </c>
      <c r="H18" s="103">
        <v>58</v>
      </c>
      <c r="I18" s="39">
        <v>59</v>
      </c>
      <c r="J18" s="21">
        <f t="shared" ref="J18:J24" si="7">H18/F18</f>
        <v>0.0170038111990619</v>
      </c>
      <c r="K18" s="21">
        <f t="shared" ref="K18:K24" si="8">H18/E18</f>
        <v>0.00084971724926016</v>
      </c>
      <c r="L18" s="108">
        <v>13762.92</v>
      </c>
      <c r="N18" s="39">
        <v>16</v>
      </c>
      <c r="O18" s="23" t="s">
        <v>205</v>
      </c>
      <c r="P18" s="68">
        <v>1995</v>
      </c>
      <c r="Q18" s="28">
        <f t="shared" si="0"/>
        <v>0.0150239117416351</v>
      </c>
      <c r="S18" s="110"/>
      <c r="T18" s="83"/>
      <c r="U18" s="110"/>
      <c r="V18" s="117"/>
    </row>
    <row r="19" spans="1:22">
      <c r="A19" s="51">
        <v>44830</v>
      </c>
      <c r="B19" s="39">
        <v>32</v>
      </c>
      <c r="C19" s="39">
        <v>10</v>
      </c>
      <c r="D19" s="97">
        <f t="shared" si="2"/>
        <v>0.3125</v>
      </c>
      <c r="E19" s="102">
        <v>33363</v>
      </c>
      <c r="F19" s="102">
        <v>1795</v>
      </c>
      <c r="G19" s="21">
        <f t="shared" si="6"/>
        <v>0.0538021161166562</v>
      </c>
      <c r="H19" s="103">
        <v>45</v>
      </c>
      <c r="I19" s="39">
        <v>49</v>
      </c>
      <c r="J19" s="21">
        <f t="shared" si="7"/>
        <v>0.0250696378830084</v>
      </c>
      <c r="K19" s="21">
        <f t="shared" si="8"/>
        <v>0.00134879956838414</v>
      </c>
      <c r="L19" s="108">
        <v>8944.04</v>
      </c>
      <c r="N19" s="39">
        <v>17</v>
      </c>
      <c r="O19" s="23" t="s">
        <v>193</v>
      </c>
      <c r="P19" s="68">
        <v>1967.9</v>
      </c>
      <c r="Q19" s="28">
        <f t="shared" si="0"/>
        <v>0.0148198275269994</v>
      </c>
      <c r="S19" s="110"/>
      <c r="T19" s="83"/>
      <c r="U19" s="110"/>
      <c r="V19" s="117"/>
    </row>
    <row r="20" spans="1:22">
      <c r="A20" s="51">
        <v>44831</v>
      </c>
      <c r="B20" s="39">
        <v>29</v>
      </c>
      <c r="C20" s="39">
        <v>10</v>
      </c>
      <c r="D20" s="97">
        <f t="shared" si="2"/>
        <v>0.344827586206897</v>
      </c>
      <c r="E20" s="102">
        <v>22540</v>
      </c>
      <c r="F20" s="102">
        <v>1196</v>
      </c>
      <c r="G20" s="21">
        <f t="shared" si="6"/>
        <v>0.0530612244897959</v>
      </c>
      <c r="H20" s="103">
        <v>17</v>
      </c>
      <c r="I20" s="39">
        <v>18</v>
      </c>
      <c r="J20" s="21">
        <f t="shared" si="7"/>
        <v>0.0142140468227425</v>
      </c>
      <c r="K20" s="21">
        <f t="shared" si="8"/>
        <v>0.000754214729370009</v>
      </c>
      <c r="L20" s="108">
        <v>5538.9</v>
      </c>
      <c r="N20" s="39">
        <v>18</v>
      </c>
      <c r="O20" s="23" t="s">
        <v>206</v>
      </c>
      <c r="P20" s="68">
        <v>1692.65</v>
      </c>
      <c r="Q20" s="28">
        <f t="shared" si="0"/>
        <v>0.0127469795536234</v>
      </c>
      <c r="S20" s="110"/>
      <c r="T20" s="83"/>
      <c r="U20" s="110"/>
      <c r="V20" s="117"/>
    </row>
    <row r="21" spans="1:22">
      <c r="A21" s="51">
        <v>44832</v>
      </c>
      <c r="B21" s="39">
        <v>36</v>
      </c>
      <c r="C21" s="39">
        <v>12</v>
      </c>
      <c r="D21" s="97">
        <f t="shared" si="2"/>
        <v>0.333333333333333</v>
      </c>
      <c r="E21" s="102">
        <v>46388</v>
      </c>
      <c r="F21" s="102">
        <v>1963</v>
      </c>
      <c r="G21" s="21">
        <f t="shared" si="6"/>
        <v>0.0423169785289299</v>
      </c>
      <c r="H21" s="103">
        <v>111</v>
      </c>
      <c r="I21" s="39">
        <v>130</v>
      </c>
      <c r="J21" s="21">
        <f>H21/F21</f>
        <v>0.0565461029037188</v>
      </c>
      <c r="K21" s="21">
        <f t="shared" si="8"/>
        <v>0.00239286022247133</v>
      </c>
      <c r="L21" s="108">
        <v>7893.8</v>
      </c>
      <c r="N21" s="39">
        <v>19</v>
      </c>
      <c r="O21" s="23" t="s">
        <v>207</v>
      </c>
      <c r="P21" s="68">
        <v>1555</v>
      </c>
      <c r="Q21" s="28">
        <f t="shared" si="0"/>
        <v>0.0117103672973647</v>
      </c>
      <c r="S21" s="110"/>
      <c r="T21" s="83"/>
      <c r="U21" s="110"/>
      <c r="V21" s="117"/>
    </row>
    <row r="22" spans="1:22">
      <c r="A22" s="51">
        <v>44833</v>
      </c>
      <c r="B22" s="39"/>
      <c r="C22" s="39"/>
      <c r="D22" s="97" t="e">
        <f t="shared" si="2"/>
        <v>#DIV/0!</v>
      </c>
      <c r="E22" s="39"/>
      <c r="F22" s="39"/>
      <c r="G22" s="21" t="e">
        <f t="shared" si="6"/>
        <v>#DIV/0!</v>
      </c>
      <c r="H22" s="103"/>
      <c r="I22" s="39"/>
      <c r="J22" s="21" t="e">
        <f t="shared" si="7"/>
        <v>#DIV/0!</v>
      </c>
      <c r="K22" s="21" t="e">
        <f t="shared" si="8"/>
        <v>#DIV/0!</v>
      </c>
      <c r="L22" s="108"/>
      <c r="N22" s="39">
        <v>20</v>
      </c>
      <c r="O22" s="23" t="s">
        <v>208</v>
      </c>
      <c r="P22" s="68">
        <v>1545</v>
      </c>
      <c r="Q22" s="28">
        <f t="shared" si="0"/>
        <v>0.0116350594690858</v>
      </c>
      <c r="S22" s="110"/>
      <c r="T22" s="83"/>
      <c r="U22" s="110"/>
      <c r="V22" s="117"/>
    </row>
    <row r="23" spans="1:22">
      <c r="A23" s="51">
        <v>44834</v>
      </c>
      <c r="B23" s="39"/>
      <c r="C23" s="39"/>
      <c r="D23" s="97" t="e">
        <f t="shared" si="2"/>
        <v>#DIV/0!</v>
      </c>
      <c r="E23" s="39"/>
      <c r="F23" s="39"/>
      <c r="G23" s="21" t="e">
        <f t="shared" si="6"/>
        <v>#DIV/0!</v>
      </c>
      <c r="H23" s="103"/>
      <c r="I23" s="39"/>
      <c r="J23" s="21" t="e">
        <f t="shared" si="7"/>
        <v>#DIV/0!</v>
      </c>
      <c r="K23" s="21" t="e">
        <f t="shared" si="8"/>
        <v>#DIV/0!</v>
      </c>
      <c r="L23" s="108"/>
      <c r="N23" s="39">
        <v>21</v>
      </c>
      <c r="O23" s="23" t="s">
        <v>209</v>
      </c>
      <c r="P23" s="68">
        <v>1257.9</v>
      </c>
      <c r="Q23" s="28">
        <f t="shared" si="0"/>
        <v>0.0094729717191994</v>
      </c>
      <c r="S23" s="110"/>
      <c r="T23" s="110"/>
      <c r="U23" s="110"/>
      <c r="V23" s="117"/>
    </row>
    <row r="24" spans="1:22">
      <c r="A24" s="50" t="s">
        <v>88</v>
      </c>
      <c r="B24" s="50">
        <f>SUM(B8:B23)</f>
        <v>444</v>
      </c>
      <c r="C24" s="50">
        <f>SUM(C8:C23)</f>
        <v>199</v>
      </c>
      <c r="D24" s="50"/>
      <c r="E24" s="50">
        <f t="shared" ref="E24:I24" si="9">SUM(E8:E23)</f>
        <v>666760</v>
      </c>
      <c r="F24" s="50">
        <f t="shared" si="9"/>
        <v>30530</v>
      </c>
      <c r="G24" s="80">
        <f t="shared" si="6"/>
        <v>0.0457885895974564</v>
      </c>
      <c r="H24" s="63">
        <f t="shared" si="9"/>
        <v>903</v>
      </c>
      <c r="I24" s="63">
        <f t="shared" si="9"/>
        <v>957</v>
      </c>
      <c r="J24" s="80">
        <f t="shared" si="7"/>
        <v>0.0295774647887324</v>
      </c>
      <c r="K24" s="80">
        <f t="shared" si="8"/>
        <v>0.00135431039654448</v>
      </c>
      <c r="L24" s="109">
        <f>SUM(L8:L23)</f>
        <v>132788.32</v>
      </c>
      <c r="N24" s="39">
        <v>22</v>
      </c>
      <c r="O24" s="23" t="s">
        <v>210</v>
      </c>
      <c r="P24" s="68">
        <v>1187</v>
      </c>
      <c r="Q24" s="28">
        <f t="shared" si="0"/>
        <v>0.00893903921670219</v>
      </c>
      <c r="S24" s="110"/>
      <c r="T24" s="110"/>
      <c r="U24" s="110"/>
      <c r="V24" s="117"/>
    </row>
    <row r="25" spans="12:22">
      <c r="L25" s="110"/>
      <c r="N25" s="39">
        <v>23</v>
      </c>
      <c r="O25" s="23" t="s">
        <v>211</v>
      </c>
      <c r="P25" s="68">
        <v>1187</v>
      </c>
      <c r="Q25" s="28">
        <f t="shared" si="0"/>
        <v>0.00893903921670219</v>
      </c>
      <c r="S25" s="110"/>
      <c r="T25" s="110"/>
      <c r="U25" s="110"/>
      <c r="V25" s="117"/>
    </row>
    <row r="26" spans="12:22">
      <c r="L26" s="110"/>
      <c r="N26" s="39">
        <v>24</v>
      </c>
      <c r="O26" s="23" t="s">
        <v>212</v>
      </c>
      <c r="P26" s="68">
        <v>1073</v>
      </c>
      <c r="Q26" s="28">
        <f t="shared" si="0"/>
        <v>0.00808052997432304</v>
      </c>
      <c r="S26" s="110"/>
      <c r="T26" s="110"/>
      <c r="U26" s="110"/>
      <c r="V26" s="117"/>
    </row>
    <row r="27" spans="12:22">
      <c r="L27" s="110"/>
      <c r="N27" s="39">
        <v>25</v>
      </c>
      <c r="O27" s="23" t="s">
        <v>197</v>
      </c>
      <c r="P27" s="68">
        <v>1051.3</v>
      </c>
      <c r="Q27" s="28">
        <f t="shared" si="0"/>
        <v>0.00791711198695789</v>
      </c>
      <c r="S27" s="110"/>
      <c r="T27" s="110"/>
      <c r="U27" s="110"/>
      <c r="V27" s="117"/>
    </row>
    <row r="28" spans="12:22">
      <c r="L28" s="110"/>
      <c r="N28" s="39">
        <v>26</v>
      </c>
      <c r="O28" s="23" t="s">
        <v>213</v>
      </c>
      <c r="P28" s="68">
        <v>942</v>
      </c>
      <c r="Q28" s="28">
        <f t="shared" si="0"/>
        <v>0.00709399742386981</v>
      </c>
      <c r="S28" s="110"/>
      <c r="T28" s="110"/>
      <c r="U28" s="110"/>
      <c r="V28" s="117"/>
    </row>
    <row r="29" spans="12:22">
      <c r="L29" s="110"/>
      <c r="N29" s="39">
        <v>27</v>
      </c>
      <c r="O29" s="23" t="s">
        <v>214</v>
      </c>
      <c r="P29" s="68">
        <v>914</v>
      </c>
      <c r="Q29" s="28">
        <f t="shared" si="0"/>
        <v>0.00688313550468897</v>
      </c>
      <c r="S29" s="110"/>
      <c r="T29" s="110"/>
      <c r="U29" s="110"/>
      <c r="V29" s="117"/>
    </row>
    <row r="30" spans="12:22">
      <c r="L30" s="110"/>
      <c r="N30" s="39">
        <v>28</v>
      </c>
      <c r="O30" s="23" t="s">
        <v>215</v>
      </c>
      <c r="P30" s="68">
        <v>876</v>
      </c>
      <c r="Q30" s="28">
        <f t="shared" si="0"/>
        <v>0.00659696575722925</v>
      </c>
      <c r="S30" s="110"/>
      <c r="T30" s="110"/>
      <c r="U30" s="110"/>
      <c r="V30" s="117"/>
    </row>
    <row r="31" spans="12:22">
      <c r="L31" s="110"/>
      <c r="N31" s="39">
        <v>29</v>
      </c>
      <c r="O31" s="23" t="s">
        <v>183</v>
      </c>
      <c r="P31" s="68">
        <v>861.3</v>
      </c>
      <c r="Q31" s="28">
        <f t="shared" si="0"/>
        <v>0.00648626324965931</v>
      </c>
      <c r="S31" s="110"/>
      <c r="T31" s="110"/>
      <c r="U31" s="110"/>
      <c r="V31" s="117"/>
    </row>
    <row r="32" spans="12:22">
      <c r="L32" s="110"/>
      <c r="N32" s="39">
        <v>30</v>
      </c>
      <c r="O32" s="23" t="s">
        <v>216</v>
      </c>
      <c r="P32" s="68">
        <v>852.74</v>
      </c>
      <c r="Q32" s="28">
        <f t="shared" si="0"/>
        <v>0.00642179974865259</v>
      </c>
      <c r="S32" s="110"/>
      <c r="T32" s="110"/>
      <c r="U32" s="110"/>
      <c r="V32" s="117"/>
    </row>
    <row r="33" spans="12:17">
      <c r="L33" s="111"/>
      <c r="N33" s="112" t="s">
        <v>201</v>
      </c>
      <c r="O33" s="112"/>
      <c r="P33" s="113">
        <f>SUM(P3:P32)</f>
        <v>109694.61</v>
      </c>
      <c r="Q33" s="116">
        <f>P33/L24</f>
        <v>0.826086285299791</v>
      </c>
    </row>
    <row r="34" spans="1:24">
      <c r="A34" s="2"/>
      <c r="B34" s="2"/>
      <c r="C34" s="2"/>
      <c r="D34" s="2"/>
      <c r="E34" s="2"/>
      <c r="F34" s="2"/>
      <c r="G34" s="2"/>
      <c r="H34" s="2"/>
      <c r="I34" s="2"/>
      <c r="J34" s="2"/>
      <c r="K34" s="2"/>
      <c r="L34" s="111"/>
      <c r="N34" s="114" t="s">
        <v>88</v>
      </c>
      <c r="O34" s="114" t="s">
        <v>217</v>
      </c>
      <c r="P34" s="31">
        <f>K3</f>
        <v>132788.32</v>
      </c>
      <c r="Q34" s="114"/>
      <c r="R34" s="118"/>
      <c r="S34" s="118"/>
      <c r="T34" s="119"/>
      <c r="U34" s="118"/>
      <c r="V34" s="119"/>
      <c r="W34" s="119"/>
      <c r="X34" s="120"/>
    </row>
  </sheetData>
  <conditionalFormatting sqref="B8:B17">
    <cfRule type="top10" dxfId="7" priority="15" percent="1" bottom="1" rank="10"/>
    <cfRule type="top10" dxfId="8" priority="16" percent="1" rank="10"/>
  </conditionalFormatting>
  <conditionalFormatting sqref="C8:C17">
    <cfRule type="top10" dxfId="7" priority="7" percent="1" bottom="1" rank="10"/>
    <cfRule type="top10" dxfId="8" priority="8" percent="1" rank="10"/>
  </conditionalFormatting>
  <conditionalFormatting sqref="D8:D23">
    <cfRule type="top10" dxfId="7" priority="5" percent="1" bottom="1" rank="10"/>
    <cfRule type="top10" dxfId="8" priority="6" percent="1" rank="10"/>
  </conditionalFormatting>
  <conditionalFormatting sqref="E8:E14">
    <cfRule type="top10" dxfId="7" priority="11" percent="1" bottom="1" rank="10"/>
    <cfRule type="top10" dxfId="8" priority="12" percent="1" rank="10"/>
  </conditionalFormatting>
  <conditionalFormatting sqref="F8:F14">
    <cfRule type="top10" dxfId="7" priority="9" percent="1" bottom="1" rank="10"/>
    <cfRule type="top10" dxfId="8" priority="10" percent="1" rank="10"/>
  </conditionalFormatting>
  <conditionalFormatting sqref="G8:G23">
    <cfRule type="top10" dxfId="7" priority="23" percent="1" bottom="1" rank="10"/>
    <cfRule type="top10" dxfId="8" priority="24" percent="1" rank="10"/>
  </conditionalFormatting>
  <conditionalFormatting sqref="H8:H17">
    <cfRule type="top10" dxfId="7" priority="19" percent="1" bottom="1" rank="10"/>
    <cfRule type="top10" dxfId="8" priority="20" percent="1" rank="10"/>
  </conditionalFormatting>
  <conditionalFormatting sqref="J8:J23">
    <cfRule type="top10" dxfId="7" priority="21" percent="1" bottom="1" rank="10"/>
    <cfRule type="top10" dxfId="8" priority="22" percent="1" rank="10"/>
  </conditionalFormatting>
  <conditionalFormatting sqref="K8:K23">
    <cfRule type="top10" dxfId="7" priority="17" percent="1" bottom="1" rank="10"/>
    <cfRule type="top10" dxfId="8" priority="18" percent="1" rank="10"/>
  </conditionalFormatting>
  <conditionalFormatting sqref="L8:L23">
    <cfRule type="top10" dxfId="7" priority="1" percent="1" bottom="1" rank="5"/>
    <cfRule type="top10" dxfId="8" priority="2" percent="1" rank="5"/>
  </conditionalFormatting>
  <pageMargins left="0.7" right="0.7" top="0.75" bottom="0.75" header="0.3" footer="0.3"/>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45"/>
  <sheetViews>
    <sheetView tabSelected="1" topLeftCell="G1" workbookViewId="0">
      <selection activeCell="O9" sqref="O9"/>
    </sheetView>
  </sheetViews>
  <sheetFormatPr defaultColWidth="9" defaultRowHeight="14.25"/>
  <cols>
    <col min="1" max="1" width="10" customWidth="1"/>
    <col min="2" max="2" width="66.25" customWidth="1"/>
    <col min="3" max="3" width="11.625" customWidth="1"/>
    <col min="15" max="15" width="53.75"/>
    <col min="16" max="16" width="17.625"/>
    <col min="17" max="20" width="15.625"/>
  </cols>
  <sheetData>
    <row r="1" spans="1:13">
      <c r="A1" t="s">
        <v>186</v>
      </c>
      <c r="B1" t="s">
        <v>177</v>
      </c>
      <c r="C1" t="s">
        <v>218</v>
      </c>
      <c r="D1" t="s">
        <v>219</v>
      </c>
      <c r="E1" t="s">
        <v>220</v>
      </c>
      <c r="F1" t="s">
        <v>221</v>
      </c>
      <c r="G1" t="s">
        <v>168</v>
      </c>
      <c r="H1" t="s">
        <v>169</v>
      </c>
      <c r="I1" t="s">
        <v>222</v>
      </c>
      <c r="J1" t="s">
        <v>223</v>
      </c>
      <c r="K1" t="s">
        <v>171</v>
      </c>
      <c r="L1" t="s">
        <v>173</v>
      </c>
      <c r="M1" t="s">
        <v>20</v>
      </c>
    </row>
    <row r="2" spans="1:13">
      <c r="A2" s="85">
        <v>44808</v>
      </c>
      <c r="B2" t="s">
        <v>180</v>
      </c>
      <c r="C2">
        <v>2529476838</v>
      </c>
      <c r="D2" s="86">
        <v>69</v>
      </c>
      <c r="E2" t="s">
        <v>224</v>
      </c>
      <c r="F2">
        <v>0</v>
      </c>
      <c r="G2">
        <v>6666</v>
      </c>
      <c r="H2">
        <v>477</v>
      </c>
      <c r="I2">
        <v>69</v>
      </c>
      <c r="J2">
        <v>80</v>
      </c>
      <c r="K2">
        <v>62</v>
      </c>
      <c r="L2">
        <v>70</v>
      </c>
      <c r="M2" s="87">
        <v>1442.1</v>
      </c>
    </row>
    <row r="3" spans="1:13">
      <c r="A3" s="85">
        <v>44808</v>
      </c>
      <c r="B3" t="s">
        <v>195</v>
      </c>
      <c r="C3">
        <v>1567470953</v>
      </c>
      <c r="D3" s="86">
        <v>99</v>
      </c>
      <c r="E3" t="s">
        <v>224</v>
      </c>
      <c r="F3">
        <v>0</v>
      </c>
      <c r="G3">
        <v>7090</v>
      </c>
      <c r="H3">
        <v>891</v>
      </c>
      <c r="I3">
        <v>17</v>
      </c>
      <c r="J3">
        <v>19</v>
      </c>
      <c r="K3">
        <v>16</v>
      </c>
      <c r="L3">
        <v>18</v>
      </c>
      <c r="M3" s="87">
        <v>358.2</v>
      </c>
    </row>
    <row r="4" spans="1:13">
      <c r="A4" s="85">
        <v>44808</v>
      </c>
      <c r="B4" t="s">
        <v>185</v>
      </c>
      <c r="C4">
        <v>2033524077</v>
      </c>
      <c r="D4" s="86">
        <v>99</v>
      </c>
      <c r="E4" t="s">
        <v>224</v>
      </c>
      <c r="F4">
        <v>0</v>
      </c>
      <c r="G4">
        <v>7455</v>
      </c>
      <c r="H4">
        <v>469</v>
      </c>
      <c r="I4">
        <v>49</v>
      </c>
      <c r="J4">
        <v>54</v>
      </c>
      <c r="K4">
        <v>40</v>
      </c>
      <c r="L4">
        <v>41</v>
      </c>
      <c r="M4" s="87">
        <v>1658.7</v>
      </c>
    </row>
    <row r="5" spans="1:16">
      <c r="A5" s="85">
        <v>44808</v>
      </c>
      <c r="B5" t="s">
        <v>193</v>
      </c>
      <c r="C5">
        <v>2419194308</v>
      </c>
      <c r="D5" s="86">
        <v>159</v>
      </c>
      <c r="E5" t="s">
        <v>224</v>
      </c>
      <c r="F5">
        <v>1</v>
      </c>
      <c r="G5">
        <v>6332</v>
      </c>
      <c r="H5">
        <v>363</v>
      </c>
      <c r="I5">
        <v>32</v>
      </c>
      <c r="J5">
        <v>35</v>
      </c>
      <c r="K5">
        <v>27</v>
      </c>
      <c r="L5">
        <v>28</v>
      </c>
      <c r="M5" s="87">
        <v>1083.2</v>
      </c>
      <c r="O5" t="s">
        <v>186</v>
      </c>
      <c r="P5" s="88">
        <v>44832</v>
      </c>
    </row>
    <row r="6" spans="1:13">
      <c r="A6" s="85">
        <v>44808</v>
      </c>
      <c r="B6" t="s">
        <v>225</v>
      </c>
      <c r="C6">
        <v>1906890718</v>
      </c>
      <c r="D6" s="86">
        <v>69</v>
      </c>
      <c r="E6" t="s">
        <v>224</v>
      </c>
      <c r="F6">
        <v>0</v>
      </c>
      <c r="G6">
        <v>4849</v>
      </c>
      <c r="H6">
        <v>180</v>
      </c>
      <c r="I6">
        <v>3</v>
      </c>
      <c r="J6">
        <v>3</v>
      </c>
      <c r="K6">
        <v>2</v>
      </c>
      <c r="L6">
        <v>2</v>
      </c>
      <c r="M6" s="86">
        <v>129</v>
      </c>
    </row>
    <row r="7" spans="1:17">
      <c r="A7" s="85">
        <v>44808</v>
      </c>
      <c r="B7" t="s">
        <v>226</v>
      </c>
      <c r="C7">
        <v>2035646456</v>
      </c>
      <c r="D7" s="86">
        <v>279</v>
      </c>
      <c r="E7" t="s">
        <v>224</v>
      </c>
      <c r="F7">
        <v>0</v>
      </c>
      <c r="G7">
        <v>3022</v>
      </c>
      <c r="H7">
        <v>61</v>
      </c>
      <c r="I7">
        <v>0</v>
      </c>
      <c r="J7">
        <v>0</v>
      </c>
      <c r="K7">
        <v>0</v>
      </c>
      <c r="L7">
        <v>0</v>
      </c>
      <c r="M7" s="86">
        <v>0</v>
      </c>
      <c r="O7" t="s">
        <v>227</v>
      </c>
      <c r="P7" t="s">
        <v>228</v>
      </c>
      <c r="Q7" t="s">
        <v>229</v>
      </c>
    </row>
    <row r="8" spans="1:17">
      <c r="A8" s="85">
        <v>44808</v>
      </c>
      <c r="B8" t="s">
        <v>207</v>
      </c>
      <c r="C8">
        <v>2035823215</v>
      </c>
      <c r="D8" s="86">
        <v>99</v>
      </c>
      <c r="E8" t="s">
        <v>224</v>
      </c>
      <c r="F8">
        <v>0</v>
      </c>
      <c r="G8">
        <v>3311</v>
      </c>
      <c r="H8">
        <v>136</v>
      </c>
      <c r="I8">
        <v>11</v>
      </c>
      <c r="J8">
        <v>11</v>
      </c>
      <c r="K8">
        <v>11</v>
      </c>
      <c r="L8">
        <v>11</v>
      </c>
      <c r="M8" s="86">
        <v>1063</v>
      </c>
      <c r="O8" s="89" t="s">
        <v>183</v>
      </c>
      <c r="P8">
        <v>82</v>
      </c>
      <c r="Q8">
        <v>64</v>
      </c>
    </row>
    <row r="9" spans="1:17">
      <c r="A9" s="85">
        <v>44808</v>
      </c>
      <c r="B9" t="s">
        <v>230</v>
      </c>
      <c r="C9">
        <v>2541092403</v>
      </c>
      <c r="D9" s="86">
        <v>249</v>
      </c>
      <c r="E9" t="s">
        <v>224</v>
      </c>
      <c r="F9">
        <v>0</v>
      </c>
      <c r="G9">
        <v>2506</v>
      </c>
      <c r="H9">
        <v>51</v>
      </c>
      <c r="I9">
        <v>0</v>
      </c>
      <c r="J9">
        <v>0</v>
      </c>
      <c r="K9">
        <v>0</v>
      </c>
      <c r="L9">
        <v>0</v>
      </c>
      <c r="M9" s="86">
        <v>0</v>
      </c>
      <c r="O9" s="89" t="s">
        <v>209</v>
      </c>
      <c r="P9">
        <v>20</v>
      </c>
      <c r="Q9">
        <v>19</v>
      </c>
    </row>
    <row r="10" spans="1:17">
      <c r="A10" s="85">
        <v>44808</v>
      </c>
      <c r="B10" t="s">
        <v>181</v>
      </c>
      <c r="C10">
        <v>1983238576</v>
      </c>
      <c r="D10" s="86">
        <v>739</v>
      </c>
      <c r="E10" t="s">
        <v>224</v>
      </c>
      <c r="F10">
        <v>0</v>
      </c>
      <c r="G10">
        <v>3306</v>
      </c>
      <c r="H10">
        <v>279</v>
      </c>
      <c r="I10">
        <v>12</v>
      </c>
      <c r="J10">
        <v>13</v>
      </c>
      <c r="K10">
        <v>11</v>
      </c>
      <c r="L10">
        <v>11</v>
      </c>
      <c r="M10" s="86">
        <v>2723</v>
      </c>
      <c r="O10" s="89" t="s">
        <v>231</v>
      </c>
      <c r="P10">
        <v>5</v>
      </c>
      <c r="Q10">
        <v>5</v>
      </c>
    </row>
    <row r="11" spans="1:17">
      <c r="A11" s="85">
        <v>44808</v>
      </c>
      <c r="B11" t="s">
        <v>192</v>
      </c>
      <c r="C11">
        <v>2507693918</v>
      </c>
      <c r="D11" s="86">
        <v>799</v>
      </c>
      <c r="E11" t="s">
        <v>224</v>
      </c>
      <c r="F11">
        <v>0</v>
      </c>
      <c r="G11">
        <v>3284</v>
      </c>
      <c r="H11">
        <v>152</v>
      </c>
      <c r="I11">
        <v>8</v>
      </c>
      <c r="J11">
        <v>9</v>
      </c>
      <c r="K11">
        <v>6</v>
      </c>
      <c r="L11">
        <v>6</v>
      </c>
      <c r="M11" s="86">
        <v>1549</v>
      </c>
      <c r="O11" s="89" t="s">
        <v>205</v>
      </c>
      <c r="P11">
        <v>5</v>
      </c>
      <c r="Q11">
        <v>5</v>
      </c>
    </row>
    <row r="12" spans="1:17">
      <c r="A12" s="85">
        <v>44808</v>
      </c>
      <c r="B12" t="s">
        <v>232</v>
      </c>
      <c r="C12">
        <v>2480178424</v>
      </c>
      <c r="D12" s="86">
        <v>726</v>
      </c>
      <c r="E12" t="s">
        <v>224</v>
      </c>
      <c r="F12">
        <v>0</v>
      </c>
      <c r="G12">
        <v>2586</v>
      </c>
      <c r="H12">
        <v>96</v>
      </c>
      <c r="I12">
        <v>2</v>
      </c>
      <c r="J12">
        <v>2</v>
      </c>
      <c r="K12">
        <v>2</v>
      </c>
      <c r="L12">
        <v>2</v>
      </c>
      <c r="M12" s="86">
        <v>496</v>
      </c>
      <c r="O12" s="89" t="s">
        <v>233</v>
      </c>
      <c r="P12">
        <v>4</v>
      </c>
      <c r="Q12">
        <v>4</v>
      </c>
    </row>
    <row r="13" spans="1:17">
      <c r="A13" s="85">
        <v>44808</v>
      </c>
      <c r="B13" t="s">
        <v>198</v>
      </c>
      <c r="C13">
        <v>2027905719</v>
      </c>
      <c r="D13" s="86">
        <v>279</v>
      </c>
      <c r="E13" t="s">
        <v>224</v>
      </c>
      <c r="F13">
        <v>1</v>
      </c>
      <c r="G13">
        <v>3399</v>
      </c>
      <c r="H13">
        <v>166</v>
      </c>
      <c r="I13">
        <v>15</v>
      </c>
      <c r="J13">
        <v>19</v>
      </c>
      <c r="K13">
        <v>12</v>
      </c>
      <c r="L13">
        <v>12</v>
      </c>
      <c r="M13" s="86">
        <v>1169</v>
      </c>
      <c r="O13" s="89" t="s">
        <v>234</v>
      </c>
      <c r="P13">
        <v>3</v>
      </c>
      <c r="Q13">
        <v>3</v>
      </c>
    </row>
    <row r="14" spans="1:17">
      <c r="A14" s="85">
        <v>44808</v>
      </c>
      <c r="B14" t="s">
        <v>235</v>
      </c>
      <c r="C14">
        <v>2507679096</v>
      </c>
      <c r="D14" s="86">
        <v>278</v>
      </c>
      <c r="E14" t="s">
        <v>224</v>
      </c>
      <c r="F14">
        <v>0</v>
      </c>
      <c r="G14">
        <v>2323</v>
      </c>
      <c r="H14">
        <v>42</v>
      </c>
      <c r="I14">
        <v>1</v>
      </c>
      <c r="J14">
        <v>1</v>
      </c>
      <c r="K14">
        <v>0</v>
      </c>
      <c r="L14">
        <v>0</v>
      </c>
      <c r="M14" s="86">
        <v>0</v>
      </c>
      <c r="O14" s="89" t="s">
        <v>215</v>
      </c>
      <c r="P14">
        <v>3</v>
      </c>
      <c r="Q14">
        <v>3</v>
      </c>
    </row>
    <row r="15" spans="1:17">
      <c r="A15" s="85">
        <v>44808</v>
      </c>
      <c r="B15" t="s">
        <v>236</v>
      </c>
      <c r="C15">
        <v>2021508256</v>
      </c>
      <c r="D15" s="86">
        <v>726</v>
      </c>
      <c r="E15" t="s">
        <v>224</v>
      </c>
      <c r="F15">
        <v>0</v>
      </c>
      <c r="G15">
        <v>2418</v>
      </c>
      <c r="H15">
        <v>57</v>
      </c>
      <c r="I15">
        <v>0</v>
      </c>
      <c r="J15">
        <v>0</v>
      </c>
      <c r="K15">
        <v>0</v>
      </c>
      <c r="L15">
        <v>0</v>
      </c>
      <c r="M15" s="86">
        <v>0</v>
      </c>
      <c r="O15" s="89" t="s">
        <v>237</v>
      </c>
      <c r="P15">
        <v>3</v>
      </c>
      <c r="Q15">
        <v>3</v>
      </c>
    </row>
    <row r="16" spans="1:17">
      <c r="A16" s="85">
        <v>44808</v>
      </c>
      <c r="B16" t="s">
        <v>179</v>
      </c>
      <c r="C16">
        <v>2006409756</v>
      </c>
      <c r="D16" s="86">
        <v>748</v>
      </c>
      <c r="E16" t="s">
        <v>224</v>
      </c>
      <c r="F16">
        <v>0</v>
      </c>
      <c r="G16">
        <v>2755</v>
      </c>
      <c r="H16">
        <v>185</v>
      </c>
      <c r="I16">
        <v>5</v>
      </c>
      <c r="J16">
        <v>5</v>
      </c>
      <c r="K16">
        <v>5</v>
      </c>
      <c r="L16">
        <v>5</v>
      </c>
      <c r="M16" s="86">
        <v>1238</v>
      </c>
      <c r="O16" s="89" t="s">
        <v>238</v>
      </c>
      <c r="P16">
        <v>2</v>
      </c>
      <c r="Q16">
        <v>2</v>
      </c>
    </row>
    <row r="17" spans="1:17">
      <c r="A17" s="85">
        <v>44808</v>
      </c>
      <c r="B17" t="s">
        <v>239</v>
      </c>
      <c r="C17">
        <v>2019733769</v>
      </c>
      <c r="D17" s="86">
        <v>286</v>
      </c>
      <c r="E17" t="s">
        <v>224</v>
      </c>
      <c r="F17">
        <v>0</v>
      </c>
      <c r="G17">
        <v>2241</v>
      </c>
      <c r="H17">
        <v>57</v>
      </c>
      <c r="I17">
        <v>0</v>
      </c>
      <c r="J17">
        <v>0</v>
      </c>
      <c r="K17">
        <v>0</v>
      </c>
      <c r="L17">
        <v>0</v>
      </c>
      <c r="M17" s="86">
        <v>0</v>
      </c>
      <c r="O17" s="89" t="s">
        <v>240</v>
      </c>
      <c r="P17">
        <v>1</v>
      </c>
      <c r="Q17">
        <v>1</v>
      </c>
    </row>
    <row r="18" spans="1:17">
      <c r="A18" s="85">
        <v>44808</v>
      </c>
      <c r="B18" t="s">
        <v>241</v>
      </c>
      <c r="C18">
        <v>2011047024</v>
      </c>
      <c r="D18" s="86">
        <v>269</v>
      </c>
      <c r="E18" t="s">
        <v>224</v>
      </c>
      <c r="F18">
        <v>1</v>
      </c>
      <c r="G18">
        <v>2086</v>
      </c>
      <c r="H18">
        <v>108</v>
      </c>
      <c r="I18">
        <v>5</v>
      </c>
      <c r="J18">
        <v>5</v>
      </c>
      <c r="K18">
        <v>3</v>
      </c>
      <c r="L18">
        <v>3</v>
      </c>
      <c r="M18" s="86">
        <v>287</v>
      </c>
      <c r="O18" s="89" t="s">
        <v>242</v>
      </c>
      <c r="P18">
        <v>1</v>
      </c>
      <c r="Q18">
        <v>1</v>
      </c>
    </row>
    <row r="19" spans="1:17">
      <c r="A19" s="85">
        <v>44808</v>
      </c>
      <c r="B19" t="s">
        <v>243</v>
      </c>
      <c r="C19">
        <v>2015826323</v>
      </c>
      <c r="D19" s="86">
        <v>229</v>
      </c>
      <c r="E19" t="s">
        <v>224</v>
      </c>
      <c r="F19">
        <v>0</v>
      </c>
      <c r="G19">
        <v>1844</v>
      </c>
      <c r="H19">
        <v>14</v>
      </c>
      <c r="I19">
        <v>0</v>
      </c>
      <c r="J19">
        <v>0</v>
      </c>
      <c r="K19">
        <v>0</v>
      </c>
      <c r="L19">
        <v>0</v>
      </c>
      <c r="M19" s="86">
        <v>0</v>
      </c>
      <c r="O19" s="89" t="s">
        <v>244</v>
      </c>
      <c r="P19">
        <v>1</v>
      </c>
      <c r="Q19">
        <v>1</v>
      </c>
    </row>
    <row r="20" spans="1:17">
      <c r="A20" s="85">
        <v>44808</v>
      </c>
      <c r="B20" t="s">
        <v>199</v>
      </c>
      <c r="C20">
        <v>2476776138</v>
      </c>
      <c r="D20" s="86">
        <v>638</v>
      </c>
      <c r="E20" t="s">
        <v>224</v>
      </c>
      <c r="F20">
        <v>0</v>
      </c>
      <c r="G20">
        <v>2054</v>
      </c>
      <c r="H20">
        <v>83</v>
      </c>
      <c r="I20">
        <v>6</v>
      </c>
      <c r="J20">
        <v>8</v>
      </c>
      <c r="K20">
        <v>6</v>
      </c>
      <c r="L20">
        <v>7</v>
      </c>
      <c r="M20" s="86">
        <v>1506</v>
      </c>
      <c r="O20" s="89" t="s">
        <v>245</v>
      </c>
      <c r="P20">
        <v>0</v>
      </c>
      <c r="Q20">
        <v>0</v>
      </c>
    </row>
    <row r="21" spans="1:17">
      <c r="A21" s="85">
        <v>44808</v>
      </c>
      <c r="B21" t="s">
        <v>204</v>
      </c>
      <c r="C21">
        <v>2460481743</v>
      </c>
      <c r="D21" s="86">
        <v>996</v>
      </c>
      <c r="E21" t="s">
        <v>224</v>
      </c>
      <c r="F21">
        <v>0</v>
      </c>
      <c r="G21">
        <v>1601</v>
      </c>
      <c r="H21">
        <v>26</v>
      </c>
      <c r="I21">
        <v>0</v>
      </c>
      <c r="J21">
        <v>0</v>
      </c>
      <c r="K21">
        <v>0</v>
      </c>
      <c r="L21">
        <v>0</v>
      </c>
      <c r="M21" s="86">
        <v>0</v>
      </c>
      <c r="O21" s="89" t="s">
        <v>246</v>
      </c>
      <c r="P21">
        <v>0</v>
      </c>
      <c r="Q21">
        <v>0</v>
      </c>
    </row>
    <row r="22" spans="1:17">
      <c r="A22" s="85">
        <v>44808</v>
      </c>
      <c r="B22" t="s">
        <v>247</v>
      </c>
      <c r="C22">
        <v>2011142049</v>
      </c>
      <c r="D22" s="86">
        <v>249</v>
      </c>
      <c r="E22" t="s">
        <v>224</v>
      </c>
      <c r="F22">
        <v>0</v>
      </c>
      <c r="G22">
        <v>1566</v>
      </c>
      <c r="H22">
        <v>32</v>
      </c>
      <c r="I22">
        <v>0</v>
      </c>
      <c r="J22">
        <v>0</v>
      </c>
      <c r="K22">
        <v>0</v>
      </c>
      <c r="L22">
        <v>0</v>
      </c>
      <c r="M22" s="86">
        <v>0</v>
      </c>
      <c r="O22" s="89" t="s">
        <v>248</v>
      </c>
      <c r="P22">
        <v>0</v>
      </c>
      <c r="Q22">
        <v>0</v>
      </c>
    </row>
    <row r="23" spans="1:17">
      <c r="A23" s="85">
        <v>44808</v>
      </c>
      <c r="B23" t="s">
        <v>206</v>
      </c>
      <c r="C23">
        <v>2021434911</v>
      </c>
      <c r="D23" s="86">
        <v>776</v>
      </c>
      <c r="E23" t="s">
        <v>224</v>
      </c>
      <c r="F23">
        <v>0</v>
      </c>
      <c r="G23">
        <v>1716</v>
      </c>
      <c r="H23">
        <v>61</v>
      </c>
      <c r="I23">
        <v>4</v>
      </c>
      <c r="J23">
        <v>4</v>
      </c>
      <c r="K23">
        <v>4</v>
      </c>
      <c r="L23">
        <v>4</v>
      </c>
      <c r="M23" s="87">
        <v>983.51</v>
      </c>
      <c r="O23" s="89" t="s">
        <v>249</v>
      </c>
      <c r="P23">
        <v>0</v>
      </c>
      <c r="Q23">
        <v>0</v>
      </c>
    </row>
    <row r="24" spans="1:17">
      <c r="A24" s="85">
        <v>44808</v>
      </c>
      <c r="B24" t="s">
        <v>250</v>
      </c>
      <c r="C24">
        <v>2010924773</v>
      </c>
      <c r="D24" s="86">
        <v>249</v>
      </c>
      <c r="E24" t="s">
        <v>224</v>
      </c>
      <c r="F24">
        <v>0</v>
      </c>
      <c r="G24">
        <v>1693</v>
      </c>
      <c r="H24">
        <v>37</v>
      </c>
      <c r="I24">
        <v>3</v>
      </c>
      <c r="J24">
        <v>4</v>
      </c>
      <c r="K24">
        <v>1</v>
      </c>
      <c r="L24">
        <v>1</v>
      </c>
      <c r="M24" s="86">
        <v>107</v>
      </c>
      <c r="O24" s="89" t="s">
        <v>251</v>
      </c>
      <c r="P24">
        <v>0</v>
      </c>
      <c r="Q24">
        <v>0</v>
      </c>
    </row>
    <row r="25" spans="1:17">
      <c r="A25" s="85">
        <v>44808</v>
      </c>
      <c r="B25" t="s">
        <v>252</v>
      </c>
      <c r="C25">
        <v>2015822774</v>
      </c>
      <c r="D25" s="86">
        <v>239</v>
      </c>
      <c r="E25" t="s">
        <v>224</v>
      </c>
      <c r="F25">
        <v>0</v>
      </c>
      <c r="G25">
        <v>1372</v>
      </c>
      <c r="H25">
        <v>20</v>
      </c>
      <c r="I25">
        <v>0</v>
      </c>
      <c r="J25">
        <v>0</v>
      </c>
      <c r="K25">
        <v>0</v>
      </c>
      <c r="L25">
        <v>0</v>
      </c>
      <c r="M25" s="86">
        <v>0</v>
      </c>
      <c r="O25" s="89" t="s">
        <v>253</v>
      </c>
      <c r="P25">
        <v>0</v>
      </c>
      <c r="Q25">
        <v>0</v>
      </c>
    </row>
    <row r="26" spans="1:17">
      <c r="A26" s="85">
        <v>44808</v>
      </c>
      <c r="B26" t="s">
        <v>254</v>
      </c>
      <c r="C26">
        <v>2476788224</v>
      </c>
      <c r="D26" s="86">
        <v>726</v>
      </c>
      <c r="E26" t="s">
        <v>224</v>
      </c>
      <c r="F26">
        <v>0</v>
      </c>
      <c r="G26">
        <v>1174</v>
      </c>
      <c r="H26">
        <v>27</v>
      </c>
      <c r="I26">
        <v>0</v>
      </c>
      <c r="J26">
        <v>0</v>
      </c>
      <c r="K26">
        <v>0</v>
      </c>
      <c r="L26">
        <v>0</v>
      </c>
      <c r="M26" s="86">
        <v>0</v>
      </c>
      <c r="O26" s="89" t="s">
        <v>255</v>
      </c>
      <c r="P26">
        <v>0</v>
      </c>
      <c r="Q26">
        <v>0</v>
      </c>
    </row>
    <row r="27" spans="1:17">
      <c r="A27" s="85">
        <v>44808</v>
      </c>
      <c r="B27" t="s">
        <v>256</v>
      </c>
      <c r="C27">
        <v>2482777785</v>
      </c>
      <c r="D27" s="86">
        <v>256</v>
      </c>
      <c r="E27" t="s">
        <v>224</v>
      </c>
      <c r="F27">
        <v>0</v>
      </c>
      <c r="G27">
        <v>1029</v>
      </c>
      <c r="H27">
        <v>16</v>
      </c>
      <c r="I27">
        <v>0</v>
      </c>
      <c r="J27">
        <v>0</v>
      </c>
      <c r="K27">
        <v>0</v>
      </c>
      <c r="L27">
        <v>0</v>
      </c>
      <c r="M27" s="86">
        <v>0</v>
      </c>
      <c r="O27" s="89" t="s">
        <v>257</v>
      </c>
      <c r="P27">
        <v>0</v>
      </c>
      <c r="Q27">
        <v>0</v>
      </c>
    </row>
    <row r="28" spans="1:17">
      <c r="A28" s="85">
        <v>44808</v>
      </c>
      <c r="B28" t="s">
        <v>194</v>
      </c>
      <c r="C28">
        <v>2011142012</v>
      </c>
      <c r="D28" s="86">
        <v>928</v>
      </c>
      <c r="E28" t="s">
        <v>224</v>
      </c>
      <c r="F28">
        <v>0</v>
      </c>
      <c r="G28">
        <v>981</v>
      </c>
      <c r="H28">
        <v>38</v>
      </c>
      <c r="I28">
        <v>0</v>
      </c>
      <c r="J28">
        <v>0</v>
      </c>
      <c r="K28">
        <v>0</v>
      </c>
      <c r="L28">
        <v>0</v>
      </c>
      <c r="M28" s="86">
        <v>0</v>
      </c>
      <c r="O28" s="89" t="s">
        <v>258</v>
      </c>
      <c r="P28">
        <v>0</v>
      </c>
      <c r="Q28">
        <v>0</v>
      </c>
    </row>
    <row r="29" spans="1:17">
      <c r="A29" s="85">
        <v>44808</v>
      </c>
      <c r="B29" t="s">
        <v>259</v>
      </c>
      <c r="C29">
        <v>2463683490</v>
      </c>
      <c r="D29" s="86">
        <v>268</v>
      </c>
      <c r="E29" t="s">
        <v>224</v>
      </c>
      <c r="F29">
        <v>0</v>
      </c>
      <c r="G29">
        <v>966</v>
      </c>
      <c r="H29">
        <v>22</v>
      </c>
      <c r="I29">
        <v>1</v>
      </c>
      <c r="J29">
        <v>1</v>
      </c>
      <c r="K29">
        <v>1</v>
      </c>
      <c r="L29">
        <v>1</v>
      </c>
      <c r="M29" s="86">
        <v>87</v>
      </c>
      <c r="O29" s="89" t="s">
        <v>260</v>
      </c>
      <c r="P29">
        <v>0</v>
      </c>
      <c r="Q29">
        <v>0</v>
      </c>
    </row>
    <row r="30" spans="1:17">
      <c r="A30" s="85">
        <v>44808</v>
      </c>
      <c r="B30" t="s">
        <v>261</v>
      </c>
      <c r="C30">
        <v>2027747907</v>
      </c>
      <c r="D30" s="86">
        <v>268</v>
      </c>
      <c r="E30" t="s">
        <v>224</v>
      </c>
      <c r="F30">
        <v>0</v>
      </c>
      <c r="G30">
        <v>939</v>
      </c>
      <c r="H30">
        <v>12</v>
      </c>
      <c r="I30">
        <v>0</v>
      </c>
      <c r="J30">
        <v>0</v>
      </c>
      <c r="K30">
        <v>0</v>
      </c>
      <c r="L30">
        <v>0</v>
      </c>
      <c r="M30" s="86">
        <v>0</v>
      </c>
      <c r="O30" s="89" t="s">
        <v>262</v>
      </c>
      <c r="P30">
        <v>0</v>
      </c>
      <c r="Q30">
        <v>0</v>
      </c>
    </row>
    <row r="31" spans="1:17">
      <c r="A31" s="85">
        <v>44808</v>
      </c>
      <c r="B31" t="s">
        <v>263</v>
      </c>
      <c r="C31">
        <v>2480177374</v>
      </c>
      <c r="D31" s="86">
        <v>608</v>
      </c>
      <c r="E31" t="s">
        <v>224</v>
      </c>
      <c r="F31">
        <v>0</v>
      </c>
      <c r="G31">
        <v>1064</v>
      </c>
      <c r="H31">
        <v>67</v>
      </c>
      <c r="I31">
        <v>1</v>
      </c>
      <c r="J31">
        <v>1</v>
      </c>
      <c r="K31">
        <v>0</v>
      </c>
      <c r="L31">
        <v>0</v>
      </c>
      <c r="M31" s="86">
        <v>0</v>
      </c>
      <c r="O31" s="89" t="s">
        <v>264</v>
      </c>
      <c r="P31">
        <v>0</v>
      </c>
      <c r="Q31">
        <v>0</v>
      </c>
    </row>
    <row r="32" spans="1:17">
      <c r="A32" s="85">
        <v>44808</v>
      </c>
      <c r="B32" t="s">
        <v>265</v>
      </c>
      <c r="C32">
        <v>2499188374</v>
      </c>
      <c r="D32" s="86">
        <v>659</v>
      </c>
      <c r="E32" t="s">
        <v>224</v>
      </c>
      <c r="F32">
        <v>0</v>
      </c>
      <c r="G32">
        <v>864</v>
      </c>
      <c r="H32">
        <v>39</v>
      </c>
      <c r="I32">
        <v>0</v>
      </c>
      <c r="J32">
        <v>0</v>
      </c>
      <c r="K32">
        <v>0</v>
      </c>
      <c r="L32">
        <v>0</v>
      </c>
      <c r="M32" s="86">
        <v>0</v>
      </c>
      <c r="O32" s="89" t="s">
        <v>266</v>
      </c>
      <c r="P32">
        <v>0</v>
      </c>
      <c r="Q32">
        <v>0</v>
      </c>
    </row>
    <row r="33" spans="1:17">
      <c r="A33" s="85">
        <v>44808</v>
      </c>
      <c r="B33" t="s">
        <v>184</v>
      </c>
      <c r="C33">
        <v>2545182157</v>
      </c>
      <c r="D33" s="86">
        <v>1569</v>
      </c>
      <c r="E33" t="s">
        <v>224</v>
      </c>
      <c r="F33">
        <v>0</v>
      </c>
      <c r="G33">
        <v>829</v>
      </c>
      <c r="H33">
        <v>13</v>
      </c>
      <c r="I33">
        <v>0</v>
      </c>
      <c r="J33">
        <v>0</v>
      </c>
      <c r="K33">
        <v>0</v>
      </c>
      <c r="L33">
        <v>0</v>
      </c>
      <c r="M33" s="86">
        <v>0</v>
      </c>
      <c r="O33" s="89" t="s">
        <v>267</v>
      </c>
      <c r="P33">
        <v>0</v>
      </c>
      <c r="Q33">
        <v>0</v>
      </c>
    </row>
    <row r="34" spans="1:17">
      <c r="A34" s="85">
        <v>44809</v>
      </c>
      <c r="B34" t="s">
        <v>198</v>
      </c>
      <c r="C34">
        <v>2027905719</v>
      </c>
      <c r="D34" s="86">
        <v>279</v>
      </c>
      <c r="E34" t="s">
        <v>224</v>
      </c>
      <c r="F34">
        <v>0</v>
      </c>
      <c r="G34">
        <v>2286</v>
      </c>
      <c r="H34">
        <v>84</v>
      </c>
      <c r="I34">
        <v>8</v>
      </c>
      <c r="J34">
        <v>8</v>
      </c>
      <c r="K34">
        <v>8</v>
      </c>
      <c r="L34">
        <v>8</v>
      </c>
      <c r="M34" s="86">
        <v>768</v>
      </c>
      <c r="O34" s="89" t="s">
        <v>268</v>
      </c>
      <c r="P34">
        <v>0</v>
      </c>
      <c r="Q34">
        <v>0</v>
      </c>
    </row>
    <row r="35" spans="1:17">
      <c r="A35" s="85">
        <v>44809</v>
      </c>
      <c r="B35" t="s">
        <v>180</v>
      </c>
      <c r="C35">
        <v>2529476838</v>
      </c>
      <c r="D35" s="87">
        <v>69.9</v>
      </c>
      <c r="E35" t="s">
        <v>224</v>
      </c>
      <c r="F35">
        <v>0</v>
      </c>
      <c r="G35">
        <v>4313</v>
      </c>
      <c r="H35">
        <v>213</v>
      </c>
      <c r="I35">
        <v>33</v>
      </c>
      <c r="J35">
        <v>36</v>
      </c>
      <c r="K35">
        <v>30</v>
      </c>
      <c r="L35">
        <v>33</v>
      </c>
      <c r="M35" s="87">
        <v>656.7</v>
      </c>
      <c r="O35" s="89" t="s">
        <v>269</v>
      </c>
      <c r="P35">
        <v>0</v>
      </c>
      <c r="Q35">
        <v>0</v>
      </c>
    </row>
    <row r="36" spans="1:17">
      <c r="A36" s="85">
        <v>44809</v>
      </c>
      <c r="B36" t="s">
        <v>195</v>
      </c>
      <c r="C36">
        <v>1567470953</v>
      </c>
      <c r="D36" s="86">
        <v>99</v>
      </c>
      <c r="E36" t="s">
        <v>224</v>
      </c>
      <c r="F36">
        <v>0</v>
      </c>
      <c r="G36">
        <v>2436</v>
      </c>
      <c r="H36">
        <v>125</v>
      </c>
      <c r="I36">
        <v>2</v>
      </c>
      <c r="J36">
        <v>2</v>
      </c>
      <c r="K36">
        <v>2</v>
      </c>
      <c r="L36">
        <v>2</v>
      </c>
      <c r="M36" s="87">
        <v>39.8</v>
      </c>
      <c r="O36" s="89" t="s">
        <v>270</v>
      </c>
      <c r="P36">
        <v>0</v>
      </c>
      <c r="Q36">
        <v>0</v>
      </c>
    </row>
    <row r="37" spans="1:17">
      <c r="A37" s="85">
        <v>44809</v>
      </c>
      <c r="B37" t="s">
        <v>185</v>
      </c>
      <c r="C37">
        <v>2033524077</v>
      </c>
      <c r="D37" s="86">
        <v>99</v>
      </c>
      <c r="E37" t="s">
        <v>224</v>
      </c>
      <c r="F37">
        <v>1</v>
      </c>
      <c r="G37">
        <v>3523</v>
      </c>
      <c r="H37">
        <v>145</v>
      </c>
      <c r="I37">
        <v>17</v>
      </c>
      <c r="J37">
        <v>18</v>
      </c>
      <c r="K37">
        <v>16</v>
      </c>
      <c r="L37">
        <v>16</v>
      </c>
      <c r="M37" s="87">
        <v>613.4</v>
      </c>
      <c r="O37" s="89" t="s">
        <v>271</v>
      </c>
      <c r="P37">
        <v>0</v>
      </c>
      <c r="Q37">
        <v>0</v>
      </c>
    </row>
    <row r="38" spans="1:17">
      <c r="A38" s="85">
        <v>44809</v>
      </c>
      <c r="B38" t="s">
        <v>193</v>
      </c>
      <c r="C38">
        <v>2419194308</v>
      </c>
      <c r="D38" s="86">
        <v>79</v>
      </c>
      <c r="E38" t="s">
        <v>224</v>
      </c>
      <c r="F38">
        <v>0</v>
      </c>
      <c r="G38">
        <v>3512</v>
      </c>
      <c r="H38">
        <v>93</v>
      </c>
      <c r="I38">
        <v>10</v>
      </c>
      <c r="J38">
        <v>11</v>
      </c>
      <c r="K38">
        <v>9</v>
      </c>
      <c r="L38">
        <v>9</v>
      </c>
      <c r="M38" s="87">
        <v>351.1</v>
      </c>
      <c r="O38" s="89" t="s">
        <v>272</v>
      </c>
      <c r="P38">
        <v>0</v>
      </c>
      <c r="Q38">
        <v>0</v>
      </c>
    </row>
    <row r="39" spans="1:17">
      <c r="A39" s="85">
        <v>44809</v>
      </c>
      <c r="B39" t="s">
        <v>225</v>
      </c>
      <c r="C39">
        <v>1906890718</v>
      </c>
      <c r="D39" s="86">
        <v>69</v>
      </c>
      <c r="E39" t="s">
        <v>224</v>
      </c>
      <c r="F39">
        <v>0</v>
      </c>
      <c r="G39">
        <v>1876</v>
      </c>
      <c r="H39">
        <v>43</v>
      </c>
      <c r="I39">
        <v>1</v>
      </c>
      <c r="J39">
        <v>1</v>
      </c>
      <c r="K39">
        <v>1</v>
      </c>
      <c r="L39">
        <v>1</v>
      </c>
      <c r="M39" s="86">
        <v>66</v>
      </c>
      <c r="O39" s="89" t="s">
        <v>273</v>
      </c>
      <c r="P39">
        <v>0</v>
      </c>
      <c r="Q39">
        <v>0</v>
      </c>
    </row>
    <row r="40" spans="1:17">
      <c r="A40" s="85">
        <v>44809</v>
      </c>
      <c r="B40" t="s">
        <v>226</v>
      </c>
      <c r="C40">
        <v>2035646456</v>
      </c>
      <c r="D40" s="86">
        <v>259</v>
      </c>
      <c r="E40" t="s">
        <v>224</v>
      </c>
      <c r="F40">
        <v>0</v>
      </c>
      <c r="G40">
        <v>1294</v>
      </c>
      <c r="H40">
        <v>32</v>
      </c>
      <c r="I40">
        <v>0</v>
      </c>
      <c r="J40">
        <v>0</v>
      </c>
      <c r="K40">
        <v>0</v>
      </c>
      <c r="L40">
        <v>0</v>
      </c>
      <c r="M40" s="86">
        <v>0</v>
      </c>
      <c r="O40" s="89" t="s">
        <v>274</v>
      </c>
      <c r="P40">
        <v>0</v>
      </c>
      <c r="Q40">
        <v>0</v>
      </c>
    </row>
    <row r="41" spans="1:17">
      <c r="A41" s="85">
        <v>44809</v>
      </c>
      <c r="B41" t="s">
        <v>207</v>
      </c>
      <c r="C41">
        <v>2035823215</v>
      </c>
      <c r="D41" s="86">
        <v>279</v>
      </c>
      <c r="E41" t="s">
        <v>224</v>
      </c>
      <c r="F41">
        <v>0</v>
      </c>
      <c r="G41">
        <v>1592</v>
      </c>
      <c r="H41">
        <v>41</v>
      </c>
      <c r="I41">
        <v>2</v>
      </c>
      <c r="J41">
        <v>2</v>
      </c>
      <c r="K41">
        <v>2</v>
      </c>
      <c r="L41">
        <v>2</v>
      </c>
      <c r="M41" s="86">
        <v>197</v>
      </c>
      <c r="O41" s="89" t="s">
        <v>275</v>
      </c>
      <c r="P41">
        <v>0</v>
      </c>
      <c r="Q41">
        <v>0</v>
      </c>
    </row>
    <row r="42" spans="1:17">
      <c r="A42" s="85">
        <v>44809</v>
      </c>
      <c r="B42" t="s">
        <v>230</v>
      </c>
      <c r="C42">
        <v>2541092403</v>
      </c>
      <c r="D42" s="86">
        <v>249</v>
      </c>
      <c r="E42" t="s">
        <v>224</v>
      </c>
      <c r="F42">
        <v>0</v>
      </c>
      <c r="G42">
        <v>1126</v>
      </c>
      <c r="H42">
        <v>17</v>
      </c>
      <c r="I42">
        <v>0</v>
      </c>
      <c r="J42">
        <v>0</v>
      </c>
      <c r="K42">
        <v>0</v>
      </c>
      <c r="L42">
        <v>0</v>
      </c>
      <c r="M42" s="86">
        <v>0</v>
      </c>
      <c r="O42" s="89" t="s">
        <v>276</v>
      </c>
      <c r="P42">
        <v>0</v>
      </c>
      <c r="Q42">
        <v>0</v>
      </c>
    </row>
    <row r="43" spans="1:17">
      <c r="A43" s="85">
        <v>44809</v>
      </c>
      <c r="B43" t="s">
        <v>181</v>
      </c>
      <c r="C43">
        <v>1983238576</v>
      </c>
      <c r="D43" s="86">
        <v>739</v>
      </c>
      <c r="E43" t="s">
        <v>224</v>
      </c>
      <c r="F43">
        <v>0</v>
      </c>
      <c r="G43">
        <v>3466</v>
      </c>
      <c r="H43">
        <v>216</v>
      </c>
      <c r="I43">
        <v>12</v>
      </c>
      <c r="J43">
        <v>13</v>
      </c>
      <c r="K43">
        <v>8</v>
      </c>
      <c r="L43">
        <v>8</v>
      </c>
      <c r="M43" s="86">
        <v>1975</v>
      </c>
      <c r="O43" s="89" t="s">
        <v>277</v>
      </c>
      <c r="P43">
        <v>0</v>
      </c>
      <c r="Q43">
        <v>0</v>
      </c>
    </row>
    <row r="44" spans="1:17">
      <c r="A44" s="85">
        <v>44809</v>
      </c>
      <c r="B44" t="s">
        <v>192</v>
      </c>
      <c r="C44">
        <v>2507693918</v>
      </c>
      <c r="D44" s="86">
        <v>799</v>
      </c>
      <c r="E44" t="s">
        <v>224</v>
      </c>
      <c r="F44">
        <v>2</v>
      </c>
      <c r="G44">
        <v>2213</v>
      </c>
      <c r="H44">
        <v>133</v>
      </c>
      <c r="I44">
        <v>2</v>
      </c>
      <c r="J44">
        <v>2</v>
      </c>
      <c r="K44">
        <v>2</v>
      </c>
      <c r="L44">
        <v>2</v>
      </c>
      <c r="M44" s="86">
        <v>508</v>
      </c>
      <c r="O44" s="89" t="s">
        <v>88</v>
      </c>
      <c r="P44">
        <v>130</v>
      </c>
      <c r="Q44">
        <v>111</v>
      </c>
    </row>
    <row r="45" spans="1:13">
      <c r="A45" s="85">
        <v>44809</v>
      </c>
      <c r="B45" t="s">
        <v>232</v>
      </c>
      <c r="C45">
        <v>2480178424</v>
      </c>
      <c r="D45" s="86">
        <v>726</v>
      </c>
      <c r="E45" t="s">
        <v>224</v>
      </c>
      <c r="F45">
        <v>0</v>
      </c>
      <c r="G45">
        <v>1379</v>
      </c>
      <c r="H45">
        <v>23</v>
      </c>
      <c r="I45">
        <v>0</v>
      </c>
      <c r="J45">
        <v>0</v>
      </c>
      <c r="K45">
        <v>0</v>
      </c>
      <c r="L45">
        <v>0</v>
      </c>
      <c r="M45" s="86">
        <v>0</v>
      </c>
    </row>
    <row r="46" spans="1:13">
      <c r="A46" s="85">
        <v>44809</v>
      </c>
      <c r="B46" t="s">
        <v>235</v>
      </c>
      <c r="C46">
        <v>2507679096</v>
      </c>
      <c r="D46" s="86">
        <v>278</v>
      </c>
      <c r="E46" t="s">
        <v>224</v>
      </c>
      <c r="F46">
        <v>0</v>
      </c>
      <c r="G46">
        <v>1327</v>
      </c>
      <c r="H46">
        <v>32</v>
      </c>
      <c r="I46">
        <v>1</v>
      </c>
      <c r="J46">
        <v>1</v>
      </c>
      <c r="K46">
        <v>1</v>
      </c>
      <c r="L46">
        <v>1</v>
      </c>
      <c r="M46" s="86">
        <v>98</v>
      </c>
    </row>
    <row r="47" spans="1:13">
      <c r="A47" s="85">
        <v>44809</v>
      </c>
      <c r="B47" t="s">
        <v>236</v>
      </c>
      <c r="C47">
        <v>2021508256</v>
      </c>
      <c r="D47" s="86">
        <v>726</v>
      </c>
      <c r="E47" t="s">
        <v>224</v>
      </c>
      <c r="F47">
        <v>0</v>
      </c>
      <c r="G47">
        <v>1089</v>
      </c>
      <c r="H47">
        <v>17</v>
      </c>
      <c r="I47">
        <v>0</v>
      </c>
      <c r="J47">
        <v>0</v>
      </c>
      <c r="K47">
        <v>0</v>
      </c>
      <c r="L47">
        <v>0</v>
      </c>
      <c r="M47" s="86">
        <v>0</v>
      </c>
    </row>
    <row r="48" spans="1:13">
      <c r="A48" s="85">
        <v>44809</v>
      </c>
      <c r="B48" t="s">
        <v>179</v>
      </c>
      <c r="C48">
        <v>2006409756</v>
      </c>
      <c r="D48" s="86">
        <v>748</v>
      </c>
      <c r="E48" t="s">
        <v>224</v>
      </c>
      <c r="F48">
        <v>0</v>
      </c>
      <c r="G48">
        <v>1446</v>
      </c>
      <c r="H48">
        <v>96</v>
      </c>
      <c r="I48">
        <v>0</v>
      </c>
      <c r="J48">
        <v>0</v>
      </c>
      <c r="K48">
        <v>0</v>
      </c>
      <c r="L48">
        <v>0</v>
      </c>
      <c r="M48" s="86">
        <v>0</v>
      </c>
    </row>
    <row r="49" spans="1:13">
      <c r="A49" s="85">
        <v>44809</v>
      </c>
      <c r="B49" t="s">
        <v>239</v>
      </c>
      <c r="C49">
        <v>2019733769</v>
      </c>
      <c r="D49" s="86">
        <v>286</v>
      </c>
      <c r="E49" t="s">
        <v>224</v>
      </c>
      <c r="F49">
        <v>0</v>
      </c>
      <c r="G49">
        <v>933</v>
      </c>
      <c r="H49">
        <v>19</v>
      </c>
      <c r="I49">
        <v>0</v>
      </c>
      <c r="J49">
        <v>0</v>
      </c>
      <c r="K49">
        <v>0</v>
      </c>
      <c r="L49">
        <v>0</v>
      </c>
      <c r="M49" s="86">
        <v>0</v>
      </c>
    </row>
    <row r="50" spans="1:13">
      <c r="A50" s="85">
        <v>44809</v>
      </c>
      <c r="B50" t="s">
        <v>241</v>
      </c>
      <c r="C50">
        <v>2011047024</v>
      </c>
      <c r="D50" s="86">
        <v>269</v>
      </c>
      <c r="E50" t="s">
        <v>224</v>
      </c>
      <c r="F50">
        <v>0</v>
      </c>
      <c r="G50">
        <v>1004</v>
      </c>
      <c r="H50">
        <v>50</v>
      </c>
      <c r="I50">
        <v>1</v>
      </c>
      <c r="J50">
        <v>2</v>
      </c>
      <c r="K50">
        <v>1</v>
      </c>
      <c r="L50">
        <v>1</v>
      </c>
      <c r="M50" s="86">
        <v>99</v>
      </c>
    </row>
    <row r="51" spans="1:13">
      <c r="A51" s="85">
        <v>44809</v>
      </c>
      <c r="B51" t="s">
        <v>243</v>
      </c>
      <c r="C51">
        <v>2015826323</v>
      </c>
      <c r="D51" s="86">
        <v>229</v>
      </c>
      <c r="E51" t="s">
        <v>224</v>
      </c>
      <c r="F51">
        <v>0</v>
      </c>
      <c r="G51">
        <v>912</v>
      </c>
      <c r="H51">
        <v>17</v>
      </c>
      <c r="I51">
        <v>0</v>
      </c>
      <c r="J51">
        <v>0</v>
      </c>
      <c r="K51">
        <v>0</v>
      </c>
      <c r="L51">
        <v>0</v>
      </c>
      <c r="M51" s="86">
        <v>0</v>
      </c>
    </row>
    <row r="52" spans="1:13">
      <c r="A52" s="85">
        <v>44809</v>
      </c>
      <c r="B52" t="s">
        <v>199</v>
      </c>
      <c r="C52">
        <v>2476776138</v>
      </c>
      <c r="D52" s="86">
        <v>638</v>
      </c>
      <c r="E52" t="s">
        <v>224</v>
      </c>
      <c r="F52">
        <v>0</v>
      </c>
      <c r="G52">
        <v>1487</v>
      </c>
      <c r="H52">
        <v>77</v>
      </c>
      <c r="I52">
        <v>1</v>
      </c>
      <c r="J52">
        <v>1</v>
      </c>
      <c r="K52">
        <v>0</v>
      </c>
      <c r="L52">
        <v>0</v>
      </c>
      <c r="M52" s="86">
        <v>0</v>
      </c>
    </row>
    <row r="53" spans="1:13">
      <c r="A53" s="85">
        <v>44809</v>
      </c>
      <c r="B53" t="s">
        <v>204</v>
      </c>
      <c r="C53">
        <v>2460481743</v>
      </c>
      <c r="D53" s="86">
        <v>966</v>
      </c>
      <c r="E53" t="s">
        <v>224</v>
      </c>
      <c r="F53">
        <v>0</v>
      </c>
      <c r="G53">
        <v>852</v>
      </c>
      <c r="H53">
        <v>30</v>
      </c>
      <c r="I53">
        <v>0</v>
      </c>
      <c r="J53">
        <v>0</v>
      </c>
      <c r="K53">
        <v>0</v>
      </c>
      <c r="L53">
        <v>0</v>
      </c>
      <c r="M53" s="86">
        <v>0</v>
      </c>
    </row>
    <row r="54" spans="1:13">
      <c r="A54" s="85">
        <v>44809</v>
      </c>
      <c r="B54" t="s">
        <v>247</v>
      </c>
      <c r="C54">
        <v>2011142049</v>
      </c>
      <c r="D54" s="86">
        <v>249</v>
      </c>
      <c r="E54" t="s">
        <v>224</v>
      </c>
      <c r="F54">
        <v>0</v>
      </c>
      <c r="G54">
        <v>775</v>
      </c>
      <c r="H54">
        <v>10</v>
      </c>
      <c r="I54">
        <v>0</v>
      </c>
      <c r="J54">
        <v>0</v>
      </c>
      <c r="K54">
        <v>0</v>
      </c>
      <c r="L54">
        <v>0</v>
      </c>
      <c r="M54" s="86">
        <v>0</v>
      </c>
    </row>
    <row r="55" spans="1:13">
      <c r="A55" s="85">
        <v>44809</v>
      </c>
      <c r="B55" t="s">
        <v>206</v>
      </c>
      <c r="C55">
        <v>2021434911</v>
      </c>
      <c r="D55" s="86">
        <v>776</v>
      </c>
      <c r="E55" t="s">
        <v>224</v>
      </c>
      <c r="F55">
        <v>0</v>
      </c>
      <c r="G55">
        <v>758</v>
      </c>
      <c r="H55">
        <v>19</v>
      </c>
      <c r="I55">
        <v>0</v>
      </c>
      <c r="J55">
        <v>0</v>
      </c>
      <c r="K55">
        <v>0</v>
      </c>
      <c r="L55">
        <v>0</v>
      </c>
      <c r="M55" s="86">
        <v>0</v>
      </c>
    </row>
    <row r="56" spans="1:13">
      <c r="A56" s="85">
        <v>44809</v>
      </c>
      <c r="B56" t="s">
        <v>250</v>
      </c>
      <c r="C56">
        <v>2010924773</v>
      </c>
      <c r="D56" s="86">
        <v>249</v>
      </c>
      <c r="E56" t="s">
        <v>224</v>
      </c>
      <c r="F56">
        <v>0</v>
      </c>
      <c r="G56">
        <v>666</v>
      </c>
      <c r="H56">
        <v>12</v>
      </c>
      <c r="I56">
        <v>0</v>
      </c>
      <c r="J56">
        <v>0</v>
      </c>
      <c r="K56">
        <v>0</v>
      </c>
      <c r="L56">
        <v>0</v>
      </c>
      <c r="M56" s="86">
        <v>0</v>
      </c>
    </row>
    <row r="57" spans="1:13">
      <c r="A57" s="85">
        <v>44809</v>
      </c>
      <c r="B57" t="s">
        <v>252</v>
      </c>
      <c r="C57">
        <v>2015822774</v>
      </c>
      <c r="D57" s="86">
        <v>239</v>
      </c>
      <c r="E57" t="s">
        <v>224</v>
      </c>
      <c r="F57">
        <v>0</v>
      </c>
      <c r="G57">
        <v>621</v>
      </c>
      <c r="H57">
        <v>10</v>
      </c>
      <c r="I57">
        <v>0</v>
      </c>
      <c r="J57">
        <v>0</v>
      </c>
      <c r="K57">
        <v>0</v>
      </c>
      <c r="L57">
        <v>0</v>
      </c>
      <c r="M57" s="86">
        <v>0</v>
      </c>
    </row>
    <row r="58" spans="1:13">
      <c r="A58" s="85">
        <v>44809</v>
      </c>
      <c r="B58" t="s">
        <v>254</v>
      </c>
      <c r="C58">
        <v>2476788224</v>
      </c>
      <c r="D58" s="86">
        <v>746</v>
      </c>
      <c r="E58" t="s">
        <v>224</v>
      </c>
      <c r="F58">
        <v>0</v>
      </c>
      <c r="G58">
        <v>524</v>
      </c>
      <c r="H58">
        <v>20</v>
      </c>
      <c r="I58">
        <v>0</v>
      </c>
      <c r="J58">
        <v>0</v>
      </c>
      <c r="K58">
        <v>0</v>
      </c>
      <c r="L58">
        <v>0</v>
      </c>
      <c r="M58" s="86">
        <v>0</v>
      </c>
    </row>
    <row r="59" spans="1:13">
      <c r="A59" s="85">
        <v>44809</v>
      </c>
      <c r="B59" t="s">
        <v>256</v>
      </c>
      <c r="C59">
        <v>2482777785</v>
      </c>
      <c r="D59" s="86">
        <v>256</v>
      </c>
      <c r="E59" t="s">
        <v>224</v>
      </c>
      <c r="F59">
        <v>0</v>
      </c>
      <c r="G59">
        <v>443</v>
      </c>
      <c r="H59">
        <v>11</v>
      </c>
      <c r="I59">
        <v>0</v>
      </c>
      <c r="J59">
        <v>0</v>
      </c>
      <c r="K59">
        <v>0</v>
      </c>
      <c r="L59">
        <v>0</v>
      </c>
      <c r="M59" s="86">
        <v>0</v>
      </c>
    </row>
    <row r="60" spans="1:13">
      <c r="A60" s="85">
        <v>44809</v>
      </c>
      <c r="B60" t="s">
        <v>194</v>
      </c>
      <c r="C60">
        <v>2011142012</v>
      </c>
      <c r="D60" s="86">
        <v>928</v>
      </c>
      <c r="E60" t="s">
        <v>224</v>
      </c>
      <c r="F60">
        <v>0</v>
      </c>
      <c r="G60">
        <v>440</v>
      </c>
      <c r="H60">
        <v>15</v>
      </c>
      <c r="I60">
        <v>0</v>
      </c>
      <c r="J60">
        <v>0</v>
      </c>
      <c r="K60">
        <v>0</v>
      </c>
      <c r="L60">
        <v>0</v>
      </c>
      <c r="M60" s="86">
        <v>0</v>
      </c>
    </row>
    <row r="61" spans="1:13">
      <c r="A61" s="85">
        <v>44809</v>
      </c>
      <c r="B61" t="s">
        <v>259</v>
      </c>
      <c r="C61">
        <v>2463683490</v>
      </c>
      <c r="D61" s="86">
        <v>268</v>
      </c>
      <c r="E61" t="s">
        <v>224</v>
      </c>
      <c r="F61">
        <v>0</v>
      </c>
      <c r="G61">
        <v>418</v>
      </c>
      <c r="H61">
        <v>3</v>
      </c>
      <c r="I61">
        <v>0</v>
      </c>
      <c r="J61">
        <v>0</v>
      </c>
      <c r="K61">
        <v>0</v>
      </c>
      <c r="L61">
        <v>0</v>
      </c>
      <c r="M61" s="86">
        <v>0</v>
      </c>
    </row>
    <row r="62" spans="1:13">
      <c r="A62" s="85">
        <v>44809</v>
      </c>
      <c r="B62" t="s">
        <v>261</v>
      </c>
      <c r="C62">
        <v>2027747907</v>
      </c>
      <c r="D62" s="86">
        <v>268</v>
      </c>
      <c r="E62" t="s">
        <v>224</v>
      </c>
      <c r="F62">
        <v>0</v>
      </c>
      <c r="G62">
        <v>400</v>
      </c>
      <c r="H62">
        <v>6</v>
      </c>
      <c r="I62">
        <v>0</v>
      </c>
      <c r="J62">
        <v>0</v>
      </c>
      <c r="K62">
        <v>0</v>
      </c>
      <c r="L62">
        <v>0</v>
      </c>
      <c r="M62" s="86">
        <v>0</v>
      </c>
    </row>
    <row r="63" spans="1:13">
      <c r="A63" s="85">
        <v>44809</v>
      </c>
      <c r="B63" t="s">
        <v>263</v>
      </c>
      <c r="C63">
        <v>2480177374</v>
      </c>
      <c r="D63" s="86">
        <v>608</v>
      </c>
      <c r="E63" t="s">
        <v>224</v>
      </c>
      <c r="F63">
        <v>0</v>
      </c>
      <c r="G63">
        <v>369</v>
      </c>
      <c r="H63">
        <v>7</v>
      </c>
      <c r="I63">
        <v>0</v>
      </c>
      <c r="J63">
        <v>0</v>
      </c>
      <c r="K63">
        <v>0</v>
      </c>
      <c r="L63">
        <v>0</v>
      </c>
      <c r="M63" s="86">
        <v>0</v>
      </c>
    </row>
    <row r="64" spans="1:13">
      <c r="A64" s="85">
        <v>44809</v>
      </c>
      <c r="B64" t="s">
        <v>265</v>
      </c>
      <c r="C64">
        <v>2499188374</v>
      </c>
      <c r="D64" s="86">
        <v>659</v>
      </c>
      <c r="E64" t="s">
        <v>224</v>
      </c>
      <c r="F64">
        <v>0</v>
      </c>
      <c r="G64">
        <v>350</v>
      </c>
      <c r="H64">
        <v>23</v>
      </c>
      <c r="I64">
        <v>0</v>
      </c>
      <c r="J64">
        <v>0</v>
      </c>
      <c r="K64">
        <v>0</v>
      </c>
      <c r="L64">
        <v>0</v>
      </c>
      <c r="M64" s="86">
        <v>0</v>
      </c>
    </row>
    <row r="65" spans="1:13">
      <c r="A65" s="85">
        <v>44809</v>
      </c>
      <c r="B65" t="s">
        <v>184</v>
      </c>
      <c r="C65">
        <v>2545182157</v>
      </c>
      <c r="D65" s="86">
        <v>1569</v>
      </c>
      <c r="E65" t="s">
        <v>224</v>
      </c>
      <c r="F65">
        <v>0</v>
      </c>
      <c r="G65">
        <v>340</v>
      </c>
      <c r="H65">
        <v>8</v>
      </c>
      <c r="I65">
        <v>0</v>
      </c>
      <c r="J65">
        <v>0</v>
      </c>
      <c r="K65">
        <v>0</v>
      </c>
      <c r="L65">
        <v>0</v>
      </c>
      <c r="M65" s="86">
        <v>0</v>
      </c>
    </row>
    <row r="66" spans="1:13">
      <c r="A66" s="85">
        <v>44811</v>
      </c>
      <c r="B66" t="s">
        <v>278</v>
      </c>
      <c r="C66">
        <v>2012733897</v>
      </c>
      <c r="D66" s="86">
        <v>418</v>
      </c>
      <c r="E66" t="s">
        <v>224</v>
      </c>
      <c r="F66">
        <v>0</v>
      </c>
      <c r="G66">
        <v>595</v>
      </c>
      <c r="H66">
        <v>49</v>
      </c>
      <c r="I66">
        <v>4</v>
      </c>
      <c r="J66">
        <v>4</v>
      </c>
      <c r="K66">
        <v>3</v>
      </c>
      <c r="L66">
        <v>3</v>
      </c>
      <c r="M66" s="86">
        <v>398</v>
      </c>
    </row>
    <row r="67" spans="1:13">
      <c r="A67" s="85">
        <v>44811</v>
      </c>
      <c r="B67" t="s">
        <v>196</v>
      </c>
      <c r="C67">
        <v>2023542289</v>
      </c>
      <c r="D67" s="86">
        <v>499</v>
      </c>
      <c r="E67" t="s">
        <v>224</v>
      </c>
      <c r="F67">
        <v>0</v>
      </c>
      <c r="G67">
        <v>841</v>
      </c>
      <c r="H67">
        <v>45</v>
      </c>
      <c r="I67">
        <v>2</v>
      </c>
      <c r="J67">
        <v>3</v>
      </c>
      <c r="K67">
        <v>2</v>
      </c>
      <c r="L67">
        <v>2</v>
      </c>
      <c r="M67" s="86">
        <v>993</v>
      </c>
    </row>
    <row r="68" spans="1:13">
      <c r="A68" s="85">
        <v>44811</v>
      </c>
      <c r="B68" t="s">
        <v>180</v>
      </c>
      <c r="C68">
        <v>2529476838</v>
      </c>
      <c r="D68" s="87">
        <v>69.9</v>
      </c>
      <c r="E68" t="s">
        <v>224</v>
      </c>
      <c r="F68">
        <v>0</v>
      </c>
      <c r="G68">
        <v>2841</v>
      </c>
      <c r="H68">
        <v>127</v>
      </c>
      <c r="I68">
        <v>20</v>
      </c>
      <c r="J68">
        <v>21</v>
      </c>
      <c r="K68">
        <v>19</v>
      </c>
      <c r="L68">
        <v>19</v>
      </c>
      <c r="M68" s="87">
        <v>378.1</v>
      </c>
    </row>
    <row r="69" spans="1:13">
      <c r="A69" s="85">
        <v>44811</v>
      </c>
      <c r="B69" t="s">
        <v>195</v>
      </c>
      <c r="C69">
        <v>1567470953</v>
      </c>
      <c r="D69" s="86">
        <v>99</v>
      </c>
      <c r="E69" t="s">
        <v>224</v>
      </c>
      <c r="F69">
        <v>0</v>
      </c>
      <c r="G69">
        <v>2639</v>
      </c>
      <c r="H69">
        <v>220</v>
      </c>
      <c r="I69">
        <v>1</v>
      </c>
      <c r="J69">
        <v>1</v>
      </c>
      <c r="K69">
        <v>1</v>
      </c>
      <c r="L69">
        <v>1</v>
      </c>
      <c r="M69" s="87">
        <v>19.9</v>
      </c>
    </row>
    <row r="70" spans="1:13">
      <c r="A70" s="85">
        <v>44811</v>
      </c>
      <c r="B70" t="s">
        <v>185</v>
      </c>
      <c r="C70">
        <v>2033524077</v>
      </c>
      <c r="D70" s="86">
        <v>99</v>
      </c>
      <c r="E70" t="s">
        <v>224</v>
      </c>
      <c r="F70">
        <v>0</v>
      </c>
      <c r="G70">
        <v>3015</v>
      </c>
      <c r="H70">
        <v>98</v>
      </c>
      <c r="I70">
        <v>11</v>
      </c>
      <c r="J70">
        <v>11</v>
      </c>
      <c r="K70">
        <v>10</v>
      </c>
      <c r="L70">
        <v>10</v>
      </c>
      <c r="M70" s="87">
        <v>383.1</v>
      </c>
    </row>
    <row r="71" spans="1:13">
      <c r="A71" s="85">
        <v>44811</v>
      </c>
      <c r="B71" t="s">
        <v>193</v>
      </c>
      <c r="C71">
        <v>2419194308</v>
      </c>
      <c r="D71" s="86">
        <v>79</v>
      </c>
      <c r="E71" t="s">
        <v>224</v>
      </c>
      <c r="F71">
        <v>0</v>
      </c>
      <c r="G71">
        <v>2393</v>
      </c>
      <c r="H71">
        <v>83</v>
      </c>
      <c r="I71">
        <v>6</v>
      </c>
      <c r="J71">
        <v>8</v>
      </c>
      <c r="K71">
        <v>5</v>
      </c>
      <c r="L71">
        <v>5</v>
      </c>
      <c r="M71" s="87">
        <v>184.5</v>
      </c>
    </row>
    <row r="72" spans="1:13">
      <c r="A72" s="85">
        <v>44811</v>
      </c>
      <c r="B72" t="s">
        <v>225</v>
      </c>
      <c r="C72">
        <v>1906890718</v>
      </c>
      <c r="D72" s="86">
        <v>69</v>
      </c>
      <c r="E72" t="s">
        <v>224</v>
      </c>
      <c r="F72">
        <v>0</v>
      </c>
      <c r="G72">
        <v>1740</v>
      </c>
      <c r="H72">
        <v>55</v>
      </c>
      <c r="I72">
        <v>0</v>
      </c>
      <c r="J72">
        <v>0</v>
      </c>
      <c r="K72">
        <v>0</v>
      </c>
      <c r="L72">
        <v>0</v>
      </c>
      <c r="M72" s="86">
        <v>0</v>
      </c>
    </row>
    <row r="73" spans="1:13">
      <c r="A73" s="85">
        <v>44811</v>
      </c>
      <c r="B73" t="s">
        <v>226</v>
      </c>
      <c r="C73">
        <v>2035646456</v>
      </c>
      <c r="D73" s="86">
        <v>259</v>
      </c>
      <c r="E73" t="s">
        <v>224</v>
      </c>
      <c r="F73">
        <v>0</v>
      </c>
      <c r="G73">
        <v>1203</v>
      </c>
      <c r="H73">
        <v>13</v>
      </c>
      <c r="I73">
        <v>0</v>
      </c>
      <c r="J73">
        <v>0</v>
      </c>
      <c r="K73">
        <v>0</v>
      </c>
      <c r="L73">
        <v>0</v>
      </c>
      <c r="M73" s="86">
        <v>0</v>
      </c>
    </row>
    <row r="74" spans="1:13">
      <c r="A74" s="85">
        <v>44811</v>
      </c>
      <c r="B74" t="s">
        <v>207</v>
      </c>
      <c r="C74">
        <v>2035823215</v>
      </c>
      <c r="D74" s="86">
        <v>279</v>
      </c>
      <c r="E74" t="s">
        <v>224</v>
      </c>
      <c r="F74">
        <v>0</v>
      </c>
      <c r="G74">
        <v>1094</v>
      </c>
      <c r="H74">
        <v>28</v>
      </c>
      <c r="I74">
        <v>2</v>
      </c>
      <c r="J74">
        <v>2</v>
      </c>
      <c r="K74">
        <v>1</v>
      </c>
      <c r="L74">
        <v>1</v>
      </c>
      <c r="M74" s="86">
        <v>98</v>
      </c>
    </row>
    <row r="75" spans="1:13">
      <c r="A75" s="85">
        <v>44811</v>
      </c>
      <c r="B75" t="s">
        <v>230</v>
      </c>
      <c r="C75">
        <v>2541092403</v>
      </c>
      <c r="D75" s="86">
        <v>249</v>
      </c>
      <c r="E75" t="s">
        <v>224</v>
      </c>
      <c r="F75">
        <v>0</v>
      </c>
      <c r="G75">
        <v>980</v>
      </c>
      <c r="H75">
        <v>19</v>
      </c>
      <c r="I75">
        <v>0</v>
      </c>
      <c r="J75">
        <v>0</v>
      </c>
      <c r="K75">
        <v>0</v>
      </c>
      <c r="L75">
        <v>0</v>
      </c>
      <c r="M75" s="86">
        <v>0</v>
      </c>
    </row>
    <row r="76" spans="1:13">
      <c r="A76" s="85">
        <v>44811</v>
      </c>
      <c r="B76" t="s">
        <v>181</v>
      </c>
      <c r="C76">
        <v>1983238576</v>
      </c>
      <c r="D76" s="86">
        <v>739</v>
      </c>
      <c r="E76" t="s">
        <v>224</v>
      </c>
      <c r="F76">
        <v>0</v>
      </c>
      <c r="G76">
        <v>1550</v>
      </c>
      <c r="H76">
        <v>131</v>
      </c>
      <c r="I76">
        <v>7</v>
      </c>
      <c r="J76">
        <v>7</v>
      </c>
      <c r="K76">
        <v>6</v>
      </c>
      <c r="L76">
        <v>6</v>
      </c>
      <c r="M76" s="86">
        <v>1482</v>
      </c>
    </row>
    <row r="77" spans="1:13">
      <c r="A77" s="85">
        <v>44811</v>
      </c>
      <c r="B77" t="s">
        <v>192</v>
      </c>
      <c r="C77">
        <v>2507693918</v>
      </c>
      <c r="D77" s="86">
        <v>799</v>
      </c>
      <c r="E77" t="s">
        <v>224</v>
      </c>
      <c r="F77">
        <v>0</v>
      </c>
      <c r="G77">
        <v>2143</v>
      </c>
      <c r="H77">
        <v>123</v>
      </c>
      <c r="I77">
        <v>5</v>
      </c>
      <c r="J77">
        <v>5</v>
      </c>
      <c r="K77">
        <v>4</v>
      </c>
      <c r="L77">
        <v>4</v>
      </c>
      <c r="M77" s="86">
        <v>1031</v>
      </c>
    </row>
    <row r="78" spans="1:13">
      <c r="A78" s="85">
        <v>44811</v>
      </c>
      <c r="B78" t="s">
        <v>232</v>
      </c>
      <c r="C78">
        <v>2480178424</v>
      </c>
      <c r="D78" s="86">
        <v>726</v>
      </c>
      <c r="E78" t="s">
        <v>224</v>
      </c>
      <c r="F78">
        <v>0</v>
      </c>
      <c r="G78">
        <v>1078</v>
      </c>
      <c r="H78">
        <v>22</v>
      </c>
      <c r="I78">
        <v>0</v>
      </c>
      <c r="J78">
        <v>0</v>
      </c>
      <c r="K78">
        <v>0</v>
      </c>
      <c r="L78">
        <v>0</v>
      </c>
      <c r="M78" s="86">
        <v>0</v>
      </c>
    </row>
    <row r="79" spans="1:13">
      <c r="A79" s="85">
        <v>44811</v>
      </c>
      <c r="B79" t="s">
        <v>198</v>
      </c>
      <c r="C79">
        <v>2027905719</v>
      </c>
      <c r="D79" s="86">
        <v>279</v>
      </c>
      <c r="E79" t="s">
        <v>224</v>
      </c>
      <c r="F79">
        <v>0</v>
      </c>
      <c r="G79">
        <v>1295</v>
      </c>
      <c r="H79">
        <v>38</v>
      </c>
      <c r="I79">
        <v>2</v>
      </c>
      <c r="J79">
        <v>2</v>
      </c>
      <c r="K79">
        <v>2</v>
      </c>
      <c r="L79">
        <v>2</v>
      </c>
      <c r="M79" s="86">
        <v>193</v>
      </c>
    </row>
    <row r="80" spans="1:13">
      <c r="A80" s="85">
        <v>44811</v>
      </c>
      <c r="B80" t="s">
        <v>235</v>
      </c>
      <c r="C80">
        <v>2507679096</v>
      </c>
      <c r="D80" s="86">
        <v>278</v>
      </c>
      <c r="E80" t="s">
        <v>224</v>
      </c>
      <c r="F80">
        <v>0</v>
      </c>
      <c r="G80">
        <v>967</v>
      </c>
      <c r="H80">
        <v>15</v>
      </c>
      <c r="I80">
        <v>0</v>
      </c>
      <c r="J80">
        <v>0</v>
      </c>
      <c r="K80">
        <v>0</v>
      </c>
      <c r="L80">
        <v>0</v>
      </c>
      <c r="M80" s="86">
        <v>0</v>
      </c>
    </row>
    <row r="81" spans="1:13">
      <c r="A81" s="85">
        <v>44811</v>
      </c>
      <c r="B81" t="s">
        <v>236</v>
      </c>
      <c r="C81">
        <v>2021508256</v>
      </c>
      <c r="D81" s="86">
        <v>726</v>
      </c>
      <c r="E81" t="s">
        <v>224</v>
      </c>
      <c r="F81">
        <v>0</v>
      </c>
      <c r="G81">
        <v>889</v>
      </c>
      <c r="H81">
        <v>19</v>
      </c>
      <c r="I81">
        <v>1</v>
      </c>
      <c r="J81">
        <v>1</v>
      </c>
      <c r="K81">
        <v>0</v>
      </c>
      <c r="L81">
        <v>0</v>
      </c>
      <c r="M81" s="86">
        <v>0</v>
      </c>
    </row>
    <row r="82" spans="1:13">
      <c r="A82" s="85">
        <v>44811</v>
      </c>
      <c r="B82" t="s">
        <v>179</v>
      </c>
      <c r="C82">
        <v>2006409756</v>
      </c>
      <c r="D82" s="86">
        <v>748</v>
      </c>
      <c r="E82" t="s">
        <v>224</v>
      </c>
      <c r="F82">
        <v>1</v>
      </c>
      <c r="G82">
        <v>1719</v>
      </c>
      <c r="H82">
        <v>116</v>
      </c>
      <c r="I82">
        <v>6</v>
      </c>
      <c r="J82">
        <v>7</v>
      </c>
      <c r="K82">
        <v>6</v>
      </c>
      <c r="L82">
        <v>7</v>
      </c>
      <c r="M82" s="86">
        <v>1721</v>
      </c>
    </row>
    <row r="83" spans="1:13">
      <c r="A83" s="85">
        <v>44811</v>
      </c>
      <c r="B83" t="s">
        <v>239</v>
      </c>
      <c r="C83">
        <v>2019733769</v>
      </c>
      <c r="D83" s="86">
        <v>286</v>
      </c>
      <c r="E83" t="s">
        <v>224</v>
      </c>
      <c r="F83">
        <v>0</v>
      </c>
      <c r="G83">
        <v>889</v>
      </c>
      <c r="H83">
        <v>15</v>
      </c>
      <c r="I83">
        <v>0</v>
      </c>
      <c r="J83">
        <v>0</v>
      </c>
      <c r="K83">
        <v>0</v>
      </c>
      <c r="L83">
        <v>0</v>
      </c>
      <c r="M83" s="86">
        <v>0</v>
      </c>
    </row>
    <row r="84" spans="1:13">
      <c r="A84" s="85">
        <v>44811</v>
      </c>
      <c r="B84" t="s">
        <v>241</v>
      </c>
      <c r="C84">
        <v>2011047024</v>
      </c>
      <c r="D84" s="86">
        <v>269</v>
      </c>
      <c r="E84" t="s">
        <v>224</v>
      </c>
      <c r="F84">
        <v>0</v>
      </c>
      <c r="G84">
        <v>921</v>
      </c>
      <c r="H84">
        <v>31</v>
      </c>
      <c r="I84">
        <v>1</v>
      </c>
      <c r="J84">
        <v>1</v>
      </c>
      <c r="K84">
        <v>1</v>
      </c>
      <c r="L84">
        <v>1</v>
      </c>
      <c r="M84" s="86">
        <v>96</v>
      </c>
    </row>
    <row r="85" spans="1:13">
      <c r="A85" s="85">
        <v>44811</v>
      </c>
      <c r="B85" t="s">
        <v>243</v>
      </c>
      <c r="C85">
        <v>2015826323</v>
      </c>
      <c r="D85" s="86">
        <v>229</v>
      </c>
      <c r="E85" t="s">
        <v>224</v>
      </c>
      <c r="F85">
        <v>0</v>
      </c>
      <c r="G85">
        <v>958</v>
      </c>
      <c r="H85">
        <v>20</v>
      </c>
      <c r="I85">
        <v>2</v>
      </c>
      <c r="J85">
        <v>2</v>
      </c>
      <c r="K85">
        <v>2</v>
      </c>
      <c r="L85">
        <v>2</v>
      </c>
      <c r="M85" s="86">
        <v>172</v>
      </c>
    </row>
    <row r="86" spans="1:13">
      <c r="A86" s="85">
        <v>44811</v>
      </c>
      <c r="B86" t="s">
        <v>199</v>
      </c>
      <c r="C86">
        <v>2476776138</v>
      </c>
      <c r="D86" s="86">
        <v>638</v>
      </c>
      <c r="E86" t="s">
        <v>224</v>
      </c>
      <c r="F86">
        <v>0</v>
      </c>
      <c r="G86">
        <v>1101</v>
      </c>
      <c r="H86">
        <v>47</v>
      </c>
      <c r="I86">
        <v>3</v>
      </c>
      <c r="J86">
        <v>3</v>
      </c>
      <c r="K86">
        <v>2</v>
      </c>
      <c r="L86">
        <v>2</v>
      </c>
      <c r="M86" s="86">
        <v>431</v>
      </c>
    </row>
    <row r="87" spans="1:13">
      <c r="A87" s="85">
        <v>44811</v>
      </c>
      <c r="B87" t="s">
        <v>204</v>
      </c>
      <c r="C87">
        <v>2460481743</v>
      </c>
      <c r="D87" s="86">
        <v>966</v>
      </c>
      <c r="E87" t="s">
        <v>224</v>
      </c>
      <c r="F87">
        <v>0</v>
      </c>
      <c r="G87">
        <v>1344</v>
      </c>
      <c r="H87">
        <v>87</v>
      </c>
      <c r="I87">
        <v>3</v>
      </c>
      <c r="J87">
        <v>3</v>
      </c>
      <c r="K87">
        <v>3</v>
      </c>
      <c r="L87">
        <v>3</v>
      </c>
      <c r="M87" s="86">
        <v>980</v>
      </c>
    </row>
    <row r="88" spans="1:13">
      <c r="A88" s="85">
        <v>44811</v>
      </c>
      <c r="B88" t="s">
        <v>247</v>
      </c>
      <c r="C88">
        <v>2011142049</v>
      </c>
      <c r="D88" s="86">
        <v>249</v>
      </c>
      <c r="E88" t="s">
        <v>224</v>
      </c>
      <c r="F88">
        <v>0</v>
      </c>
      <c r="G88">
        <v>805</v>
      </c>
      <c r="H88">
        <v>28</v>
      </c>
      <c r="I88">
        <v>0</v>
      </c>
      <c r="J88">
        <v>0</v>
      </c>
      <c r="K88">
        <v>0</v>
      </c>
      <c r="L88">
        <v>0</v>
      </c>
      <c r="M88" s="86">
        <v>0</v>
      </c>
    </row>
    <row r="89" spans="1:13">
      <c r="A89" s="85">
        <v>44811</v>
      </c>
      <c r="B89" t="s">
        <v>206</v>
      </c>
      <c r="C89">
        <v>2021434911</v>
      </c>
      <c r="D89" s="86">
        <v>776</v>
      </c>
      <c r="E89" t="s">
        <v>224</v>
      </c>
      <c r="F89">
        <v>0</v>
      </c>
      <c r="G89">
        <v>774</v>
      </c>
      <c r="H89">
        <v>19</v>
      </c>
      <c r="I89">
        <v>0</v>
      </c>
      <c r="J89">
        <v>0</v>
      </c>
      <c r="K89">
        <v>0</v>
      </c>
      <c r="L89">
        <v>0</v>
      </c>
      <c r="M89" s="86">
        <v>0</v>
      </c>
    </row>
    <row r="90" spans="1:13">
      <c r="A90" s="85">
        <v>44811</v>
      </c>
      <c r="B90" t="s">
        <v>250</v>
      </c>
      <c r="C90">
        <v>2010924773</v>
      </c>
      <c r="D90" s="86">
        <v>249</v>
      </c>
      <c r="E90" t="s">
        <v>224</v>
      </c>
      <c r="F90">
        <v>0</v>
      </c>
      <c r="G90">
        <v>1045</v>
      </c>
      <c r="H90">
        <v>22</v>
      </c>
      <c r="I90">
        <v>2</v>
      </c>
      <c r="J90">
        <v>2</v>
      </c>
      <c r="K90">
        <v>2</v>
      </c>
      <c r="L90">
        <v>2</v>
      </c>
      <c r="M90" s="86">
        <v>218</v>
      </c>
    </row>
    <row r="91" spans="1:13">
      <c r="A91" s="85">
        <v>44811</v>
      </c>
      <c r="B91" t="s">
        <v>252</v>
      </c>
      <c r="C91">
        <v>2015822774</v>
      </c>
      <c r="D91" s="86">
        <v>239</v>
      </c>
      <c r="E91" t="s">
        <v>224</v>
      </c>
      <c r="F91">
        <v>0</v>
      </c>
      <c r="G91">
        <v>842</v>
      </c>
      <c r="H91">
        <v>19</v>
      </c>
      <c r="I91">
        <v>0</v>
      </c>
      <c r="J91">
        <v>0</v>
      </c>
      <c r="K91">
        <v>0</v>
      </c>
      <c r="L91">
        <v>0</v>
      </c>
      <c r="M91" s="86">
        <v>0</v>
      </c>
    </row>
    <row r="92" spans="1:13">
      <c r="A92" s="85">
        <v>44811</v>
      </c>
      <c r="B92" t="s">
        <v>254</v>
      </c>
      <c r="C92">
        <v>2476788224</v>
      </c>
      <c r="D92" s="86">
        <v>746</v>
      </c>
      <c r="E92" t="s">
        <v>224</v>
      </c>
      <c r="F92">
        <v>0</v>
      </c>
      <c r="G92">
        <v>598</v>
      </c>
      <c r="H92">
        <v>37</v>
      </c>
      <c r="I92">
        <v>0</v>
      </c>
      <c r="J92">
        <v>0</v>
      </c>
      <c r="K92">
        <v>0</v>
      </c>
      <c r="L92">
        <v>0</v>
      </c>
      <c r="M92" s="86">
        <v>0</v>
      </c>
    </row>
    <row r="93" spans="1:13">
      <c r="A93" s="85">
        <v>44811</v>
      </c>
      <c r="B93" t="s">
        <v>256</v>
      </c>
      <c r="C93">
        <v>2482777785</v>
      </c>
      <c r="D93" s="86">
        <v>256</v>
      </c>
      <c r="E93" t="s">
        <v>224</v>
      </c>
      <c r="F93">
        <v>0</v>
      </c>
      <c r="G93">
        <v>536</v>
      </c>
      <c r="H93">
        <v>25</v>
      </c>
      <c r="I93">
        <v>1</v>
      </c>
      <c r="J93">
        <v>1</v>
      </c>
      <c r="K93">
        <v>1</v>
      </c>
      <c r="L93">
        <v>1</v>
      </c>
      <c r="M93" s="86">
        <v>88</v>
      </c>
    </row>
    <row r="94" spans="1:13">
      <c r="A94" s="85">
        <v>44811</v>
      </c>
      <c r="B94" t="s">
        <v>194</v>
      </c>
      <c r="C94">
        <v>2011142012</v>
      </c>
      <c r="D94" s="86">
        <v>928</v>
      </c>
      <c r="E94" t="s">
        <v>224</v>
      </c>
      <c r="F94">
        <v>0</v>
      </c>
      <c r="G94">
        <v>919</v>
      </c>
      <c r="H94">
        <v>53</v>
      </c>
      <c r="I94">
        <v>2</v>
      </c>
      <c r="J94">
        <v>2</v>
      </c>
      <c r="K94">
        <v>2</v>
      </c>
      <c r="L94">
        <v>2</v>
      </c>
      <c r="M94" s="86">
        <v>718</v>
      </c>
    </row>
    <row r="95" spans="1:13">
      <c r="A95" s="85">
        <v>44811</v>
      </c>
      <c r="B95" t="s">
        <v>259</v>
      </c>
      <c r="C95">
        <v>2463683490</v>
      </c>
      <c r="D95" s="86">
        <v>268</v>
      </c>
      <c r="E95" t="s">
        <v>224</v>
      </c>
      <c r="F95">
        <v>0</v>
      </c>
      <c r="G95">
        <v>568</v>
      </c>
      <c r="H95">
        <v>13</v>
      </c>
      <c r="I95">
        <v>0</v>
      </c>
      <c r="J95">
        <v>0</v>
      </c>
      <c r="K95">
        <v>0</v>
      </c>
      <c r="L95">
        <v>0</v>
      </c>
      <c r="M95" s="86">
        <v>0</v>
      </c>
    </row>
    <row r="96" spans="1:13">
      <c r="A96" s="85">
        <v>44811</v>
      </c>
      <c r="B96" t="s">
        <v>261</v>
      </c>
      <c r="C96">
        <v>2027747907</v>
      </c>
      <c r="D96" s="86">
        <v>268</v>
      </c>
      <c r="E96" t="s">
        <v>224</v>
      </c>
      <c r="F96">
        <v>0</v>
      </c>
      <c r="G96">
        <v>539</v>
      </c>
      <c r="H96">
        <v>15</v>
      </c>
      <c r="I96">
        <v>0</v>
      </c>
      <c r="J96">
        <v>0</v>
      </c>
      <c r="K96">
        <v>0</v>
      </c>
      <c r="L96">
        <v>0</v>
      </c>
      <c r="M96" s="86">
        <v>0</v>
      </c>
    </row>
    <row r="97" spans="1:13">
      <c r="A97" s="85">
        <v>44811</v>
      </c>
      <c r="B97" t="s">
        <v>263</v>
      </c>
      <c r="C97">
        <v>2480177374</v>
      </c>
      <c r="D97" s="86">
        <v>608</v>
      </c>
      <c r="E97" t="s">
        <v>224</v>
      </c>
      <c r="F97">
        <v>0</v>
      </c>
      <c r="G97">
        <v>495</v>
      </c>
      <c r="H97">
        <v>15</v>
      </c>
      <c r="I97">
        <v>0</v>
      </c>
      <c r="J97">
        <v>0</v>
      </c>
      <c r="K97">
        <v>0</v>
      </c>
      <c r="L97">
        <v>0</v>
      </c>
      <c r="M97" s="86">
        <v>0</v>
      </c>
    </row>
    <row r="98" spans="1:13">
      <c r="A98" s="85">
        <v>44811</v>
      </c>
      <c r="B98" t="s">
        <v>265</v>
      </c>
      <c r="C98">
        <v>2499188374</v>
      </c>
      <c r="D98" s="86">
        <v>659</v>
      </c>
      <c r="E98" t="s">
        <v>224</v>
      </c>
      <c r="F98">
        <v>0</v>
      </c>
      <c r="G98">
        <v>473</v>
      </c>
      <c r="H98">
        <v>37</v>
      </c>
      <c r="I98">
        <v>0</v>
      </c>
      <c r="J98">
        <v>0</v>
      </c>
      <c r="K98">
        <v>0</v>
      </c>
      <c r="L98">
        <v>0</v>
      </c>
      <c r="M98" s="86">
        <v>0</v>
      </c>
    </row>
    <row r="99" spans="1:13">
      <c r="A99" s="85">
        <v>44811</v>
      </c>
      <c r="B99" t="s">
        <v>184</v>
      </c>
      <c r="C99">
        <v>2545182157</v>
      </c>
      <c r="D99" s="86">
        <v>1569</v>
      </c>
      <c r="E99" t="s">
        <v>224</v>
      </c>
      <c r="F99">
        <v>0</v>
      </c>
      <c r="G99">
        <v>427</v>
      </c>
      <c r="H99">
        <v>16</v>
      </c>
      <c r="I99">
        <v>0</v>
      </c>
      <c r="J99">
        <v>0</v>
      </c>
      <c r="K99">
        <v>0</v>
      </c>
      <c r="L99">
        <v>0</v>
      </c>
      <c r="M99" s="86">
        <v>0</v>
      </c>
    </row>
    <row r="100" spans="1:13">
      <c r="A100" s="85">
        <v>44811</v>
      </c>
      <c r="B100" t="s">
        <v>279</v>
      </c>
      <c r="C100">
        <v>2006302397</v>
      </c>
      <c r="D100" s="86">
        <v>249</v>
      </c>
      <c r="E100" t="s">
        <v>224</v>
      </c>
      <c r="F100">
        <v>0</v>
      </c>
      <c r="G100">
        <v>222</v>
      </c>
      <c r="H100">
        <v>29</v>
      </c>
      <c r="I100">
        <v>0</v>
      </c>
      <c r="J100">
        <v>0</v>
      </c>
      <c r="K100">
        <v>0</v>
      </c>
      <c r="L100">
        <v>0</v>
      </c>
      <c r="M100" s="86">
        <v>0</v>
      </c>
    </row>
    <row r="101" spans="1:13">
      <c r="A101" s="85">
        <v>44812</v>
      </c>
      <c r="B101" t="s">
        <v>280</v>
      </c>
      <c r="C101">
        <v>102571986098411</v>
      </c>
      <c r="D101" s="86">
        <v>149</v>
      </c>
      <c r="E101" t="s">
        <v>281</v>
      </c>
      <c r="F101">
        <v>0</v>
      </c>
      <c r="G101">
        <v>224</v>
      </c>
      <c r="H101">
        <v>13</v>
      </c>
      <c r="I101">
        <v>1</v>
      </c>
      <c r="J101">
        <v>1</v>
      </c>
      <c r="K101">
        <v>1</v>
      </c>
      <c r="L101">
        <v>1</v>
      </c>
      <c r="M101" s="86">
        <v>149</v>
      </c>
    </row>
    <row r="102" spans="1:13">
      <c r="A102" s="85">
        <v>44812</v>
      </c>
      <c r="B102" t="s">
        <v>282</v>
      </c>
      <c r="C102">
        <v>102572130098411</v>
      </c>
      <c r="D102" s="86">
        <v>299</v>
      </c>
      <c r="E102" t="s">
        <v>281</v>
      </c>
      <c r="F102">
        <v>0</v>
      </c>
      <c r="G102">
        <v>429</v>
      </c>
      <c r="H102">
        <v>43</v>
      </c>
      <c r="I102">
        <v>0</v>
      </c>
      <c r="J102">
        <v>0</v>
      </c>
      <c r="K102">
        <v>0</v>
      </c>
      <c r="L102">
        <v>0</v>
      </c>
      <c r="M102" s="86">
        <v>0</v>
      </c>
    </row>
    <row r="103" spans="1:13">
      <c r="A103" s="85">
        <v>44812</v>
      </c>
      <c r="B103" t="s">
        <v>283</v>
      </c>
      <c r="C103">
        <v>102572664098411</v>
      </c>
      <c r="D103" s="86">
        <v>159</v>
      </c>
      <c r="E103" t="s">
        <v>281</v>
      </c>
      <c r="F103">
        <v>0</v>
      </c>
      <c r="G103">
        <v>558</v>
      </c>
      <c r="H103">
        <v>35</v>
      </c>
      <c r="I103">
        <v>1</v>
      </c>
      <c r="J103">
        <v>1</v>
      </c>
      <c r="K103">
        <v>1</v>
      </c>
      <c r="L103">
        <v>1</v>
      </c>
      <c r="M103" s="86">
        <v>159</v>
      </c>
    </row>
    <row r="104" spans="1:13">
      <c r="A104" s="85">
        <v>44812</v>
      </c>
      <c r="B104" t="s">
        <v>284</v>
      </c>
      <c r="C104">
        <v>102571921098411</v>
      </c>
      <c r="D104" s="86">
        <v>159</v>
      </c>
      <c r="E104" t="s">
        <v>281</v>
      </c>
      <c r="F104">
        <v>0</v>
      </c>
      <c r="G104">
        <v>4474</v>
      </c>
      <c r="H104">
        <v>19</v>
      </c>
      <c r="I104">
        <v>0</v>
      </c>
      <c r="J104">
        <v>0</v>
      </c>
      <c r="K104">
        <v>0</v>
      </c>
      <c r="L104">
        <v>0</v>
      </c>
      <c r="M104" s="86">
        <v>0</v>
      </c>
    </row>
    <row r="105" spans="1:13">
      <c r="A105" s="85">
        <v>44812</v>
      </c>
      <c r="B105" t="s">
        <v>285</v>
      </c>
      <c r="C105">
        <v>102571799098411</v>
      </c>
      <c r="D105" s="86">
        <v>199</v>
      </c>
      <c r="E105" t="s">
        <v>281</v>
      </c>
      <c r="F105">
        <v>0</v>
      </c>
      <c r="G105">
        <v>828</v>
      </c>
      <c r="H105">
        <v>34</v>
      </c>
      <c r="I105">
        <v>0</v>
      </c>
      <c r="J105">
        <v>0</v>
      </c>
      <c r="K105">
        <v>0</v>
      </c>
      <c r="L105">
        <v>0</v>
      </c>
      <c r="M105" s="86">
        <v>0</v>
      </c>
    </row>
    <row r="106" spans="1:13">
      <c r="A106" s="85">
        <v>44812</v>
      </c>
      <c r="B106" t="s">
        <v>286</v>
      </c>
      <c r="C106">
        <v>102572272098411</v>
      </c>
      <c r="D106" s="86">
        <v>135</v>
      </c>
      <c r="E106" t="s">
        <v>281</v>
      </c>
      <c r="F106">
        <v>0</v>
      </c>
      <c r="G106">
        <v>775</v>
      </c>
      <c r="H106">
        <v>60</v>
      </c>
      <c r="I106">
        <v>0</v>
      </c>
      <c r="J106">
        <v>0</v>
      </c>
      <c r="K106">
        <v>0</v>
      </c>
      <c r="L106">
        <v>0</v>
      </c>
      <c r="M106" s="86">
        <v>0</v>
      </c>
    </row>
    <row r="107" spans="1:13">
      <c r="A107" s="85">
        <v>44812</v>
      </c>
      <c r="B107" t="s">
        <v>287</v>
      </c>
      <c r="C107">
        <v>102572060098411</v>
      </c>
      <c r="D107" s="86">
        <v>179</v>
      </c>
      <c r="E107" t="s">
        <v>281</v>
      </c>
      <c r="F107">
        <v>0</v>
      </c>
      <c r="G107">
        <v>934</v>
      </c>
      <c r="H107">
        <v>28</v>
      </c>
      <c r="I107">
        <v>0</v>
      </c>
      <c r="J107">
        <v>0</v>
      </c>
      <c r="K107">
        <v>0</v>
      </c>
      <c r="L107">
        <v>0</v>
      </c>
      <c r="M107" s="86">
        <v>0</v>
      </c>
    </row>
    <row r="108" spans="1:13">
      <c r="A108" s="85">
        <v>44812</v>
      </c>
      <c r="B108" t="s">
        <v>288</v>
      </c>
      <c r="C108">
        <v>102572372098411</v>
      </c>
      <c r="D108" s="86">
        <v>109</v>
      </c>
      <c r="E108" t="s">
        <v>281</v>
      </c>
      <c r="F108">
        <v>0</v>
      </c>
      <c r="G108">
        <v>1121</v>
      </c>
      <c r="H108">
        <v>76</v>
      </c>
      <c r="I108">
        <v>0</v>
      </c>
      <c r="J108">
        <v>0</v>
      </c>
      <c r="K108">
        <v>0</v>
      </c>
      <c r="L108">
        <v>0</v>
      </c>
      <c r="M108" s="86">
        <v>0</v>
      </c>
    </row>
    <row r="109" spans="1:13">
      <c r="A109" s="85">
        <v>44812</v>
      </c>
      <c r="B109" t="s">
        <v>289</v>
      </c>
      <c r="C109">
        <v>102571931098411</v>
      </c>
      <c r="D109" s="86">
        <v>169</v>
      </c>
      <c r="E109" t="s">
        <v>281</v>
      </c>
      <c r="F109">
        <v>0</v>
      </c>
      <c r="G109">
        <v>906</v>
      </c>
      <c r="H109">
        <v>25</v>
      </c>
      <c r="I109">
        <v>0</v>
      </c>
      <c r="J109">
        <v>0</v>
      </c>
      <c r="K109">
        <v>0</v>
      </c>
      <c r="L109">
        <v>0</v>
      </c>
      <c r="M109" s="86">
        <v>0</v>
      </c>
    </row>
    <row r="110" spans="1:13">
      <c r="A110" s="85">
        <v>44812</v>
      </c>
      <c r="B110" t="s">
        <v>290</v>
      </c>
      <c r="C110">
        <v>102573793098411</v>
      </c>
      <c r="D110" s="86">
        <v>109</v>
      </c>
      <c r="E110" t="s">
        <v>281</v>
      </c>
      <c r="F110">
        <v>0</v>
      </c>
      <c r="G110">
        <v>1638</v>
      </c>
      <c r="H110">
        <v>121</v>
      </c>
      <c r="I110">
        <v>2</v>
      </c>
      <c r="J110">
        <v>2</v>
      </c>
      <c r="K110">
        <v>2</v>
      </c>
      <c r="L110">
        <v>2</v>
      </c>
      <c r="M110" s="86">
        <v>218</v>
      </c>
    </row>
    <row r="111" spans="1:13">
      <c r="A111" s="85">
        <v>44812</v>
      </c>
      <c r="B111" t="s">
        <v>291</v>
      </c>
      <c r="C111">
        <v>102571798098411</v>
      </c>
      <c r="D111" s="86">
        <v>109</v>
      </c>
      <c r="E111" t="s">
        <v>281</v>
      </c>
      <c r="F111">
        <v>0</v>
      </c>
      <c r="G111">
        <v>1125</v>
      </c>
      <c r="H111">
        <v>42</v>
      </c>
      <c r="I111">
        <v>1</v>
      </c>
      <c r="J111">
        <v>1</v>
      </c>
      <c r="K111">
        <v>1</v>
      </c>
      <c r="L111">
        <v>1</v>
      </c>
      <c r="M111" s="86">
        <v>109</v>
      </c>
    </row>
    <row r="112" spans="1:13">
      <c r="A112" s="85">
        <v>44812</v>
      </c>
      <c r="B112" t="s">
        <v>292</v>
      </c>
      <c r="C112">
        <v>102571747098411</v>
      </c>
      <c r="D112" s="86">
        <v>89</v>
      </c>
      <c r="E112" t="s">
        <v>281</v>
      </c>
      <c r="F112">
        <v>0</v>
      </c>
      <c r="G112">
        <v>1170</v>
      </c>
      <c r="H112">
        <v>38</v>
      </c>
      <c r="I112">
        <v>0</v>
      </c>
      <c r="J112">
        <v>0</v>
      </c>
      <c r="K112">
        <v>0</v>
      </c>
      <c r="L112">
        <v>0</v>
      </c>
      <c r="M112" s="86">
        <v>0</v>
      </c>
    </row>
    <row r="113" spans="1:13">
      <c r="A113" s="85">
        <v>44812</v>
      </c>
      <c r="B113" t="s">
        <v>293</v>
      </c>
      <c r="C113">
        <v>102572072098411</v>
      </c>
      <c r="D113" s="86">
        <v>169</v>
      </c>
      <c r="E113" t="s">
        <v>281</v>
      </c>
      <c r="F113">
        <v>0</v>
      </c>
      <c r="G113">
        <v>1441</v>
      </c>
      <c r="H113">
        <v>70</v>
      </c>
      <c r="I113">
        <v>1</v>
      </c>
      <c r="J113">
        <v>1</v>
      </c>
      <c r="K113">
        <v>1</v>
      </c>
      <c r="L113">
        <v>1</v>
      </c>
      <c r="M113" s="86">
        <v>169</v>
      </c>
    </row>
    <row r="114" spans="1:13">
      <c r="A114" s="85">
        <v>44812</v>
      </c>
      <c r="B114" t="s">
        <v>294</v>
      </c>
      <c r="C114">
        <v>102573410098411</v>
      </c>
      <c r="D114" s="86">
        <v>99</v>
      </c>
      <c r="E114" t="s">
        <v>281</v>
      </c>
      <c r="F114">
        <v>1</v>
      </c>
      <c r="G114">
        <v>1537</v>
      </c>
      <c r="H114">
        <v>154</v>
      </c>
      <c r="I114">
        <v>6</v>
      </c>
      <c r="J114">
        <v>6</v>
      </c>
      <c r="K114">
        <v>6</v>
      </c>
      <c r="L114">
        <v>6</v>
      </c>
      <c r="M114" s="86">
        <v>594</v>
      </c>
    </row>
    <row r="115" spans="1:13">
      <c r="A115" s="85">
        <v>44812</v>
      </c>
      <c r="B115" t="s">
        <v>295</v>
      </c>
      <c r="C115">
        <v>102573737098411</v>
      </c>
      <c r="D115" s="86">
        <v>89</v>
      </c>
      <c r="E115" t="s">
        <v>281</v>
      </c>
      <c r="F115">
        <v>0</v>
      </c>
      <c r="G115">
        <v>1496</v>
      </c>
      <c r="H115">
        <v>94</v>
      </c>
      <c r="I115">
        <v>4</v>
      </c>
      <c r="J115">
        <v>4</v>
      </c>
      <c r="K115">
        <v>4</v>
      </c>
      <c r="L115">
        <v>4</v>
      </c>
      <c r="M115" s="86">
        <v>356</v>
      </c>
    </row>
    <row r="116" spans="1:13">
      <c r="A116" s="85">
        <v>44812</v>
      </c>
      <c r="B116" t="s">
        <v>296</v>
      </c>
      <c r="C116">
        <v>102572032098411</v>
      </c>
      <c r="D116" s="86">
        <v>79</v>
      </c>
      <c r="E116" t="s">
        <v>281</v>
      </c>
      <c r="F116">
        <v>0</v>
      </c>
      <c r="G116">
        <v>1490</v>
      </c>
      <c r="H116">
        <v>64</v>
      </c>
      <c r="I116">
        <v>1</v>
      </c>
      <c r="J116">
        <v>1</v>
      </c>
      <c r="K116">
        <v>1</v>
      </c>
      <c r="L116">
        <v>1</v>
      </c>
      <c r="M116" s="86">
        <v>79</v>
      </c>
    </row>
    <row r="117" spans="1:13">
      <c r="A117" s="85">
        <v>44812</v>
      </c>
      <c r="B117" t="s">
        <v>297</v>
      </c>
      <c r="C117">
        <v>102571834098411</v>
      </c>
      <c r="D117" s="86">
        <v>109</v>
      </c>
      <c r="E117" t="s">
        <v>281</v>
      </c>
      <c r="F117">
        <v>0</v>
      </c>
      <c r="G117">
        <v>1461</v>
      </c>
      <c r="H117">
        <v>54</v>
      </c>
      <c r="I117">
        <v>0</v>
      </c>
      <c r="J117">
        <v>0</v>
      </c>
      <c r="K117">
        <v>0</v>
      </c>
      <c r="L117">
        <v>0</v>
      </c>
      <c r="M117" s="86">
        <v>0</v>
      </c>
    </row>
    <row r="118" spans="1:13">
      <c r="A118" s="85">
        <v>44812</v>
      </c>
      <c r="B118" t="s">
        <v>298</v>
      </c>
      <c r="C118">
        <v>102572106098411</v>
      </c>
      <c r="D118" s="86">
        <v>165</v>
      </c>
      <c r="E118" t="s">
        <v>281</v>
      </c>
      <c r="F118">
        <v>0</v>
      </c>
      <c r="G118">
        <v>1709</v>
      </c>
      <c r="H118">
        <v>103</v>
      </c>
      <c r="I118">
        <v>0</v>
      </c>
      <c r="J118">
        <v>0</v>
      </c>
      <c r="K118">
        <v>0</v>
      </c>
      <c r="L118">
        <v>0</v>
      </c>
      <c r="M118" s="86">
        <v>0</v>
      </c>
    </row>
    <row r="119" spans="1:13">
      <c r="A119" s="85">
        <v>44812</v>
      </c>
      <c r="B119" t="s">
        <v>299</v>
      </c>
      <c r="C119">
        <v>102573678098411</v>
      </c>
      <c r="D119" s="86">
        <v>89</v>
      </c>
      <c r="E119" t="s">
        <v>281</v>
      </c>
      <c r="F119">
        <v>0</v>
      </c>
      <c r="G119">
        <v>1893</v>
      </c>
      <c r="H119">
        <v>201</v>
      </c>
      <c r="I119">
        <v>7</v>
      </c>
      <c r="J119">
        <v>7</v>
      </c>
      <c r="K119">
        <v>7</v>
      </c>
      <c r="L119">
        <v>7</v>
      </c>
      <c r="M119" s="86">
        <v>623</v>
      </c>
    </row>
    <row r="120" spans="1:13">
      <c r="A120" s="85">
        <v>44812</v>
      </c>
      <c r="B120" t="s">
        <v>300</v>
      </c>
      <c r="C120">
        <v>102572532098411</v>
      </c>
      <c r="D120" s="86">
        <v>59</v>
      </c>
      <c r="E120" t="s">
        <v>281</v>
      </c>
      <c r="F120">
        <v>0</v>
      </c>
      <c r="G120">
        <v>1612</v>
      </c>
      <c r="H120">
        <v>122</v>
      </c>
      <c r="I120">
        <v>4</v>
      </c>
      <c r="J120">
        <v>4</v>
      </c>
      <c r="K120">
        <v>4</v>
      </c>
      <c r="L120">
        <v>4</v>
      </c>
      <c r="M120" s="86">
        <v>236</v>
      </c>
    </row>
    <row r="121" spans="1:13">
      <c r="A121" s="85">
        <v>44812</v>
      </c>
      <c r="B121" t="s">
        <v>301</v>
      </c>
      <c r="C121">
        <v>102572703098411</v>
      </c>
      <c r="D121" s="86">
        <v>69</v>
      </c>
      <c r="E121" t="s">
        <v>281</v>
      </c>
      <c r="F121">
        <v>0</v>
      </c>
      <c r="G121">
        <v>1465</v>
      </c>
      <c r="H121">
        <v>82</v>
      </c>
      <c r="I121">
        <v>0</v>
      </c>
      <c r="J121">
        <v>0</v>
      </c>
      <c r="K121">
        <v>0</v>
      </c>
      <c r="L121">
        <v>0</v>
      </c>
      <c r="M121" s="86">
        <v>0</v>
      </c>
    </row>
    <row r="122" spans="1:13">
      <c r="A122" s="85">
        <v>44812</v>
      </c>
      <c r="B122" t="s">
        <v>302</v>
      </c>
      <c r="C122">
        <v>102573891098411</v>
      </c>
      <c r="D122" s="86">
        <v>75</v>
      </c>
      <c r="E122" t="s">
        <v>281</v>
      </c>
      <c r="F122">
        <v>0</v>
      </c>
      <c r="G122">
        <v>1425</v>
      </c>
      <c r="H122">
        <v>99</v>
      </c>
      <c r="I122">
        <v>0</v>
      </c>
      <c r="J122">
        <v>0</v>
      </c>
      <c r="K122">
        <v>0</v>
      </c>
      <c r="L122">
        <v>0</v>
      </c>
      <c r="M122" s="86">
        <v>0</v>
      </c>
    </row>
    <row r="123" spans="1:13">
      <c r="A123" s="85">
        <v>44812</v>
      </c>
      <c r="B123" t="s">
        <v>303</v>
      </c>
      <c r="C123">
        <v>102573749098411</v>
      </c>
      <c r="D123" s="86">
        <v>69</v>
      </c>
      <c r="E123" t="s">
        <v>281</v>
      </c>
      <c r="F123">
        <v>0</v>
      </c>
      <c r="G123">
        <v>1498</v>
      </c>
      <c r="H123">
        <v>154</v>
      </c>
      <c r="I123">
        <v>2</v>
      </c>
      <c r="J123">
        <v>2</v>
      </c>
      <c r="K123">
        <v>2</v>
      </c>
      <c r="L123">
        <v>2</v>
      </c>
      <c r="M123" s="86">
        <v>138</v>
      </c>
    </row>
    <row r="124" spans="1:13">
      <c r="A124" s="85">
        <v>44813</v>
      </c>
      <c r="B124" t="s">
        <v>180</v>
      </c>
      <c r="C124">
        <v>2529476838</v>
      </c>
      <c r="D124" s="87">
        <v>19.9</v>
      </c>
      <c r="E124" t="s">
        <v>224</v>
      </c>
      <c r="F124">
        <v>0</v>
      </c>
      <c r="G124">
        <v>2265</v>
      </c>
      <c r="H124">
        <v>86</v>
      </c>
      <c r="I124">
        <v>7</v>
      </c>
      <c r="J124">
        <v>8</v>
      </c>
      <c r="K124">
        <v>7</v>
      </c>
      <c r="L124">
        <v>8</v>
      </c>
      <c r="M124" s="87">
        <v>159.2</v>
      </c>
    </row>
    <row r="125" spans="1:13">
      <c r="A125" s="85">
        <v>44813</v>
      </c>
      <c r="B125" t="s">
        <v>195</v>
      </c>
      <c r="C125">
        <v>1567470953</v>
      </c>
      <c r="D125" s="87">
        <v>19.9</v>
      </c>
      <c r="E125" t="s">
        <v>224</v>
      </c>
      <c r="F125">
        <v>0</v>
      </c>
      <c r="G125">
        <v>2030</v>
      </c>
      <c r="H125">
        <v>138</v>
      </c>
      <c r="I125">
        <v>2</v>
      </c>
      <c r="J125">
        <v>2</v>
      </c>
      <c r="K125">
        <v>2</v>
      </c>
      <c r="L125">
        <v>2</v>
      </c>
      <c r="M125" s="87">
        <v>39.8</v>
      </c>
    </row>
    <row r="126" spans="1:13">
      <c r="A126" s="85">
        <v>44813</v>
      </c>
      <c r="B126" t="s">
        <v>185</v>
      </c>
      <c r="C126">
        <v>2033524077</v>
      </c>
      <c r="D126" s="87">
        <v>39.9</v>
      </c>
      <c r="E126" t="s">
        <v>224</v>
      </c>
      <c r="F126">
        <v>0</v>
      </c>
      <c r="G126">
        <v>2328</v>
      </c>
      <c r="H126">
        <v>57</v>
      </c>
      <c r="I126">
        <v>6</v>
      </c>
      <c r="J126">
        <v>6</v>
      </c>
      <c r="K126">
        <v>6</v>
      </c>
      <c r="L126">
        <v>6</v>
      </c>
      <c r="M126" s="87">
        <v>232.4</v>
      </c>
    </row>
    <row r="127" spans="1:13">
      <c r="A127" s="85">
        <v>44813</v>
      </c>
      <c r="B127" t="s">
        <v>193</v>
      </c>
      <c r="C127">
        <v>2419194308</v>
      </c>
      <c r="D127" s="87">
        <v>39.9</v>
      </c>
      <c r="E127" t="s">
        <v>224</v>
      </c>
      <c r="F127">
        <v>0</v>
      </c>
      <c r="G127">
        <v>2020</v>
      </c>
      <c r="H127">
        <v>59</v>
      </c>
      <c r="I127">
        <v>3</v>
      </c>
      <c r="J127">
        <v>3</v>
      </c>
      <c r="K127">
        <v>3</v>
      </c>
      <c r="L127">
        <v>3</v>
      </c>
      <c r="M127" s="87">
        <v>114.7</v>
      </c>
    </row>
    <row r="128" spans="1:13">
      <c r="A128" s="85">
        <v>44813</v>
      </c>
      <c r="B128" t="s">
        <v>225</v>
      </c>
      <c r="C128">
        <v>1906890718</v>
      </c>
      <c r="D128" s="86">
        <v>69</v>
      </c>
      <c r="E128" t="s">
        <v>224</v>
      </c>
      <c r="F128">
        <v>0</v>
      </c>
      <c r="G128">
        <v>1215</v>
      </c>
      <c r="H128">
        <v>26</v>
      </c>
      <c r="I128">
        <v>0</v>
      </c>
      <c r="J128">
        <v>0</v>
      </c>
      <c r="K128">
        <v>0</v>
      </c>
      <c r="L128">
        <v>0</v>
      </c>
      <c r="M128" s="86">
        <v>0</v>
      </c>
    </row>
    <row r="129" spans="1:13">
      <c r="A129" s="85">
        <v>44813</v>
      </c>
      <c r="B129" t="s">
        <v>226</v>
      </c>
      <c r="C129">
        <v>2035646456</v>
      </c>
      <c r="D129" s="86">
        <v>89</v>
      </c>
      <c r="E129" t="s">
        <v>224</v>
      </c>
      <c r="F129">
        <v>0</v>
      </c>
      <c r="G129">
        <v>951</v>
      </c>
      <c r="H129">
        <v>18</v>
      </c>
      <c r="I129">
        <v>0</v>
      </c>
      <c r="J129">
        <v>0</v>
      </c>
      <c r="K129">
        <v>0</v>
      </c>
      <c r="L129">
        <v>0</v>
      </c>
      <c r="M129" s="86">
        <v>0</v>
      </c>
    </row>
    <row r="130" spans="1:13">
      <c r="A130" s="85">
        <v>44813</v>
      </c>
      <c r="B130" t="s">
        <v>207</v>
      </c>
      <c r="C130">
        <v>2035823215</v>
      </c>
      <c r="D130" s="86">
        <v>99</v>
      </c>
      <c r="E130" t="s">
        <v>224</v>
      </c>
      <c r="F130">
        <v>0</v>
      </c>
      <c r="G130">
        <v>953</v>
      </c>
      <c r="H130">
        <v>33</v>
      </c>
      <c r="I130">
        <v>2</v>
      </c>
      <c r="J130">
        <v>3</v>
      </c>
      <c r="K130">
        <v>2</v>
      </c>
      <c r="L130">
        <v>2</v>
      </c>
      <c r="M130" s="86">
        <v>197</v>
      </c>
    </row>
    <row r="131" spans="1:13">
      <c r="A131" s="85">
        <v>44813</v>
      </c>
      <c r="B131" t="s">
        <v>230</v>
      </c>
      <c r="C131">
        <v>2541092403</v>
      </c>
      <c r="D131" s="86">
        <v>89</v>
      </c>
      <c r="E131" t="s">
        <v>224</v>
      </c>
      <c r="F131">
        <v>0</v>
      </c>
      <c r="G131">
        <v>951</v>
      </c>
      <c r="H131">
        <v>20</v>
      </c>
      <c r="I131">
        <v>1</v>
      </c>
      <c r="J131">
        <v>2</v>
      </c>
      <c r="K131">
        <v>1</v>
      </c>
      <c r="L131">
        <v>1</v>
      </c>
      <c r="M131" s="86">
        <v>89</v>
      </c>
    </row>
    <row r="132" spans="1:13">
      <c r="A132" s="85">
        <v>44813</v>
      </c>
      <c r="B132" t="s">
        <v>181</v>
      </c>
      <c r="C132">
        <v>1983238576</v>
      </c>
      <c r="D132" s="86">
        <v>249</v>
      </c>
      <c r="E132" t="s">
        <v>224</v>
      </c>
      <c r="F132">
        <v>0</v>
      </c>
      <c r="G132">
        <v>1565</v>
      </c>
      <c r="H132">
        <v>159</v>
      </c>
      <c r="I132">
        <v>3</v>
      </c>
      <c r="J132">
        <v>3</v>
      </c>
      <c r="K132">
        <v>3</v>
      </c>
      <c r="L132">
        <v>3</v>
      </c>
      <c r="M132" s="86">
        <v>742</v>
      </c>
    </row>
    <row r="133" spans="1:13">
      <c r="A133" s="85">
        <v>44813</v>
      </c>
      <c r="B133" t="s">
        <v>192</v>
      </c>
      <c r="C133">
        <v>2507693918</v>
      </c>
      <c r="D133" s="86">
        <v>259</v>
      </c>
      <c r="E133" t="s">
        <v>224</v>
      </c>
      <c r="F133">
        <v>0</v>
      </c>
      <c r="G133">
        <v>1662</v>
      </c>
      <c r="H133">
        <v>111</v>
      </c>
      <c r="I133">
        <v>1</v>
      </c>
      <c r="J133">
        <v>1</v>
      </c>
      <c r="K133">
        <v>1</v>
      </c>
      <c r="L133">
        <v>1</v>
      </c>
      <c r="M133" s="86">
        <v>259</v>
      </c>
    </row>
    <row r="134" spans="1:13">
      <c r="A134" s="85">
        <v>44813</v>
      </c>
      <c r="B134" t="s">
        <v>232</v>
      </c>
      <c r="C134">
        <v>2480178424</v>
      </c>
      <c r="D134" s="86">
        <v>249</v>
      </c>
      <c r="E134" t="s">
        <v>224</v>
      </c>
      <c r="F134">
        <v>0</v>
      </c>
      <c r="G134">
        <v>1252</v>
      </c>
      <c r="H134">
        <v>24</v>
      </c>
      <c r="I134">
        <v>0</v>
      </c>
      <c r="J134">
        <v>0</v>
      </c>
      <c r="K134">
        <v>0</v>
      </c>
      <c r="L134">
        <v>0</v>
      </c>
      <c r="M134" s="86">
        <v>0</v>
      </c>
    </row>
    <row r="135" spans="1:13">
      <c r="A135" s="85">
        <v>44813</v>
      </c>
      <c r="B135" t="s">
        <v>198</v>
      </c>
      <c r="C135">
        <v>2027905719</v>
      </c>
      <c r="D135" s="86">
        <v>99</v>
      </c>
      <c r="E135" t="s">
        <v>224</v>
      </c>
      <c r="F135">
        <v>0</v>
      </c>
      <c r="G135">
        <v>1387</v>
      </c>
      <c r="H135">
        <v>36</v>
      </c>
      <c r="I135">
        <v>3</v>
      </c>
      <c r="J135">
        <v>3</v>
      </c>
      <c r="K135">
        <v>3</v>
      </c>
      <c r="L135">
        <v>3</v>
      </c>
      <c r="M135" s="86">
        <v>285</v>
      </c>
    </row>
    <row r="136" spans="1:13">
      <c r="A136" s="85">
        <v>44813</v>
      </c>
      <c r="B136" t="s">
        <v>235</v>
      </c>
      <c r="C136">
        <v>2507679096</v>
      </c>
      <c r="D136" s="86">
        <v>99</v>
      </c>
      <c r="E136" t="s">
        <v>224</v>
      </c>
      <c r="F136">
        <v>0</v>
      </c>
      <c r="G136">
        <v>1135</v>
      </c>
      <c r="H136">
        <v>21</v>
      </c>
      <c r="I136">
        <v>2</v>
      </c>
      <c r="J136">
        <v>2</v>
      </c>
      <c r="K136">
        <v>2</v>
      </c>
      <c r="L136">
        <v>2</v>
      </c>
      <c r="M136" s="86">
        <v>196</v>
      </c>
    </row>
    <row r="137" spans="1:13">
      <c r="A137" s="85">
        <v>44813</v>
      </c>
      <c r="B137" t="s">
        <v>236</v>
      </c>
      <c r="C137">
        <v>2021508256</v>
      </c>
      <c r="D137" s="86">
        <v>259</v>
      </c>
      <c r="E137" t="s">
        <v>224</v>
      </c>
      <c r="F137">
        <v>0</v>
      </c>
      <c r="G137">
        <v>1034</v>
      </c>
      <c r="H137">
        <v>19</v>
      </c>
      <c r="I137">
        <v>0</v>
      </c>
      <c r="J137">
        <v>0</v>
      </c>
      <c r="K137">
        <v>0</v>
      </c>
      <c r="L137">
        <v>0</v>
      </c>
      <c r="M137" s="86">
        <v>0</v>
      </c>
    </row>
    <row r="138" spans="1:13">
      <c r="A138" s="85">
        <v>44813</v>
      </c>
      <c r="B138" t="s">
        <v>179</v>
      </c>
      <c r="C138">
        <v>2006409756</v>
      </c>
      <c r="D138" s="86">
        <v>249</v>
      </c>
      <c r="E138" t="s">
        <v>224</v>
      </c>
      <c r="F138">
        <v>1</v>
      </c>
      <c r="G138">
        <v>5419</v>
      </c>
      <c r="H138">
        <v>327</v>
      </c>
      <c r="I138">
        <v>19</v>
      </c>
      <c r="J138">
        <v>22</v>
      </c>
      <c r="K138">
        <v>17</v>
      </c>
      <c r="L138">
        <v>18</v>
      </c>
      <c r="M138" s="86">
        <v>4461</v>
      </c>
    </row>
    <row r="139" spans="1:13">
      <c r="A139" s="85">
        <v>44813</v>
      </c>
      <c r="B139" t="s">
        <v>239</v>
      </c>
      <c r="C139">
        <v>2019733769</v>
      </c>
      <c r="D139" s="86">
        <v>99</v>
      </c>
      <c r="E139" t="s">
        <v>224</v>
      </c>
      <c r="F139">
        <v>0</v>
      </c>
      <c r="G139">
        <v>1569</v>
      </c>
      <c r="H139">
        <v>32</v>
      </c>
      <c r="I139">
        <v>0</v>
      </c>
      <c r="J139">
        <v>0</v>
      </c>
      <c r="K139">
        <v>0</v>
      </c>
      <c r="L139">
        <v>0</v>
      </c>
      <c r="M139" s="86">
        <v>0</v>
      </c>
    </row>
    <row r="140" spans="1:13">
      <c r="A140" s="85">
        <v>44813</v>
      </c>
      <c r="B140" t="s">
        <v>241</v>
      </c>
      <c r="C140">
        <v>2011047024</v>
      </c>
      <c r="D140" s="86">
        <v>99</v>
      </c>
      <c r="E140" t="s">
        <v>224</v>
      </c>
      <c r="F140">
        <v>0</v>
      </c>
      <c r="G140">
        <v>1552</v>
      </c>
      <c r="H140">
        <v>50</v>
      </c>
      <c r="I140">
        <v>0</v>
      </c>
      <c r="J140">
        <v>0</v>
      </c>
      <c r="K140">
        <v>0</v>
      </c>
      <c r="L140">
        <v>0</v>
      </c>
      <c r="M140" s="86">
        <v>0</v>
      </c>
    </row>
    <row r="141" spans="1:13">
      <c r="A141" s="85">
        <v>44813</v>
      </c>
      <c r="B141" t="s">
        <v>243</v>
      </c>
      <c r="C141">
        <v>2015826323</v>
      </c>
      <c r="D141" s="86">
        <v>89</v>
      </c>
      <c r="E141" t="s">
        <v>224</v>
      </c>
      <c r="F141">
        <v>0</v>
      </c>
      <c r="G141">
        <v>1529</v>
      </c>
      <c r="H141">
        <v>16</v>
      </c>
      <c r="I141">
        <v>0</v>
      </c>
      <c r="J141">
        <v>0</v>
      </c>
      <c r="K141">
        <v>0</v>
      </c>
      <c r="L141">
        <v>0</v>
      </c>
      <c r="M141" s="86">
        <v>0</v>
      </c>
    </row>
    <row r="142" spans="1:13">
      <c r="A142" s="85">
        <v>44813</v>
      </c>
      <c r="B142" t="s">
        <v>199</v>
      </c>
      <c r="C142">
        <v>2476776138</v>
      </c>
      <c r="D142" s="86">
        <v>219</v>
      </c>
      <c r="E142" t="s">
        <v>224</v>
      </c>
      <c r="F142">
        <v>0</v>
      </c>
      <c r="G142">
        <v>1426</v>
      </c>
      <c r="H142">
        <v>47</v>
      </c>
      <c r="I142">
        <v>1</v>
      </c>
      <c r="J142">
        <v>1</v>
      </c>
      <c r="K142">
        <v>1</v>
      </c>
      <c r="L142">
        <v>1</v>
      </c>
      <c r="M142" s="86">
        <v>216</v>
      </c>
    </row>
    <row r="143" spans="1:13">
      <c r="A143" s="85">
        <v>44813</v>
      </c>
      <c r="B143" t="s">
        <v>204</v>
      </c>
      <c r="C143">
        <v>2460481743</v>
      </c>
      <c r="D143" s="86">
        <v>329</v>
      </c>
      <c r="E143" t="s">
        <v>224</v>
      </c>
      <c r="F143">
        <v>0</v>
      </c>
      <c r="G143">
        <v>1254</v>
      </c>
      <c r="H143">
        <v>106</v>
      </c>
      <c r="I143">
        <v>3</v>
      </c>
      <c r="J143">
        <v>4</v>
      </c>
      <c r="K143">
        <v>2</v>
      </c>
      <c r="L143">
        <v>3</v>
      </c>
      <c r="M143" s="86">
        <v>976</v>
      </c>
    </row>
    <row r="144" spans="1:13">
      <c r="A144" s="85">
        <v>44813</v>
      </c>
      <c r="B144" t="s">
        <v>247</v>
      </c>
      <c r="C144">
        <v>2011142049</v>
      </c>
      <c r="D144" s="86">
        <v>89</v>
      </c>
      <c r="E144" t="s">
        <v>224</v>
      </c>
      <c r="F144">
        <v>0</v>
      </c>
      <c r="G144">
        <v>969</v>
      </c>
      <c r="H144">
        <v>35</v>
      </c>
      <c r="I144">
        <v>1</v>
      </c>
      <c r="J144">
        <v>1</v>
      </c>
      <c r="K144">
        <v>1</v>
      </c>
      <c r="L144">
        <v>1</v>
      </c>
      <c r="M144" s="86">
        <v>85</v>
      </c>
    </row>
    <row r="145" spans="1:13">
      <c r="A145" s="85">
        <v>44813</v>
      </c>
      <c r="B145" t="s">
        <v>206</v>
      </c>
      <c r="C145">
        <v>2021434911</v>
      </c>
      <c r="D145" s="86">
        <v>249</v>
      </c>
      <c r="E145" t="s">
        <v>224</v>
      </c>
      <c r="F145">
        <v>0</v>
      </c>
      <c r="G145">
        <v>1101</v>
      </c>
      <c r="H145">
        <v>74</v>
      </c>
      <c r="I145">
        <v>4</v>
      </c>
      <c r="J145">
        <v>4</v>
      </c>
      <c r="K145">
        <v>3</v>
      </c>
      <c r="L145">
        <v>3</v>
      </c>
      <c r="M145" s="87">
        <v>709.14</v>
      </c>
    </row>
    <row r="146" spans="1:13">
      <c r="A146" s="85">
        <v>44813</v>
      </c>
      <c r="B146" t="s">
        <v>250</v>
      </c>
      <c r="C146">
        <v>2010924773</v>
      </c>
      <c r="D146" s="86">
        <v>109</v>
      </c>
      <c r="E146" t="s">
        <v>224</v>
      </c>
      <c r="F146">
        <v>0</v>
      </c>
      <c r="G146">
        <v>1003</v>
      </c>
      <c r="H146">
        <v>26</v>
      </c>
      <c r="I146">
        <v>1</v>
      </c>
      <c r="J146">
        <v>1</v>
      </c>
      <c r="K146">
        <v>1</v>
      </c>
      <c r="L146">
        <v>1</v>
      </c>
      <c r="M146" s="86">
        <v>109</v>
      </c>
    </row>
    <row r="147" spans="1:13">
      <c r="A147" s="85">
        <v>44813</v>
      </c>
      <c r="B147" t="s">
        <v>252</v>
      </c>
      <c r="C147">
        <v>2015822774</v>
      </c>
      <c r="D147" s="86">
        <v>129</v>
      </c>
      <c r="E147" t="s">
        <v>224</v>
      </c>
      <c r="F147">
        <v>0</v>
      </c>
      <c r="G147">
        <v>965</v>
      </c>
      <c r="H147">
        <v>23</v>
      </c>
      <c r="I147">
        <v>0</v>
      </c>
      <c r="J147">
        <v>0</v>
      </c>
      <c r="K147">
        <v>0</v>
      </c>
      <c r="L147">
        <v>0</v>
      </c>
      <c r="M147" s="86">
        <v>0</v>
      </c>
    </row>
    <row r="148" spans="1:13">
      <c r="A148" s="85">
        <v>44813</v>
      </c>
      <c r="B148" t="s">
        <v>254</v>
      </c>
      <c r="C148">
        <v>2476788224</v>
      </c>
      <c r="D148" s="86">
        <v>249</v>
      </c>
      <c r="E148" t="s">
        <v>224</v>
      </c>
      <c r="F148">
        <v>0</v>
      </c>
      <c r="G148">
        <v>766</v>
      </c>
      <c r="H148">
        <v>61</v>
      </c>
      <c r="I148">
        <v>0</v>
      </c>
      <c r="J148">
        <v>0</v>
      </c>
      <c r="K148">
        <v>0</v>
      </c>
      <c r="L148">
        <v>0</v>
      </c>
      <c r="M148" s="86">
        <v>0</v>
      </c>
    </row>
    <row r="149" spans="1:13">
      <c r="A149" s="85">
        <v>44813</v>
      </c>
      <c r="B149" t="s">
        <v>256</v>
      </c>
      <c r="C149">
        <v>2482777785</v>
      </c>
      <c r="D149" s="86">
        <v>89</v>
      </c>
      <c r="E149" t="s">
        <v>224</v>
      </c>
      <c r="F149">
        <v>0</v>
      </c>
      <c r="G149">
        <v>672</v>
      </c>
      <c r="H149">
        <v>32</v>
      </c>
      <c r="I149">
        <v>1</v>
      </c>
      <c r="J149">
        <v>1</v>
      </c>
      <c r="K149">
        <v>1</v>
      </c>
      <c r="L149">
        <v>1</v>
      </c>
      <c r="M149" s="86">
        <v>88</v>
      </c>
    </row>
    <row r="150" spans="1:13">
      <c r="A150" s="85">
        <v>44813</v>
      </c>
      <c r="B150" t="s">
        <v>194</v>
      </c>
      <c r="C150">
        <v>2011142012</v>
      </c>
      <c r="D150" s="86">
        <v>359</v>
      </c>
      <c r="E150" t="s">
        <v>224</v>
      </c>
      <c r="F150">
        <v>0</v>
      </c>
      <c r="G150">
        <v>1064</v>
      </c>
      <c r="H150">
        <v>99</v>
      </c>
      <c r="I150">
        <v>3</v>
      </c>
      <c r="J150">
        <v>4</v>
      </c>
      <c r="K150">
        <v>2</v>
      </c>
      <c r="L150">
        <v>2</v>
      </c>
      <c r="M150" s="86">
        <v>711</v>
      </c>
    </row>
    <row r="151" spans="1:13">
      <c r="A151" s="85">
        <v>44813</v>
      </c>
      <c r="B151" t="s">
        <v>259</v>
      </c>
      <c r="C151">
        <v>2463683490</v>
      </c>
      <c r="D151" s="86">
        <v>89</v>
      </c>
      <c r="E151" t="s">
        <v>224</v>
      </c>
      <c r="F151">
        <v>0</v>
      </c>
      <c r="G151">
        <v>712</v>
      </c>
      <c r="H151">
        <v>13</v>
      </c>
      <c r="I151">
        <v>0</v>
      </c>
      <c r="J151">
        <v>0</v>
      </c>
      <c r="K151">
        <v>0</v>
      </c>
      <c r="L151">
        <v>0</v>
      </c>
      <c r="M151" s="86">
        <v>0</v>
      </c>
    </row>
    <row r="152" spans="1:13">
      <c r="A152" s="85">
        <v>44813</v>
      </c>
      <c r="B152" t="s">
        <v>261</v>
      </c>
      <c r="C152">
        <v>2027747907</v>
      </c>
      <c r="D152" s="86">
        <v>99</v>
      </c>
      <c r="E152" t="s">
        <v>224</v>
      </c>
      <c r="F152">
        <v>0</v>
      </c>
      <c r="G152">
        <v>681</v>
      </c>
      <c r="H152">
        <v>12</v>
      </c>
      <c r="I152">
        <v>0</v>
      </c>
      <c r="J152">
        <v>0</v>
      </c>
      <c r="K152">
        <v>0</v>
      </c>
      <c r="L152">
        <v>0</v>
      </c>
      <c r="M152" s="86">
        <v>0</v>
      </c>
    </row>
    <row r="153" spans="1:13">
      <c r="A153" s="85">
        <v>44813</v>
      </c>
      <c r="B153" t="s">
        <v>263</v>
      </c>
      <c r="C153">
        <v>2480177374</v>
      </c>
      <c r="D153" s="86">
        <v>209</v>
      </c>
      <c r="E153" t="s">
        <v>224</v>
      </c>
      <c r="F153">
        <v>0</v>
      </c>
      <c r="G153">
        <v>638</v>
      </c>
      <c r="H153">
        <v>34</v>
      </c>
      <c r="I153">
        <v>0</v>
      </c>
      <c r="J153">
        <v>0</v>
      </c>
      <c r="K153">
        <v>0</v>
      </c>
      <c r="L153">
        <v>0</v>
      </c>
      <c r="M153" s="86">
        <v>0</v>
      </c>
    </row>
    <row r="154" spans="1:13">
      <c r="A154" s="85">
        <v>44813</v>
      </c>
      <c r="B154" t="s">
        <v>265</v>
      </c>
      <c r="C154">
        <v>2499188374</v>
      </c>
      <c r="D154" s="86">
        <v>219</v>
      </c>
      <c r="E154" t="s">
        <v>224</v>
      </c>
      <c r="F154">
        <v>0</v>
      </c>
      <c r="G154">
        <v>606</v>
      </c>
      <c r="H154">
        <v>62</v>
      </c>
      <c r="I154">
        <v>1</v>
      </c>
      <c r="J154">
        <v>1</v>
      </c>
      <c r="K154">
        <v>1</v>
      </c>
      <c r="L154">
        <v>1</v>
      </c>
      <c r="M154" s="86">
        <v>217</v>
      </c>
    </row>
    <row r="155" spans="1:13">
      <c r="A155" s="85">
        <v>44813</v>
      </c>
      <c r="B155" t="s">
        <v>196</v>
      </c>
      <c r="C155">
        <v>2023542289</v>
      </c>
      <c r="D155" s="86">
        <v>599</v>
      </c>
      <c r="E155" t="s">
        <v>224</v>
      </c>
      <c r="F155">
        <v>0</v>
      </c>
      <c r="G155">
        <v>215</v>
      </c>
      <c r="H155">
        <v>30</v>
      </c>
      <c r="I155">
        <v>2</v>
      </c>
      <c r="J155">
        <v>3</v>
      </c>
      <c r="K155">
        <v>2</v>
      </c>
      <c r="L155">
        <v>3</v>
      </c>
      <c r="M155" s="86">
        <v>1781</v>
      </c>
    </row>
    <row r="156" spans="1:13">
      <c r="A156" s="85">
        <v>44813</v>
      </c>
      <c r="B156" t="s">
        <v>304</v>
      </c>
      <c r="C156">
        <v>2512477890</v>
      </c>
      <c r="D156" s="86">
        <v>259</v>
      </c>
      <c r="E156" t="s">
        <v>224</v>
      </c>
      <c r="F156">
        <v>0</v>
      </c>
      <c r="G156">
        <v>1019</v>
      </c>
      <c r="H156">
        <v>47</v>
      </c>
      <c r="I156">
        <v>1</v>
      </c>
      <c r="J156">
        <v>1</v>
      </c>
      <c r="K156">
        <v>1</v>
      </c>
      <c r="L156">
        <v>1</v>
      </c>
      <c r="M156" s="87">
        <v>254.41</v>
      </c>
    </row>
    <row r="157" spans="1:13">
      <c r="A157" s="85">
        <v>44813</v>
      </c>
      <c r="B157" t="s">
        <v>305</v>
      </c>
      <c r="C157">
        <v>2038147985</v>
      </c>
      <c r="D157" s="86">
        <v>759</v>
      </c>
      <c r="E157" t="s">
        <v>224</v>
      </c>
      <c r="F157">
        <v>0</v>
      </c>
      <c r="G157">
        <v>7</v>
      </c>
      <c r="H157">
        <v>2</v>
      </c>
      <c r="I157">
        <v>0</v>
      </c>
      <c r="J157">
        <v>0</v>
      </c>
      <c r="K157">
        <v>0</v>
      </c>
      <c r="L157">
        <v>0</v>
      </c>
      <c r="M157" s="86">
        <v>0</v>
      </c>
    </row>
    <row r="158" spans="1:13">
      <c r="A158" s="85">
        <v>44813</v>
      </c>
      <c r="B158" t="s">
        <v>184</v>
      </c>
      <c r="C158">
        <v>2545182157</v>
      </c>
      <c r="D158" s="86">
        <v>599</v>
      </c>
      <c r="E158" t="s">
        <v>224</v>
      </c>
      <c r="F158">
        <v>0</v>
      </c>
      <c r="G158">
        <v>823</v>
      </c>
      <c r="H158">
        <v>47</v>
      </c>
      <c r="I158">
        <v>1</v>
      </c>
      <c r="J158">
        <v>1</v>
      </c>
      <c r="K158">
        <v>1</v>
      </c>
      <c r="L158">
        <v>1</v>
      </c>
      <c r="M158" s="86">
        <v>599</v>
      </c>
    </row>
    <row r="159" spans="1:13">
      <c r="A159" s="85">
        <v>44813</v>
      </c>
      <c r="B159" t="s">
        <v>306</v>
      </c>
      <c r="C159">
        <v>1987549626</v>
      </c>
      <c r="D159" s="86">
        <v>678</v>
      </c>
      <c r="E159" t="s">
        <v>224</v>
      </c>
      <c r="F159">
        <v>0</v>
      </c>
      <c r="G159">
        <v>302</v>
      </c>
      <c r="H159">
        <v>18</v>
      </c>
      <c r="I159">
        <v>0</v>
      </c>
      <c r="J159">
        <v>0</v>
      </c>
      <c r="K159">
        <v>0</v>
      </c>
      <c r="L159">
        <v>0</v>
      </c>
      <c r="M159" s="86">
        <v>0</v>
      </c>
    </row>
    <row r="160" spans="1:13">
      <c r="A160" s="85">
        <v>44815</v>
      </c>
      <c r="B160" t="s">
        <v>196</v>
      </c>
      <c r="C160">
        <v>2023542289</v>
      </c>
      <c r="D160" s="86">
        <v>599</v>
      </c>
      <c r="E160" t="s">
        <v>224</v>
      </c>
      <c r="F160">
        <v>0</v>
      </c>
      <c r="G160">
        <v>4059</v>
      </c>
      <c r="H160">
        <v>175</v>
      </c>
      <c r="I160">
        <v>1</v>
      </c>
      <c r="J160">
        <v>3</v>
      </c>
      <c r="K160">
        <v>1</v>
      </c>
      <c r="L160">
        <v>1</v>
      </c>
      <c r="M160" s="86">
        <v>599</v>
      </c>
    </row>
    <row r="161" spans="1:13">
      <c r="A161" s="85">
        <v>44815</v>
      </c>
      <c r="B161" t="s">
        <v>195</v>
      </c>
      <c r="C161">
        <v>1567470953</v>
      </c>
      <c r="D161" s="87">
        <v>19.9</v>
      </c>
      <c r="E161" t="s">
        <v>224</v>
      </c>
      <c r="F161">
        <v>1</v>
      </c>
      <c r="G161">
        <v>3257</v>
      </c>
      <c r="H161">
        <v>312</v>
      </c>
      <c r="I161">
        <v>10</v>
      </c>
      <c r="J161">
        <v>11</v>
      </c>
      <c r="K161">
        <v>7</v>
      </c>
      <c r="L161">
        <v>7</v>
      </c>
      <c r="M161" s="87">
        <v>139.3</v>
      </c>
    </row>
    <row r="162" spans="1:13">
      <c r="A162" s="85">
        <v>44815</v>
      </c>
      <c r="B162" t="s">
        <v>185</v>
      </c>
      <c r="C162">
        <v>2033524077</v>
      </c>
      <c r="D162" s="87">
        <v>39.9</v>
      </c>
      <c r="E162" t="s">
        <v>224</v>
      </c>
      <c r="F162">
        <v>0</v>
      </c>
      <c r="G162">
        <v>3231</v>
      </c>
      <c r="H162">
        <v>72</v>
      </c>
      <c r="I162">
        <v>5</v>
      </c>
      <c r="J162">
        <v>6</v>
      </c>
      <c r="K162">
        <v>4</v>
      </c>
      <c r="L162">
        <v>4</v>
      </c>
      <c r="M162" s="87">
        <v>148.6</v>
      </c>
    </row>
    <row r="163" spans="1:13">
      <c r="A163" s="85">
        <v>44815</v>
      </c>
      <c r="B163" t="s">
        <v>193</v>
      </c>
      <c r="C163">
        <v>2419194308</v>
      </c>
      <c r="D163" s="87">
        <v>39.9</v>
      </c>
      <c r="E163" t="s">
        <v>224</v>
      </c>
      <c r="F163">
        <v>0</v>
      </c>
      <c r="G163">
        <v>3305</v>
      </c>
      <c r="H163">
        <v>62</v>
      </c>
      <c r="I163">
        <v>1</v>
      </c>
      <c r="J163">
        <v>1</v>
      </c>
      <c r="K163">
        <v>1</v>
      </c>
      <c r="L163">
        <v>1</v>
      </c>
      <c r="M163" s="87">
        <v>37.9</v>
      </c>
    </row>
    <row r="164" spans="1:13">
      <c r="A164" s="85">
        <v>44815</v>
      </c>
      <c r="B164" t="s">
        <v>225</v>
      </c>
      <c r="C164">
        <v>1906890718</v>
      </c>
      <c r="D164" s="86">
        <v>69</v>
      </c>
      <c r="E164" t="s">
        <v>224</v>
      </c>
      <c r="F164">
        <v>0</v>
      </c>
      <c r="G164">
        <v>2582</v>
      </c>
      <c r="H164">
        <v>55</v>
      </c>
      <c r="I164">
        <v>1</v>
      </c>
      <c r="J164">
        <v>1</v>
      </c>
      <c r="K164">
        <v>1</v>
      </c>
      <c r="L164">
        <v>1</v>
      </c>
      <c r="M164" s="86">
        <v>63</v>
      </c>
    </row>
    <row r="165" spans="1:13">
      <c r="A165" s="85">
        <v>44815</v>
      </c>
      <c r="B165" t="s">
        <v>226</v>
      </c>
      <c r="C165">
        <v>2035646456</v>
      </c>
      <c r="D165" s="86">
        <v>89</v>
      </c>
      <c r="E165" t="s">
        <v>224</v>
      </c>
      <c r="F165">
        <v>0</v>
      </c>
      <c r="G165">
        <v>1686</v>
      </c>
      <c r="H165">
        <v>43</v>
      </c>
      <c r="I165">
        <v>0</v>
      </c>
      <c r="J165">
        <v>0</v>
      </c>
      <c r="K165">
        <v>0</v>
      </c>
      <c r="L165">
        <v>0</v>
      </c>
      <c r="M165" s="86">
        <v>0</v>
      </c>
    </row>
    <row r="166" spans="1:13">
      <c r="A166" s="85">
        <v>44815</v>
      </c>
      <c r="B166" t="s">
        <v>207</v>
      </c>
      <c r="C166">
        <v>2035823215</v>
      </c>
      <c r="D166" s="86">
        <v>99</v>
      </c>
      <c r="E166" t="s">
        <v>224</v>
      </c>
      <c r="F166">
        <v>0</v>
      </c>
      <c r="G166">
        <v>1451</v>
      </c>
      <c r="H166">
        <v>33</v>
      </c>
      <c r="I166">
        <v>0</v>
      </c>
      <c r="J166">
        <v>0</v>
      </c>
      <c r="K166">
        <v>0</v>
      </c>
      <c r="L166">
        <v>0</v>
      </c>
      <c r="M166" s="86">
        <v>0</v>
      </c>
    </row>
    <row r="167" spans="1:13">
      <c r="A167" s="85">
        <v>44815</v>
      </c>
      <c r="B167" t="s">
        <v>230</v>
      </c>
      <c r="C167">
        <v>2541092403</v>
      </c>
      <c r="D167" s="86">
        <v>89</v>
      </c>
      <c r="E167" t="s">
        <v>224</v>
      </c>
      <c r="F167">
        <v>0</v>
      </c>
      <c r="G167">
        <v>1522</v>
      </c>
      <c r="H167">
        <v>43</v>
      </c>
      <c r="I167">
        <v>0</v>
      </c>
      <c r="J167">
        <v>0</v>
      </c>
      <c r="K167">
        <v>0</v>
      </c>
      <c r="L167">
        <v>0</v>
      </c>
      <c r="M167" s="86">
        <v>0</v>
      </c>
    </row>
    <row r="168" spans="1:13">
      <c r="A168" s="85">
        <v>44815</v>
      </c>
      <c r="B168" t="s">
        <v>181</v>
      </c>
      <c r="C168">
        <v>1983238576</v>
      </c>
      <c r="D168" s="86">
        <v>249</v>
      </c>
      <c r="E168" t="s">
        <v>224</v>
      </c>
      <c r="F168">
        <v>1</v>
      </c>
      <c r="G168">
        <v>7961</v>
      </c>
      <c r="H168">
        <v>439</v>
      </c>
      <c r="I168">
        <v>21</v>
      </c>
      <c r="J168">
        <v>23</v>
      </c>
      <c r="K168">
        <v>20</v>
      </c>
      <c r="L168">
        <v>20</v>
      </c>
      <c r="M168" s="86">
        <v>4943</v>
      </c>
    </row>
    <row r="169" spans="1:13">
      <c r="A169" s="85">
        <v>44815</v>
      </c>
      <c r="B169" t="s">
        <v>192</v>
      </c>
      <c r="C169">
        <v>2507693918</v>
      </c>
      <c r="D169" s="86">
        <v>259</v>
      </c>
      <c r="E169" t="s">
        <v>224</v>
      </c>
      <c r="F169">
        <v>0</v>
      </c>
      <c r="G169">
        <v>2739</v>
      </c>
      <c r="H169">
        <v>140</v>
      </c>
      <c r="I169">
        <v>4</v>
      </c>
      <c r="J169">
        <v>4</v>
      </c>
      <c r="K169">
        <v>4</v>
      </c>
      <c r="L169">
        <v>4</v>
      </c>
      <c r="M169" s="86">
        <v>1024</v>
      </c>
    </row>
    <row r="170" spans="1:13">
      <c r="A170" s="85">
        <v>44815</v>
      </c>
      <c r="B170" t="s">
        <v>232</v>
      </c>
      <c r="C170">
        <v>2480178424</v>
      </c>
      <c r="D170" s="86">
        <v>249</v>
      </c>
      <c r="E170" t="s">
        <v>224</v>
      </c>
      <c r="F170">
        <v>1</v>
      </c>
      <c r="G170">
        <v>2037</v>
      </c>
      <c r="H170">
        <v>55</v>
      </c>
      <c r="I170">
        <v>0</v>
      </c>
      <c r="J170">
        <v>0</v>
      </c>
      <c r="K170">
        <v>0</v>
      </c>
      <c r="L170">
        <v>0</v>
      </c>
      <c r="M170" s="86">
        <v>0</v>
      </c>
    </row>
    <row r="171" spans="1:13">
      <c r="A171" s="85">
        <v>44815</v>
      </c>
      <c r="B171" t="s">
        <v>198</v>
      </c>
      <c r="C171">
        <v>2027905719</v>
      </c>
      <c r="D171" s="86">
        <v>99</v>
      </c>
      <c r="E171" t="s">
        <v>224</v>
      </c>
      <c r="F171">
        <v>0</v>
      </c>
      <c r="G171">
        <v>1994</v>
      </c>
      <c r="H171">
        <v>49</v>
      </c>
      <c r="I171">
        <v>1</v>
      </c>
      <c r="J171">
        <v>1</v>
      </c>
      <c r="K171">
        <v>1</v>
      </c>
      <c r="L171">
        <v>1</v>
      </c>
      <c r="M171" s="86">
        <v>99</v>
      </c>
    </row>
    <row r="172" spans="1:13">
      <c r="A172" s="85">
        <v>44815</v>
      </c>
      <c r="B172" t="s">
        <v>235</v>
      </c>
      <c r="C172">
        <v>2507679096</v>
      </c>
      <c r="D172" s="86">
        <v>99</v>
      </c>
      <c r="E172" t="s">
        <v>224</v>
      </c>
      <c r="F172">
        <v>0</v>
      </c>
      <c r="G172">
        <v>1844</v>
      </c>
      <c r="H172">
        <v>25</v>
      </c>
      <c r="I172">
        <v>0</v>
      </c>
      <c r="J172">
        <v>0</v>
      </c>
      <c r="K172">
        <v>0</v>
      </c>
      <c r="L172">
        <v>0</v>
      </c>
      <c r="M172" s="86">
        <v>0</v>
      </c>
    </row>
    <row r="173" spans="1:13">
      <c r="A173" s="85">
        <v>44815</v>
      </c>
      <c r="B173" t="s">
        <v>236</v>
      </c>
      <c r="C173">
        <v>2021508256</v>
      </c>
      <c r="D173" s="86">
        <v>259</v>
      </c>
      <c r="E173" t="s">
        <v>224</v>
      </c>
      <c r="F173">
        <v>1</v>
      </c>
      <c r="G173">
        <v>1616</v>
      </c>
      <c r="H173">
        <v>45</v>
      </c>
      <c r="I173">
        <v>1</v>
      </c>
      <c r="J173">
        <v>2</v>
      </c>
      <c r="K173">
        <v>1</v>
      </c>
      <c r="L173">
        <v>1</v>
      </c>
      <c r="M173" s="86">
        <v>259</v>
      </c>
    </row>
    <row r="174" spans="1:13">
      <c r="A174" s="85">
        <v>44815</v>
      </c>
      <c r="B174" t="s">
        <v>179</v>
      </c>
      <c r="C174">
        <v>2006409756</v>
      </c>
      <c r="D174" s="86">
        <v>249</v>
      </c>
      <c r="E174" t="s">
        <v>224</v>
      </c>
      <c r="F174">
        <v>0</v>
      </c>
      <c r="G174">
        <v>16026</v>
      </c>
      <c r="H174">
        <v>675</v>
      </c>
      <c r="I174">
        <v>29</v>
      </c>
      <c r="J174">
        <v>35</v>
      </c>
      <c r="K174">
        <v>28</v>
      </c>
      <c r="L174">
        <v>28</v>
      </c>
      <c r="M174" s="86">
        <v>6923</v>
      </c>
    </row>
    <row r="175" spans="1:13">
      <c r="A175" s="85">
        <v>44815</v>
      </c>
      <c r="B175" t="s">
        <v>180</v>
      </c>
      <c r="C175">
        <v>2529476838</v>
      </c>
      <c r="D175" s="87">
        <v>19.9</v>
      </c>
      <c r="E175" t="s">
        <v>224</v>
      </c>
      <c r="F175">
        <v>1</v>
      </c>
      <c r="G175">
        <v>3335</v>
      </c>
      <c r="H175">
        <v>151</v>
      </c>
      <c r="I175">
        <v>6</v>
      </c>
      <c r="J175">
        <v>6</v>
      </c>
      <c r="K175">
        <v>6</v>
      </c>
      <c r="L175">
        <v>6</v>
      </c>
      <c r="M175" s="87">
        <v>119.4</v>
      </c>
    </row>
    <row r="176" spans="1:13">
      <c r="A176" s="85">
        <v>44815</v>
      </c>
      <c r="B176" t="s">
        <v>239</v>
      </c>
      <c r="C176">
        <v>2019733769</v>
      </c>
      <c r="D176" s="86">
        <v>99</v>
      </c>
      <c r="E176" t="s">
        <v>224</v>
      </c>
      <c r="F176">
        <v>0</v>
      </c>
      <c r="G176">
        <v>2710</v>
      </c>
      <c r="H176">
        <v>69</v>
      </c>
      <c r="I176">
        <v>0</v>
      </c>
      <c r="J176">
        <v>0</v>
      </c>
      <c r="K176">
        <v>0</v>
      </c>
      <c r="L176">
        <v>0</v>
      </c>
      <c r="M176" s="86">
        <v>0</v>
      </c>
    </row>
    <row r="177" spans="1:13">
      <c r="A177" s="85">
        <v>44815</v>
      </c>
      <c r="B177" t="s">
        <v>241</v>
      </c>
      <c r="C177">
        <v>2011047024</v>
      </c>
      <c r="D177" s="86">
        <v>99</v>
      </c>
      <c r="E177" t="s">
        <v>224</v>
      </c>
      <c r="F177">
        <v>0</v>
      </c>
      <c r="G177">
        <v>2702</v>
      </c>
      <c r="H177">
        <v>71</v>
      </c>
      <c r="I177">
        <v>0</v>
      </c>
      <c r="J177">
        <v>0</v>
      </c>
      <c r="K177">
        <v>0</v>
      </c>
      <c r="L177">
        <v>0</v>
      </c>
      <c r="M177" s="86">
        <v>0</v>
      </c>
    </row>
    <row r="178" spans="1:13">
      <c r="A178" s="85">
        <v>44815</v>
      </c>
      <c r="B178" t="s">
        <v>243</v>
      </c>
      <c r="C178">
        <v>2015826323</v>
      </c>
      <c r="D178" s="86">
        <v>89</v>
      </c>
      <c r="E178" t="s">
        <v>224</v>
      </c>
      <c r="F178">
        <v>0</v>
      </c>
      <c r="G178">
        <v>2594</v>
      </c>
      <c r="H178">
        <v>46</v>
      </c>
      <c r="I178">
        <v>1</v>
      </c>
      <c r="J178">
        <v>1</v>
      </c>
      <c r="K178">
        <v>0</v>
      </c>
      <c r="L178">
        <v>0</v>
      </c>
      <c r="M178" s="86">
        <v>0</v>
      </c>
    </row>
    <row r="179" spans="1:13">
      <c r="A179" s="85">
        <v>44815</v>
      </c>
      <c r="B179" t="s">
        <v>199</v>
      </c>
      <c r="C179">
        <v>2476776138</v>
      </c>
      <c r="D179" s="86">
        <v>219</v>
      </c>
      <c r="E179" t="s">
        <v>224</v>
      </c>
      <c r="F179">
        <v>0</v>
      </c>
      <c r="G179">
        <v>3275</v>
      </c>
      <c r="H179">
        <v>96</v>
      </c>
      <c r="I179">
        <v>4</v>
      </c>
      <c r="J179">
        <v>5</v>
      </c>
      <c r="K179">
        <v>3</v>
      </c>
      <c r="L179">
        <v>3</v>
      </c>
      <c r="M179" s="86">
        <v>641</v>
      </c>
    </row>
    <row r="180" spans="1:13">
      <c r="A180" s="85">
        <v>44815</v>
      </c>
      <c r="B180" t="s">
        <v>204</v>
      </c>
      <c r="C180">
        <v>2460481743</v>
      </c>
      <c r="D180" s="86">
        <v>329</v>
      </c>
      <c r="E180" t="s">
        <v>224</v>
      </c>
      <c r="F180">
        <v>0</v>
      </c>
      <c r="G180">
        <v>2289</v>
      </c>
      <c r="H180">
        <v>148</v>
      </c>
      <c r="I180">
        <v>1</v>
      </c>
      <c r="J180">
        <v>1</v>
      </c>
      <c r="K180">
        <v>1</v>
      </c>
      <c r="L180">
        <v>1</v>
      </c>
      <c r="M180" s="86">
        <v>324</v>
      </c>
    </row>
    <row r="181" spans="1:13">
      <c r="A181" s="85">
        <v>44815</v>
      </c>
      <c r="B181" t="s">
        <v>247</v>
      </c>
      <c r="C181">
        <v>2011142049</v>
      </c>
      <c r="D181" s="86">
        <v>89</v>
      </c>
      <c r="E181" t="s">
        <v>224</v>
      </c>
      <c r="F181">
        <v>0</v>
      </c>
      <c r="G181">
        <v>1734</v>
      </c>
      <c r="H181">
        <v>61</v>
      </c>
      <c r="I181">
        <v>0</v>
      </c>
      <c r="J181">
        <v>0</v>
      </c>
      <c r="K181">
        <v>0</v>
      </c>
      <c r="L181">
        <v>0</v>
      </c>
      <c r="M181" s="86">
        <v>0</v>
      </c>
    </row>
    <row r="182" spans="1:13">
      <c r="A182" s="85">
        <v>44815</v>
      </c>
      <c r="B182" t="s">
        <v>206</v>
      </c>
      <c r="C182">
        <v>2021434911</v>
      </c>
      <c r="D182" s="86">
        <v>249</v>
      </c>
      <c r="E182" t="s">
        <v>224</v>
      </c>
      <c r="F182">
        <v>0</v>
      </c>
      <c r="G182">
        <v>1800</v>
      </c>
      <c r="H182">
        <v>54</v>
      </c>
      <c r="I182">
        <v>1</v>
      </c>
      <c r="J182">
        <v>2</v>
      </c>
      <c r="K182">
        <v>0</v>
      </c>
      <c r="L182">
        <v>0</v>
      </c>
      <c r="M182" s="86">
        <v>0</v>
      </c>
    </row>
    <row r="183" spans="1:13">
      <c r="A183" s="85">
        <v>44815</v>
      </c>
      <c r="B183" t="s">
        <v>250</v>
      </c>
      <c r="C183">
        <v>2010924773</v>
      </c>
      <c r="D183" s="86">
        <v>109</v>
      </c>
      <c r="E183" t="s">
        <v>224</v>
      </c>
      <c r="F183">
        <v>0</v>
      </c>
      <c r="G183">
        <v>1778</v>
      </c>
      <c r="H183">
        <v>30</v>
      </c>
      <c r="I183">
        <v>0</v>
      </c>
      <c r="J183">
        <v>0</v>
      </c>
      <c r="K183">
        <v>0</v>
      </c>
      <c r="L183">
        <v>0</v>
      </c>
      <c r="M183" s="86">
        <v>0</v>
      </c>
    </row>
    <row r="184" spans="1:13">
      <c r="A184" s="85">
        <v>44815</v>
      </c>
      <c r="B184" t="s">
        <v>252</v>
      </c>
      <c r="C184">
        <v>2015822774</v>
      </c>
      <c r="D184" s="86">
        <v>129</v>
      </c>
      <c r="E184" t="s">
        <v>224</v>
      </c>
      <c r="F184">
        <v>0</v>
      </c>
      <c r="G184">
        <v>1688</v>
      </c>
      <c r="H184">
        <v>50</v>
      </c>
      <c r="I184">
        <v>1</v>
      </c>
      <c r="J184">
        <v>1</v>
      </c>
      <c r="K184">
        <v>1</v>
      </c>
      <c r="L184">
        <v>1</v>
      </c>
      <c r="M184" s="86">
        <v>129</v>
      </c>
    </row>
    <row r="185" spans="1:13">
      <c r="A185" s="85">
        <v>44815</v>
      </c>
      <c r="B185" t="s">
        <v>254</v>
      </c>
      <c r="C185">
        <v>2476788224</v>
      </c>
      <c r="D185" s="86">
        <v>249</v>
      </c>
      <c r="E185" t="s">
        <v>224</v>
      </c>
      <c r="F185">
        <v>0</v>
      </c>
      <c r="G185">
        <v>1436</v>
      </c>
      <c r="H185">
        <v>84</v>
      </c>
      <c r="I185">
        <v>0</v>
      </c>
      <c r="J185">
        <v>0</v>
      </c>
      <c r="K185">
        <v>0</v>
      </c>
      <c r="L185">
        <v>0</v>
      </c>
      <c r="M185" s="86">
        <v>0</v>
      </c>
    </row>
    <row r="186" spans="1:13">
      <c r="A186" s="85">
        <v>44815</v>
      </c>
      <c r="B186" t="s">
        <v>256</v>
      </c>
      <c r="C186">
        <v>2482777785</v>
      </c>
      <c r="D186" s="86">
        <v>89</v>
      </c>
      <c r="E186" t="s">
        <v>224</v>
      </c>
      <c r="F186">
        <v>0</v>
      </c>
      <c r="G186">
        <v>1266</v>
      </c>
      <c r="H186">
        <v>47</v>
      </c>
      <c r="I186">
        <v>1</v>
      </c>
      <c r="J186">
        <v>1</v>
      </c>
      <c r="K186">
        <v>1</v>
      </c>
      <c r="L186">
        <v>1</v>
      </c>
      <c r="M186" s="86">
        <v>84</v>
      </c>
    </row>
    <row r="187" spans="1:13">
      <c r="A187" s="85">
        <v>44815</v>
      </c>
      <c r="B187" t="s">
        <v>194</v>
      </c>
      <c r="C187">
        <v>2011142012</v>
      </c>
      <c r="D187" s="86">
        <v>359</v>
      </c>
      <c r="E187" t="s">
        <v>224</v>
      </c>
      <c r="F187">
        <v>1</v>
      </c>
      <c r="G187">
        <v>2112</v>
      </c>
      <c r="H187">
        <v>146</v>
      </c>
      <c r="I187">
        <v>5</v>
      </c>
      <c r="J187">
        <v>5</v>
      </c>
      <c r="K187">
        <v>4</v>
      </c>
      <c r="L187">
        <v>4</v>
      </c>
      <c r="M187" s="86">
        <v>1432</v>
      </c>
    </row>
    <row r="188" spans="1:13">
      <c r="A188" s="85">
        <v>44815</v>
      </c>
      <c r="B188" t="s">
        <v>259</v>
      </c>
      <c r="C188">
        <v>2463683490</v>
      </c>
      <c r="D188" s="86">
        <v>138</v>
      </c>
      <c r="E188" t="s">
        <v>224</v>
      </c>
      <c r="F188">
        <v>0</v>
      </c>
      <c r="G188">
        <v>1349</v>
      </c>
      <c r="H188">
        <v>20</v>
      </c>
      <c r="I188">
        <v>0</v>
      </c>
      <c r="J188">
        <v>0</v>
      </c>
      <c r="K188">
        <v>0</v>
      </c>
      <c r="L188">
        <v>0</v>
      </c>
      <c r="M188" s="86">
        <v>0</v>
      </c>
    </row>
    <row r="189" spans="1:13">
      <c r="A189" s="85">
        <v>44815</v>
      </c>
      <c r="B189" t="s">
        <v>261</v>
      </c>
      <c r="C189">
        <v>2027747907</v>
      </c>
      <c r="D189" s="86">
        <v>99</v>
      </c>
      <c r="E189" t="s">
        <v>224</v>
      </c>
      <c r="F189">
        <v>0</v>
      </c>
      <c r="G189">
        <v>1385</v>
      </c>
      <c r="H189">
        <v>43</v>
      </c>
      <c r="I189">
        <v>1</v>
      </c>
      <c r="J189">
        <v>1</v>
      </c>
      <c r="K189">
        <v>1</v>
      </c>
      <c r="L189">
        <v>1</v>
      </c>
      <c r="M189" s="86">
        <v>95</v>
      </c>
    </row>
    <row r="190" spans="1:13">
      <c r="A190" s="85">
        <v>44815</v>
      </c>
      <c r="B190" t="s">
        <v>263</v>
      </c>
      <c r="C190">
        <v>2480177374</v>
      </c>
      <c r="D190" s="86">
        <v>209</v>
      </c>
      <c r="E190" t="s">
        <v>224</v>
      </c>
      <c r="F190">
        <v>0</v>
      </c>
      <c r="G190">
        <v>1326</v>
      </c>
      <c r="H190">
        <v>63</v>
      </c>
      <c r="I190">
        <v>0</v>
      </c>
      <c r="J190">
        <v>0</v>
      </c>
      <c r="K190">
        <v>0</v>
      </c>
      <c r="L190">
        <v>0</v>
      </c>
      <c r="M190" s="86">
        <v>0</v>
      </c>
    </row>
    <row r="191" spans="1:13">
      <c r="A191" s="85">
        <v>44815</v>
      </c>
      <c r="B191" t="s">
        <v>265</v>
      </c>
      <c r="C191">
        <v>2499188374</v>
      </c>
      <c r="D191" s="86">
        <v>219</v>
      </c>
      <c r="E191" t="s">
        <v>224</v>
      </c>
      <c r="F191">
        <v>0</v>
      </c>
      <c r="G191">
        <v>1277</v>
      </c>
      <c r="H191">
        <v>104</v>
      </c>
      <c r="I191">
        <v>0</v>
      </c>
      <c r="J191">
        <v>0</v>
      </c>
      <c r="K191">
        <v>0</v>
      </c>
      <c r="L191">
        <v>0</v>
      </c>
      <c r="M191" s="86">
        <v>0</v>
      </c>
    </row>
    <row r="192" spans="1:13">
      <c r="A192" s="85">
        <v>44815</v>
      </c>
      <c r="B192" t="s">
        <v>184</v>
      </c>
      <c r="C192">
        <v>2545182157</v>
      </c>
      <c r="D192" s="86">
        <v>599</v>
      </c>
      <c r="E192" t="s">
        <v>224</v>
      </c>
      <c r="F192">
        <v>0</v>
      </c>
      <c r="G192">
        <v>2404</v>
      </c>
      <c r="H192">
        <v>108</v>
      </c>
      <c r="I192">
        <v>6</v>
      </c>
      <c r="J192">
        <v>6</v>
      </c>
      <c r="K192">
        <v>4</v>
      </c>
      <c r="L192">
        <v>4</v>
      </c>
      <c r="M192" s="86">
        <v>2386</v>
      </c>
    </row>
    <row r="193" spans="1:13">
      <c r="A193" s="85">
        <v>44816</v>
      </c>
      <c r="B193" t="s">
        <v>307</v>
      </c>
      <c r="C193">
        <v>1617491551</v>
      </c>
      <c r="D193" s="86">
        <v>239</v>
      </c>
      <c r="E193" t="s">
        <v>224</v>
      </c>
      <c r="F193">
        <v>0</v>
      </c>
      <c r="G193">
        <v>209</v>
      </c>
      <c r="H193">
        <v>17</v>
      </c>
      <c r="I193">
        <v>0</v>
      </c>
      <c r="J193">
        <v>0</v>
      </c>
      <c r="K193">
        <v>0</v>
      </c>
      <c r="L193">
        <v>0</v>
      </c>
      <c r="M193" s="86">
        <v>0</v>
      </c>
    </row>
    <row r="194" spans="1:13">
      <c r="A194" s="85">
        <v>44816</v>
      </c>
      <c r="B194" t="s">
        <v>180</v>
      </c>
      <c r="C194">
        <v>2529476838</v>
      </c>
      <c r="D194" s="87">
        <v>19.9</v>
      </c>
      <c r="E194" t="s">
        <v>224</v>
      </c>
      <c r="F194">
        <v>0</v>
      </c>
      <c r="G194">
        <v>2215</v>
      </c>
      <c r="H194">
        <v>92</v>
      </c>
      <c r="I194">
        <v>8</v>
      </c>
      <c r="J194">
        <v>10</v>
      </c>
      <c r="K194">
        <v>7</v>
      </c>
      <c r="L194">
        <v>8</v>
      </c>
      <c r="M194" s="87">
        <v>159.2</v>
      </c>
    </row>
    <row r="195" spans="1:13">
      <c r="A195" s="85">
        <v>44816</v>
      </c>
      <c r="B195" t="s">
        <v>181</v>
      </c>
      <c r="C195">
        <v>1983238576</v>
      </c>
      <c r="D195" s="86">
        <v>249</v>
      </c>
      <c r="E195" t="s">
        <v>224</v>
      </c>
      <c r="F195">
        <v>0</v>
      </c>
      <c r="G195">
        <v>4407</v>
      </c>
      <c r="H195">
        <v>281</v>
      </c>
      <c r="I195">
        <v>10</v>
      </c>
      <c r="J195">
        <v>10</v>
      </c>
      <c r="K195">
        <v>8</v>
      </c>
      <c r="L195">
        <v>8</v>
      </c>
      <c r="M195" s="86">
        <v>1962</v>
      </c>
    </row>
    <row r="196" spans="1:13">
      <c r="A196" s="85">
        <v>44816</v>
      </c>
      <c r="B196" t="s">
        <v>195</v>
      </c>
      <c r="C196">
        <v>1567470953</v>
      </c>
      <c r="D196" s="87">
        <v>19.9</v>
      </c>
      <c r="E196" t="s">
        <v>224</v>
      </c>
      <c r="F196">
        <v>0</v>
      </c>
      <c r="G196">
        <v>2259</v>
      </c>
      <c r="H196">
        <v>88</v>
      </c>
      <c r="I196">
        <v>1</v>
      </c>
      <c r="J196">
        <v>1</v>
      </c>
      <c r="K196">
        <v>0</v>
      </c>
      <c r="L196">
        <v>0</v>
      </c>
      <c r="M196" s="86">
        <v>0</v>
      </c>
    </row>
    <row r="197" spans="1:13">
      <c r="A197" s="85">
        <v>44816</v>
      </c>
      <c r="B197" t="s">
        <v>179</v>
      </c>
      <c r="C197">
        <v>2006409756</v>
      </c>
      <c r="D197" s="86">
        <v>249</v>
      </c>
      <c r="E197" t="s">
        <v>224</v>
      </c>
      <c r="F197">
        <v>0</v>
      </c>
      <c r="G197">
        <v>5454</v>
      </c>
      <c r="H197">
        <v>329</v>
      </c>
      <c r="I197">
        <v>12</v>
      </c>
      <c r="J197">
        <v>15</v>
      </c>
      <c r="K197">
        <v>12</v>
      </c>
      <c r="L197">
        <v>12</v>
      </c>
      <c r="M197" s="86">
        <v>2980</v>
      </c>
    </row>
    <row r="198" spans="1:13">
      <c r="A198" s="85">
        <v>44816</v>
      </c>
      <c r="B198" t="s">
        <v>185</v>
      </c>
      <c r="C198">
        <v>2033524077</v>
      </c>
      <c r="D198" s="87">
        <v>39.9</v>
      </c>
      <c r="E198" t="s">
        <v>224</v>
      </c>
      <c r="F198">
        <v>0</v>
      </c>
      <c r="G198">
        <v>2487</v>
      </c>
      <c r="H198">
        <v>30</v>
      </c>
      <c r="I198">
        <v>0</v>
      </c>
      <c r="J198">
        <v>0</v>
      </c>
      <c r="K198">
        <v>0</v>
      </c>
      <c r="L198">
        <v>0</v>
      </c>
      <c r="M198" s="86">
        <v>0</v>
      </c>
    </row>
    <row r="199" spans="1:13">
      <c r="A199" s="85">
        <v>44816</v>
      </c>
      <c r="B199" t="s">
        <v>192</v>
      </c>
      <c r="C199">
        <v>2507693918</v>
      </c>
      <c r="D199" s="86">
        <v>259</v>
      </c>
      <c r="E199" t="s">
        <v>224</v>
      </c>
      <c r="F199">
        <v>0</v>
      </c>
      <c r="G199">
        <v>2173</v>
      </c>
      <c r="H199">
        <v>96</v>
      </c>
      <c r="I199">
        <v>2</v>
      </c>
      <c r="J199">
        <v>2</v>
      </c>
      <c r="K199">
        <v>1</v>
      </c>
      <c r="L199">
        <v>1</v>
      </c>
      <c r="M199" s="86">
        <v>251</v>
      </c>
    </row>
    <row r="200" spans="1:13">
      <c r="A200" s="85">
        <v>44816</v>
      </c>
      <c r="B200" t="s">
        <v>193</v>
      </c>
      <c r="C200">
        <v>2419194308</v>
      </c>
      <c r="D200" s="87">
        <v>39.9</v>
      </c>
      <c r="E200" t="s">
        <v>224</v>
      </c>
      <c r="F200">
        <v>0</v>
      </c>
      <c r="G200">
        <v>1751</v>
      </c>
      <c r="H200">
        <v>49</v>
      </c>
      <c r="I200">
        <v>5</v>
      </c>
      <c r="J200">
        <v>5</v>
      </c>
      <c r="K200">
        <v>5</v>
      </c>
      <c r="L200">
        <v>5</v>
      </c>
      <c r="M200" s="87">
        <v>196.5</v>
      </c>
    </row>
    <row r="201" spans="1:13">
      <c r="A201" s="85">
        <v>44816</v>
      </c>
      <c r="B201" t="s">
        <v>199</v>
      </c>
      <c r="C201">
        <v>2476776138</v>
      </c>
      <c r="D201" s="86">
        <v>219</v>
      </c>
      <c r="E201" t="s">
        <v>224</v>
      </c>
      <c r="F201">
        <v>0</v>
      </c>
      <c r="G201">
        <v>1416</v>
      </c>
      <c r="H201">
        <v>36</v>
      </c>
      <c r="I201">
        <v>2</v>
      </c>
      <c r="J201">
        <v>2</v>
      </c>
      <c r="K201">
        <v>1</v>
      </c>
      <c r="L201">
        <v>1</v>
      </c>
      <c r="M201" s="86">
        <v>219</v>
      </c>
    </row>
    <row r="202" spans="1:13">
      <c r="A202" s="85">
        <v>44816</v>
      </c>
      <c r="B202" t="s">
        <v>194</v>
      </c>
      <c r="C202">
        <v>2011142012</v>
      </c>
      <c r="D202" s="86">
        <v>359</v>
      </c>
      <c r="E202" t="s">
        <v>224</v>
      </c>
      <c r="F202">
        <v>0</v>
      </c>
      <c r="G202">
        <v>1269</v>
      </c>
      <c r="H202">
        <v>80</v>
      </c>
      <c r="I202">
        <v>1</v>
      </c>
      <c r="J202">
        <v>1</v>
      </c>
      <c r="K202">
        <v>1</v>
      </c>
      <c r="L202">
        <v>1</v>
      </c>
      <c r="M202" s="86">
        <v>356</v>
      </c>
    </row>
    <row r="203" spans="1:13">
      <c r="A203" s="85">
        <v>44816</v>
      </c>
      <c r="B203" t="s">
        <v>204</v>
      </c>
      <c r="C203">
        <v>2460481743</v>
      </c>
      <c r="D203" s="86">
        <v>329</v>
      </c>
      <c r="E203" t="s">
        <v>224</v>
      </c>
      <c r="F203">
        <v>0</v>
      </c>
      <c r="G203">
        <v>1144</v>
      </c>
      <c r="H203">
        <v>59</v>
      </c>
      <c r="I203">
        <v>0</v>
      </c>
      <c r="J203">
        <v>0</v>
      </c>
      <c r="K203">
        <v>0</v>
      </c>
      <c r="L203">
        <v>0</v>
      </c>
      <c r="M203" s="86">
        <v>0</v>
      </c>
    </row>
    <row r="204" spans="1:13">
      <c r="A204" s="85">
        <v>44816</v>
      </c>
      <c r="B204" t="s">
        <v>184</v>
      </c>
      <c r="C204">
        <v>2545182157</v>
      </c>
      <c r="D204" s="86">
        <v>599</v>
      </c>
      <c r="E204" t="s">
        <v>224</v>
      </c>
      <c r="F204">
        <v>0</v>
      </c>
      <c r="G204">
        <v>1240</v>
      </c>
      <c r="H204">
        <v>27</v>
      </c>
      <c r="I204">
        <v>1</v>
      </c>
      <c r="J204">
        <v>1</v>
      </c>
      <c r="K204">
        <v>1</v>
      </c>
      <c r="L204">
        <v>1</v>
      </c>
      <c r="M204" s="86">
        <v>599</v>
      </c>
    </row>
    <row r="205" spans="1:13">
      <c r="A205" s="85">
        <v>44816</v>
      </c>
      <c r="B205" t="s">
        <v>225</v>
      </c>
      <c r="C205">
        <v>1906890718</v>
      </c>
      <c r="D205" s="86">
        <v>69</v>
      </c>
      <c r="E205" t="s">
        <v>224</v>
      </c>
      <c r="F205">
        <v>0</v>
      </c>
      <c r="G205">
        <v>1008</v>
      </c>
      <c r="H205">
        <v>40</v>
      </c>
      <c r="I205">
        <v>0</v>
      </c>
      <c r="J205">
        <v>0</v>
      </c>
      <c r="K205">
        <v>0</v>
      </c>
      <c r="L205">
        <v>0</v>
      </c>
      <c r="M205" s="86">
        <v>0</v>
      </c>
    </row>
    <row r="206" spans="1:13">
      <c r="A206" s="85">
        <v>44816</v>
      </c>
      <c r="B206" t="s">
        <v>226</v>
      </c>
      <c r="C206">
        <v>2035646456</v>
      </c>
      <c r="D206" s="86">
        <v>89</v>
      </c>
      <c r="E206" t="s">
        <v>224</v>
      </c>
      <c r="F206">
        <v>0</v>
      </c>
      <c r="G206">
        <v>927</v>
      </c>
      <c r="H206">
        <v>11</v>
      </c>
      <c r="I206">
        <v>0</v>
      </c>
      <c r="J206">
        <v>0</v>
      </c>
      <c r="K206">
        <v>0</v>
      </c>
      <c r="L206">
        <v>0</v>
      </c>
      <c r="M206" s="86">
        <v>0</v>
      </c>
    </row>
    <row r="207" spans="1:13">
      <c r="A207" s="85">
        <v>44816</v>
      </c>
      <c r="B207" t="s">
        <v>230</v>
      </c>
      <c r="C207">
        <v>2541092403</v>
      </c>
      <c r="D207" s="86">
        <v>89</v>
      </c>
      <c r="E207" t="s">
        <v>224</v>
      </c>
      <c r="F207">
        <v>0</v>
      </c>
      <c r="G207">
        <v>815</v>
      </c>
      <c r="H207">
        <v>18</v>
      </c>
      <c r="I207">
        <v>0</v>
      </c>
      <c r="J207">
        <v>0</v>
      </c>
      <c r="K207">
        <v>0</v>
      </c>
      <c r="L207">
        <v>0</v>
      </c>
      <c r="M207" s="86">
        <v>0</v>
      </c>
    </row>
    <row r="208" spans="1:13">
      <c r="A208" s="85">
        <v>44816</v>
      </c>
      <c r="B208" t="s">
        <v>232</v>
      </c>
      <c r="C208">
        <v>2480178424</v>
      </c>
      <c r="D208" s="86">
        <v>249</v>
      </c>
      <c r="E208" t="s">
        <v>224</v>
      </c>
      <c r="F208">
        <v>0</v>
      </c>
      <c r="G208">
        <v>777</v>
      </c>
      <c r="H208">
        <v>18</v>
      </c>
      <c r="I208">
        <v>0</v>
      </c>
      <c r="J208">
        <v>0</v>
      </c>
      <c r="K208">
        <v>0</v>
      </c>
      <c r="L208">
        <v>0</v>
      </c>
      <c r="M208" s="86">
        <v>0</v>
      </c>
    </row>
    <row r="209" spans="1:13">
      <c r="A209" s="85">
        <v>44816</v>
      </c>
      <c r="B209" t="s">
        <v>236</v>
      </c>
      <c r="C209">
        <v>2021508256</v>
      </c>
      <c r="D209" s="86">
        <v>259</v>
      </c>
      <c r="E209" t="s">
        <v>224</v>
      </c>
      <c r="F209">
        <v>0</v>
      </c>
      <c r="G209">
        <v>737</v>
      </c>
      <c r="H209">
        <v>17</v>
      </c>
      <c r="I209">
        <v>0</v>
      </c>
      <c r="J209">
        <v>0</v>
      </c>
      <c r="K209">
        <v>0</v>
      </c>
      <c r="L209">
        <v>0</v>
      </c>
      <c r="M209" s="86">
        <v>0</v>
      </c>
    </row>
    <row r="210" spans="1:13">
      <c r="A210" s="85">
        <v>44816</v>
      </c>
      <c r="B210" t="s">
        <v>198</v>
      </c>
      <c r="C210">
        <v>2027905719</v>
      </c>
      <c r="D210" s="86">
        <v>99</v>
      </c>
      <c r="E210" t="s">
        <v>224</v>
      </c>
      <c r="F210">
        <v>0</v>
      </c>
      <c r="G210">
        <v>724</v>
      </c>
      <c r="H210">
        <v>23</v>
      </c>
      <c r="I210">
        <v>0</v>
      </c>
      <c r="J210">
        <v>0</v>
      </c>
      <c r="K210">
        <v>0</v>
      </c>
      <c r="L210">
        <v>0</v>
      </c>
      <c r="M210" s="86">
        <v>0</v>
      </c>
    </row>
    <row r="211" spans="1:13">
      <c r="A211" s="85">
        <v>44816</v>
      </c>
      <c r="B211" t="s">
        <v>256</v>
      </c>
      <c r="C211">
        <v>2482777785</v>
      </c>
      <c r="D211" s="86">
        <v>89</v>
      </c>
      <c r="E211" t="s">
        <v>224</v>
      </c>
      <c r="F211">
        <v>0</v>
      </c>
      <c r="G211">
        <v>693</v>
      </c>
      <c r="H211">
        <v>23</v>
      </c>
      <c r="I211">
        <v>0</v>
      </c>
      <c r="J211">
        <v>0</v>
      </c>
      <c r="K211">
        <v>0</v>
      </c>
      <c r="L211">
        <v>0</v>
      </c>
      <c r="M211" s="86">
        <v>0</v>
      </c>
    </row>
    <row r="212" spans="1:13">
      <c r="A212" s="85">
        <v>44816</v>
      </c>
      <c r="B212" t="s">
        <v>239</v>
      </c>
      <c r="C212">
        <v>2019733769</v>
      </c>
      <c r="D212" s="86">
        <v>99</v>
      </c>
      <c r="E212" t="s">
        <v>224</v>
      </c>
      <c r="F212">
        <v>0</v>
      </c>
      <c r="G212">
        <v>684</v>
      </c>
      <c r="H212">
        <v>13</v>
      </c>
      <c r="I212">
        <v>0</v>
      </c>
      <c r="J212">
        <v>0</v>
      </c>
      <c r="K212">
        <v>0</v>
      </c>
      <c r="L212">
        <v>0</v>
      </c>
      <c r="M212" s="86">
        <v>0</v>
      </c>
    </row>
    <row r="213" spans="1:13">
      <c r="A213" s="85">
        <v>44816</v>
      </c>
      <c r="B213" t="s">
        <v>241</v>
      </c>
      <c r="C213">
        <v>2011047024</v>
      </c>
      <c r="D213" s="86">
        <v>99</v>
      </c>
      <c r="E213" t="s">
        <v>224</v>
      </c>
      <c r="F213">
        <v>0</v>
      </c>
      <c r="G213">
        <v>687</v>
      </c>
      <c r="H213">
        <v>15</v>
      </c>
      <c r="I213">
        <v>0</v>
      </c>
      <c r="J213">
        <v>0</v>
      </c>
      <c r="K213">
        <v>0</v>
      </c>
      <c r="L213">
        <v>0</v>
      </c>
      <c r="M213" s="86">
        <v>0</v>
      </c>
    </row>
    <row r="214" spans="1:13">
      <c r="A214" s="85">
        <v>44816</v>
      </c>
      <c r="B214" t="s">
        <v>247</v>
      </c>
      <c r="C214">
        <v>2011142049</v>
      </c>
      <c r="D214" s="86">
        <v>89</v>
      </c>
      <c r="E214" t="s">
        <v>224</v>
      </c>
      <c r="F214">
        <v>0</v>
      </c>
      <c r="G214">
        <v>672</v>
      </c>
      <c r="H214">
        <v>15</v>
      </c>
      <c r="I214">
        <v>0</v>
      </c>
      <c r="J214">
        <v>0</v>
      </c>
      <c r="K214">
        <v>0</v>
      </c>
      <c r="L214">
        <v>0</v>
      </c>
      <c r="M214" s="86">
        <v>0</v>
      </c>
    </row>
    <row r="215" spans="1:13">
      <c r="A215" s="85">
        <v>44816</v>
      </c>
      <c r="B215" t="s">
        <v>250</v>
      </c>
      <c r="C215">
        <v>2010924773</v>
      </c>
      <c r="D215" s="86">
        <v>109</v>
      </c>
      <c r="E215" t="s">
        <v>224</v>
      </c>
      <c r="F215">
        <v>0</v>
      </c>
      <c r="G215">
        <v>672</v>
      </c>
      <c r="H215">
        <v>11</v>
      </c>
      <c r="I215">
        <v>0</v>
      </c>
      <c r="J215">
        <v>0</v>
      </c>
      <c r="K215">
        <v>0</v>
      </c>
      <c r="L215">
        <v>0</v>
      </c>
      <c r="M215" s="86">
        <v>0</v>
      </c>
    </row>
    <row r="216" spans="1:13">
      <c r="A216" s="85">
        <v>44816</v>
      </c>
      <c r="B216" t="s">
        <v>235</v>
      </c>
      <c r="C216">
        <v>2507679096</v>
      </c>
      <c r="D216" s="86">
        <v>99</v>
      </c>
      <c r="E216" t="s">
        <v>224</v>
      </c>
      <c r="F216">
        <v>0</v>
      </c>
      <c r="G216">
        <v>673</v>
      </c>
      <c r="H216">
        <v>12</v>
      </c>
      <c r="I216">
        <v>0</v>
      </c>
      <c r="J216">
        <v>0</v>
      </c>
      <c r="K216">
        <v>0</v>
      </c>
      <c r="L216">
        <v>0</v>
      </c>
      <c r="M216" s="86">
        <v>0</v>
      </c>
    </row>
    <row r="217" spans="1:13">
      <c r="A217" s="85">
        <v>44816</v>
      </c>
      <c r="B217" t="s">
        <v>243</v>
      </c>
      <c r="C217">
        <v>2015826323</v>
      </c>
      <c r="D217" s="86">
        <v>89</v>
      </c>
      <c r="E217" t="s">
        <v>224</v>
      </c>
      <c r="F217">
        <v>0</v>
      </c>
      <c r="G217">
        <v>671</v>
      </c>
      <c r="H217">
        <v>6</v>
      </c>
      <c r="I217">
        <v>0</v>
      </c>
      <c r="J217">
        <v>0</v>
      </c>
      <c r="K217">
        <v>0</v>
      </c>
      <c r="L217">
        <v>0</v>
      </c>
      <c r="M217" s="86">
        <v>0</v>
      </c>
    </row>
    <row r="218" spans="1:13">
      <c r="A218" s="85">
        <v>44816</v>
      </c>
      <c r="B218" t="s">
        <v>252</v>
      </c>
      <c r="C218">
        <v>2015822774</v>
      </c>
      <c r="D218" s="86">
        <v>129</v>
      </c>
      <c r="E218" t="s">
        <v>224</v>
      </c>
      <c r="F218">
        <v>0</v>
      </c>
      <c r="G218">
        <v>586</v>
      </c>
      <c r="H218">
        <v>15</v>
      </c>
      <c r="I218">
        <v>0</v>
      </c>
      <c r="J218">
        <v>0</v>
      </c>
      <c r="K218">
        <v>0</v>
      </c>
      <c r="L218">
        <v>0</v>
      </c>
      <c r="M218" s="86">
        <v>0</v>
      </c>
    </row>
    <row r="219" spans="1:13">
      <c r="A219" s="85">
        <v>44816</v>
      </c>
      <c r="B219" t="s">
        <v>206</v>
      </c>
      <c r="C219">
        <v>2021434911</v>
      </c>
      <c r="D219" s="86">
        <v>249</v>
      </c>
      <c r="E219" t="s">
        <v>224</v>
      </c>
      <c r="F219">
        <v>0</v>
      </c>
      <c r="G219">
        <v>587</v>
      </c>
      <c r="H219">
        <v>25</v>
      </c>
      <c r="I219">
        <v>0</v>
      </c>
      <c r="J219">
        <v>0</v>
      </c>
      <c r="K219">
        <v>0</v>
      </c>
      <c r="L219">
        <v>0</v>
      </c>
      <c r="M219" s="86">
        <v>0</v>
      </c>
    </row>
    <row r="220" spans="1:13">
      <c r="A220" s="85">
        <v>44816</v>
      </c>
      <c r="B220" t="s">
        <v>254</v>
      </c>
      <c r="C220">
        <v>2476788224</v>
      </c>
      <c r="D220" s="86">
        <v>249</v>
      </c>
      <c r="E220" t="s">
        <v>224</v>
      </c>
      <c r="F220">
        <v>0</v>
      </c>
      <c r="G220">
        <v>546</v>
      </c>
      <c r="H220">
        <v>34</v>
      </c>
      <c r="I220">
        <v>1</v>
      </c>
      <c r="J220">
        <v>1</v>
      </c>
      <c r="K220">
        <v>1</v>
      </c>
      <c r="L220">
        <v>1</v>
      </c>
      <c r="M220" s="86">
        <v>249</v>
      </c>
    </row>
    <row r="221" spans="1:13">
      <c r="A221" s="85">
        <v>44816</v>
      </c>
      <c r="B221" t="s">
        <v>259</v>
      </c>
      <c r="C221">
        <v>2463683490</v>
      </c>
      <c r="D221" s="86">
        <v>138</v>
      </c>
      <c r="E221" t="s">
        <v>224</v>
      </c>
      <c r="F221">
        <v>0</v>
      </c>
      <c r="G221">
        <v>571</v>
      </c>
      <c r="H221">
        <v>11</v>
      </c>
      <c r="I221">
        <v>0</v>
      </c>
      <c r="J221">
        <v>0</v>
      </c>
      <c r="K221">
        <v>0</v>
      </c>
      <c r="L221">
        <v>0</v>
      </c>
      <c r="M221" s="86">
        <v>0</v>
      </c>
    </row>
    <row r="222" spans="1:13">
      <c r="A222" s="85">
        <v>44816</v>
      </c>
      <c r="B222" t="s">
        <v>261</v>
      </c>
      <c r="C222">
        <v>2027747907</v>
      </c>
      <c r="D222" s="86">
        <v>99</v>
      </c>
      <c r="E222" t="s">
        <v>224</v>
      </c>
      <c r="F222">
        <v>0</v>
      </c>
      <c r="G222">
        <v>583</v>
      </c>
      <c r="H222">
        <v>15</v>
      </c>
      <c r="I222">
        <v>0</v>
      </c>
      <c r="J222">
        <v>0</v>
      </c>
      <c r="K222">
        <v>0</v>
      </c>
      <c r="L222">
        <v>0</v>
      </c>
      <c r="M222" s="86">
        <v>0</v>
      </c>
    </row>
    <row r="223" spans="1:13">
      <c r="A223" s="85">
        <v>44816</v>
      </c>
      <c r="B223" t="s">
        <v>263</v>
      </c>
      <c r="C223">
        <v>2480177374</v>
      </c>
      <c r="D223" s="86">
        <v>209</v>
      </c>
      <c r="E223" t="s">
        <v>224</v>
      </c>
      <c r="F223">
        <v>0</v>
      </c>
      <c r="G223">
        <v>550</v>
      </c>
      <c r="H223">
        <v>16</v>
      </c>
      <c r="I223">
        <v>0</v>
      </c>
      <c r="J223">
        <v>0</v>
      </c>
      <c r="K223">
        <v>0</v>
      </c>
      <c r="L223">
        <v>0</v>
      </c>
      <c r="M223" s="86">
        <v>0</v>
      </c>
    </row>
    <row r="224" spans="1:13">
      <c r="A224" s="85">
        <v>44816</v>
      </c>
      <c r="B224" t="s">
        <v>265</v>
      </c>
      <c r="C224">
        <v>2499188374</v>
      </c>
      <c r="D224" s="86">
        <v>219</v>
      </c>
      <c r="E224" t="s">
        <v>224</v>
      </c>
      <c r="F224">
        <v>0</v>
      </c>
      <c r="G224">
        <v>526</v>
      </c>
      <c r="H224">
        <v>36</v>
      </c>
      <c r="I224">
        <v>0</v>
      </c>
      <c r="J224">
        <v>0</v>
      </c>
      <c r="K224">
        <v>0</v>
      </c>
      <c r="L224">
        <v>0</v>
      </c>
      <c r="M224" s="86">
        <v>0</v>
      </c>
    </row>
    <row r="225" spans="1:13">
      <c r="A225" s="85">
        <v>44816</v>
      </c>
      <c r="B225" t="s">
        <v>211</v>
      </c>
      <c r="C225">
        <v>2512296379</v>
      </c>
      <c r="D225" s="86">
        <v>239</v>
      </c>
      <c r="E225" t="s">
        <v>224</v>
      </c>
      <c r="F225">
        <v>0</v>
      </c>
      <c r="G225">
        <v>807</v>
      </c>
      <c r="H225">
        <v>119</v>
      </c>
      <c r="I225">
        <v>5</v>
      </c>
      <c r="J225">
        <v>6</v>
      </c>
      <c r="K225">
        <v>4</v>
      </c>
      <c r="L225">
        <v>5</v>
      </c>
      <c r="M225" s="86">
        <v>1187</v>
      </c>
    </row>
    <row r="226" spans="1:13">
      <c r="A226" s="85">
        <v>44817</v>
      </c>
      <c r="B226" s="46" t="s">
        <v>250</v>
      </c>
      <c r="C226" s="46">
        <v>2010924773</v>
      </c>
      <c r="D226" s="90">
        <v>109</v>
      </c>
      <c r="E226" s="46" t="s">
        <v>224</v>
      </c>
      <c r="F226" s="46">
        <v>0</v>
      </c>
      <c r="G226" s="46">
        <v>21</v>
      </c>
      <c r="H226" s="46">
        <v>9</v>
      </c>
      <c r="I226" s="46">
        <v>0</v>
      </c>
      <c r="J226" s="46">
        <v>0</v>
      </c>
      <c r="K226" s="46">
        <v>0</v>
      </c>
      <c r="L226" s="46">
        <v>0</v>
      </c>
      <c r="M226" s="90">
        <v>0</v>
      </c>
    </row>
    <row r="227" spans="1:13">
      <c r="A227" s="85">
        <v>44817</v>
      </c>
      <c r="B227" s="46" t="s">
        <v>192</v>
      </c>
      <c r="C227" s="46">
        <v>2507693918</v>
      </c>
      <c r="D227" s="90">
        <v>259</v>
      </c>
      <c r="E227" s="46" t="s">
        <v>224</v>
      </c>
      <c r="F227" s="46">
        <v>0</v>
      </c>
      <c r="G227" s="46">
        <v>69</v>
      </c>
      <c r="H227" s="46">
        <v>16</v>
      </c>
      <c r="I227" s="46">
        <v>0</v>
      </c>
      <c r="J227" s="46">
        <v>0</v>
      </c>
      <c r="K227" s="46">
        <v>0</v>
      </c>
      <c r="L227" s="46">
        <v>0</v>
      </c>
      <c r="M227" s="90">
        <v>0</v>
      </c>
    </row>
    <row r="228" spans="1:13">
      <c r="A228" s="85">
        <v>44817</v>
      </c>
      <c r="B228" s="46" t="s">
        <v>308</v>
      </c>
      <c r="C228" s="46">
        <v>2023048055</v>
      </c>
      <c r="D228" s="90">
        <v>239</v>
      </c>
      <c r="E228" s="46" t="s">
        <v>224</v>
      </c>
      <c r="F228" s="46">
        <v>0</v>
      </c>
      <c r="G228" s="46">
        <v>1999</v>
      </c>
      <c r="H228" s="46">
        <v>148</v>
      </c>
      <c r="I228" s="46">
        <v>2</v>
      </c>
      <c r="J228" s="46">
        <v>3</v>
      </c>
      <c r="K228" s="46">
        <v>2</v>
      </c>
      <c r="L228" s="46">
        <v>3</v>
      </c>
      <c r="M228" s="90">
        <v>705</v>
      </c>
    </row>
    <row r="229" spans="1:13">
      <c r="A229" s="85">
        <v>44817</v>
      </c>
      <c r="B229" s="46" t="s">
        <v>309</v>
      </c>
      <c r="C229" s="46">
        <v>2504687566</v>
      </c>
      <c r="D229" s="90">
        <v>239</v>
      </c>
      <c r="E229" s="46" t="s">
        <v>224</v>
      </c>
      <c r="F229" s="46">
        <v>0</v>
      </c>
      <c r="G229" s="46">
        <v>2368</v>
      </c>
      <c r="H229" s="46">
        <v>141</v>
      </c>
      <c r="I229" s="46">
        <v>3</v>
      </c>
      <c r="J229" s="46">
        <v>3</v>
      </c>
      <c r="K229" s="46">
        <v>3</v>
      </c>
      <c r="L229" s="46">
        <v>3</v>
      </c>
      <c r="M229" s="90">
        <v>705</v>
      </c>
    </row>
    <row r="230" spans="1:13">
      <c r="A230" s="85">
        <v>44817</v>
      </c>
      <c r="B230" s="46" t="s">
        <v>179</v>
      </c>
      <c r="C230" s="46">
        <v>2006409756</v>
      </c>
      <c r="D230" s="90">
        <v>269</v>
      </c>
      <c r="E230" s="46" t="s">
        <v>224</v>
      </c>
      <c r="F230" s="46">
        <v>0</v>
      </c>
      <c r="G230" s="46">
        <v>3005</v>
      </c>
      <c r="H230" s="46">
        <v>164</v>
      </c>
      <c r="I230" s="46">
        <v>6</v>
      </c>
      <c r="J230" s="46">
        <v>7</v>
      </c>
      <c r="K230" s="46">
        <v>4</v>
      </c>
      <c r="L230" s="46">
        <v>4</v>
      </c>
      <c r="M230" s="90">
        <v>1061</v>
      </c>
    </row>
    <row r="231" spans="1:13">
      <c r="A231" s="85">
        <v>44817</v>
      </c>
      <c r="B231" s="46" t="s">
        <v>310</v>
      </c>
      <c r="C231" s="46">
        <v>2066613598</v>
      </c>
      <c r="D231" s="90">
        <v>259</v>
      </c>
      <c r="E231" s="46" t="s">
        <v>224</v>
      </c>
      <c r="F231" s="46">
        <v>0</v>
      </c>
      <c r="G231" s="46">
        <v>2673</v>
      </c>
      <c r="H231" s="46">
        <v>103</v>
      </c>
      <c r="I231" s="46">
        <v>3</v>
      </c>
      <c r="J231" s="46">
        <v>3</v>
      </c>
      <c r="K231" s="46">
        <v>3</v>
      </c>
      <c r="L231" s="46">
        <v>3</v>
      </c>
      <c r="M231" s="90">
        <v>762</v>
      </c>
    </row>
    <row r="232" spans="1:13">
      <c r="A232" s="85">
        <v>44817</v>
      </c>
      <c r="B232" s="46" t="s">
        <v>181</v>
      </c>
      <c r="C232" s="46">
        <v>1983238576</v>
      </c>
      <c r="D232" s="90">
        <v>269</v>
      </c>
      <c r="E232" s="46" t="s">
        <v>224</v>
      </c>
      <c r="F232" s="46">
        <v>0</v>
      </c>
      <c r="G232" s="46">
        <v>2792</v>
      </c>
      <c r="H232" s="46">
        <v>146</v>
      </c>
      <c r="I232" s="46">
        <v>5</v>
      </c>
      <c r="J232" s="46">
        <v>5</v>
      </c>
      <c r="K232" s="46">
        <v>5</v>
      </c>
      <c r="L232" s="46">
        <v>5</v>
      </c>
      <c r="M232" s="90">
        <v>1333</v>
      </c>
    </row>
    <row r="233" spans="1:13">
      <c r="A233" s="85">
        <v>44817</v>
      </c>
      <c r="B233" s="46" t="s">
        <v>225</v>
      </c>
      <c r="C233" s="46">
        <v>1906890718</v>
      </c>
      <c r="D233" s="90">
        <v>69</v>
      </c>
      <c r="E233" s="46" t="s">
        <v>224</v>
      </c>
      <c r="F233" s="46">
        <v>0</v>
      </c>
      <c r="G233" s="46">
        <v>1839</v>
      </c>
      <c r="H233" s="46">
        <v>59</v>
      </c>
      <c r="I233" s="46">
        <v>1</v>
      </c>
      <c r="J233" s="46">
        <v>1</v>
      </c>
      <c r="K233" s="46">
        <v>1</v>
      </c>
      <c r="L233" s="46">
        <v>1</v>
      </c>
      <c r="M233" s="90">
        <v>63</v>
      </c>
    </row>
    <row r="234" spans="1:13">
      <c r="A234" s="85">
        <v>44817</v>
      </c>
      <c r="B234" s="46" t="s">
        <v>311</v>
      </c>
      <c r="C234" s="46">
        <v>1691802220</v>
      </c>
      <c r="D234" s="90">
        <v>69</v>
      </c>
      <c r="E234" s="46" t="s">
        <v>224</v>
      </c>
      <c r="F234" s="46">
        <v>0</v>
      </c>
      <c r="G234" s="46">
        <v>1564</v>
      </c>
      <c r="H234" s="46">
        <v>63</v>
      </c>
      <c r="I234" s="46">
        <v>0</v>
      </c>
      <c r="J234" s="46">
        <v>0</v>
      </c>
      <c r="K234" s="46">
        <v>0</v>
      </c>
      <c r="L234" s="46">
        <v>0</v>
      </c>
      <c r="M234" s="90">
        <v>0</v>
      </c>
    </row>
    <row r="235" spans="1:13">
      <c r="A235" s="85">
        <v>44817</v>
      </c>
      <c r="B235" s="46" t="s">
        <v>195</v>
      </c>
      <c r="C235" s="46">
        <v>1567470953</v>
      </c>
      <c r="D235" s="91">
        <v>19.9</v>
      </c>
      <c r="E235" s="46" t="s">
        <v>224</v>
      </c>
      <c r="F235" s="46">
        <v>0</v>
      </c>
      <c r="G235" s="46">
        <v>1450</v>
      </c>
      <c r="H235" s="46">
        <v>75</v>
      </c>
      <c r="I235" s="46">
        <v>3</v>
      </c>
      <c r="J235" s="46">
        <v>4</v>
      </c>
      <c r="K235" s="46">
        <v>3</v>
      </c>
      <c r="L235" s="46">
        <v>4</v>
      </c>
      <c r="M235" s="91">
        <v>79.6</v>
      </c>
    </row>
    <row r="236" spans="1:13">
      <c r="A236" s="85">
        <v>44817</v>
      </c>
      <c r="B236" s="46" t="s">
        <v>204</v>
      </c>
      <c r="C236" s="46">
        <v>2460481743</v>
      </c>
      <c r="D236" s="90">
        <v>359</v>
      </c>
      <c r="E236" s="46" t="s">
        <v>224</v>
      </c>
      <c r="F236" s="46">
        <v>0</v>
      </c>
      <c r="G236" s="46">
        <v>1458</v>
      </c>
      <c r="H236" s="46">
        <v>88</v>
      </c>
      <c r="I236" s="46">
        <v>0</v>
      </c>
      <c r="J236" s="46">
        <v>0</v>
      </c>
      <c r="K236" s="46">
        <v>0</v>
      </c>
      <c r="L236" s="46">
        <v>0</v>
      </c>
      <c r="M236" s="90">
        <v>0</v>
      </c>
    </row>
    <row r="237" spans="1:13">
      <c r="A237" s="85">
        <v>44817</v>
      </c>
      <c r="B237" s="46" t="s">
        <v>198</v>
      </c>
      <c r="C237" s="46">
        <v>2027905719</v>
      </c>
      <c r="D237" s="90">
        <v>119</v>
      </c>
      <c r="E237" s="46" t="s">
        <v>224</v>
      </c>
      <c r="F237" s="46">
        <v>0</v>
      </c>
      <c r="G237" s="46">
        <v>1483</v>
      </c>
      <c r="H237" s="46">
        <v>28</v>
      </c>
      <c r="I237" s="46">
        <v>1</v>
      </c>
      <c r="J237" s="46">
        <v>1</v>
      </c>
      <c r="K237" s="46">
        <v>1</v>
      </c>
      <c r="L237" s="46">
        <v>1</v>
      </c>
      <c r="M237" s="90">
        <v>119</v>
      </c>
    </row>
    <row r="238" spans="1:13">
      <c r="A238" s="85">
        <v>44817</v>
      </c>
      <c r="B238" s="46" t="s">
        <v>312</v>
      </c>
      <c r="C238" s="46">
        <v>2570376557</v>
      </c>
      <c r="D238" s="90">
        <v>239</v>
      </c>
      <c r="E238" s="46" t="s">
        <v>224</v>
      </c>
      <c r="F238" s="46">
        <v>0</v>
      </c>
      <c r="G238" s="46">
        <v>1602</v>
      </c>
      <c r="H238" s="46">
        <v>78</v>
      </c>
      <c r="I238" s="46">
        <v>3</v>
      </c>
      <c r="J238" s="46">
        <v>3</v>
      </c>
      <c r="K238" s="46">
        <v>3</v>
      </c>
      <c r="L238" s="46">
        <v>3</v>
      </c>
      <c r="M238" s="90">
        <v>698</v>
      </c>
    </row>
    <row r="239" spans="1:13">
      <c r="A239" s="85">
        <v>44817</v>
      </c>
      <c r="B239" s="46" t="s">
        <v>313</v>
      </c>
      <c r="C239" s="46">
        <v>2569577636</v>
      </c>
      <c r="D239" s="90">
        <v>259</v>
      </c>
      <c r="E239" s="46" t="s">
        <v>224</v>
      </c>
      <c r="F239" s="46">
        <v>0</v>
      </c>
      <c r="G239" s="46">
        <v>1590</v>
      </c>
      <c r="H239" s="46">
        <v>82</v>
      </c>
      <c r="I239" s="46">
        <v>1</v>
      </c>
      <c r="J239" s="46">
        <v>1</v>
      </c>
      <c r="K239" s="46">
        <v>1</v>
      </c>
      <c r="L239" s="46">
        <v>1</v>
      </c>
      <c r="M239" s="90">
        <v>254</v>
      </c>
    </row>
    <row r="240" spans="1:13">
      <c r="A240" s="85">
        <v>44817</v>
      </c>
      <c r="B240" s="46" t="s">
        <v>314</v>
      </c>
      <c r="C240" s="46">
        <v>2527498888</v>
      </c>
      <c r="D240" s="91">
        <v>39.9</v>
      </c>
      <c r="E240" s="46" t="s">
        <v>224</v>
      </c>
      <c r="F240" s="46">
        <v>0</v>
      </c>
      <c r="G240" s="46">
        <v>1770</v>
      </c>
      <c r="H240" s="46">
        <v>54</v>
      </c>
      <c r="I240" s="46">
        <v>2</v>
      </c>
      <c r="J240" s="46">
        <v>2</v>
      </c>
      <c r="K240" s="46">
        <v>2</v>
      </c>
      <c r="L240" s="46">
        <v>2</v>
      </c>
      <c r="M240" s="91">
        <v>77.8</v>
      </c>
    </row>
    <row r="241" spans="1:13">
      <c r="A241" s="85">
        <v>44817</v>
      </c>
      <c r="B241" s="46" t="s">
        <v>315</v>
      </c>
      <c r="C241" s="46">
        <v>2507991086</v>
      </c>
      <c r="D241" s="90">
        <v>259</v>
      </c>
      <c r="E241" s="46" t="s">
        <v>224</v>
      </c>
      <c r="F241" s="46">
        <v>0</v>
      </c>
      <c r="G241" s="46">
        <v>1697</v>
      </c>
      <c r="H241" s="46">
        <v>76</v>
      </c>
      <c r="I241" s="46">
        <v>2</v>
      </c>
      <c r="J241" s="46">
        <v>2</v>
      </c>
      <c r="K241" s="46">
        <v>1</v>
      </c>
      <c r="L241" s="46">
        <v>1</v>
      </c>
      <c r="M241" s="90">
        <v>254</v>
      </c>
    </row>
    <row r="242" spans="1:13">
      <c r="A242" s="85">
        <v>44817</v>
      </c>
      <c r="B242" s="46" t="s">
        <v>194</v>
      </c>
      <c r="C242" s="46">
        <v>2011142012</v>
      </c>
      <c r="D242" s="90">
        <v>359</v>
      </c>
      <c r="E242" s="46" t="s">
        <v>224</v>
      </c>
      <c r="F242" s="46">
        <v>0</v>
      </c>
      <c r="G242" s="46">
        <v>1685</v>
      </c>
      <c r="H242" s="46">
        <v>95</v>
      </c>
      <c r="I242" s="46">
        <v>2</v>
      </c>
      <c r="J242" s="46">
        <v>2</v>
      </c>
      <c r="K242" s="46">
        <v>2</v>
      </c>
      <c r="L242" s="46">
        <v>2</v>
      </c>
      <c r="M242" s="90">
        <v>713</v>
      </c>
    </row>
    <row r="243" spans="1:13">
      <c r="A243" s="85">
        <v>44817</v>
      </c>
      <c r="B243" s="46" t="s">
        <v>196</v>
      </c>
      <c r="C243" s="46">
        <v>2023542289</v>
      </c>
      <c r="D243" s="90">
        <v>599</v>
      </c>
      <c r="E243" s="46" t="s">
        <v>224</v>
      </c>
      <c r="F243" s="46">
        <v>0</v>
      </c>
      <c r="G243" s="46">
        <v>1520</v>
      </c>
      <c r="H243" s="46">
        <v>32</v>
      </c>
      <c r="I243" s="46">
        <v>0</v>
      </c>
      <c r="J243" s="46">
        <v>0</v>
      </c>
      <c r="K243" s="46">
        <v>0</v>
      </c>
      <c r="L243" s="46">
        <v>0</v>
      </c>
      <c r="M243" s="90">
        <v>0</v>
      </c>
    </row>
    <row r="244" spans="1:13">
      <c r="A244" s="85">
        <v>44817</v>
      </c>
      <c r="B244" s="46" t="s">
        <v>184</v>
      </c>
      <c r="C244" s="46">
        <v>2545182157</v>
      </c>
      <c r="D244" s="90">
        <v>599</v>
      </c>
      <c r="E244" s="46" t="s">
        <v>224</v>
      </c>
      <c r="F244" s="46">
        <v>0</v>
      </c>
      <c r="G244" s="46">
        <v>2372</v>
      </c>
      <c r="H244" s="46">
        <v>104</v>
      </c>
      <c r="I244" s="46">
        <v>6</v>
      </c>
      <c r="J244" s="46">
        <v>7</v>
      </c>
      <c r="K244" s="46">
        <v>6</v>
      </c>
      <c r="L244" s="46">
        <v>6</v>
      </c>
      <c r="M244" s="90">
        <v>3580</v>
      </c>
    </row>
    <row r="245" spans="1:13">
      <c r="A245" s="85">
        <v>44817</v>
      </c>
      <c r="B245" s="46" t="s">
        <v>213</v>
      </c>
      <c r="C245" s="46">
        <v>2569088581</v>
      </c>
      <c r="D245" s="90">
        <v>239</v>
      </c>
      <c r="E245" s="46" t="s">
        <v>224</v>
      </c>
      <c r="F245" s="46">
        <v>0</v>
      </c>
      <c r="G245" s="46">
        <v>2041</v>
      </c>
      <c r="H245" s="46">
        <v>109</v>
      </c>
      <c r="I245" s="46">
        <v>4</v>
      </c>
      <c r="J245" s="46">
        <v>6</v>
      </c>
      <c r="K245" s="46">
        <v>4</v>
      </c>
      <c r="L245" s="46">
        <v>4</v>
      </c>
      <c r="M245" s="90">
        <v>942</v>
      </c>
    </row>
    <row r="246" spans="1:13">
      <c r="A246" s="85">
        <v>44817</v>
      </c>
      <c r="B246" s="46" t="s">
        <v>316</v>
      </c>
      <c r="C246" s="46">
        <v>2540788342</v>
      </c>
      <c r="D246" s="91">
        <v>49.9</v>
      </c>
      <c r="E246" s="46" t="s">
        <v>224</v>
      </c>
      <c r="F246" s="46">
        <v>0</v>
      </c>
      <c r="G246" s="46">
        <v>1911</v>
      </c>
      <c r="H246" s="46">
        <v>99</v>
      </c>
      <c r="I246" s="46">
        <v>4</v>
      </c>
      <c r="J246" s="46">
        <v>4</v>
      </c>
      <c r="K246" s="46">
        <v>4</v>
      </c>
      <c r="L246" s="46">
        <v>4</v>
      </c>
      <c r="M246" s="91">
        <v>190.6</v>
      </c>
    </row>
    <row r="247" spans="1:13">
      <c r="A247" s="85">
        <v>44817</v>
      </c>
      <c r="B247" s="46" t="s">
        <v>317</v>
      </c>
      <c r="C247" s="46">
        <v>2066030561</v>
      </c>
      <c r="D247" s="90">
        <v>259</v>
      </c>
      <c r="E247" s="46" t="s">
        <v>224</v>
      </c>
      <c r="F247" s="46">
        <v>0</v>
      </c>
      <c r="G247" s="46">
        <v>2107</v>
      </c>
      <c r="H247" s="46">
        <v>100</v>
      </c>
      <c r="I247" s="46">
        <v>1</v>
      </c>
      <c r="J247" s="46">
        <v>2</v>
      </c>
      <c r="K247" s="46">
        <v>1</v>
      </c>
      <c r="L247" s="46">
        <v>2</v>
      </c>
      <c r="M247" s="90">
        <v>510</v>
      </c>
    </row>
    <row r="248" spans="1:13">
      <c r="A248" s="85">
        <v>44817</v>
      </c>
      <c r="B248" s="46" t="s">
        <v>318</v>
      </c>
      <c r="C248" s="46">
        <v>2036131202</v>
      </c>
      <c r="D248" s="90">
        <v>249</v>
      </c>
      <c r="E248" s="46" t="s">
        <v>224</v>
      </c>
      <c r="F248" s="46">
        <v>0</v>
      </c>
      <c r="G248" s="46">
        <v>961</v>
      </c>
      <c r="H248" s="46">
        <v>49</v>
      </c>
      <c r="I248" s="46">
        <v>0</v>
      </c>
      <c r="J248" s="46">
        <v>0</v>
      </c>
      <c r="K248" s="46">
        <v>0</v>
      </c>
      <c r="L248" s="46">
        <v>0</v>
      </c>
      <c r="M248" s="90">
        <v>0</v>
      </c>
    </row>
    <row r="249" spans="1:13">
      <c r="A249" s="85">
        <v>44817</v>
      </c>
      <c r="B249" s="46" t="s">
        <v>319</v>
      </c>
      <c r="C249" s="46">
        <v>2570082685</v>
      </c>
      <c r="D249" s="90">
        <v>269</v>
      </c>
      <c r="E249" s="46" t="s">
        <v>224</v>
      </c>
      <c r="F249" s="46">
        <v>0</v>
      </c>
      <c r="G249" s="46">
        <v>1869</v>
      </c>
      <c r="H249" s="46">
        <v>88</v>
      </c>
      <c r="I249" s="46">
        <v>1</v>
      </c>
      <c r="J249" s="46">
        <v>1</v>
      </c>
      <c r="K249" s="46">
        <v>1</v>
      </c>
      <c r="L249" s="46">
        <v>1</v>
      </c>
      <c r="M249" s="90">
        <v>264</v>
      </c>
    </row>
    <row r="250" spans="1:13">
      <c r="A250" s="85">
        <v>44817</v>
      </c>
      <c r="B250" s="46" t="s">
        <v>320</v>
      </c>
      <c r="C250" s="46">
        <v>2038124769</v>
      </c>
      <c r="D250" s="90">
        <v>259</v>
      </c>
      <c r="E250" s="46" t="s">
        <v>224</v>
      </c>
      <c r="F250" s="46">
        <v>1</v>
      </c>
      <c r="G250" s="46">
        <v>1937</v>
      </c>
      <c r="H250" s="46">
        <v>101</v>
      </c>
      <c r="I250" s="46">
        <v>2</v>
      </c>
      <c r="J250" s="46">
        <v>4</v>
      </c>
      <c r="K250" s="46">
        <v>1</v>
      </c>
      <c r="L250" s="46">
        <v>1</v>
      </c>
      <c r="M250" s="90">
        <v>259</v>
      </c>
    </row>
    <row r="251" spans="1:13">
      <c r="A251" s="85">
        <v>44817</v>
      </c>
      <c r="B251" s="46" t="s">
        <v>254</v>
      </c>
      <c r="C251" s="46">
        <v>2476788224</v>
      </c>
      <c r="D251" s="90">
        <v>259</v>
      </c>
      <c r="E251" s="46" t="s">
        <v>224</v>
      </c>
      <c r="F251" s="46">
        <v>0</v>
      </c>
      <c r="G251" s="46">
        <v>1349</v>
      </c>
      <c r="H251" s="46">
        <v>59</v>
      </c>
      <c r="I251" s="46">
        <v>0</v>
      </c>
      <c r="J251" s="46">
        <v>0</v>
      </c>
      <c r="K251" s="46">
        <v>0</v>
      </c>
      <c r="L251" s="46">
        <v>0</v>
      </c>
      <c r="M251" s="90">
        <v>0</v>
      </c>
    </row>
    <row r="252" spans="1:13">
      <c r="A252" s="85">
        <v>44817</v>
      </c>
      <c r="B252" s="46" t="s">
        <v>321</v>
      </c>
      <c r="C252" s="46">
        <v>2066934037</v>
      </c>
      <c r="D252" s="90">
        <v>359</v>
      </c>
      <c r="E252" s="46" t="s">
        <v>224</v>
      </c>
      <c r="F252" s="46">
        <v>0</v>
      </c>
      <c r="G252" s="46">
        <v>1735</v>
      </c>
      <c r="H252" s="46">
        <v>102</v>
      </c>
      <c r="I252" s="46">
        <v>1</v>
      </c>
      <c r="J252" s="46">
        <v>1</v>
      </c>
      <c r="K252" s="46">
        <v>1</v>
      </c>
      <c r="L252" s="46">
        <v>1</v>
      </c>
      <c r="M252" s="90">
        <v>354</v>
      </c>
    </row>
    <row r="253" spans="1:13">
      <c r="A253" s="85">
        <v>44817</v>
      </c>
      <c r="B253" s="46" t="s">
        <v>322</v>
      </c>
      <c r="C253" s="46">
        <v>2508094755</v>
      </c>
      <c r="D253" s="90">
        <v>259</v>
      </c>
      <c r="E253" s="46" t="s">
        <v>224</v>
      </c>
      <c r="F253" s="46">
        <v>0</v>
      </c>
      <c r="G253" s="46">
        <v>1668</v>
      </c>
      <c r="H253" s="46">
        <v>69</v>
      </c>
      <c r="I253" s="46">
        <v>1</v>
      </c>
      <c r="J253" s="46">
        <v>1</v>
      </c>
      <c r="K253" s="46">
        <v>0</v>
      </c>
      <c r="L253" s="46">
        <v>0</v>
      </c>
      <c r="M253" s="90">
        <v>0</v>
      </c>
    </row>
    <row r="254" spans="1:13">
      <c r="A254" s="85">
        <v>44817</v>
      </c>
      <c r="B254" s="46" t="s">
        <v>214</v>
      </c>
      <c r="C254" s="46">
        <v>2021841658</v>
      </c>
      <c r="D254" s="90">
        <v>299</v>
      </c>
      <c r="E254" s="46" t="s">
        <v>224</v>
      </c>
      <c r="F254" s="46">
        <v>0</v>
      </c>
      <c r="G254" s="46">
        <v>1721</v>
      </c>
      <c r="H254" s="46">
        <v>45</v>
      </c>
      <c r="I254" s="46">
        <v>2</v>
      </c>
      <c r="J254" s="46">
        <v>2</v>
      </c>
      <c r="K254" s="46">
        <v>2</v>
      </c>
      <c r="L254" s="46">
        <v>2</v>
      </c>
      <c r="M254" s="90">
        <v>593</v>
      </c>
    </row>
    <row r="255" spans="1:13">
      <c r="A255" s="85">
        <v>44817</v>
      </c>
      <c r="B255" s="46" t="s">
        <v>323</v>
      </c>
      <c r="C255" s="46">
        <v>2066037345</v>
      </c>
      <c r="D255" s="90">
        <v>259</v>
      </c>
      <c r="E255" s="46" t="s">
        <v>224</v>
      </c>
      <c r="F255" s="46">
        <v>0</v>
      </c>
      <c r="G255" s="46">
        <v>1707</v>
      </c>
      <c r="H255" s="46">
        <v>78</v>
      </c>
      <c r="I255" s="46">
        <v>1</v>
      </c>
      <c r="J255" s="46">
        <v>1</v>
      </c>
      <c r="K255" s="46">
        <v>1</v>
      </c>
      <c r="L255" s="46">
        <v>1</v>
      </c>
      <c r="M255" s="90">
        <v>238</v>
      </c>
    </row>
    <row r="256" spans="1:13">
      <c r="A256" s="85">
        <v>44817</v>
      </c>
      <c r="B256" s="46" t="s">
        <v>203</v>
      </c>
      <c r="C256" s="46">
        <v>2507098983</v>
      </c>
      <c r="D256" s="90">
        <v>299</v>
      </c>
      <c r="E256" s="46" t="s">
        <v>224</v>
      </c>
      <c r="F256" s="46">
        <v>0</v>
      </c>
      <c r="G256" s="46">
        <v>2054</v>
      </c>
      <c r="H256" s="46">
        <v>156</v>
      </c>
      <c r="I256" s="46">
        <v>6</v>
      </c>
      <c r="J256" s="46">
        <v>8</v>
      </c>
      <c r="K256" s="46">
        <v>6</v>
      </c>
      <c r="L256" s="46">
        <v>8</v>
      </c>
      <c r="M256" s="90">
        <v>2367</v>
      </c>
    </row>
    <row r="257" spans="1:13">
      <c r="A257" s="85">
        <v>44817</v>
      </c>
      <c r="B257" s="46" t="s">
        <v>324</v>
      </c>
      <c r="C257" s="46">
        <v>2035424532</v>
      </c>
      <c r="D257" s="90">
        <v>249</v>
      </c>
      <c r="E257" s="46" t="s">
        <v>224</v>
      </c>
      <c r="F257" s="46">
        <v>0</v>
      </c>
      <c r="G257" s="46">
        <v>1456</v>
      </c>
      <c r="H257" s="46">
        <v>76</v>
      </c>
      <c r="I257" s="46">
        <v>2</v>
      </c>
      <c r="J257" s="46">
        <v>2</v>
      </c>
      <c r="K257" s="46">
        <v>2</v>
      </c>
      <c r="L257" s="46">
        <v>2</v>
      </c>
      <c r="M257" s="90">
        <v>492</v>
      </c>
    </row>
    <row r="258" spans="1:13">
      <c r="A258" s="85">
        <v>44817</v>
      </c>
      <c r="B258" s="46" t="s">
        <v>325</v>
      </c>
      <c r="C258" s="46">
        <v>1987735700</v>
      </c>
      <c r="D258" s="90">
        <v>249</v>
      </c>
      <c r="E258" s="46" t="s">
        <v>224</v>
      </c>
      <c r="F258" s="46">
        <v>0</v>
      </c>
      <c r="G258" s="46">
        <v>798</v>
      </c>
      <c r="H258" s="46">
        <v>44</v>
      </c>
      <c r="I258" s="46">
        <v>0</v>
      </c>
      <c r="J258" s="46">
        <v>0</v>
      </c>
      <c r="K258" s="46">
        <v>0</v>
      </c>
      <c r="L258" s="46">
        <v>0</v>
      </c>
      <c r="M258" s="90">
        <v>0</v>
      </c>
    </row>
    <row r="259" spans="1:14">
      <c r="A259" s="85">
        <v>44818</v>
      </c>
      <c r="B259" s="48" t="s">
        <v>308</v>
      </c>
      <c r="C259" s="48">
        <v>2023048055</v>
      </c>
      <c r="D259" s="92">
        <v>239</v>
      </c>
      <c r="E259" s="48" t="s">
        <v>224</v>
      </c>
      <c r="F259" s="48">
        <v>0</v>
      </c>
      <c r="G259" s="48">
        <v>1110</v>
      </c>
      <c r="H259" s="48">
        <v>73</v>
      </c>
      <c r="I259" s="48">
        <v>0</v>
      </c>
      <c r="J259" s="48">
        <v>0</v>
      </c>
      <c r="K259" s="48">
        <v>0</v>
      </c>
      <c r="L259" s="48">
        <v>0</v>
      </c>
      <c r="M259" s="92">
        <v>0</v>
      </c>
      <c r="N259" s="48"/>
    </row>
    <row r="260" spans="1:14">
      <c r="A260" s="85">
        <v>44818</v>
      </c>
      <c r="B260" s="48" t="s">
        <v>326</v>
      </c>
      <c r="C260" s="48">
        <v>2504687566</v>
      </c>
      <c r="D260" s="92">
        <v>239</v>
      </c>
      <c r="E260" s="48" t="s">
        <v>224</v>
      </c>
      <c r="F260" s="48">
        <v>0</v>
      </c>
      <c r="G260" s="48">
        <v>1189</v>
      </c>
      <c r="H260" s="48">
        <v>52</v>
      </c>
      <c r="I260" s="48">
        <v>0</v>
      </c>
      <c r="J260" s="48">
        <v>0</v>
      </c>
      <c r="K260" s="48">
        <v>0</v>
      </c>
      <c r="L260" s="48">
        <v>0</v>
      </c>
      <c r="M260" s="92">
        <v>0</v>
      </c>
      <c r="N260" s="48"/>
    </row>
    <row r="261" spans="1:14">
      <c r="A261" s="85">
        <v>44818</v>
      </c>
      <c r="B261" s="48" t="s">
        <v>179</v>
      </c>
      <c r="C261" s="48">
        <v>2006409756</v>
      </c>
      <c r="D261" s="92">
        <v>269</v>
      </c>
      <c r="E261" s="48" t="s">
        <v>224</v>
      </c>
      <c r="F261" s="48">
        <v>0</v>
      </c>
      <c r="G261" s="48">
        <v>2093</v>
      </c>
      <c r="H261" s="48">
        <v>109</v>
      </c>
      <c r="I261" s="48">
        <v>3</v>
      </c>
      <c r="J261" s="48">
        <v>3</v>
      </c>
      <c r="K261" s="48">
        <v>3</v>
      </c>
      <c r="L261" s="48">
        <v>3</v>
      </c>
      <c r="M261" s="92">
        <v>806</v>
      </c>
      <c r="N261" s="48"/>
    </row>
    <row r="262" spans="1:14">
      <c r="A262" s="85">
        <v>44818</v>
      </c>
      <c r="B262" s="48" t="s">
        <v>197</v>
      </c>
      <c r="C262" s="48">
        <v>2589792962</v>
      </c>
      <c r="D262" s="93">
        <v>39.9</v>
      </c>
      <c r="E262" s="48" t="s">
        <v>224</v>
      </c>
      <c r="F262" s="48">
        <v>1</v>
      </c>
      <c r="G262" s="48">
        <v>1661</v>
      </c>
      <c r="H262" s="48">
        <v>69</v>
      </c>
      <c r="I262" s="48">
        <v>8</v>
      </c>
      <c r="J262" s="48">
        <v>8</v>
      </c>
      <c r="K262" s="48">
        <v>8</v>
      </c>
      <c r="L262" s="48">
        <v>8</v>
      </c>
      <c r="M262" s="93">
        <v>304.2</v>
      </c>
      <c r="N262" s="48"/>
    </row>
    <row r="263" spans="1:14">
      <c r="A263" s="85">
        <v>44818</v>
      </c>
      <c r="B263" s="48" t="s">
        <v>310</v>
      </c>
      <c r="C263" s="48">
        <v>2066613598</v>
      </c>
      <c r="D263" s="92">
        <v>259</v>
      </c>
      <c r="E263" s="48" t="s">
        <v>224</v>
      </c>
      <c r="F263" s="48">
        <v>0</v>
      </c>
      <c r="G263" s="48">
        <v>1261</v>
      </c>
      <c r="H263" s="48">
        <v>56</v>
      </c>
      <c r="I263" s="48">
        <v>0</v>
      </c>
      <c r="J263" s="48">
        <v>0</v>
      </c>
      <c r="K263" s="48">
        <v>0</v>
      </c>
      <c r="L263" s="48">
        <v>0</v>
      </c>
      <c r="M263" s="92">
        <v>0</v>
      </c>
      <c r="N263" s="48"/>
    </row>
    <row r="264" spans="1:14">
      <c r="A264" s="85">
        <v>44818</v>
      </c>
      <c r="B264" s="48" t="s">
        <v>181</v>
      </c>
      <c r="C264" s="48">
        <v>1983238576</v>
      </c>
      <c r="D264" s="92">
        <v>269</v>
      </c>
      <c r="E264" s="48" t="s">
        <v>224</v>
      </c>
      <c r="F264" s="48">
        <v>0</v>
      </c>
      <c r="G264" s="48">
        <v>1402</v>
      </c>
      <c r="H264" s="48">
        <v>55</v>
      </c>
      <c r="I264" s="48">
        <v>1</v>
      </c>
      <c r="J264" s="48">
        <v>1</v>
      </c>
      <c r="K264" s="48">
        <v>1</v>
      </c>
      <c r="L264" s="48">
        <v>1</v>
      </c>
      <c r="M264" s="92">
        <v>269</v>
      </c>
      <c r="N264" s="48"/>
    </row>
    <row r="265" spans="1:14">
      <c r="A265" s="85">
        <v>44818</v>
      </c>
      <c r="B265" s="48" t="s">
        <v>225</v>
      </c>
      <c r="C265" s="48">
        <v>1906890718</v>
      </c>
      <c r="D265" s="92">
        <v>69</v>
      </c>
      <c r="E265" s="48" t="s">
        <v>224</v>
      </c>
      <c r="F265" s="48">
        <v>0</v>
      </c>
      <c r="G265" s="48">
        <v>980</v>
      </c>
      <c r="H265" s="48">
        <v>23</v>
      </c>
      <c r="I265" s="48">
        <v>0</v>
      </c>
      <c r="J265" s="48">
        <v>0</v>
      </c>
      <c r="K265" s="48">
        <v>0</v>
      </c>
      <c r="L265" s="48">
        <v>0</v>
      </c>
      <c r="M265" s="92">
        <v>0</v>
      </c>
      <c r="N265" s="48"/>
    </row>
    <row r="266" spans="1:14">
      <c r="A266" s="85">
        <v>44818</v>
      </c>
      <c r="B266" s="48" t="s">
        <v>311</v>
      </c>
      <c r="C266" s="48">
        <v>1691802220</v>
      </c>
      <c r="D266" s="92">
        <v>69</v>
      </c>
      <c r="E266" s="48" t="s">
        <v>224</v>
      </c>
      <c r="F266" s="48">
        <v>0</v>
      </c>
      <c r="G266" s="48">
        <v>915</v>
      </c>
      <c r="H266" s="48">
        <v>29</v>
      </c>
      <c r="I266" s="48">
        <v>0</v>
      </c>
      <c r="J266" s="48">
        <v>0</v>
      </c>
      <c r="K266" s="48">
        <v>0</v>
      </c>
      <c r="L266" s="48">
        <v>0</v>
      </c>
      <c r="M266" s="92">
        <v>0</v>
      </c>
      <c r="N266" s="48"/>
    </row>
    <row r="267" spans="1:14">
      <c r="A267" s="85">
        <v>44818</v>
      </c>
      <c r="B267" s="48" t="s">
        <v>195</v>
      </c>
      <c r="C267" s="48">
        <v>1567470953</v>
      </c>
      <c r="D267" s="93">
        <v>19.9</v>
      </c>
      <c r="E267" s="48" t="s">
        <v>224</v>
      </c>
      <c r="F267" s="48">
        <v>0</v>
      </c>
      <c r="G267" s="48">
        <v>919</v>
      </c>
      <c r="H267" s="48">
        <v>67</v>
      </c>
      <c r="I267" s="48">
        <v>0</v>
      </c>
      <c r="J267" s="48">
        <v>0</v>
      </c>
      <c r="K267" s="48">
        <v>0</v>
      </c>
      <c r="L267" s="48">
        <v>0</v>
      </c>
      <c r="M267" s="92">
        <v>0</v>
      </c>
      <c r="N267" s="48"/>
    </row>
    <row r="268" spans="1:14">
      <c r="A268" s="85">
        <v>44818</v>
      </c>
      <c r="B268" s="48" t="s">
        <v>204</v>
      </c>
      <c r="C268" s="48">
        <v>2460481743</v>
      </c>
      <c r="D268" s="92">
        <v>359</v>
      </c>
      <c r="E268" s="48" t="s">
        <v>224</v>
      </c>
      <c r="F268" s="48">
        <v>0</v>
      </c>
      <c r="G268" s="48">
        <v>803</v>
      </c>
      <c r="H268" s="48">
        <v>26</v>
      </c>
      <c r="I268" s="48">
        <v>0</v>
      </c>
      <c r="J268" s="48">
        <v>0</v>
      </c>
      <c r="K268" s="48">
        <v>0</v>
      </c>
      <c r="L268" s="48">
        <v>0</v>
      </c>
      <c r="M268" s="92">
        <v>0</v>
      </c>
      <c r="N268" s="48"/>
    </row>
    <row r="269" spans="1:14">
      <c r="A269" s="85">
        <v>44818</v>
      </c>
      <c r="B269" s="48" t="s">
        <v>198</v>
      </c>
      <c r="C269" s="48">
        <v>2027905719</v>
      </c>
      <c r="D269" s="92">
        <v>119</v>
      </c>
      <c r="E269" s="48" t="s">
        <v>224</v>
      </c>
      <c r="F269" s="48">
        <v>0</v>
      </c>
      <c r="G269" s="48">
        <v>748</v>
      </c>
      <c r="H269" s="48">
        <v>11</v>
      </c>
      <c r="I269" s="48">
        <v>0</v>
      </c>
      <c r="J269" s="48">
        <v>0</v>
      </c>
      <c r="K269" s="48">
        <v>0</v>
      </c>
      <c r="L269" s="48">
        <v>0</v>
      </c>
      <c r="M269" s="92">
        <v>0</v>
      </c>
      <c r="N269" s="48"/>
    </row>
    <row r="270" spans="1:14">
      <c r="A270" s="85">
        <v>44818</v>
      </c>
      <c r="B270" s="48" t="s">
        <v>312</v>
      </c>
      <c r="C270" s="48">
        <v>2570376557</v>
      </c>
      <c r="D270" s="92">
        <v>239</v>
      </c>
      <c r="E270" s="48" t="s">
        <v>224</v>
      </c>
      <c r="F270" s="48">
        <v>0</v>
      </c>
      <c r="G270" s="48">
        <v>930</v>
      </c>
      <c r="H270" s="48">
        <v>43</v>
      </c>
      <c r="I270" s="48">
        <v>0</v>
      </c>
      <c r="J270" s="48">
        <v>0</v>
      </c>
      <c r="K270" s="48">
        <v>0</v>
      </c>
      <c r="L270" s="48">
        <v>0</v>
      </c>
      <c r="M270" s="92">
        <v>0</v>
      </c>
      <c r="N270" s="48"/>
    </row>
    <row r="271" spans="1:14">
      <c r="A271" s="85">
        <v>44818</v>
      </c>
      <c r="B271" s="48" t="s">
        <v>313</v>
      </c>
      <c r="C271" s="48">
        <v>2569577636</v>
      </c>
      <c r="D271" s="92">
        <v>259</v>
      </c>
      <c r="E271" s="48" t="s">
        <v>224</v>
      </c>
      <c r="F271" s="48">
        <v>0</v>
      </c>
      <c r="G271" s="48">
        <v>896</v>
      </c>
      <c r="H271" s="48">
        <v>50</v>
      </c>
      <c r="I271" s="48">
        <v>0</v>
      </c>
      <c r="J271" s="48">
        <v>0</v>
      </c>
      <c r="K271" s="48">
        <v>0</v>
      </c>
      <c r="L271" s="48">
        <v>0</v>
      </c>
      <c r="M271" s="92">
        <v>0</v>
      </c>
      <c r="N271" s="48"/>
    </row>
    <row r="272" spans="1:14">
      <c r="A272" s="85">
        <v>44818</v>
      </c>
      <c r="B272" s="48" t="s">
        <v>314</v>
      </c>
      <c r="C272" s="48">
        <v>2527498888</v>
      </c>
      <c r="D272" s="93">
        <v>39.9</v>
      </c>
      <c r="E272" s="48" t="s">
        <v>224</v>
      </c>
      <c r="F272" s="48">
        <v>0</v>
      </c>
      <c r="G272" s="48">
        <v>1176</v>
      </c>
      <c r="H272" s="48">
        <v>66</v>
      </c>
      <c r="I272" s="48">
        <v>2</v>
      </c>
      <c r="J272" s="48">
        <v>2</v>
      </c>
      <c r="K272" s="48">
        <v>2</v>
      </c>
      <c r="L272" s="48">
        <v>2</v>
      </c>
      <c r="M272" s="93">
        <v>76.8</v>
      </c>
      <c r="N272" s="48"/>
    </row>
    <row r="273" spans="1:14">
      <c r="A273" s="85">
        <v>44818</v>
      </c>
      <c r="B273" s="48" t="s">
        <v>315</v>
      </c>
      <c r="C273" s="48">
        <v>2507991086</v>
      </c>
      <c r="D273" s="92">
        <v>259</v>
      </c>
      <c r="E273" s="48" t="s">
        <v>224</v>
      </c>
      <c r="F273" s="48">
        <v>0</v>
      </c>
      <c r="G273" s="48">
        <v>942</v>
      </c>
      <c r="H273" s="48">
        <v>52</v>
      </c>
      <c r="I273" s="48">
        <v>0</v>
      </c>
      <c r="J273" s="48">
        <v>0</v>
      </c>
      <c r="K273" s="48">
        <v>0</v>
      </c>
      <c r="L273" s="48">
        <v>0</v>
      </c>
      <c r="M273" s="92">
        <v>0</v>
      </c>
      <c r="N273" s="48"/>
    </row>
    <row r="274" spans="1:14">
      <c r="A274" s="85">
        <v>44818</v>
      </c>
      <c r="B274" s="48" t="s">
        <v>194</v>
      </c>
      <c r="C274" s="48">
        <v>2011142012</v>
      </c>
      <c r="D274" s="92">
        <v>359</v>
      </c>
      <c r="E274" s="48" t="s">
        <v>224</v>
      </c>
      <c r="F274" s="48">
        <v>1</v>
      </c>
      <c r="G274" s="48">
        <v>821</v>
      </c>
      <c r="H274" s="48">
        <v>60</v>
      </c>
      <c r="I274" s="48">
        <v>0</v>
      </c>
      <c r="J274" s="48">
        <v>0</v>
      </c>
      <c r="K274" s="48">
        <v>0</v>
      </c>
      <c r="L274" s="48">
        <v>0</v>
      </c>
      <c r="M274" s="92">
        <v>0</v>
      </c>
      <c r="N274" s="48"/>
    </row>
    <row r="275" spans="1:14">
      <c r="A275" s="85">
        <v>44818</v>
      </c>
      <c r="B275" s="48" t="s">
        <v>196</v>
      </c>
      <c r="C275" s="48">
        <v>2023542289</v>
      </c>
      <c r="D275" s="92">
        <v>599</v>
      </c>
      <c r="E275" s="48" t="s">
        <v>224</v>
      </c>
      <c r="F275" s="48">
        <v>0</v>
      </c>
      <c r="G275" s="48">
        <v>813</v>
      </c>
      <c r="H275" s="48">
        <v>9</v>
      </c>
      <c r="I275" s="48">
        <v>0</v>
      </c>
      <c r="J275" s="48">
        <v>0</v>
      </c>
      <c r="K275" s="48">
        <v>0</v>
      </c>
      <c r="L275" s="48">
        <v>0</v>
      </c>
      <c r="M275" s="92">
        <v>0</v>
      </c>
      <c r="N275" s="48"/>
    </row>
    <row r="276" spans="1:14">
      <c r="A276" s="85">
        <v>44818</v>
      </c>
      <c r="B276" s="48" t="s">
        <v>184</v>
      </c>
      <c r="C276" s="48">
        <v>2545182157</v>
      </c>
      <c r="D276" s="92">
        <v>599</v>
      </c>
      <c r="E276" s="48" t="s">
        <v>224</v>
      </c>
      <c r="F276" s="48">
        <v>0</v>
      </c>
      <c r="G276" s="48">
        <v>1112</v>
      </c>
      <c r="H276" s="48">
        <v>16</v>
      </c>
      <c r="I276" s="48">
        <v>0</v>
      </c>
      <c r="J276" s="48">
        <v>0</v>
      </c>
      <c r="K276" s="48">
        <v>0</v>
      </c>
      <c r="L276" s="48">
        <v>0</v>
      </c>
      <c r="M276" s="92">
        <v>0</v>
      </c>
      <c r="N276" s="48"/>
    </row>
    <row r="277" spans="1:14">
      <c r="A277" s="85">
        <v>44818</v>
      </c>
      <c r="B277" s="48" t="s">
        <v>213</v>
      </c>
      <c r="C277" s="48">
        <v>2569088581</v>
      </c>
      <c r="D277" s="92">
        <v>239</v>
      </c>
      <c r="E277" s="48" t="s">
        <v>224</v>
      </c>
      <c r="F277" s="48">
        <v>0</v>
      </c>
      <c r="G277" s="48">
        <v>840</v>
      </c>
      <c r="H277" s="48">
        <v>21</v>
      </c>
      <c r="I277" s="48">
        <v>0</v>
      </c>
      <c r="J277" s="48">
        <v>0</v>
      </c>
      <c r="K277" s="48">
        <v>0</v>
      </c>
      <c r="L277" s="48">
        <v>0</v>
      </c>
      <c r="M277" s="92">
        <v>0</v>
      </c>
      <c r="N277" s="48"/>
    </row>
    <row r="278" spans="1:14">
      <c r="A278" s="85">
        <v>44818</v>
      </c>
      <c r="B278" s="48" t="s">
        <v>316</v>
      </c>
      <c r="C278" s="48">
        <v>2540788342</v>
      </c>
      <c r="D278" s="93">
        <v>49.9</v>
      </c>
      <c r="E278" s="48" t="s">
        <v>224</v>
      </c>
      <c r="F278" s="48">
        <v>0</v>
      </c>
      <c r="G278" s="48">
        <v>782</v>
      </c>
      <c r="H278" s="48">
        <v>27</v>
      </c>
      <c r="I278" s="48">
        <v>0</v>
      </c>
      <c r="J278" s="48">
        <v>0</v>
      </c>
      <c r="K278" s="48">
        <v>0</v>
      </c>
      <c r="L278" s="48">
        <v>0</v>
      </c>
      <c r="M278" s="92">
        <v>0</v>
      </c>
      <c r="N278" s="48"/>
    </row>
    <row r="279" spans="1:14">
      <c r="A279" s="85">
        <v>44818</v>
      </c>
      <c r="B279" s="48" t="s">
        <v>317</v>
      </c>
      <c r="C279" s="48">
        <v>2066030561</v>
      </c>
      <c r="D279" s="92">
        <v>259</v>
      </c>
      <c r="E279" s="48" t="s">
        <v>224</v>
      </c>
      <c r="F279" s="48">
        <v>0</v>
      </c>
      <c r="G279" s="48">
        <v>716</v>
      </c>
      <c r="H279" s="48">
        <v>21</v>
      </c>
      <c r="I279" s="48">
        <v>0</v>
      </c>
      <c r="J279" s="48">
        <v>0</v>
      </c>
      <c r="K279" s="48">
        <v>0</v>
      </c>
      <c r="L279" s="48">
        <v>0</v>
      </c>
      <c r="M279" s="92">
        <v>0</v>
      </c>
      <c r="N279" s="48"/>
    </row>
    <row r="280" spans="1:14">
      <c r="A280" s="85">
        <v>44818</v>
      </c>
      <c r="B280" s="48" t="s">
        <v>327</v>
      </c>
      <c r="C280" s="48">
        <v>2036131202</v>
      </c>
      <c r="D280" s="92">
        <v>249</v>
      </c>
      <c r="E280" s="48" t="s">
        <v>224</v>
      </c>
      <c r="F280" s="48">
        <v>0</v>
      </c>
      <c r="G280" s="48">
        <v>687</v>
      </c>
      <c r="H280" s="48">
        <v>29</v>
      </c>
      <c r="I280" s="48">
        <v>1</v>
      </c>
      <c r="J280" s="48">
        <v>1</v>
      </c>
      <c r="K280" s="48">
        <v>0</v>
      </c>
      <c r="L280" s="48">
        <v>0</v>
      </c>
      <c r="M280" s="92">
        <v>0</v>
      </c>
      <c r="N280" s="48"/>
    </row>
    <row r="281" spans="1:14">
      <c r="A281" s="85">
        <v>44818</v>
      </c>
      <c r="B281" s="48" t="s">
        <v>328</v>
      </c>
      <c r="C281" s="48">
        <v>2570082685</v>
      </c>
      <c r="D281" s="92">
        <v>269</v>
      </c>
      <c r="E281" s="48" t="s">
        <v>224</v>
      </c>
      <c r="F281" s="48">
        <v>0</v>
      </c>
      <c r="G281" s="48">
        <v>690</v>
      </c>
      <c r="H281" s="48">
        <v>32</v>
      </c>
      <c r="I281" s="48">
        <v>0</v>
      </c>
      <c r="J281" s="48">
        <v>0</v>
      </c>
      <c r="K281" s="48">
        <v>0</v>
      </c>
      <c r="L281" s="48">
        <v>0</v>
      </c>
      <c r="M281" s="92">
        <v>0</v>
      </c>
      <c r="N281" s="48"/>
    </row>
    <row r="282" spans="1:14">
      <c r="A282" s="85">
        <v>44818</v>
      </c>
      <c r="B282" s="48" t="s">
        <v>320</v>
      </c>
      <c r="C282" s="48">
        <v>2038124769</v>
      </c>
      <c r="D282" s="92">
        <v>259</v>
      </c>
      <c r="E282" s="48" t="s">
        <v>224</v>
      </c>
      <c r="F282" s="48">
        <v>0</v>
      </c>
      <c r="G282" s="48">
        <v>807</v>
      </c>
      <c r="H282" s="48">
        <v>60</v>
      </c>
      <c r="I282" s="48">
        <v>2</v>
      </c>
      <c r="J282" s="48">
        <v>2</v>
      </c>
      <c r="K282" s="48">
        <v>2</v>
      </c>
      <c r="L282" s="48">
        <v>2</v>
      </c>
      <c r="M282" s="92">
        <v>512</v>
      </c>
      <c r="N282" s="48"/>
    </row>
    <row r="283" spans="1:14">
      <c r="A283" s="85">
        <v>44818</v>
      </c>
      <c r="B283" s="48" t="s">
        <v>254</v>
      </c>
      <c r="C283" s="48">
        <v>2476788224</v>
      </c>
      <c r="D283" s="92">
        <v>259</v>
      </c>
      <c r="E283" s="48" t="s">
        <v>224</v>
      </c>
      <c r="F283" s="48">
        <v>0</v>
      </c>
      <c r="G283" s="48">
        <v>619</v>
      </c>
      <c r="H283" s="48">
        <v>19</v>
      </c>
      <c r="I283" s="48">
        <v>0</v>
      </c>
      <c r="J283" s="48">
        <v>0</v>
      </c>
      <c r="K283" s="48">
        <v>0</v>
      </c>
      <c r="L283" s="48">
        <v>0</v>
      </c>
      <c r="M283" s="92">
        <v>0</v>
      </c>
      <c r="N283" s="48"/>
    </row>
    <row r="284" spans="1:14">
      <c r="A284" s="85">
        <v>44818</v>
      </c>
      <c r="B284" s="48" t="s">
        <v>321</v>
      </c>
      <c r="C284" s="48">
        <v>2066934037</v>
      </c>
      <c r="D284" s="92">
        <v>359</v>
      </c>
      <c r="E284" s="48" t="s">
        <v>224</v>
      </c>
      <c r="F284" s="48">
        <v>0</v>
      </c>
      <c r="G284" s="48">
        <v>612</v>
      </c>
      <c r="H284" s="48">
        <v>24</v>
      </c>
      <c r="I284" s="48">
        <v>0</v>
      </c>
      <c r="J284" s="48">
        <v>0</v>
      </c>
      <c r="K284" s="48">
        <v>0</v>
      </c>
      <c r="L284" s="48">
        <v>0</v>
      </c>
      <c r="M284" s="92">
        <v>0</v>
      </c>
      <c r="N284" s="48"/>
    </row>
    <row r="285" spans="1:14">
      <c r="A285" s="85">
        <v>44818</v>
      </c>
      <c r="B285" s="48" t="s">
        <v>329</v>
      </c>
      <c r="C285" s="48">
        <v>2508094755</v>
      </c>
      <c r="D285" s="92">
        <v>259</v>
      </c>
      <c r="E285" s="48" t="s">
        <v>224</v>
      </c>
      <c r="F285" s="48">
        <v>0</v>
      </c>
      <c r="G285" s="48">
        <v>691</v>
      </c>
      <c r="H285" s="48">
        <v>26</v>
      </c>
      <c r="I285" s="48">
        <v>0</v>
      </c>
      <c r="J285" s="48">
        <v>0</v>
      </c>
      <c r="K285" s="48">
        <v>0</v>
      </c>
      <c r="L285" s="48">
        <v>0</v>
      </c>
      <c r="M285" s="92">
        <v>0</v>
      </c>
      <c r="N285" s="48"/>
    </row>
    <row r="286" spans="1:14">
      <c r="A286" s="85">
        <v>44818</v>
      </c>
      <c r="B286" s="48" t="s">
        <v>214</v>
      </c>
      <c r="C286" s="48">
        <v>2021841658</v>
      </c>
      <c r="D286" s="92">
        <v>299</v>
      </c>
      <c r="E286" s="48" t="s">
        <v>224</v>
      </c>
      <c r="F286" s="48">
        <v>0</v>
      </c>
      <c r="G286" s="48">
        <v>700</v>
      </c>
      <c r="H286" s="48">
        <v>16</v>
      </c>
      <c r="I286" s="48">
        <v>0</v>
      </c>
      <c r="J286" s="48">
        <v>0</v>
      </c>
      <c r="K286" s="48">
        <v>0</v>
      </c>
      <c r="L286" s="48">
        <v>0</v>
      </c>
      <c r="M286" s="92">
        <v>0</v>
      </c>
      <c r="N286" s="48"/>
    </row>
    <row r="287" spans="1:14">
      <c r="A287" s="85">
        <v>44818</v>
      </c>
      <c r="B287" s="48" t="s">
        <v>330</v>
      </c>
      <c r="C287" s="48">
        <v>2066037345</v>
      </c>
      <c r="D287" s="92">
        <v>259</v>
      </c>
      <c r="E287" s="48" t="s">
        <v>224</v>
      </c>
      <c r="F287" s="48">
        <v>0</v>
      </c>
      <c r="G287" s="48">
        <v>637</v>
      </c>
      <c r="H287" s="48">
        <v>23</v>
      </c>
      <c r="I287" s="48">
        <v>0</v>
      </c>
      <c r="J287" s="48">
        <v>0</v>
      </c>
      <c r="K287" s="48">
        <v>0</v>
      </c>
      <c r="L287" s="48">
        <v>0</v>
      </c>
      <c r="M287" s="92">
        <v>0</v>
      </c>
      <c r="N287" s="48"/>
    </row>
    <row r="288" spans="1:14">
      <c r="A288" s="85">
        <v>44818</v>
      </c>
      <c r="B288" s="48" t="s">
        <v>203</v>
      </c>
      <c r="C288" s="48">
        <v>2507098983</v>
      </c>
      <c r="D288" s="92">
        <v>299</v>
      </c>
      <c r="E288" s="48" t="s">
        <v>224</v>
      </c>
      <c r="F288" s="48">
        <v>0</v>
      </c>
      <c r="G288" s="48">
        <v>905</v>
      </c>
      <c r="H288" s="48">
        <v>71</v>
      </c>
      <c r="I288" s="48">
        <v>0</v>
      </c>
      <c r="J288" s="48">
        <v>0</v>
      </c>
      <c r="K288" s="48">
        <v>0</v>
      </c>
      <c r="L288" s="48">
        <v>0</v>
      </c>
      <c r="M288" s="92">
        <v>0</v>
      </c>
      <c r="N288" s="48"/>
    </row>
    <row r="289" spans="1:14">
      <c r="A289" s="85">
        <v>44818</v>
      </c>
      <c r="B289" s="48" t="s">
        <v>324</v>
      </c>
      <c r="C289" s="48">
        <v>2035424532</v>
      </c>
      <c r="D289" s="92">
        <v>249</v>
      </c>
      <c r="E289" s="48" t="s">
        <v>224</v>
      </c>
      <c r="F289" s="48">
        <v>0</v>
      </c>
      <c r="G289" s="48">
        <v>944</v>
      </c>
      <c r="H289" s="48">
        <v>101</v>
      </c>
      <c r="I289" s="48">
        <v>1</v>
      </c>
      <c r="J289" s="48">
        <v>1</v>
      </c>
      <c r="K289" s="48">
        <v>1</v>
      </c>
      <c r="L289" s="48">
        <v>1</v>
      </c>
      <c r="M289" s="92">
        <v>244</v>
      </c>
      <c r="N289" s="48"/>
    </row>
    <row r="290" spans="1:13">
      <c r="A290" s="85">
        <v>44820</v>
      </c>
      <c r="B290" s="48" t="s">
        <v>308</v>
      </c>
      <c r="C290" s="48">
        <v>2023048055</v>
      </c>
      <c r="D290" s="92">
        <v>239</v>
      </c>
      <c r="E290" s="48" t="s">
        <v>224</v>
      </c>
      <c r="F290" s="48">
        <v>0</v>
      </c>
      <c r="G290" s="48">
        <v>1193</v>
      </c>
      <c r="H290" s="48">
        <v>72</v>
      </c>
      <c r="I290" s="48">
        <v>0</v>
      </c>
      <c r="J290" s="48">
        <v>0</v>
      </c>
      <c r="K290" s="48">
        <v>0</v>
      </c>
      <c r="L290" s="48">
        <v>0</v>
      </c>
      <c r="M290" s="92">
        <v>0</v>
      </c>
    </row>
    <row r="291" spans="1:13">
      <c r="A291" s="85">
        <v>44820</v>
      </c>
      <c r="B291" s="48" t="s">
        <v>326</v>
      </c>
      <c r="C291" s="48">
        <v>2504687566</v>
      </c>
      <c r="D291" s="92">
        <v>239</v>
      </c>
      <c r="E291" s="48" t="s">
        <v>224</v>
      </c>
      <c r="F291" s="48">
        <v>0</v>
      </c>
      <c r="G291" s="48">
        <v>1321</v>
      </c>
      <c r="H291" s="48">
        <v>46</v>
      </c>
      <c r="I291" s="48">
        <v>0</v>
      </c>
      <c r="J291" s="48">
        <v>0</v>
      </c>
      <c r="K291" s="48">
        <v>0</v>
      </c>
      <c r="L291" s="48">
        <v>0</v>
      </c>
      <c r="M291" s="92">
        <v>0</v>
      </c>
    </row>
    <row r="292" spans="1:13">
      <c r="A292" s="85">
        <v>44820</v>
      </c>
      <c r="B292" s="48" t="s">
        <v>179</v>
      </c>
      <c r="C292" s="48">
        <v>2006409756</v>
      </c>
      <c r="D292" s="92">
        <v>269</v>
      </c>
      <c r="E292" s="48" t="s">
        <v>224</v>
      </c>
      <c r="F292" s="48">
        <v>0</v>
      </c>
      <c r="G292" s="48">
        <v>2387</v>
      </c>
      <c r="H292" s="48">
        <v>152</v>
      </c>
      <c r="I292" s="48">
        <v>4</v>
      </c>
      <c r="J292" s="48">
        <v>6</v>
      </c>
      <c r="K292" s="48">
        <v>4</v>
      </c>
      <c r="L292" s="48">
        <v>5</v>
      </c>
      <c r="M292" s="92">
        <v>1339</v>
      </c>
    </row>
    <row r="293" spans="1:13">
      <c r="A293" s="85">
        <v>44820</v>
      </c>
      <c r="B293" s="48" t="s">
        <v>197</v>
      </c>
      <c r="C293" s="48">
        <v>2589792962</v>
      </c>
      <c r="D293" s="93">
        <v>39.9</v>
      </c>
      <c r="E293" s="48" t="s">
        <v>224</v>
      </c>
      <c r="F293" s="48">
        <v>0</v>
      </c>
      <c r="G293" s="48">
        <v>1491</v>
      </c>
      <c r="H293" s="48">
        <v>29</v>
      </c>
      <c r="I293" s="48">
        <v>1</v>
      </c>
      <c r="J293" s="48">
        <v>1</v>
      </c>
      <c r="K293" s="48">
        <v>1</v>
      </c>
      <c r="L293" s="48">
        <v>1</v>
      </c>
      <c r="M293" s="93">
        <v>39.9</v>
      </c>
    </row>
    <row r="294" spans="1:13">
      <c r="A294" s="85">
        <v>44820</v>
      </c>
      <c r="B294" s="48" t="s">
        <v>310</v>
      </c>
      <c r="C294" s="48">
        <v>2066613598</v>
      </c>
      <c r="D294" s="92">
        <v>259</v>
      </c>
      <c r="E294" s="48" t="s">
        <v>224</v>
      </c>
      <c r="F294" s="48">
        <v>0</v>
      </c>
      <c r="G294" s="48">
        <v>1195</v>
      </c>
      <c r="H294" s="48">
        <v>35</v>
      </c>
      <c r="I294" s="48">
        <v>0</v>
      </c>
      <c r="J294" s="48">
        <v>0</v>
      </c>
      <c r="K294" s="48">
        <v>0</v>
      </c>
      <c r="L294" s="48">
        <v>0</v>
      </c>
      <c r="M294" s="92">
        <v>0</v>
      </c>
    </row>
    <row r="295" spans="1:13">
      <c r="A295" s="85">
        <v>44820</v>
      </c>
      <c r="B295" s="48" t="s">
        <v>181</v>
      </c>
      <c r="C295" s="48">
        <v>1983238576</v>
      </c>
      <c r="D295" s="92">
        <v>269</v>
      </c>
      <c r="E295" s="48" t="s">
        <v>224</v>
      </c>
      <c r="F295" s="48">
        <v>0</v>
      </c>
      <c r="G295" s="48">
        <v>1608</v>
      </c>
      <c r="H295" s="48">
        <v>69</v>
      </c>
      <c r="I295" s="48">
        <v>0</v>
      </c>
      <c r="J295" s="48">
        <v>0</v>
      </c>
      <c r="K295" s="48">
        <v>0</v>
      </c>
      <c r="L295" s="48">
        <v>0</v>
      </c>
      <c r="M295" s="92">
        <v>0</v>
      </c>
    </row>
    <row r="296" spans="1:13">
      <c r="A296" s="85">
        <v>44820</v>
      </c>
      <c r="B296" s="48" t="s">
        <v>311</v>
      </c>
      <c r="C296" s="48">
        <v>1691802220</v>
      </c>
      <c r="D296" s="92">
        <v>69</v>
      </c>
      <c r="E296" s="48" t="s">
        <v>224</v>
      </c>
      <c r="F296" s="48">
        <v>0</v>
      </c>
      <c r="G296" s="48">
        <v>843</v>
      </c>
      <c r="H296" s="48">
        <v>34</v>
      </c>
      <c r="I296" s="48">
        <v>0</v>
      </c>
      <c r="J296" s="48">
        <v>0</v>
      </c>
      <c r="K296" s="48">
        <v>0</v>
      </c>
      <c r="L296" s="48">
        <v>0</v>
      </c>
      <c r="M296" s="92">
        <v>0</v>
      </c>
    </row>
    <row r="297" spans="1:13">
      <c r="A297" s="85">
        <v>44820</v>
      </c>
      <c r="B297" s="48" t="s">
        <v>195</v>
      </c>
      <c r="C297" s="48">
        <v>1567470953</v>
      </c>
      <c r="D297" s="93">
        <v>19.9</v>
      </c>
      <c r="E297" s="48" t="s">
        <v>224</v>
      </c>
      <c r="F297" s="48">
        <v>0</v>
      </c>
      <c r="G297" s="48">
        <v>759</v>
      </c>
      <c r="H297" s="48">
        <v>39</v>
      </c>
      <c r="I297" s="48">
        <v>0</v>
      </c>
      <c r="J297" s="48">
        <v>0</v>
      </c>
      <c r="K297" s="48">
        <v>0</v>
      </c>
      <c r="L297" s="48">
        <v>0</v>
      </c>
      <c r="M297" s="92">
        <v>0</v>
      </c>
    </row>
    <row r="298" spans="1:13">
      <c r="A298" s="85">
        <v>44820</v>
      </c>
      <c r="B298" s="48" t="s">
        <v>204</v>
      </c>
      <c r="C298" s="48">
        <v>2460481743</v>
      </c>
      <c r="D298" s="92">
        <v>359</v>
      </c>
      <c r="E298" s="48" t="s">
        <v>224</v>
      </c>
      <c r="F298" s="48">
        <v>0</v>
      </c>
      <c r="G298" s="48">
        <v>747</v>
      </c>
      <c r="H298" s="48">
        <v>31</v>
      </c>
      <c r="I298" s="48">
        <v>0</v>
      </c>
      <c r="J298" s="48">
        <v>0</v>
      </c>
      <c r="K298" s="48">
        <v>0</v>
      </c>
      <c r="L298" s="48">
        <v>0</v>
      </c>
      <c r="M298" s="92">
        <v>0</v>
      </c>
    </row>
    <row r="299" spans="1:13">
      <c r="A299" s="85">
        <v>44820</v>
      </c>
      <c r="B299" s="48" t="s">
        <v>198</v>
      </c>
      <c r="C299" s="48">
        <v>2027905719</v>
      </c>
      <c r="D299" s="92">
        <v>119</v>
      </c>
      <c r="E299" s="48" t="s">
        <v>224</v>
      </c>
      <c r="F299" s="48">
        <v>0</v>
      </c>
      <c r="G299" s="48">
        <v>721</v>
      </c>
      <c r="H299" s="48">
        <v>20</v>
      </c>
      <c r="I299" s="48">
        <v>0</v>
      </c>
      <c r="J299" s="48">
        <v>0</v>
      </c>
      <c r="K299" s="48">
        <v>0</v>
      </c>
      <c r="L299" s="48">
        <v>0</v>
      </c>
      <c r="M299" s="92">
        <v>0</v>
      </c>
    </row>
    <row r="300" spans="1:13">
      <c r="A300" s="85">
        <v>44820</v>
      </c>
      <c r="B300" s="48" t="s">
        <v>312</v>
      </c>
      <c r="C300" s="48">
        <v>2570376557</v>
      </c>
      <c r="D300" s="92">
        <v>239</v>
      </c>
      <c r="E300" s="48" t="s">
        <v>224</v>
      </c>
      <c r="F300" s="48">
        <v>0</v>
      </c>
      <c r="G300" s="48">
        <v>686</v>
      </c>
      <c r="H300" s="48">
        <v>27</v>
      </c>
      <c r="I300" s="48">
        <v>0</v>
      </c>
      <c r="J300" s="48">
        <v>0</v>
      </c>
      <c r="K300" s="48">
        <v>0</v>
      </c>
      <c r="L300" s="48">
        <v>0</v>
      </c>
      <c r="M300" s="92">
        <v>0</v>
      </c>
    </row>
    <row r="301" spans="1:13">
      <c r="A301" s="85">
        <v>44820</v>
      </c>
      <c r="B301" s="48" t="s">
        <v>313</v>
      </c>
      <c r="C301" s="48">
        <v>2569577636</v>
      </c>
      <c r="D301" s="92">
        <v>259</v>
      </c>
      <c r="E301" s="48" t="s">
        <v>224</v>
      </c>
      <c r="F301" s="48">
        <v>0</v>
      </c>
      <c r="G301" s="48">
        <v>738</v>
      </c>
      <c r="H301" s="48">
        <v>28</v>
      </c>
      <c r="I301" s="48">
        <v>1</v>
      </c>
      <c r="J301" s="48">
        <v>1</v>
      </c>
      <c r="K301" s="48">
        <v>1</v>
      </c>
      <c r="L301" s="48">
        <v>1</v>
      </c>
      <c r="M301" s="92">
        <v>223</v>
      </c>
    </row>
    <row r="302" spans="1:13">
      <c r="A302" s="85">
        <v>44820</v>
      </c>
      <c r="B302" s="48" t="s">
        <v>314</v>
      </c>
      <c r="C302" s="48">
        <v>2527498888</v>
      </c>
      <c r="D302" s="93">
        <v>39.9</v>
      </c>
      <c r="E302" s="48" t="s">
        <v>224</v>
      </c>
      <c r="F302" s="48">
        <v>0</v>
      </c>
      <c r="G302" s="48">
        <v>725</v>
      </c>
      <c r="H302" s="48">
        <v>22</v>
      </c>
      <c r="I302" s="48">
        <v>0</v>
      </c>
      <c r="J302" s="48">
        <v>0</v>
      </c>
      <c r="K302" s="48">
        <v>0</v>
      </c>
      <c r="L302" s="48">
        <v>0</v>
      </c>
      <c r="M302" s="92">
        <v>0</v>
      </c>
    </row>
    <row r="303" spans="1:13">
      <c r="A303" s="85">
        <v>44820</v>
      </c>
      <c r="B303" s="48" t="s">
        <v>315</v>
      </c>
      <c r="C303" s="48">
        <v>2507991086</v>
      </c>
      <c r="D303" s="92">
        <v>259</v>
      </c>
      <c r="E303" s="48" t="s">
        <v>224</v>
      </c>
      <c r="F303" s="48">
        <v>0</v>
      </c>
      <c r="G303" s="48">
        <v>682</v>
      </c>
      <c r="H303" s="48">
        <v>40</v>
      </c>
      <c r="I303" s="48">
        <v>1</v>
      </c>
      <c r="J303" s="48">
        <v>2</v>
      </c>
      <c r="K303" s="48">
        <v>0</v>
      </c>
      <c r="L303" s="48">
        <v>0</v>
      </c>
      <c r="M303" s="92">
        <v>0</v>
      </c>
    </row>
    <row r="304" spans="1:13">
      <c r="A304" s="85">
        <v>44820</v>
      </c>
      <c r="B304" s="48" t="s">
        <v>194</v>
      </c>
      <c r="C304" s="48">
        <v>2011142012</v>
      </c>
      <c r="D304" s="92">
        <v>359</v>
      </c>
      <c r="E304" s="48" t="s">
        <v>224</v>
      </c>
      <c r="F304" s="48">
        <v>0</v>
      </c>
      <c r="G304" s="48">
        <v>707</v>
      </c>
      <c r="H304" s="48">
        <v>30</v>
      </c>
      <c r="I304" s="48">
        <v>0</v>
      </c>
      <c r="J304" s="48">
        <v>0</v>
      </c>
      <c r="K304" s="48">
        <v>0</v>
      </c>
      <c r="L304" s="48">
        <v>0</v>
      </c>
      <c r="M304" s="92">
        <v>0</v>
      </c>
    </row>
    <row r="305" spans="1:13">
      <c r="A305" s="85">
        <v>44820</v>
      </c>
      <c r="B305" s="48" t="s">
        <v>191</v>
      </c>
      <c r="C305" s="48">
        <v>2023542289</v>
      </c>
      <c r="D305" s="92">
        <v>599</v>
      </c>
      <c r="E305" s="48" t="s">
        <v>224</v>
      </c>
      <c r="F305" s="48">
        <v>0</v>
      </c>
      <c r="G305" s="48">
        <v>2489</v>
      </c>
      <c r="H305" s="48">
        <v>136</v>
      </c>
      <c r="I305" s="48">
        <v>4</v>
      </c>
      <c r="J305" s="48">
        <v>4</v>
      </c>
      <c r="K305" s="48">
        <v>2</v>
      </c>
      <c r="L305" s="48">
        <v>2</v>
      </c>
      <c r="M305" s="92">
        <v>1193</v>
      </c>
    </row>
    <row r="306" spans="1:13">
      <c r="A306" s="85">
        <v>44820</v>
      </c>
      <c r="B306" s="48" t="s">
        <v>210</v>
      </c>
      <c r="C306" s="48">
        <v>2545182157</v>
      </c>
      <c r="D306" s="92">
        <v>599</v>
      </c>
      <c r="E306" s="48" t="s">
        <v>224</v>
      </c>
      <c r="F306" s="48">
        <v>0</v>
      </c>
      <c r="G306" s="48">
        <v>3364</v>
      </c>
      <c r="H306" s="48">
        <v>112</v>
      </c>
      <c r="I306" s="48">
        <v>4</v>
      </c>
      <c r="J306" s="48">
        <v>4</v>
      </c>
      <c r="K306" s="48">
        <v>2</v>
      </c>
      <c r="L306" s="48">
        <v>2</v>
      </c>
      <c r="M306" s="92">
        <v>1187</v>
      </c>
    </row>
    <row r="307" spans="1:13">
      <c r="A307" s="85">
        <v>44820</v>
      </c>
      <c r="B307" s="48" t="s">
        <v>213</v>
      </c>
      <c r="C307" s="48">
        <v>2569088581</v>
      </c>
      <c r="D307" s="92">
        <v>239</v>
      </c>
      <c r="E307" s="48" t="s">
        <v>224</v>
      </c>
      <c r="F307" s="48">
        <v>0</v>
      </c>
      <c r="G307" s="48">
        <v>1190</v>
      </c>
      <c r="H307" s="48">
        <v>21</v>
      </c>
      <c r="I307" s="48">
        <v>0</v>
      </c>
      <c r="J307" s="48">
        <v>0</v>
      </c>
      <c r="K307" s="48">
        <v>0</v>
      </c>
      <c r="L307" s="48">
        <v>0</v>
      </c>
      <c r="M307" s="92">
        <v>0</v>
      </c>
    </row>
    <row r="308" spans="1:13">
      <c r="A308" s="85">
        <v>44820</v>
      </c>
      <c r="B308" s="48" t="s">
        <v>316</v>
      </c>
      <c r="C308" s="48">
        <v>2540788342</v>
      </c>
      <c r="D308" s="93">
        <v>49.9</v>
      </c>
      <c r="E308" s="48" t="s">
        <v>224</v>
      </c>
      <c r="F308" s="48">
        <v>0</v>
      </c>
      <c r="G308" s="48">
        <v>1219</v>
      </c>
      <c r="H308" s="48">
        <v>22</v>
      </c>
      <c r="I308" s="48">
        <v>1</v>
      </c>
      <c r="J308" s="48">
        <v>1</v>
      </c>
      <c r="K308" s="48">
        <v>1</v>
      </c>
      <c r="L308" s="48">
        <v>1</v>
      </c>
      <c r="M308" s="93">
        <v>48.9</v>
      </c>
    </row>
    <row r="309" spans="1:13">
      <c r="A309" s="85">
        <v>44820</v>
      </c>
      <c r="B309" s="48" t="s">
        <v>317</v>
      </c>
      <c r="C309" s="48">
        <v>2066030561</v>
      </c>
      <c r="D309" s="92">
        <v>259</v>
      </c>
      <c r="E309" s="48" t="s">
        <v>224</v>
      </c>
      <c r="F309" s="48">
        <v>0</v>
      </c>
      <c r="G309" s="48">
        <v>1112</v>
      </c>
      <c r="H309" s="48">
        <v>39</v>
      </c>
      <c r="I309" s="48">
        <v>0</v>
      </c>
      <c r="J309" s="48">
        <v>0</v>
      </c>
      <c r="K309" s="48">
        <v>0</v>
      </c>
      <c r="L309" s="48">
        <v>0</v>
      </c>
      <c r="M309" s="92">
        <v>0</v>
      </c>
    </row>
    <row r="310" spans="1:13">
      <c r="A310" s="85">
        <v>44820</v>
      </c>
      <c r="B310" s="48" t="s">
        <v>327</v>
      </c>
      <c r="C310" s="48">
        <v>2036131202</v>
      </c>
      <c r="D310" s="92">
        <v>249</v>
      </c>
      <c r="E310" s="48" t="s">
        <v>224</v>
      </c>
      <c r="F310" s="48">
        <v>0</v>
      </c>
      <c r="G310" s="48">
        <v>852</v>
      </c>
      <c r="H310" s="48">
        <v>38</v>
      </c>
      <c r="I310" s="48">
        <v>0</v>
      </c>
      <c r="J310" s="48">
        <v>0</v>
      </c>
      <c r="K310" s="48">
        <v>0</v>
      </c>
      <c r="L310" s="48">
        <v>0</v>
      </c>
      <c r="M310" s="92">
        <v>0</v>
      </c>
    </row>
    <row r="311" spans="1:13">
      <c r="A311" s="85">
        <v>44820</v>
      </c>
      <c r="B311" s="48" t="s">
        <v>328</v>
      </c>
      <c r="C311" s="48">
        <v>2570082685</v>
      </c>
      <c r="D311" s="92">
        <v>269</v>
      </c>
      <c r="E311" s="48" t="s">
        <v>224</v>
      </c>
      <c r="F311" s="48">
        <v>0</v>
      </c>
      <c r="G311" s="48">
        <v>650</v>
      </c>
      <c r="H311" s="48">
        <v>30</v>
      </c>
      <c r="I311" s="48">
        <v>0</v>
      </c>
      <c r="J311" s="48">
        <v>0</v>
      </c>
      <c r="K311" s="48">
        <v>0</v>
      </c>
      <c r="L311" s="48">
        <v>0</v>
      </c>
      <c r="M311" s="92">
        <v>0</v>
      </c>
    </row>
    <row r="312" spans="1:13">
      <c r="A312" s="85">
        <v>44820</v>
      </c>
      <c r="B312" s="48" t="s">
        <v>320</v>
      </c>
      <c r="C312" s="48">
        <v>2038124769</v>
      </c>
      <c r="D312" s="92">
        <v>259</v>
      </c>
      <c r="E312" s="48" t="s">
        <v>224</v>
      </c>
      <c r="F312" s="48">
        <v>0</v>
      </c>
      <c r="G312" s="48">
        <v>1821</v>
      </c>
      <c r="H312" s="48">
        <v>118</v>
      </c>
      <c r="I312" s="48">
        <v>2</v>
      </c>
      <c r="J312" s="48">
        <v>2</v>
      </c>
      <c r="K312" s="48">
        <v>0</v>
      </c>
      <c r="L312" s="48">
        <v>0</v>
      </c>
      <c r="M312" s="92">
        <v>0</v>
      </c>
    </row>
    <row r="313" spans="1:13">
      <c r="A313" s="85">
        <v>44820</v>
      </c>
      <c r="B313" s="48" t="s">
        <v>254</v>
      </c>
      <c r="C313" s="48">
        <v>2476788224</v>
      </c>
      <c r="D313" s="92">
        <v>259</v>
      </c>
      <c r="E313" s="48" t="s">
        <v>224</v>
      </c>
      <c r="F313" s="48">
        <v>0</v>
      </c>
      <c r="G313" s="48">
        <v>785</v>
      </c>
      <c r="H313" s="48">
        <v>48</v>
      </c>
      <c r="I313" s="48">
        <v>0</v>
      </c>
      <c r="J313" s="48">
        <v>0</v>
      </c>
      <c r="K313" s="48">
        <v>0</v>
      </c>
      <c r="L313" s="48">
        <v>0</v>
      </c>
      <c r="M313" s="92">
        <v>0</v>
      </c>
    </row>
    <row r="314" spans="1:13">
      <c r="A314" s="85">
        <v>44820</v>
      </c>
      <c r="B314" s="48" t="s">
        <v>321</v>
      </c>
      <c r="C314" s="48">
        <v>2066934037</v>
      </c>
      <c r="D314" s="92">
        <v>359</v>
      </c>
      <c r="E314" s="48" t="s">
        <v>224</v>
      </c>
      <c r="F314" s="48">
        <v>0</v>
      </c>
      <c r="G314" s="48">
        <v>787</v>
      </c>
      <c r="H314" s="48">
        <v>42</v>
      </c>
      <c r="I314" s="48">
        <v>0</v>
      </c>
      <c r="J314" s="48">
        <v>0</v>
      </c>
      <c r="K314" s="48">
        <v>0</v>
      </c>
      <c r="L314" s="48">
        <v>0</v>
      </c>
      <c r="M314" s="92">
        <v>0</v>
      </c>
    </row>
    <row r="315" spans="1:13">
      <c r="A315" s="85">
        <v>44820</v>
      </c>
      <c r="B315" s="48" t="s">
        <v>330</v>
      </c>
      <c r="C315" s="48">
        <v>2066037345</v>
      </c>
      <c r="D315" s="92">
        <v>259</v>
      </c>
      <c r="E315" s="48" t="s">
        <v>224</v>
      </c>
      <c r="F315" s="48">
        <v>0</v>
      </c>
      <c r="G315" s="48">
        <v>721</v>
      </c>
      <c r="H315" s="48">
        <v>43</v>
      </c>
      <c r="I315" s="48">
        <v>0</v>
      </c>
      <c r="J315" s="48">
        <v>0</v>
      </c>
      <c r="K315" s="48">
        <v>0</v>
      </c>
      <c r="L315" s="48">
        <v>0</v>
      </c>
      <c r="M315" s="92">
        <v>0</v>
      </c>
    </row>
    <row r="316" spans="1:13">
      <c r="A316" s="85">
        <v>44820</v>
      </c>
      <c r="B316" s="48" t="s">
        <v>203</v>
      </c>
      <c r="C316" s="48">
        <v>2507098983</v>
      </c>
      <c r="D316" s="92">
        <v>299</v>
      </c>
      <c r="E316" s="48" t="s">
        <v>224</v>
      </c>
      <c r="F316" s="48">
        <v>0</v>
      </c>
      <c r="G316" s="48">
        <v>784</v>
      </c>
      <c r="H316" s="48">
        <v>54</v>
      </c>
      <c r="I316" s="48">
        <v>0</v>
      </c>
      <c r="J316" s="48">
        <v>0</v>
      </c>
      <c r="K316" s="48">
        <v>0</v>
      </c>
      <c r="L316" s="48">
        <v>0</v>
      </c>
      <c r="M316" s="92">
        <v>0</v>
      </c>
    </row>
    <row r="317" spans="1:13">
      <c r="A317" s="85">
        <v>44820</v>
      </c>
      <c r="B317" s="48" t="s">
        <v>324</v>
      </c>
      <c r="C317" s="48">
        <v>2035424532</v>
      </c>
      <c r="D317" s="92">
        <v>249</v>
      </c>
      <c r="E317" s="48" t="s">
        <v>224</v>
      </c>
      <c r="F317" s="48">
        <v>0</v>
      </c>
      <c r="G317" s="48">
        <v>494</v>
      </c>
      <c r="H317" s="48">
        <v>41</v>
      </c>
      <c r="I317" s="48">
        <v>0</v>
      </c>
      <c r="J317" s="48">
        <v>0</v>
      </c>
      <c r="K317" s="48">
        <v>0</v>
      </c>
      <c r="L317" s="48">
        <v>0</v>
      </c>
      <c r="M317" s="92">
        <v>0</v>
      </c>
    </row>
    <row r="318" spans="1:13">
      <c r="A318" s="85">
        <v>44829</v>
      </c>
      <c r="B318" s="48" t="s">
        <v>212</v>
      </c>
      <c r="C318" s="48">
        <v>2628778680</v>
      </c>
      <c r="D318" s="92">
        <v>269</v>
      </c>
      <c r="E318" s="48" t="s">
        <v>224</v>
      </c>
      <c r="F318" s="48">
        <v>0</v>
      </c>
      <c r="G318" s="48">
        <v>2553</v>
      </c>
      <c r="H318" s="48">
        <v>255</v>
      </c>
      <c r="I318" s="48">
        <v>3</v>
      </c>
      <c r="J318" s="48">
        <v>3</v>
      </c>
      <c r="K318" s="48">
        <v>3</v>
      </c>
      <c r="L318" s="48">
        <v>3</v>
      </c>
      <c r="M318" s="92">
        <v>807</v>
      </c>
    </row>
    <row r="319" spans="1:13">
      <c r="A319" s="85">
        <v>44829</v>
      </c>
      <c r="B319" s="48" t="s">
        <v>324</v>
      </c>
      <c r="C319" s="48">
        <v>2035424532</v>
      </c>
      <c r="D319" s="92">
        <v>259</v>
      </c>
      <c r="E319" s="48" t="s">
        <v>224</v>
      </c>
      <c r="F319" s="48">
        <v>0</v>
      </c>
      <c r="G319" s="48">
        <v>2560</v>
      </c>
      <c r="H319" s="48">
        <v>135</v>
      </c>
      <c r="I319" s="48">
        <v>0</v>
      </c>
      <c r="J319" s="48">
        <v>0</v>
      </c>
      <c r="K319" s="48">
        <v>0</v>
      </c>
      <c r="L319" s="48">
        <v>0</v>
      </c>
      <c r="M319" s="92">
        <v>0</v>
      </c>
    </row>
    <row r="320" spans="1:13">
      <c r="A320" s="85">
        <v>44829</v>
      </c>
      <c r="B320" s="48" t="s">
        <v>182</v>
      </c>
      <c r="C320" s="48">
        <v>2612296980</v>
      </c>
      <c r="D320" s="92">
        <v>339</v>
      </c>
      <c r="E320" s="48" t="s">
        <v>224</v>
      </c>
      <c r="F320" s="48">
        <v>0</v>
      </c>
      <c r="G320" s="48">
        <v>4413</v>
      </c>
      <c r="H320" s="48">
        <v>388</v>
      </c>
      <c r="I320" s="48">
        <v>12</v>
      </c>
      <c r="J320" s="48">
        <v>12</v>
      </c>
      <c r="K320" s="48">
        <v>10</v>
      </c>
      <c r="L320" s="48">
        <v>10</v>
      </c>
      <c r="M320" s="92">
        <v>3369</v>
      </c>
    </row>
    <row r="321" spans="1:13">
      <c r="A321" s="85">
        <v>44829</v>
      </c>
      <c r="B321" s="48" t="s">
        <v>308</v>
      </c>
      <c r="C321" s="48">
        <v>2023048055</v>
      </c>
      <c r="D321" s="92">
        <v>259</v>
      </c>
      <c r="E321" s="48" t="s">
        <v>224</v>
      </c>
      <c r="F321" s="48">
        <v>0</v>
      </c>
      <c r="G321" s="48">
        <v>2858</v>
      </c>
      <c r="H321" s="48">
        <v>116</v>
      </c>
      <c r="I321" s="48">
        <v>0</v>
      </c>
      <c r="J321" s="48">
        <v>0</v>
      </c>
      <c r="K321" s="48">
        <v>0</v>
      </c>
      <c r="L321" s="48">
        <v>0</v>
      </c>
      <c r="M321" s="92">
        <v>0</v>
      </c>
    </row>
    <row r="322" spans="1:13">
      <c r="A322" s="85">
        <v>44829</v>
      </c>
      <c r="B322" s="48" t="s">
        <v>312</v>
      </c>
      <c r="C322" s="48">
        <v>2570376557</v>
      </c>
      <c r="D322" s="92">
        <v>259</v>
      </c>
      <c r="E322" s="48" t="s">
        <v>224</v>
      </c>
      <c r="F322" s="48">
        <v>0</v>
      </c>
      <c r="G322" s="48">
        <v>2675</v>
      </c>
      <c r="H322" s="48">
        <v>73</v>
      </c>
      <c r="I322" s="48">
        <v>0</v>
      </c>
      <c r="J322" s="48">
        <v>0</v>
      </c>
      <c r="K322" s="48">
        <v>0</v>
      </c>
      <c r="L322" s="48">
        <v>0</v>
      </c>
      <c r="M322" s="92">
        <v>0</v>
      </c>
    </row>
    <row r="323" spans="1:13">
      <c r="A323" s="85">
        <v>44829</v>
      </c>
      <c r="B323" s="48" t="s">
        <v>331</v>
      </c>
      <c r="C323" s="48">
        <v>2099706046</v>
      </c>
      <c r="D323" s="92">
        <v>659</v>
      </c>
      <c r="E323" s="48" t="s">
        <v>224</v>
      </c>
      <c r="F323" s="48">
        <v>0</v>
      </c>
      <c r="G323" s="48">
        <v>2158</v>
      </c>
      <c r="H323" s="48">
        <v>52</v>
      </c>
      <c r="I323" s="48">
        <v>0</v>
      </c>
      <c r="J323" s="48">
        <v>0</v>
      </c>
      <c r="K323" s="48">
        <v>0</v>
      </c>
      <c r="L323" s="48">
        <v>0</v>
      </c>
      <c r="M323" s="92">
        <v>0</v>
      </c>
    </row>
    <row r="324" spans="1:13">
      <c r="A324" s="85">
        <v>44829</v>
      </c>
      <c r="B324" s="48" t="s">
        <v>204</v>
      </c>
      <c r="C324" s="48">
        <v>2460481743</v>
      </c>
      <c r="D324" s="92">
        <v>399</v>
      </c>
      <c r="E324" s="48" t="s">
        <v>224</v>
      </c>
      <c r="F324" s="48">
        <v>0</v>
      </c>
      <c r="G324" s="48">
        <v>1976</v>
      </c>
      <c r="H324" s="48">
        <v>60</v>
      </c>
      <c r="I324" s="48">
        <v>0</v>
      </c>
      <c r="J324" s="48">
        <v>0</v>
      </c>
      <c r="K324" s="48">
        <v>0</v>
      </c>
      <c r="L324" s="48">
        <v>0</v>
      </c>
      <c r="M324" s="92">
        <v>0</v>
      </c>
    </row>
    <row r="325" spans="1:13">
      <c r="A325" s="85">
        <v>44829</v>
      </c>
      <c r="B325" s="48" t="s">
        <v>332</v>
      </c>
      <c r="C325" s="48">
        <v>1987113893</v>
      </c>
      <c r="D325" s="92">
        <v>159</v>
      </c>
      <c r="E325" s="48" t="s">
        <v>224</v>
      </c>
      <c r="F325" s="48">
        <v>1</v>
      </c>
      <c r="G325" s="48">
        <v>1753</v>
      </c>
      <c r="H325" s="48">
        <v>36</v>
      </c>
      <c r="I325" s="48">
        <v>0</v>
      </c>
      <c r="J325" s="48">
        <v>0</v>
      </c>
      <c r="K325" s="48">
        <v>0</v>
      </c>
      <c r="L325" s="48">
        <v>0</v>
      </c>
      <c r="M325" s="92">
        <v>0</v>
      </c>
    </row>
    <row r="326" spans="1:13">
      <c r="A326" s="85">
        <v>44829</v>
      </c>
      <c r="B326" s="48" t="s">
        <v>333</v>
      </c>
      <c r="C326" s="48">
        <v>2628697751</v>
      </c>
      <c r="D326" s="92">
        <v>678</v>
      </c>
      <c r="E326" s="48" t="s">
        <v>224</v>
      </c>
      <c r="F326" s="48">
        <v>0</v>
      </c>
      <c r="G326" s="48">
        <v>1678</v>
      </c>
      <c r="H326" s="48">
        <v>39</v>
      </c>
      <c r="I326" s="48">
        <v>0</v>
      </c>
      <c r="J326" s="48">
        <v>0</v>
      </c>
      <c r="K326" s="48">
        <v>0</v>
      </c>
      <c r="L326" s="48">
        <v>0</v>
      </c>
      <c r="M326" s="92">
        <v>0</v>
      </c>
    </row>
    <row r="327" spans="1:13">
      <c r="A327" s="85">
        <v>44829</v>
      </c>
      <c r="B327" s="48" t="s">
        <v>313</v>
      </c>
      <c r="C327" s="48">
        <v>2569577636</v>
      </c>
      <c r="D327" s="92">
        <v>289</v>
      </c>
      <c r="E327" s="48" t="s">
        <v>224</v>
      </c>
      <c r="F327" s="48">
        <v>1</v>
      </c>
      <c r="G327" s="48">
        <v>1677</v>
      </c>
      <c r="H327" s="48">
        <v>94</v>
      </c>
      <c r="I327" s="48">
        <v>0</v>
      </c>
      <c r="J327" s="48">
        <v>0</v>
      </c>
      <c r="K327" s="48">
        <v>0</v>
      </c>
      <c r="L327" s="48">
        <v>0</v>
      </c>
      <c r="M327" s="92">
        <v>0</v>
      </c>
    </row>
    <row r="328" spans="1:13">
      <c r="A328" s="85">
        <v>44829</v>
      </c>
      <c r="B328" s="48" t="s">
        <v>334</v>
      </c>
      <c r="C328" s="48">
        <v>2612389776</v>
      </c>
      <c r="D328" s="92">
        <v>299</v>
      </c>
      <c r="E328" s="48" t="s">
        <v>224</v>
      </c>
      <c r="F328" s="48">
        <v>0</v>
      </c>
      <c r="G328" s="48">
        <v>1769</v>
      </c>
      <c r="H328" s="48">
        <v>83</v>
      </c>
      <c r="I328" s="48">
        <v>3</v>
      </c>
      <c r="J328" s="48">
        <v>3</v>
      </c>
      <c r="K328" s="48">
        <v>2</v>
      </c>
      <c r="L328" s="48">
        <v>2</v>
      </c>
      <c r="M328" s="92">
        <v>598</v>
      </c>
    </row>
    <row r="329" spans="1:13">
      <c r="A329" s="85">
        <v>44829</v>
      </c>
      <c r="B329" s="48" t="s">
        <v>210</v>
      </c>
      <c r="C329" s="48">
        <v>2545182157</v>
      </c>
      <c r="D329" s="92">
        <v>599</v>
      </c>
      <c r="E329" s="48" t="s">
        <v>224</v>
      </c>
      <c r="F329" s="48">
        <v>0</v>
      </c>
      <c r="G329" s="48">
        <v>1688</v>
      </c>
      <c r="H329" s="48">
        <v>17</v>
      </c>
      <c r="I329" s="48">
        <v>0</v>
      </c>
      <c r="J329" s="48">
        <v>0</v>
      </c>
      <c r="K329" s="48">
        <v>0</v>
      </c>
      <c r="L329" s="48">
        <v>0</v>
      </c>
      <c r="M329" s="92">
        <v>0</v>
      </c>
    </row>
    <row r="330" spans="1:13">
      <c r="A330" s="85">
        <v>44829</v>
      </c>
      <c r="B330" s="48" t="s">
        <v>191</v>
      </c>
      <c r="C330" s="48">
        <v>2023542289</v>
      </c>
      <c r="D330" s="92">
        <v>599</v>
      </c>
      <c r="E330" s="48" t="s">
        <v>224</v>
      </c>
      <c r="F330" s="48">
        <v>0</v>
      </c>
      <c r="G330" s="48">
        <v>2116</v>
      </c>
      <c r="H330" s="48">
        <v>92</v>
      </c>
      <c r="I330" s="48">
        <v>4</v>
      </c>
      <c r="J330" s="48">
        <v>6</v>
      </c>
      <c r="K330" s="48">
        <v>3</v>
      </c>
      <c r="L330" s="48">
        <v>3</v>
      </c>
      <c r="M330" s="92">
        <v>1791</v>
      </c>
    </row>
    <row r="331" spans="1:13">
      <c r="A331" s="85">
        <v>44829</v>
      </c>
      <c r="B331" s="48" t="s">
        <v>214</v>
      </c>
      <c r="C331" s="48">
        <v>2021841658</v>
      </c>
      <c r="D331" s="92">
        <v>329</v>
      </c>
      <c r="E331" s="48" t="s">
        <v>224</v>
      </c>
      <c r="F331" s="48">
        <v>0</v>
      </c>
      <c r="G331" s="48">
        <v>1922</v>
      </c>
      <c r="H331" s="48">
        <v>80</v>
      </c>
      <c r="I331" s="48">
        <v>2</v>
      </c>
      <c r="J331" s="48">
        <v>2</v>
      </c>
      <c r="K331" s="48">
        <v>1</v>
      </c>
      <c r="L331" s="48">
        <v>1</v>
      </c>
      <c r="M331" s="92">
        <v>321</v>
      </c>
    </row>
    <row r="332" spans="1:13">
      <c r="A332" s="85">
        <v>44829</v>
      </c>
      <c r="B332" s="48" t="s">
        <v>335</v>
      </c>
      <c r="C332" s="48">
        <v>2093525223</v>
      </c>
      <c r="D332" s="92">
        <v>1290</v>
      </c>
      <c r="E332" s="48" t="s">
        <v>224</v>
      </c>
      <c r="F332" s="48">
        <v>0</v>
      </c>
      <c r="G332" s="48">
        <v>1739</v>
      </c>
      <c r="H332" s="48">
        <v>35</v>
      </c>
      <c r="I332" s="48">
        <v>0</v>
      </c>
      <c r="J332" s="48">
        <v>0</v>
      </c>
      <c r="K332" s="48">
        <v>0</v>
      </c>
      <c r="L332" s="48">
        <v>0</v>
      </c>
      <c r="M332" s="92">
        <v>0</v>
      </c>
    </row>
    <row r="333" spans="1:13">
      <c r="A333" s="85">
        <v>44829</v>
      </c>
      <c r="B333" s="48" t="s">
        <v>336</v>
      </c>
      <c r="C333" s="48">
        <v>2038124769</v>
      </c>
      <c r="D333" s="92">
        <v>259</v>
      </c>
      <c r="E333" s="48" t="s">
        <v>224</v>
      </c>
      <c r="F333" s="48">
        <v>0</v>
      </c>
      <c r="G333" s="48">
        <v>1710</v>
      </c>
      <c r="H333" s="48">
        <v>76</v>
      </c>
      <c r="I333" s="48">
        <v>0</v>
      </c>
      <c r="J333" s="48">
        <v>0</v>
      </c>
      <c r="K333" s="48">
        <v>0</v>
      </c>
      <c r="L333" s="48">
        <v>0</v>
      </c>
      <c r="M333" s="92">
        <v>0</v>
      </c>
    </row>
    <row r="334" spans="1:13">
      <c r="A334" s="85">
        <v>44829</v>
      </c>
      <c r="B334" s="48" t="s">
        <v>337</v>
      </c>
      <c r="C334" s="48">
        <v>1983238576</v>
      </c>
      <c r="D334" s="92">
        <v>299</v>
      </c>
      <c r="E334" s="48" t="s">
        <v>224</v>
      </c>
      <c r="F334" s="48">
        <v>0</v>
      </c>
      <c r="G334" s="48">
        <v>1889</v>
      </c>
      <c r="H334" s="48">
        <v>70</v>
      </c>
      <c r="I334" s="48">
        <v>2</v>
      </c>
      <c r="J334" s="48">
        <v>2</v>
      </c>
      <c r="K334" s="48">
        <v>1</v>
      </c>
      <c r="L334" s="48">
        <v>1</v>
      </c>
      <c r="M334" s="92">
        <v>294</v>
      </c>
    </row>
    <row r="335" spans="1:13">
      <c r="A335" s="85">
        <v>44829</v>
      </c>
      <c r="B335" s="48" t="s">
        <v>203</v>
      </c>
      <c r="C335" s="48">
        <v>2507098983</v>
      </c>
      <c r="D335" s="92">
        <v>359</v>
      </c>
      <c r="E335" s="48" t="s">
        <v>224</v>
      </c>
      <c r="F335" s="48">
        <v>0</v>
      </c>
      <c r="G335" s="48">
        <v>1875</v>
      </c>
      <c r="H335" s="48">
        <v>76</v>
      </c>
      <c r="I335" s="48">
        <v>1</v>
      </c>
      <c r="J335" s="48">
        <v>1</v>
      </c>
      <c r="K335" s="48">
        <v>1</v>
      </c>
      <c r="L335" s="48">
        <v>1</v>
      </c>
      <c r="M335" s="92">
        <v>359</v>
      </c>
    </row>
    <row r="336" spans="1:13">
      <c r="A336" s="85">
        <v>44829</v>
      </c>
      <c r="B336" s="48" t="s">
        <v>338</v>
      </c>
      <c r="C336" s="48">
        <v>2593994336</v>
      </c>
      <c r="D336" s="92">
        <v>289</v>
      </c>
      <c r="E336" s="48" t="s">
        <v>224</v>
      </c>
      <c r="F336" s="48">
        <v>0</v>
      </c>
      <c r="G336" s="48">
        <v>2164</v>
      </c>
      <c r="H336" s="48">
        <v>90</v>
      </c>
      <c r="I336" s="48">
        <v>0</v>
      </c>
      <c r="J336" s="48">
        <v>0</v>
      </c>
      <c r="K336" s="48">
        <v>0</v>
      </c>
      <c r="L336" s="48">
        <v>0</v>
      </c>
      <c r="M336" s="92">
        <v>0</v>
      </c>
    </row>
    <row r="337" spans="1:13">
      <c r="A337" s="85">
        <v>44829</v>
      </c>
      <c r="B337" s="48" t="s">
        <v>208</v>
      </c>
      <c r="C337" s="48">
        <v>2628880197</v>
      </c>
      <c r="D337" s="92">
        <v>259</v>
      </c>
      <c r="E337" s="48" t="s">
        <v>224</v>
      </c>
      <c r="F337" s="48">
        <v>0</v>
      </c>
      <c r="G337" s="48">
        <v>2114</v>
      </c>
      <c r="H337" s="48">
        <v>97</v>
      </c>
      <c r="I337" s="48">
        <v>3</v>
      </c>
      <c r="J337" s="48">
        <v>3</v>
      </c>
      <c r="K337" s="48">
        <v>3</v>
      </c>
      <c r="L337" s="48">
        <v>3</v>
      </c>
      <c r="M337" s="92">
        <v>776</v>
      </c>
    </row>
    <row r="338" spans="1:13">
      <c r="A338" s="85">
        <v>44829</v>
      </c>
      <c r="B338" s="48" t="s">
        <v>339</v>
      </c>
      <c r="C338" s="48">
        <v>2078929917</v>
      </c>
      <c r="D338" s="92">
        <v>269</v>
      </c>
      <c r="E338" s="48" t="s">
        <v>224</v>
      </c>
      <c r="F338" s="48">
        <v>0</v>
      </c>
      <c r="G338" s="48">
        <v>2215</v>
      </c>
      <c r="H338" s="48">
        <v>122</v>
      </c>
      <c r="I338" s="48">
        <v>1</v>
      </c>
      <c r="J338" s="48">
        <v>1</v>
      </c>
      <c r="K338" s="48">
        <v>0</v>
      </c>
      <c r="L338" s="48">
        <v>0</v>
      </c>
      <c r="M338" s="92">
        <v>0</v>
      </c>
    </row>
    <row r="339" spans="1:13">
      <c r="A339" s="85">
        <v>44829</v>
      </c>
      <c r="B339" s="48" t="s">
        <v>340</v>
      </c>
      <c r="C339" s="48">
        <v>2628790077</v>
      </c>
      <c r="D339" s="92">
        <v>239</v>
      </c>
      <c r="E339" s="48" t="s">
        <v>224</v>
      </c>
      <c r="F339" s="48">
        <v>0</v>
      </c>
      <c r="G339" s="48">
        <v>2173</v>
      </c>
      <c r="H339" s="48">
        <v>146</v>
      </c>
      <c r="I339" s="48">
        <v>3</v>
      </c>
      <c r="J339" s="48">
        <v>3</v>
      </c>
      <c r="K339" s="48">
        <v>1</v>
      </c>
      <c r="L339" s="48">
        <v>1</v>
      </c>
      <c r="M339" s="92">
        <v>233</v>
      </c>
    </row>
    <row r="340" spans="1:13">
      <c r="A340" s="85">
        <v>44829</v>
      </c>
      <c r="B340" s="48" t="s">
        <v>198</v>
      </c>
      <c r="C340" s="48">
        <v>2027905719</v>
      </c>
      <c r="D340" s="92">
        <v>119</v>
      </c>
      <c r="E340" s="48" t="s">
        <v>224</v>
      </c>
      <c r="F340" s="48">
        <v>0</v>
      </c>
      <c r="G340" s="48">
        <v>2201</v>
      </c>
      <c r="H340" s="48">
        <v>57</v>
      </c>
      <c r="I340" s="48">
        <v>0</v>
      </c>
      <c r="J340" s="48">
        <v>0</v>
      </c>
      <c r="K340" s="48">
        <v>0</v>
      </c>
      <c r="L340" s="48">
        <v>0</v>
      </c>
      <c r="M340" s="92">
        <v>0</v>
      </c>
    </row>
    <row r="341" spans="1:13">
      <c r="A341" s="85">
        <v>44829</v>
      </c>
      <c r="B341" s="48" t="s">
        <v>179</v>
      </c>
      <c r="C341" s="48">
        <v>2006409756</v>
      </c>
      <c r="D341" s="92">
        <v>299</v>
      </c>
      <c r="E341" s="48" t="s">
        <v>224</v>
      </c>
      <c r="F341" s="48">
        <v>1</v>
      </c>
      <c r="G341" s="48">
        <v>2092</v>
      </c>
      <c r="H341" s="48">
        <v>145</v>
      </c>
      <c r="I341" s="48">
        <v>5</v>
      </c>
      <c r="J341" s="48">
        <v>5</v>
      </c>
      <c r="K341" s="48">
        <v>4</v>
      </c>
      <c r="L341" s="48">
        <v>4</v>
      </c>
      <c r="M341" s="92">
        <v>1195</v>
      </c>
    </row>
    <row r="342" spans="1:13">
      <c r="A342" s="85">
        <v>44829</v>
      </c>
      <c r="B342" s="48" t="s">
        <v>341</v>
      </c>
      <c r="C342" s="48">
        <v>2588975439</v>
      </c>
      <c r="D342" s="92">
        <v>299</v>
      </c>
      <c r="E342" s="48" t="s">
        <v>224</v>
      </c>
      <c r="F342" s="48">
        <v>1</v>
      </c>
      <c r="G342" s="48">
        <v>1999</v>
      </c>
      <c r="H342" s="48">
        <v>164</v>
      </c>
      <c r="I342" s="48">
        <v>1</v>
      </c>
      <c r="J342" s="48">
        <v>4</v>
      </c>
      <c r="K342" s="48">
        <v>1</v>
      </c>
      <c r="L342" s="48">
        <v>1</v>
      </c>
      <c r="M342" s="92">
        <v>299</v>
      </c>
    </row>
    <row r="343" spans="1:13">
      <c r="A343" s="85">
        <v>44829</v>
      </c>
      <c r="B343" s="48" t="s">
        <v>342</v>
      </c>
      <c r="C343" s="48">
        <v>1987148816</v>
      </c>
      <c r="D343" s="92">
        <v>129</v>
      </c>
      <c r="E343" s="48" t="s">
        <v>224</v>
      </c>
      <c r="F343" s="48">
        <v>0</v>
      </c>
      <c r="G343" s="48">
        <v>1836</v>
      </c>
      <c r="H343" s="48">
        <v>72</v>
      </c>
      <c r="I343" s="48">
        <v>0</v>
      </c>
      <c r="J343" s="48">
        <v>0</v>
      </c>
      <c r="K343" s="48">
        <v>0</v>
      </c>
      <c r="L343" s="48">
        <v>0</v>
      </c>
      <c r="M343" s="92">
        <v>0</v>
      </c>
    </row>
    <row r="344" spans="1:13">
      <c r="A344" s="85">
        <v>44829</v>
      </c>
      <c r="B344" s="48" t="s">
        <v>343</v>
      </c>
      <c r="C344" s="48">
        <v>1987125055</v>
      </c>
      <c r="D344" s="92">
        <v>129</v>
      </c>
      <c r="E344" s="48" t="s">
        <v>224</v>
      </c>
      <c r="F344" s="48">
        <v>0</v>
      </c>
      <c r="G344" s="48">
        <v>1998</v>
      </c>
      <c r="H344" s="48">
        <v>43</v>
      </c>
      <c r="I344" s="48">
        <v>0</v>
      </c>
      <c r="J344" s="48">
        <v>0</v>
      </c>
      <c r="K344" s="48">
        <v>0</v>
      </c>
      <c r="L344" s="48">
        <v>0</v>
      </c>
      <c r="M344" s="92">
        <v>0</v>
      </c>
    </row>
    <row r="345" spans="1:13">
      <c r="A345" s="85">
        <v>44829</v>
      </c>
      <c r="B345" s="48" t="s">
        <v>213</v>
      </c>
      <c r="C345" s="48">
        <v>2569088581</v>
      </c>
      <c r="D345" s="92">
        <v>259</v>
      </c>
      <c r="E345" s="48" t="s">
        <v>224</v>
      </c>
      <c r="F345" s="48">
        <v>0</v>
      </c>
      <c r="G345" s="48">
        <v>2340</v>
      </c>
      <c r="H345" s="48">
        <v>102</v>
      </c>
      <c r="I345" s="48">
        <v>0</v>
      </c>
      <c r="J345" s="48">
        <v>0</v>
      </c>
      <c r="K345" s="48">
        <v>0</v>
      </c>
      <c r="L345" s="48">
        <v>0</v>
      </c>
      <c r="M345" s="92">
        <v>0</v>
      </c>
    </row>
    <row r="346" spans="1:13">
      <c r="A346" s="85">
        <v>44829</v>
      </c>
      <c r="B346" s="48" t="s">
        <v>344</v>
      </c>
      <c r="C346" s="48">
        <v>2628799448</v>
      </c>
      <c r="D346" s="92">
        <v>239</v>
      </c>
      <c r="E346" s="48" t="s">
        <v>224</v>
      </c>
      <c r="F346" s="48">
        <v>0</v>
      </c>
      <c r="G346" s="48">
        <v>2276</v>
      </c>
      <c r="H346" s="48">
        <v>186</v>
      </c>
      <c r="I346" s="48">
        <v>4</v>
      </c>
      <c r="J346" s="48">
        <v>4</v>
      </c>
      <c r="K346" s="48">
        <v>3</v>
      </c>
      <c r="L346" s="48">
        <v>3</v>
      </c>
      <c r="M346" s="92">
        <v>710</v>
      </c>
    </row>
    <row r="347" spans="1:13">
      <c r="A347" s="85">
        <v>44829</v>
      </c>
      <c r="B347" s="48" t="s">
        <v>200</v>
      </c>
      <c r="C347" s="48">
        <v>2095744093</v>
      </c>
      <c r="D347" s="92">
        <v>169</v>
      </c>
      <c r="E347" s="48" t="s">
        <v>224</v>
      </c>
      <c r="F347" s="48">
        <v>1</v>
      </c>
      <c r="G347" s="48">
        <v>3895</v>
      </c>
      <c r="H347" s="48">
        <v>275</v>
      </c>
      <c r="I347" s="48">
        <v>16</v>
      </c>
      <c r="J347" s="48">
        <v>16</v>
      </c>
      <c r="K347" s="48">
        <v>16</v>
      </c>
      <c r="L347" s="48">
        <v>16</v>
      </c>
      <c r="M347" s="93">
        <v>2617.92</v>
      </c>
    </row>
    <row r="348" spans="1:13">
      <c r="A348" s="85">
        <v>44829</v>
      </c>
      <c r="B348" s="48" t="s">
        <v>197</v>
      </c>
      <c r="C348" s="48">
        <v>2589792962</v>
      </c>
      <c r="D348" s="93">
        <v>39.9</v>
      </c>
      <c r="E348" s="48" t="s">
        <v>224</v>
      </c>
      <c r="F348" s="48">
        <v>0</v>
      </c>
      <c r="G348" s="48">
        <v>1946</v>
      </c>
      <c r="H348" s="48">
        <v>135</v>
      </c>
      <c r="I348" s="48">
        <v>10</v>
      </c>
      <c r="J348" s="48">
        <v>11</v>
      </c>
      <c r="K348" s="48">
        <v>9</v>
      </c>
      <c r="L348" s="48">
        <v>10</v>
      </c>
      <c r="M348" s="92">
        <v>393</v>
      </c>
    </row>
    <row r="349" spans="1:13">
      <c r="A349" s="85">
        <v>44830</v>
      </c>
      <c r="B349" s="48" t="s">
        <v>216</v>
      </c>
      <c r="C349" s="48">
        <v>942187024</v>
      </c>
      <c r="D349" s="93">
        <v>49.9</v>
      </c>
      <c r="E349" s="48" t="s">
        <v>224</v>
      </c>
      <c r="F349" s="48">
        <v>0</v>
      </c>
      <c r="G349" s="48">
        <v>1045</v>
      </c>
      <c r="H349" s="48">
        <v>126</v>
      </c>
      <c r="I349" s="48">
        <v>14</v>
      </c>
      <c r="J349" s="48">
        <v>18</v>
      </c>
      <c r="K349" s="48">
        <v>14</v>
      </c>
      <c r="L349" s="48">
        <v>17</v>
      </c>
      <c r="M349" s="93">
        <v>802.84</v>
      </c>
    </row>
    <row r="350" spans="1:13">
      <c r="A350" s="85">
        <v>44830</v>
      </c>
      <c r="B350" s="48" t="s">
        <v>204</v>
      </c>
      <c r="C350" s="48">
        <v>2460481743</v>
      </c>
      <c r="D350" s="92">
        <v>399</v>
      </c>
      <c r="E350" s="48" t="s">
        <v>224</v>
      </c>
      <c r="F350" s="48">
        <v>0</v>
      </c>
      <c r="G350" s="48">
        <v>1157</v>
      </c>
      <c r="H350" s="48">
        <v>95</v>
      </c>
      <c r="I350" s="48">
        <v>1</v>
      </c>
      <c r="J350" s="48">
        <v>1</v>
      </c>
      <c r="K350" s="48">
        <v>0</v>
      </c>
      <c r="L350" s="48">
        <v>0</v>
      </c>
      <c r="M350" s="92">
        <v>0</v>
      </c>
    </row>
    <row r="351" spans="1:13">
      <c r="A351" s="85">
        <v>44830</v>
      </c>
      <c r="B351" s="48" t="s">
        <v>321</v>
      </c>
      <c r="C351" s="48">
        <v>2066934037</v>
      </c>
      <c r="D351" s="92">
        <v>359</v>
      </c>
      <c r="E351" s="48" t="s">
        <v>224</v>
      </c>
      <c r="F351" s="48">
        <v>0</v>
      </c>
      <c r="G351" s="48">
        <v>1177</v>
      </c>
      <c r="H351" s="48">
        <v>92</v>
      </c>
      <c r="I351" s="48">
        <v>0</v>
      </c>
      <c r="J351" s="48">
        <v>0</v>
      </c>
      <c r="K351" s="48">
        <v>0</v>
      </c>
      <c r="L351" s="48">
        <v>0</v>
      </c>
      <c r="M351" s="92">
        <v>0</v>
      </c>
    </row>
    <row r="352" spans="1:13">
      <c r="A352" s="85">
        <v>44830</v>
      </c>
      <c r="B352" s="48" t="s">
        <v>214</v>
      </c>
      <c r="C352" s="48">
        <v>2021841658</v>
      </c>
      <c r="D352" s="92">
        <v>329</v>
      </c>
      <c r="E352" s="48" t="s">
        <v>224</v>
      </c>
      <c r="F352" s="48">
        <v>0</v>
      </c>
      <c r="G352" s="48">
        <v>1278</v>
      </c>
      <c r="H352" s="48">
        <v>72</v>
      </c>
      <c r="I352" s="48">
        <v>1</v>
      </c>
      <c r="J352" s="48">
        <v>1</v>
      </c>
      <c r="K352" s="48">
        <v>0</v>
      </c>
      <c r="L352" s="48">
        <v>0</v>
      </c>
      <c r="M352" s="92">
        <v>0</v>
      </c>
    </row>
    <row r="353" spans="1:13">
      <c r="A353" s="85">
        <v>44830</v>
      </c>
      <c r="B353" s="48" t="s">
        <v>324</v>
      </c>
      <c r="C353" s="48">
        <v>2035424532</v>
      </c>
      <c r="D353" s="92">
        <v>259</v>
      </c>
      <c r="E353" s="48" t="s">
        <v>224</v>
      </c>
      <c r="F353" s="48">
        <v>0</v>
      </c>
      <c r="G353" s="48">
        <v>1198</v>
      </c>
      <c r="H353" s="48">
        <v>42</v>
      </c>
      <c r="I353" s="48">
        <v>0</v>
      </c>
      <c r="J353" s="48">
        <v>0</v>
      </c>
      <c r="K353" s="48">
        <v>0</v>
      </c>
      <c r="L353" s="48">
        <v>0</v>
      </c>
      <c r="M353" s="92">
        <v>0</v>
      </c>
    </row>
    <row r="354" spans="1:13">
      <c r="A354" s="85">
        <v>44830</v>
      </c>
      <c r="B354" s="48" t="s">
        <v>333</v>
      </c>
      <c r="C354" s="48">
        <v>2628697751</v>
      </c>
      <c r="D354" s="92">
        <v>678</v>
      </c>
      <c r="E354" s="48" t="s">
        <v>224</v>
      </c>
      <c r="F354" s="48">
        <v>0</v>
      </c>
      <c r="G354" s="48">
        <v>1051</v>
      </c>
      <c r="H354" s="48">
        <v>30</v>
      </c>
      <c r="I354" s="48">
        <v>0</v>
      </c>
      <c r="J354" s="48">
        <v>0</v>
      </c>
      <c r="K354" s="48">
        <v>0</v>
      </c>
      <c r="L354" s="48">
        <v>0</v>
      </c>
      <c r="M354" s="92">
        <v>0</v>
      </c>
    </row>
    <row r="355" spans="1:13">
      <c r="A355" s="85">
        <v>44830</v>
      </c>
      <c r="B355" s="48" t="s">
        <v>312</v>
      </c>
      <c r="C355" s="48">
        <v>2570376557</v>
      </c>
      <c r="D355" s="92">
        <v>259</v>
      </c>
      <c r="E355" s="48" t="s">
        <v>224</v>
      </c>
      <c r="F355" s="48">
        <v>0</v>
      </c>
      <c r="G355" s="48">
        <v>806</v>
      </c>
      <c r="H355" s="48">
        <v>40</v>
      </c>
      <c r="I355" s="48">
        <v>0</v>
      </c>
      <c r="J355" s="48">
        <v>0</v>
      </c>
      <c r="K355" s="48">
        <v>0</v>
      </c>
      <c r="L355" s="48">
        <v>0</v>
      </c>
      <c r="M355" s="92">
        <v>0</v>
      </c>
    </row>
    <row r="356" spans="1:13">
      <c r="A356" s="85">
        <v>44830</v>
      </c>
      <c r="B356" s="48" t="s">
        <v>308</v>
      </c>
      <c r="C356" s="48">
        <v>2023048055</v>
      </c>
      <c r="D356" s="92">
        <v>259</v>
      </c>
      <c r="E356" s="48" t="s">
        <v>224</v>
      </c>
      <c r="F356" s="48">
        <v>0</v>
      </c>
      <c r="G356" s="48">
        <v>775</v>
      </c>
      <c r="H356" s="48">
        <v>46</v>
      </c>
      <c r="I356" s="48">
        <v>0</v>
      </c>
      <c r="J356" s="48">
        <v>0</v>
      </c>
      <c r="K356" s="48">
        <v>0</v>
      </c>
      <c r="L356" s="48">
        <v>0</v>
      </c>
      <c r="M356" s="92">
        <v>0</v>
      </c>
    </row>
    <row r="357" spans="1:13">
      <c r="A357" s="85">
        <v>44830</v>
      </c>
      <c r="B357" s="48" t="s">
        <v>213</v>
      </c>
      <c r="C357" s="48">
        <v>2569088581</v>
      </c>
      <c r="D357" s="92">
        <v>259</v>
      </c>
      <c r="E357" s="48" t="s">
        <v>224</v>
      </c>
      <c r="F357" s="48">
        <v>0</v>
      </c>
      <c r="G357" s="48">
        <v>749</v>
      </c>
      <c r="H357" s="48">
        <v>21</v>
      </c>
      <c r="I357" s="48">
        <v>0</v>
      </c>
      <c r="J357" s="48">
        <v>0</v>
      </c>
      <c r="K357" s="48">
        <v>0</v>
      </c>
      <c r="L357" s="48">
        <v>0</v>
      </c>
      <c r="M357" s="92">
        <v>0</v>
      </c>
    </row>
    <row r="358" spans="1:13">
      <c r="A358" s="85">
        <v>44830</v>
      </c>
      <c r="B358" s="48" t="s">
        <v>335</v>
      </c>
      <c r="C358" s="48">
        <v>2093525223</v>
      </c>
      <c r="D358" s="92">
        <v>1290</v>
      </c>
      <c r="E358" s="48" t="s">
        <v>224</v>
      </c>
      <c r="F358" s="48">
        <v>0</v>
      </c>
      <c r="G358" s="48">
        <v>740</v>
      </c>
      <c r="H358" s="48">
        <v>22</v>
      </c>
      <c r="I358" s="48">
        <v>0</v>
      </c>
      <c r="J358" s="48">
        <v>0</v>
      </c>
      <c r="K358" s="48">
        <v>0</v>
      </c>
      <c r="L358" s="48">
        <v>0</v>
      </c>
      <c r="M358" s="92">
        <v>0</v>
      </c>
    </row>
    <row r="359" spans="1:13">
      <c r="A359" s="85">
        <v>44830</v>
      </c>
      <c r="B359" s="48" t="s">
        <v>313</v>
      </c>
      <c r="C359" s="48">
        <v>2569577636</v>
      </c>
      <c r="D359" s="92">
        <v>289</v>
      </c>
      <c r="E359" s="48" t="s">
        <v>224</v>
      </c>
      <c r="F359" s="48">
        <v>0</v>
      </c>
      <c r="G359" s="48">
        <v>733</v>
      </c>
      <c r="H359" s="48">
        <v>23</v>
      </c>
      <c r="I359" s="48">
        <v>0</v>
      </c>
      <c r="J359" s="48">
        <v>0</v>
      </c>
      <c r="K359" s="48">
        <v>0</v>
      </c>
      <c r="L359" s="48">
        <v>0</v>
      </c>
      <c r="M359" s="92">
        <v>0</v>
      </c>
    </row>
    <row r="360" spans="1:13">
      <c r="A360" s="85">
        <v>44830</v>
      </c>
      <c r="B360" s="48" t="s">
        <v>332</v>
      </c>
      <c r="C360" s="48">
        <v>1987113893</v>
      </c>
      <c r="D360" s="92">
        <v>159</v>
      </c>
      <c r="E360" s="48" t="s">
        <v>224</v>
      </c>
      <c r="F360" s="48">
        <v>0</v>
      </c>
      <c r="G360" s="48">
        <v>706</v>
      </c>
      <c r="H360" s="48">
        <v>9</v>
      </c>
      <c r="I360" s="48">
        <v>0</v>
      </c>
      <c r="J360" s="48">
        <v>0</v>
      </c>
      <c r="K360" s="48">
        <v>0</v>
      </c>
      <c r="L360" s="48">
        <v>0</v>
      </c>
      <c r="M360" s="92">
        <v>0</v>
      </c>
    </row>
    <row r="361" spans="1:13">
      <c r="A361" s="85">
        <v>44830</v>
      </c>
      <c r="B361" s="48" t="s">
        <v>203</v>
      </c>
      <c r="C361" s="48">
        <v>2507098983</v>
      </c>
      <c r="D361" s="92">
        <v>359</v>
      </c>
      <c r="E361" s="48" t="s">
        <v>224</v>
      </c>
      <c r="F361" s="48">
        <v>0</v>
      </c>
      <c r="G361" s="48">
        <v>1117</v>
      </c>
      <c r="H361" s="48">
        <v>58</v>
      </c>
      <c r="I361" s="48">
        <v>0</v>
      </c>
      <c r="J361" s="48">
        <v>0</v>
      </c>
      <c r="K361" s="48">
        <v>0</v>
      </c>
      <c r="L361" s="48">
        <v>0</v>
      </c>
      <c r="M361" s="92">
        <v>0</v>
      </c>
    </row>
    <row r="362" spans="1:13">
      <c r="A362" s="85">
        <v>44830</v>
      </c>
      <c r="B362" s="48" t="s">
        <v>336</v>
      </c>
      <c r="C362" s="48">
        <v>2038124769</v>
      </c>
      <c r="D362" s="92">
        <v>259</v>
      </c>
      <c r="E362" s="48" t="s">
        <v>224</v>
      </c>
      <c r="F362" s="48">
        <v>0</v>
      </c>
      <c r="G362" s="48">
        <v>861</v>
      </c>
      <c r="H362" s="48">
        <v>50</v>
      </c>
      <c r="I362" s="48">
        <v>0</v>
      </c>
      <c r="J362" s="48">
        <v>0</v>
      </c>
      <c r="K362" s="48">
        <v>0</v>
      </c>
      <c r="L362" s="48">
        <v>0</v>
      </c>
      <c r="M362" s="92">
        <v>0</v>
      </c>
    </row>
    <row r="363" spans="1:13">
      <c r="A363" s="85">
        <v>44830</v>
      </c>
      <c r="B363" s="48" t="s">
        <v>339</v>
      </c>
      <c r="C363" s="48">
        <v>2078929917</v>
      </c>
      <c r="D363" s="92">
        <v>269</v>
      </c>
      <c r="E363" s="48" t="s">
        <v>224</v>
      </c>
      <c r="F363" s="48">
        <v>0</v>
      </c>
      <c r="G363" s="48">
        <v>784</v>
      </c>
      <c r="H363" s="48">
        <v>33</v>
      </c>
      <c r="I363" s="48">
        <v>0</v>
      </c>
      <c r="J363" s="48">
        <v>0</v>
      </c>
      <c r="K363" s="48">
        <v>0</v>
      </c>
      <c r="L363" s="48">
        <v>0</v>
      </c>
      <c r="M363" s="92">
        <v>0</v>
      </c>
    </row>
    <row r="364" spans="1:13">
      <c r="A364" s="85">
        <v>44830</v>
      </c>
      <c r="B364" s="48" t="s">
        <v>338</v>
      </c>
      <c r="C364" s="48">
        <v>2593994336</v>
      </c>
      <c r="D364" s="92">
        <v>289</v>
      </c>
      <c r="E364" s="48" t="s">
        <v>224</v>
      </c>
      <c r="F364" s="48">
        <v>0</v>
      </c>
      <c r="G364" s="48">
        <v>921</v>
      </c>
      <c r="H364" s="48">
        <v>30</v>
      </c>
      <c r="I364" s="48">
        <v>0</v>
      </c>
      <c r="J364" s="48">
        <v>0</v>
      </c>
      <c r="K364" s="48">
        <v>0</v>
      </c>
      <c r="L364" s="48">
        <v>0</v>
      </c>
      <c r="M364" s="92">
        <v>0</v>
      </c>
    </row>
    <row r="365" spans="1:13">
      <c r="A365" s="85">
        <v>44830</v>
      </c>
      <c r="B365" s="48" t="s">
        <v>334</v>
      </c>
      <c r="C365" s="48">
        <v>2612389776</v>
      </c>
      <c r="D365" s="92">
        <v>299</v>
      </c>
      <c r="E365" s="48" t="s">
        <v>224</v>
      </c>
      <c r="F365" s="48">
        <v>0</v>
      </c>
      <c r="G365" s="48">
        <v>808</v>
      </c>
      <c r="H365" s="48">
        <v>22</v>
      </c>
      <c r="I365" s="48">
        <v>0</v>
      </c>
      <c r="J365" s="48">
        <v>0</v>
      </c>
      <c r="K365" s="48">
        <v>0</v>
      </c>
      <c r="L365" s="48">
        <v>0</v>
      </c>
      <c r="M365" s="92">
        <v>0</v>
      </c>
    </row>
    <row r="366" spans="1:13">
      <c r="A366" s="85">
        <v>44830</v>
      </c>
      <c r="B366" s="48" t="s">
        <v>341</v>
      </c>
      <c r="C366" s="48">
        <v>2588975439</v>
      </c>
      <c r="D366" s="92">
        <v>299</v>
      </c>
      <c r="E366" s="48" t="s">
        <v>224</v>
      </c>
      <c r="F366" s="48">
        <v>0</v>
      </c>
      <c r="G366" s="48">
        <v>881</v>
      </c>
      <c r="H366" s="48">
        <v>54</v>
      </c>
      <c r="I366" s="48">
        <v>1</v>
      </c>
      <c r="J366" s="48">
        <v>1</v>
      </c>
      <c r="K366" s="48">
        <v>1</v>
      </c>
      <c r="L366" s="48">
        <v>1</v>
      </c>
      <c r="M366" s="92">
        <v>296</v>
      </c>
    </row>
    <row r="367" spans="1:13">
      <c r="A367" s="85">
        <v>44830</v>
      </c>
      <c r="B367" s="48" t="s">
        <v>345</v>
      </c>
      <c r="C367" s="48">
        <v>2512582445</v>
      </c>
      <c r="D367" s="92">
        <v>239</v>
      </c>
      <c r="E367" s="48" t="s">
        <v>224</v>
      </c>
      <c r="F367" s="48">
        <v>0</v>
      </c>
      <c r="G367" s="48">
        <v>754</v>
      </c>
      <c r="H367" s="48">
        <v>31</v>
      </c>
      <c r="I367" s="48">
        <v>0</v>
      </c>
      <c r="J367" s="48">
        <v>0</v>
      </c>
      <c r="K367" s="48">
        <v>0</v>
      </c>
      <c r="L367" s="48">
        <v>0</v>
      </c>
      <c r="M367" s="92">
        <v>0</v>
      </c>
    </row>
    <row r="368" spans="1:13">
      <c r="A368" s="85">
        <v>44830</v>
      </c>
      <c r="B368" s="48" t="s">
        <v>331</v>
      </c>
      <c r="C368" s="48">
        <v>2099706046</v>
      </c>
      <c r="D368" s="92">
        <v>659</v>
      </c>
      <c r="E368" s="48" t="s">
        <v>224</v>
      </c>
      <c r="F368" s="48">
        <v>0</v>
      </c>
      <c r="G368" s="48">
        <v>752</v>
      </c>
      <c r="H368" s="48">
        <v>14</v>
      </c>
      <c r="I368" s="48">
        <v>0</v>
      </c>
      <c r="J368" s="48">
        <v>0</v>
      </c>
      <c r="K368" s="48">
        <v>0</v>
      </c>
      <c r="L368" s="48">
        <v>0</v>
      </c>
      <c r="M368" s="92">
        <v>0</v>
      </c>
    </row>
    <row r="369" spans="1:13">
      <c r="A369" s="85">
        <v>44830</v>
      </c>
      <c r="B369" s="48" t="s">
        <v>210</v>
      </c>
      <c r="C369" s="48">
        <v>2545182157</v>
      </c>
      <c r="D369" s="92">
        <v>599</v>
      </c>
      <c r="E369" s="48" t="s">
        <v>224</v>
      </c>
      <c r="F369" s="48">
        <v>0</v>
      </c>
      <c r="G369" s="48">
        <v>757</v>
      </c>
      <c r="H369" s="48">
        <v>7</v>
      </c>
      <c r="I369" s="48">
        <v>0</v>
      </c>
      <c r="J369" s="48">
        <v>0</v>
      </c>
      <c r="K369" s="48">
        <v>0</v>
      </c>
      <c r="L369" s="48">
        <v>0</v>
      </c>
      <c r="M369" s="92">
        <v>0</v>
      </c>
    </row>
    <row r="370" spans="1:13">
      <c r="A370" s="85">
        <v>44830</v>
      </c>
      <c r="B370" s="48" t="s">
        <v>191</v>
      </c>
      <c r="C370" s="48">
        <v>2023542289</v>
      </c>
      <c r="D370" s="92">
        <v>599</v>
      </c>
      <c r="E370" s="48" t="s">
        <v>224</v>
      </c>
      <c r="F370" s="48">
        <v>1</v>
      </c>
      <c r="G370" s="48">
        <v>1036</v>
      </c>
      <c r="H370" s="48">
        <v>46</v>
      </c>
      <c r="I370" s="48">
        <v>2</v>
      </c>
      <c r="J370" s="48">
        <v>2</v>
      </c>
      <c r="K370" s="48">
        <v>2</v>
      </c>
      <c r="L370" s="48">
        <v>2</v>
      </c>
      <c r="M370" s="92">
        <v>1185</v>
      </c>
    </row>
    <row r="371" spans="1:13">
      <c r="A371" s="85">
        <v>44830</v>
      </c>
      <c r="B371" s="48" t="s">
        <v>340</v>
      </c>
      <c r="C371" s="48">
        <v>2628790077</v>
      </c>
      <c r="D371" s="92">
        <v>239</v>
      </c>
      <c r="E371" s="48" t="s">
        <v>224</v>
      </c>
      <c r="F371" s="48">
        <v>0</v>
      </c>
      <c r="G371" s="48">
        <v>1095</v>
      </c>
      <c r="H371" s="48">
        <v>78</v>
      </c>
      <c r="I371" s="48">
        <v>2</v>
      </c>
      <c r="J371" s="48">
        <v>2</v>
      </c>
      <c r="K371" s="48">
        <v>2</v>
      </c>
      <c r="L371" s="48">
        <v>2</v>
      </c>
      <c r="M371" s="92">
        <v>467</v>
      </c>
    </row>
    <row r="372" spans="1:13">
      <c r="A372" s="85">
        <v>44830</v>
      </c>
      <c r="B372" s="48" t="s">
        <v>179</v>
      </c>
      <c r="C372" s="48">
        <v>2006409756</v>
      </c>
      <c r="D372" s="92">
        <v>299</v>
      </c>
      <c r="E372" s="48" t="s">
        <v>224</v>
      </c>
      <c r="F372" s="48">
        <v>0</v>
      </c>
      <c r="G372" s="48">
        <v>875</v>
      </c>
      <c r="H372" s="48">
        <v>36</v>
      </c>
      <c r="I372" s="48">
        <v>1</v>
      </c>
      <c r="J372" s="48">
        <v>1</v>
      </c>
      <c r="K372" s="48">
        <v>1</v>
      </c>
      <c r="L372" s="48">
        <v>1</v>
      </c>
      <c r="M372" s="92">
        <v>293</v>
      </c>
    </row>
    <row r="373" spans="1:13">
      <c r="A373" s="85">
        <v>44830</v>
      </c>
      <c r="B373" s="48" t="s">
        <v>182</v>
      </c>
      <c r="C373" s="48">
        <v>2612296980</v>
      </c>
      <c r="D373" s="92">
        <v>339</v>
      </c>
      <c r="E373" s="48" t="s">
        <v>224</v>
      </c>
      <c r="F373" s="48">
        <v>1</v>
      </c>
      <c r="G373" s="48">
        <v>2961</v>
      </c>
      <c r="H373" s="48">
        <v>318</v>
      </c>
      <c r="I373" s="48">
        <v>15</v>
      </c>
      <c r="J373" s="48">
        <v>16</v>
      </c>
      <c r="K373" s="48">
        <v>13</v>
      </c>
      <c r="L373" s="48">
        <v>13</v>
      </c>
      <c r="M373" s="92">
        <v>4385</v>
      </c>
    </row>
    <row r="374" spans="1:13">
      <c r="A374" s="85">
        <v>44830</v>
      </c>
      <c r="B374" s="48" t="s">
        <v>208</v>
      </c>
      <c r="C374" s="48">
        <v>2628880197</v>
      </c>
      <c r="D374" s="92">
        <v>259</v>
      </c>
      <c r="E374" s="48" t="s">
        <v>224</v>
      </c>
      <c r="F374" s="48">
        <v>0</v>
      </c>
      <c r="G374" s="48">
        <v>1518</v>
      </c>
      <c r="H374" s="48">
        <v>59</v>
      </c>
      <c r="I374" s="48">
        <v>3</v>
      </c>
      <c r="J374" s="48">
        <v>3</v>
      </c>
      <c r="K374" s="48">
        <v>3</v>
      </c>
      <c r="L374" s="48">
        <v>3</v>
      </c>
      <c r="M374" s="92">
        <v>769</v>
      </c>
    </row>
    <row r="375" spans="1:13">
      <c r="A375" s="85">
        <v>44830</v>
      </c>
      <c r="B375" s="48" t="s">
        <v>212</v>
      </c>
      <c r="C375" s="48">
        <v>2628778680</v>
      </c>
      <c r="D375" s="92">
        <v>269</v>
      </c>
      <c r="E375" s="48" t="s">
        <v>224</v>
      </c>
      <c r="F375" s="48">
        <v>0</v>
      </c>
      <c r="G375" s="48">
        <v>1412</v>
      </c>
      <c r="H375" s="48">
        <v>91</v>
      </c>
      <c r="I375" s="48">
        <v>1</v>
      </c>
      <c r="J375" s="48">
        <v>1</v>
      </c>
      <c r="K375" s="48">
        <v>1</v>
      </c>
      <c r="L375" s="48">
        <v>1</v>
      </c>
      <c r="M375" s="92">
        <v>266</v>
      </c>
    </row>
    <row r="376" spans="1:13">
      <c r="A376" s="85">
        <v>44830</v>
      </c>
      <c r="B376" s="48" t="s">
        <v>344</v>
      </c>
      <c r="C376" s="48">
        <v>2628799448</v>
      </c>
      <c r="D376" s="92">
        <v>239</v>
      </c>
      <c r="E376" s="48" t="s">
        <v>224</v>
      </c>
      <c r="F376" s="48">
        <v>0</v>
      </c>
      <c r="G376" s="48">
        <v>1415</v>
      </c>
      <c r="H376" s="48">
        <v>65</v>
      </c>
      <c r="I376" s="48">
        <v>1</v>
      </c>
      <c r="J376" s="48">
        <v>1</v>
      </c>
      <c r="K376" s="48">
        <v>0</v>
      </c>
      <c r="L376" s="48">
        <v>0</v>
      </c>
      <c r="M376" s="92">
        <v>0</v>
      </c>
    </row>
    <row r="377" spans="1:13">
      <c r="A377" s="85">
        <v>44830</v>
      </c>
      <c r="B377" s="48" t="s">
        <v>198</v>
      </c>
      <c r="C377" s="48">
        <v>2027905719</v>
      </c>
      <c r="D377" s="92">
        <v>119</v>
      </c>
      <c r="E377" s="48" t="s">
        <v>224</v>
      </c>
      <c r="F377" s="48">
        <v>0</v>
      </c>
      <c r="G377" s="48">
        <v>852</v>
      </c>
      <c r="H377" s="48">
        <v>17</v>
      </c>
      <c r="I377" s="48">
        <v>0</v>
      </c>
      <c r="J377" s="48">
        <v>0</v>
      </c>
      <c r="K377" s="48">
        <v>0</v>
      </c>
      <c r="L377" s="48">
        <v>0</v>
      </c>
      <c r="M377" s="92">
        <v>0</v>
      </c>
    </row>
    <row r="378" spans="1:13">
      <c r="A378" s="85">
        <v>44830</v>
      </c>
      <c r="B378" s="48" t="s">
        <v>200</v>
      </c>
      <c r="C378" s="48">
        <v>2095744093</v>
      </c>
      <c r="D378" s="92">
        <v>169</v>
      </c>
      <c r="E378" s="48" t="s">
        <v>224</v>
      </c>
      <c r="F378" s="48">
        <v>0</v>
      </c>
      <c r="G378" s="48">
        <v>993</v>
      </c>
      <c r="H378" s="48">
        <v>38</v>
      </c>
      <c r="I378" s="48">
        <v>1</v>
      </c>
      <c r="J378" s="48">
        <v>1</v>
      </c>
      <c r="K378" s="48">
        <v>1</v>
      </c>
      <c r="L378" s="48">
        <v>1</v>
      </c>
      <c r="M378" s="92">
        <v>166</v>
      </c>
    </row>
    <row r="379" spans="1:13">
      <c r="A379" s="85">
        <v>44830</v>
      </c>
      <c r="B379" s="48" t="s">
        <v>311</v>
      </c>
      <c r="C379" s="48">
        <v>1691802220</v>
      </c>
      <c r="D379" s="92">
        <v>69</v>
      </c>
      <c r="E379" s="48" t="s">
        <v>224</v>
      </c>
      <c r="F379" s="48">
        <v>0</v>
      </c>
      <c r="G379" s="48">
        <v>911</v>
      </c>
      <c r="H379" s="48">
        <v>53</v>
      </c>
      <c r="I379" s="48">
        <v>0</v>
      </c>
      <c r="J379" s="48">
        <v>0</v>
      </c>
      <c r="K379" s="48">
        <v>0</v>
      </c>
      <c r="L379" s="48">
        <v>0</v>
      </c>
      <c r="M379" s="92">
        <v>0</v>
      </c>
    </row>
    <row r="380" spans="1:13">
      <c r="A380" s="85">
        <v>44830</v>
      </c>
      <c r="B380" s="48" t="s">
        <v>197</v>
      </c>
      <c r="C380" s="48">
        <v>2589792962</v>
      </c>
      <c r="D380" s="93">
        <v>39.9</v>
      </c>
      <c r="E380" s="48" t="s">
        <v>224</v>
      </c>
      <c r="F380" s="48">
        <v>0</v>
      </c>
      <c r="G380" s="48">
        <v>1245</v>
      </c>
      <c r="H380" s="48">
        <v>77</v>
      </c>
      <c r="I380" s="48">
        <v>8</v>
      </c>
      <c r="J380" s="48">
        <v>10</v>
      </c>
      <c r="K380" s="48">
        <v>7</v>
      </c>
      <c r="L380" s="48">
        <v>8</v>
      </c>
      <c r="M380" s="93">
        <v>314.2</v>
      </c>
    </row>
    <row r="381" spans="1:13">
      <c r="A381" s="85">
        <v>44831</v>
      </c>
      <c r="B381" s="48" t="s">
        <v>346</v>
      </c>
      <c r="C381" s="48">
        <v>2076540611</v>
      </c>
      <c r="D381" s="92">
        <v>269</v>
      </c>
      <c r="E381" s="48" t="s">
        <v>224</v>
      </c>
      <c r="F381" s="48">
        <v>0</v>
      </c>
      <c r="G381" s="48">
        <v>931</v>
      </c>
      <c r="H381" s="48">
        <v>120</v>
      </c>
      <c r="I381" s="48">
        <v>1</v>
      </c>
      <c r="J381" s="48">
        <v>1</v>
      </c>
      <c r="K381" s="48">
        <v>1</v>
      </c>
      <c r="L381" s="48">
        <v>1</v>
      </c>
      <c r="M381" s="92">
        <v>269</v>
      </c>
    </row>
    <row r="382" spans="1:13">
      <c r="A382" s="85">
        <v>44831</v>
      </c>
      <c r="B382" s="48" t="s">
        <v>347</v>
      </c>
      <c r="C382" s="48">
        <v>2507991086</v>
      </c>
      <c r="D382" s="92">
        <v>259</v>
      </c>
      <c r="E382" s="48" t="s">
        <v>224</v>
      </c>
      <c r="F382" s="48">
        <v>0</v>
      </c>
      <c r="G382" s="48">
        <v>1206</v>
      </c>
      <c r="H382" s="48">
        <v>109</v>
      </c>
      <c r="I382" s="48">
        <v>3</v>
      </c>
      <c r="J382" s="48">
        <v>3</v>
      </c>
      <c r="K382" s="48">
        <v>3</v>
      </c>
      <c r="L382" s="48">
        <v>3</v>
      </c>
      <c r="M382" s="92">
        <v>777</v>
      </c>
    </row>
    <row r="383" spans="1:13">
      <c r="A383" s="85">
        <v>44831</v>
      </c>
      <c r="B383" s="48" t="s">
        <v>213</v>
      </c>
      <c r="C383" s="48">
        <v>2569088581</v>
      </c>
      <c r="D383" s="92">
        <v>259</v>
      </c>
      <c r="E383" s="48" t="s">
        <v>224</v>
      </c>
      <c r="F383" s="48">
        <v>0</v>
      </c>
      <c r="G383" s="48">
        <v>967</v>
      </c>
      <c r="H383" s="48">
        <v>26</v>
      </c>
      <c r="I383" s="48">
        <v>0</v>
      </c>
      <c r="J383" s="48">
        <v>0</v>
      </c>
      <c r="K383" s="48">
        <v>0</v>
      </c>
      <c r="L383" s="48">
        <v>0</v>
      </c>
      <c r="M383" s="92">
        <v>0</v>
      </c>
    </row>
    <row r="384" spans="1:13">
      <c r="A384" s="85">
        <v>44831</v>
      </c>
      <c r="B384" s="48" t="s">
        <v>348</v>
      </c>
      <c r="C384" s="48">
        <v>2078942989</v>
      </c>
      <c r="D384" s="92">
        <v>239</v>
      </c>
      <c r="E384" s="48" t="s">
        <v>224</v>
      </c>
      <c r="F384" s="48">
        <v>0</v>
      </c>
      <c r="G384" s="48">
        <v>1297</v>
      </c>
      <c r="H384" s="48">
        <v>91</v>
      </c>
      <c r="I384" s="48">
        <v>4</v>
      </c>
      <c r="J384" s="48">
        <v>5</v>
      </c>
      <c r="K384" s="48">
        <v>3</v>
      </c>
      <c r="L384" s="48">
        <v>3</v>
      </c>
      <c r="M384" s="92">
        <v>715</v>
      </c>
    </row>
    <row r="385" spans="1:13">
      <c r="A385" s="85">
        <v>44831</v>
      </c>
      <c r="B385" s="48" t="s">
        <v>336</v>
      </c>
      <c r="C385" s="48">
        <v>2038124769</v>
      </c>
      <c r="D385" s="92">
        <v>259</v>
      </c>
      <c r="E385" s="48" t="s">
        <v>224</v>
      </c>
      <c r="F385" s="48">
        <v>0</v>
      </c>
      <c r="G385" s="48">
        <v>947</v>
      </c>
      <c r="H385" s="48">
        <v>35</v>
      </c>
      <c r="I385" s="48">
        <v>0</v>
      </c>
      <c r="J385" s="48">
        <v>0</v>
      </c>
      <c r="K385" s="48">
        <v>0</v>
      </c>
      <c r="L385" s="48">
        <v>0</v>
      </c>
      <c r="M385" s="92">
        <v>0</v>
      </c>
    </row>
    <row r="386" spans="1:13">
      <c r="A386" s="85">
        <v>44831</v>
      </c>
      <c r="B386" s="48" t="s">
        <v>339</v>
      </c>
      <c r="C386" s="48">
        <v>2078929917</v>
      </c>
      <c r="D386" s="92">
        <v>269</v>
      </c>
      <c r="E386" s="48" t="s">
        <v>224</v>
      </c>
      <c r="F386" s="48">
        <v>0</v>
      </c>
      <c r="G386" s="48">
        <v>771</v>
      </c>
      <c r="H386" s="48">
        <v>31</v>
      </c>
      <c r="I386" s="48">
        <v>0</v>
      </c>
      <c r="J386" s="48">
        <v>0</v>
      </c>
      <c r="K386" s="48">
        <v>0</v>
      </c>
      <c r="L386" s="48">
        <v>0</v>
      </c>
      <c r="M386" s="92">
        <v>0</v>
      </c>
    </row>
    <row r="387" spans="1:13">
      <c r="A387" s="85">
        <v>44831</v>
      </c>
      <c r="B387" s="48" t="s">
        <v>338</v>
      </c>
      <c r="C387" s="48">
        <v>2593994336</v>
      </c>
      <c r="D387" s="92">
        <v>289</v>
      </c>
      <c r="E387" s="48" t="s">
        <v>224</v>
      </c>
      <c r="F387" s="48">
        <v>0</v>
      </c>
      <c r="G387" s="48">
        <v>710</v>
      </c>
      <c r="H387" s="48">
        <v>31</v>
      </c>
      <c r="I387" s="48">
        <v>0</v>
      </c>
      <c r="J387" s="48">
        <v>0</v>
      </c>
      <c r="K387" s="48">
        <v>0</v>
      </c>
      <c r="L387" s="48">
        <v>0</v>
      </c>
      <c r="M387" s="92">
        <v>0</v>
      </c>
    </row>
    <row r="388" spans="1:13">
      <c r="A388" s="85">
        <v>44831</v>
      </c>
      <c r="B388" s="48" t="s">
        <v>312</v>
      </c>
      <c r="C388" s="48">
        <v>2570376557</v>
      </c>
      <c r="D388" s="92">
        <v>259</v>
      </c>
      <c r="E388" s="48" t="s">
        <v>224</v>
      </c>
      <c r="F388" s="48">
        <v>0</v>
      </c>
      <c r="G388" s="48">
        <v>677</v>
      </c>
      <c r="H388" s="48">
        <v>16</v>
      </c>
      <c r="I388" s="48">
        <v>0</v>
      </c>
      <c r="J388" s="48">
        <v>0</v>
      </c>
      <c r="K388" s="48">
        <v>0</v>
      </c>
      <c r="L388" s="48">
        <v>0</v>
      </c>
      <c r="M388" s="92">
        <v>0</v>
      </c>
    </row>
    <row r="389" spans="1:13">
      <c r="A389" s="85">
        <v>44831</v>
      </c>
      <c r="B389" s="48" t="s">
        <v>334</v>
      </c>
      <c r="C389" s="48">
        <v>2612389776</v>
      </c>
      <c r="D389" s="92">
        <v>299</v>
      </c>
      <c r="E389" s="48" t="s">
        <v>224</v>
      </c>
      <c r="F389" s="48">
        <v>0</v>
      </c>
      <c r="G389" s="48">
        <v>618</v>
      </c>
      <c r="H389" s="48">
        <v>22</v>
      </c>
      <c r="I389" s="48">
        <v>0</v>
      </c>
      <c r="J389" s="48">
        <v>0</v>
      </c>
      <c r="K389" s="48">
        <v>0</v>
      </c>
      <c r="L389" s="48">
        <v>0</v>
      </c>
      <c r="M389" s="92">
        <v>0</v>
      </c>
    </row>
    <row r="390" spans="1:13">
      <c r="A390" s="85">
        <v>44831</v>
      </c>
      <c r="B390" s="48" t="s">
        <v>179</v>
      </c>
      <c r="C390" s="48">
        <v>2006409756</v>
      </c>
      <c r="D390" s="92">
        <v>299</v>
      </c>
      <c r="E390" s="48" t="s">
        <v>224</v>
      </c>
      <c r="F390" s="48">
        <v>0</v>
      </c>
      <c r="G390" s="48">
        <v>792</v>
      </c>
      <c r="H390" s="48">
        <v>63</v>
      </c>
      <c r="I390" s="48">
        <v>1</v>
      </c>
      <c r="J390" s="48">
        <v>2</v>
      </c>
      <c r="K390" s="48">
        <v>1</v>
      </c>
      <c r="L390" s="48">
        <v>2</v>
      </c>
      <c r="M390" s="92">
        <v>593</v>
      </c>
    </row>
    <row r="391" spans="1:13">
      <c r="A391" s="85">
        <v>44831</v>
      </c>
      <c r="B391" s="48" t="s">
        <v>345</v>
      </c>
      <c r="C391" s="48">
        <v>2512582445</v>
      </c>
      <c r="D391" s="92">
        <v>239</v>
      </c>
      <c r="E391" s="48" t="s">
        <v>224</v>
      </c>
      <c r="F391" s="48">
        <v>0</v>
      </c>
      <c r="G391" s="48">
        <v>603</v>
      </c>
      <c r="H391" s="48">
        <v>23</v>
      </c>
      <c r="I391" s="48">
        <v>0</v>
      </c>
      <c r="J391" s="48">
        <v>0</v>
      </c>
      <c r="K391" s="48">
        <v>0</v>
      </c>
      <c r="L391" s="48">
        <v>0</v>
      </c>
      <c r="M391" s="92">
        <v>0</v>
      </c>
    </row>
    <row r="392" spans="1:13">
      <c r="A392" s="85">
        <v>44831</v>
      </c>
      <c r="B392" s="48" t="s">
        <v>198</v>
      </c>
      <c r="C392" s="48">
        <v>2027905719</v>
      </c>
      <c r="D392" s="92">
        <v>119</v>
      </c>
      <c r="E392" s="48" t="s">
        <v>224</v>
      </c>
      <c r="F392" s="48">
        <v>0</v>
      </c>
      <c r="G392" s="48">
        <v>586</v>
      </c>
      <c r="H392" s="48">
        <v>7</v>
      </c>
      <c r="I392" s="48">
        <v>0</v>
      </c>
      <c r="J392" s="48">
        <v>0</v>
      </c>
      <c r="K392" s="48">
        <v>0</v>
      </c>
      <c r="L392" s="48">
        <v>0</v>
      </c>
      <c r="M392" s="92">
        <v>0</v>
      </c>
    </row>
    <row r="393" spans="1:13">
      <c r="A393" s="85">
        <v>44831</v>
      </c>
      <c r="B393" s="48" t="s">
        <v>331</v>
      </c>
      <c r="C393" s="48">
        <v>2099706046</v>
      </c>
      <c r="D393" s="92">
        <v>269</v>
      </c>
      <c r="E393" s="48" t="s">
        <v>224</v>
      </c>
      <c r="F393" s="48">
        <v>0</v>
      </c>
      <c r="G393" s="48">
        <v>583</v>
      </c>
      <c r="H393" s="48">
        <v>9</v>
      </c>
      <c r="I393" s="48">
        <v>0</v>
      </c>
      <c r="J393" s="48">
        <v>0</v>
      </c>
      <c r="K393" s="48">
        <v>0</v>
      </c>
      <c r="L393" s="48">
        <v>0</v>
      </c>
      <c r="M393" s="92">
        <v>0</v>
      </c>
    </row>
    <row r="394" spans="1:13">
      <c r="A394" s="85">
        <v>44831</v>
      </c>
      <c r="B394" s="48" t="s">
        <v>344</v>
      </c>
      <c r="C394" s="48">
        <v>2628799448</v>
      </c>
      <c r="D394" s="92">
        <v>239</v>
      </c>
      <c r="E394" s="48" t="s">
        <v>224</v>
      </c>
      <c r="F394" s="48">
        <v>0</v>
      </c>
      <c r="G394" s="48">
        <v>555</v>
      </c>
      <c r="H394" s="48">
        <v>15</v>
      </c>
      <c r="I394" s="48">
        <v>0</v>
      </c>
      <c r="J394" s="48">
        <v>0</v>
      </c>
      <c r="K394" s="48">
        <v>0</v>
      </c>
      <c r="L394" s="48">
        <v>0</v>
      </c>
      <c r="M394" s="92">
        <v>0</v>
      </c>
    </row>
    <row r="395" spans="1:13">
      <c r="A395" s="85">
        <v>44831</v>
      </c>
      <c r="B395" s="48" t="s">
        <v>349</v>
      </c>
      <c r="C395" s="48">
        <v>2076418502</v>
      </c>
      <c r="D395" s="92">
        <v>899</v>
      </c>
      <c r="E395" s="48" t="s">
        <v>224</v>
      </c>
      <c r="F395" s="48">
        <v>0</v>
      </c>
      <c r="G395" s="48">
        <v>537</v>
      </c>
      <c r="H395" s="48">
        <v>17</v>
      </c>
      <c r="I395" s="48">
        <v>0</v>
      </c>
      <c r="J395" s="48">
        <v>0</v>
      </c>
      <c r="K395" s="48">
        <v>0</v>
      </c>
      <c r="L395" s="48">
        <v>0</v>
      </c>
      <c r="M395" s="92">
        <v>0</v>
      </c>
    </row>
    <row r="396" spans="1:13">
      <c r="A396" s="85">
        <v>44831</v>
      </c>
      <c r="B396" s="48" t="s">
        <v>210</v>
      </c>
      <c r="C396" s="48">
        <v>2545182157</v>
      </c>
      <c r="D396" s="92">
        <v>599</v>
      </c>
      <c r="E396" s="48" t="s">
        <v>224</v>
      </c>
      <c r="F396" s="48">
        <v>0</v>
      </c>
      <c r="G396" s="48">
        <v>685</v>
      </c>
      <c r="H396" s="48">
        <v>18</v>
      </c>
      <c r="I396" s="48">
        <v>0</v>
      </c>
      <c r="J396" s="48">
        <v>0</v>
      </c>
      <c r="K396" s="48">
        <v>0</v>
      </c>
      <c r="L396" s="48">
        <v>0</v>
      </c>
      <c r="M396" s="92">
        <v>0</v>
      </c>
    </row>
    <row r="397" spans="1:13">
      <c r="A397" s="85">
        <v>44831</v>
      </c>
      <c r="B397" s="48" t="s">
        <v>191</v>
      </c>
      <c r="C397" s="48">
        <v>2023542289</v>
      </c>
      <c r="D397" s="92">
        <v>599</v>
      </c>
      <c r="E397" s="48" t="s">
        <v>224</v>
      </c>
      <c r="F397" s="48">
        <v>0</v>
      </c>
      <c r="G397" s="48">
        <v>1005</v>
      </c>
      <c r="H397" s="48">
        <v>50</v>
      </c>
      <c r="I397" s="48">
        <v>3</v>
      </c>
      <c r="J397" s="48">
        <v>3</v>
      </c>
      <c r="K397" s="48">
        <v>3</v>
      </c>
      <c r="L397" s="48">
        <v>3</v>
      </c>
      <c r="M397" s="92">
        <v>1791</v>
      </c>
    </row>
    <row r="398" spans="1:13">
      <c r="A398" s="85">
        <v>44831</v>
      </c>
      <c r="B398" s="48" t="s">
        <v>203</v>
      </c>
      <c r="C398" s="48">
        <v>2507098983</v>
      </c>
      <c r="D398" s="92">
        <v>359</v>
      </c>
      <c r="E398" s="48" t="s">
        <v>224</v>
      </c>
      <c r="F398" s="48">
        <v>0</v>
      </c>
      <c r="G398" s="48">
        <v>972</v>
      </c>
      <c r="H398" s="48">
        <v>61</v>
      </c>
      <c r="I398" s="48">
        <v>0</v>
      </c>
      <c r="J398" s="48">
        <v>0</v>
      </c>
      <c r="K398" s="48">
        <v>0</v>
      </c>
      <c r="L398" s="48">
        <v>0</v>
      </c>
      <c r="M398" s="92">
        <v>0</v>
      </c>
    </row>
    <row r="399" spans="1:13">
      <c r="A399" s="85">
        <v>44831</v>
      </c>
      <c r="B399" s="48" t="s">
        <v>335</v>
      </c>
      <c r="C399" s="48">
        <v>2093525223</v>
      </c>
      <c r="D399" s="92">
        <v>359</v>
      </c>
      <c r="E399" s="48" t="s">
        <v>224</v>
      </c>
      <c r="F399" s="48">
        <v>0</v>
      </c>
      <c r="G399" s="48">
        <v>709</v>
      </c>
      <c r="H399" s="48">
        <v>13</v>
      </c>
      <c r="I399" s="48">
        <v>0</v>
      </c>
      <c r="J399" s="48">
        <v>0</v>
      </c>
      <c r="K399" s="48">
        <v>0</v>
      </c>
      <c r="L399" s="48">
        <v>0</v>
      </c>
      <c r="M399" s="92">
        <v>0</v>
      </c>
    </row>
    <row r="400" spans="1:13">
      <c r="A400" s="85">
        <v>44831</v>
      </c>
      <c r="B400" s="48" t="s">
        <v>212</v>
      </c>
      <c r="C400" s="48">
        <v>2628778680</v>
      </c>
      <c r="D400" s="92">
        <v>269</v>
      </c>
      <c r="E400" s="48" t="s">
        <v>224</v>
      </c>
      <c r="F400" s="48">
        <v>0</v>
      </c>
      <c r="G400" s="48">
        <v>699</v>
      </c>
      <c r="H400" s="48">
        <v>37</v>
      </c>
      <c r="I400" s="48">
        <v>0</v>
      </c>
      <c r="J400" s="48">
        <v>0</v>
      </c>
      <c r="K400" s="48">
        <v>0</v>
      </c>
      <c r="L400" s="48">
        <v>0</v>
      </c>
      <c r="M400" s="92">
        <v>0</v>
      </c>
    </row>
    <row r="401" spans="1:13">
      <c r="A401" s="85">
        <v>44831</v>
      </c>
      <c r="B401" s="48" t="s">
        <v>313</v>
      </c>
      <c r="C401" s="48">
        <v>2569577636</v>
      </c>
      <c r="D401" s="92">
        <v>289</v>
      </c>
      <c r="E401" s="48" t="s">
        <v>224</v>
      </c>
      <c r="F401" s="48">
        <v>0</v>
      </c>
      <c r="G401" s="48">
        <v>692</v>
      </c>
      <c r="H401" s="48">
        <v>36</v>
      </c>
      <c r="I401" s="48">
        <v>0</v>
      </c>
      <c r="J401" s="48">
        <v>0</v>
      </c>
      <c r="K401" s="48">
        <v>0</v>
      </c>
      <c r="L401" s="48">
        <v>0</v>
      </c>
      <c r="M401" s="92">
        <v>0</v>
      </c>
    </row>
    <row r="402" spans="1:13">
      <c r="A402" s="85">
        <v>44831</v>
      </c>
      <c r="B402" s="48" t="s">
        <v>350</v>
      </c>
      <c r="C402" s="48">
        <v>2076446286</v>
      </c>
      <c r="D402" s="92">
        <v>269</v>
      </c>
      <c r="E402" s="48" t="s">
        <v>224</v>
      </c>
      <c r="F402" s="48">
        <v>0</v>
      </c>
      <c r="G402" s="48">
        <v>623</v>
      </c>
      <c r="H402" s="48">
        <v>36</v>
      </c>
      <c r="I402" s="48">
        <v>0</v>
      </c>
      <c r="J402" s="48">
        <v>0</v>
      </c>
      <c r="K402" s="48">
        <v>0</v>
      </c>
      <c r="L402" s="48">
        <v>0</v>
      </c>
      <c r="M402" s="92">
        <v>0</v>
      </c>
    </row>
    <row r="403" spans="1:13">
      <c r="A403" s="85">
        <v>44831</v>
      </c>
      <c r="B403" s="48" t="s">
        <v>351</v>
      </c>
      <c r="C403" s="48">
        <v>2594082312</v>
      </c>
      <c r="D403" s="92">
        <v>289</v>
      </c>
      <c r="E403" s="48" t="s">
        <v>224</v>
      </c>
      <c r="F403" s="48">
        <v>0</v>
      </c>
      <c r="G403" s="48">
        <v>881</v>
      </c>
      <c r="H403" s="48">
        <v>51</v>
      </c>
      <c r="I403" s="48">
        <v>2</v>
      </c>
      <c r="J403" s="48">
        <v>2</v>
      </c>
      <c r="K403" s="48">
        <v>2</v>
      </c>
      <c r="L403" s="48">
        <v>2</v>
      </c>
      <c r="M403" s="92">
        <v>574</v>
      </c>
    </row>
    <row r="404" spans="1:13">
      <c r="A404" s="85">
        <v>44831</v>
      </c>
      <c r="B404" s="48" t="s">
        <v>182</v>
      </c>
      <c r="C404" s="48">
        <v>2612296980</v>
      </c>
      <c r="D404" s="92">
        <v>339</v>
      </c>
      <c r="E404" s="48" t="s">
        <v>224</v>
      </c>
      <c r="F404" s="48">
        <v>0</v>
      </c>
      <c r="G404" s="48">
        <v>1138</v>
      </c>
      <c r="H404" s="48">
        <v>104</v>
      </c>
      <c r="I404" s="48">
        <v>3</v>
      </c>
      <c r="J404" s="48">
        <v>3</v>
      </c>
      <c r="K404" s="48">
        <v>1</v>
      </c>
      <c r="L404" s="48">
        <v>1</v>
      </c>
      <c r="M404" s="92">
        <v>339</v>
      </c>
    </row>
    <row r="405" spans="1:13">
      <c r="A405" s="85">
        <v>44831</v>
      </c>
      <c r="B405" s="48" t="s">
        <v>333</v>
      </c>
      <c r="C405" s="48">
        <v>2628697751</v>
      </c>
      <c r="D405" s="92">
        <v>269</v>
      </c>
      <c r="E405" s="48" t="s">
        <v>224</v>
      </c>
      <c r="F405" s="48">
        <v>0</v>
      </c>
      <c r="G405" s="48">
        <v>774</v>
      </c>
      <c r="H405" s="48">
        <v>49</v>
      </c>
      <c r="I405" s="48">
        <v>1</v>
      </c>
      <c r="J405" s="48">
        <v>1</v>
      </c>
      <c r="K405" s="48">
        <v>1</v>
      </c>
      <c r="L405" s="48">
        <v>1</v>
      </c>
      <c r="M405" s="92">
        <v>262</v>
      </c>
    </row>
    <row r="406" spans="1:13">
      <c r="A406" s="85">
        <v>44831</v>
      </c>
      <c r="B406" s="48" t="s">
        <v>208</v>
      </c>
      <c r="C406" s="48">
        <v>2628880197</v>
      </c>
      <c r="D406" s="92">
        <v>259</v>
      </c>
      <c r="E406" s="48" t="s">
        <v>224</v>
      </c>
      <c r="F406" s="48">
        <v>0</v>
      </c>
      <c r="G406" s="48">
        <v>767</v>
      </c>
      <c r="H406" s="48">
        <v>45</v>
      </c>
      <c r="I406" s="48">
        <v>0</v>
      </c>
      <c r="J406" s="48">
        <v>0</v>
      </c>
      <c r="K406" s="48">
        <v>0</v>
      </c>
      <c r="L406" s="48">
        <v>0</v>
      </c>
      <c r="M406" s="92">
        <v>0</v>
      </c>
    </row>
    <row r="407" spans="1:13">
      <c r="A407" s="85">
        <v>44831</v>
      </c>
      <c r="B407" s="48" t="s">
        <v>200</v>
      </c>
      <c r="C407" s="48">
        <v>2095744093</v>
      </c>
      <c r="D407" s="92">
        <v>169</v>
      </c>
      <c r="E407" s="48" t="s">
        <v>224</v>
      </c>
      <c r="F407" s="48">
        <v>0</v>
      </c>
      <c r="G407" s="48">
        <v>537</v>
      </c>
      <c r="H407" s="48">
        <v>9</v>
      </c>
      <c r="I407" s="48">
        <v>1</v>
      </c>
      <c r="J407" s="48">
        <v>1</v>
      </c>
      <c r="K407" s="48">
        <v>1</v>
      </c>
      <c r="L407" s="48">
        <v>1</v>
      </c>
      <c r="M407" s="92">
        <v>169</v>
      </c>
    </row>
    <row r="408" spans="1:13">
      <c r="A408" s="85">
        <v>44831</v>
      </c>
      <c r="B408" s="48" t="s">
        <v>311</v>
      </c>
      <c r="C408" s="48">
        <v>1691802220</v>
      </c>
      <c r="D408" s="92">
        <v>69</v>
      </c>
      <c r="E408" s="48" t="s">
        <v>224</v>
      </c>
      <c r="F408" s="48">
        <v>0</v>
      </c>
      <c r="G408" s="48">
        <v>479</v>
      </c>
      <c r="H408" s="48">
        <v>24</v>
      </c>
      <c r="I408" s="48">
        <v>0</v>
      </c>
      <c r="J408" s="48">
        <v>0</v>
      </c>
      <c r="K408" s="48">
        <v>0</v>
      </c>
      <c r="L408" s="48">
        <v>0</v>
      </c>
      <c r="M408" s="92">
        <v>0</v>
      </c>
    </row>
    <row r="409" spans="1:13">
      <c r="A409" s="85">
        <v>44831</v>
      </c>
      <c r="B409" s="48" t="s">
        <v>216</v>
      </c>
      <c r="C409" s="48">
        <v>942187024</v>
      </c>
      <c r="D409" s="93">
        <v>49.9</v>
      </c>
      <c r="E409" s="48" t="s">
        <v>224</v>
      </c>
      <c r="F409" s="48">
        <v>0</v>
      </c>
      <c r="G409" s="48">
        <v>799</v>
      </c>
      <c r="H409" s="48">
        <v>48</v>
      </c>
      <c r="I409" s="48">
        <v>1</v>
      </c>
      <c r="J409" s="48">
        <v>1</v>
      </c>
      <c r="K409" s="48">
        <v>1</v>
      </c>
      <c r="L409" s="48">
        <v>1</v>
      </c>
      <c r="M409" s="93">
        <v>49.9</v>
      </c>
    </row>
    <row r="410" spans="1:13">
      <c r="A410" s="85">
        <v>44832</v>
      </c>
      <c r="B410" s="48" t="s">
        <v>183</v>
      </c>
      <c r="C410" s="48">
        <v>102949612098411</v>
      </c>
      <c r="D410" s="92">
        <v>399</v>
      </c>
      <c r="E410" s="48" t="s">
        <v>281</v>
      </c>
      <c r="F410" s="48">
        <v>1</v>
      </c>
      <c r="G410" s="48">
        <v>4015</v>
      </c>
      <c r="H410" s="48">
        <v>637</v>
      </c>
      <c r="I410" s="48">
        <v>64</v>
      </c>
      <c r="J410" s="48">
        <v>82</v>
      </c>
      <c r="K410" s="48">
        <v>64</v>
      </c>
      <c r="L410" s="48">
        <v>82</v>
      </c>
      <c r="M410" s="93">
        <v>861.3</v>
      </c>
    </row>
    <row r="411" spans="1:13">
      <c r="A411" s="85">
        <v>44832</v>
      </c>
      <c r="B411" s="48" t="s">
        <v>209</v>
      </c>
      <c r="C411" s="48">
        <v>102949533098411</v>
      </c>
      <c r="D411" s="92">
        <v>799</v>
      </c>
      <c r="E411" s="48" t="s">
        <v>281</v>
      </c>
      <c r="F411" s="48">
        <v>0</v>
      </c>
      <c r="G411" s="48">
        <v>3861</v>
      </c>
      <c r="H411" s="48">
        <v>137</v>
      </c>
      <c r="I411" s="48">
        <v>19</v>
      </c>
      <c r="J411" s="48">
        <v>20</v>
      </c>
      <c r="K411" s="48">
        <v>19</v>
      </c>
      <c r="L411" s="48">
        <v>20</v>
      </c>
      <c r="M411" s="93">
        <v>1257.9</v>
      </c>
    </row>
    <row r="412" spans="1:13">
      <c r="A412" s="85">
        <v>44832</v>
      </c>
      <c r="B412" s="48" t="s">
        <v>205</v>
      </c>
      <c r="C412" s="48">
        <v>102949987098411</v>
      </c>
      <c r="D412" s="92">
        <v>2168</v>
      </c>
      <c r="E412" s="48" t="s">
        <v>281</v>
      </c>
      <c r="F412" s="48">
        <v>0</v>
      </c>
      <c r="G412" s="48">
        <v>4629</v>
      </c>
      <c r="H412" s="48">
        <v>184</v>
      </c>
      <c r="I412" s="48">
        <v>5</v>
      </c>
      <c r="J412" s="48">
        <v>5</v>
      </c>
      <c r="K412" s="48">
        <v>5</v>
      </c>
      <c r="L412" s="48">
        <v>5</v>
      </c>
      <c r="M412" s="92">
        <v>1995</v>
      </c>
    </row>
    <row r="413" spans="1:13">
      <c r="A413" s="85">
        <v>44832</v>
      </c>
      <c r="B413" s="48" t="s">
        <v>231</v>
      </c>
      <c r="C413" s="48">
        <v>102949198098411</v>
      </c>
      <c r="D413" s="92">
        <v>899</v>
      </c>
      <c r="E413" s="48" t="s">
        <v>281</v>
      </c>
      <c r="F413" s="48">
        <v>0</v>
      </c>
      <c r="G413" s="48">
        <v>1762</v>
      </c>
      <c r="H413" s="48">
        <v>44</v>
      </c>
      <c r="I413" s="48">
        <v>5</v>
      </c>
      <c r="J413" s="48">
        <v>5</v>
      </c>
      <c r="K413" s="48">
        <v>5</v>
      </c>
      <c r="L413" s="48">
        <v>5</v>
      </c>
      <c r="M413" s="92">
        <v>495</v>
      </c>
    </row>
    <row r="414" spans="1:13">
      <c r="A414" s="85">
        <v>44832</v>
      </c>
      <c r="B414" s="48" t="s">
        <v>233</v>
      </c>
      <c r="C414" s="48">
        <v>102972058098411</v>
      </c>
      <c r="D414" s="92">
        <v>169</v>
      </c>
      <c r="E414" s="48" t="s">
        <v>281</v>
      </c>
      <c r="F414" s="48">
        <v>0</v>
      </c>
      <c r="G414" s="48">
        <v>3389</v>
      </c>
      <c r="H414" s="48">
        <v>126</v>
      </c>
      <c r="I414" s="48">
        <v>4</v>
      </c>
      <c r="J414" s="48">
        <v>4</v>
      </c>
      <c r="K414" s="48">
        <v>4</v>
      </c>
      <c r="L414" s="48">
        <v>4</v>
      </c>
      <c r="M414" s="92">
        <v>676</v>
      </c>
    </row>
    <row r="415" spans="1:13">
      <c r="A415" s="85">
        <v>44832</v>
      </c>
      <c r="B415" s="48" t="s">
        <v>237</v>
      </c>
      <c r="C415" s="48">
        <v>102949423098411</v>
      </c>
      <c r="D415" s="92">
        <v>598</v>
      </c>
      <c r="E415" s="48" t="s">
        <v>281</v>
      </c>
      <c r="F415" s="48">
        <v>0</v>
      </c>
      <c r="G415" s="48">
        <v>2594</v>
      </c>
      <c r="H415" s="48">
        <v>116</v>
      </c>
      <c r="I415" s="48">
        <v>3</v>
      </c>
      <c r="J415" s="48">
        <v>3</v>
      </c>
      <c r="K415" s="48">
        <v>3</v>
      </c>
      <c r="L415" s="48">
        <v>3</v>
      </c>
      <c r="M415" s="93">
        <v>239.7</v>
      </c>
    </row>
    <row r="416" spans="1:13">
      <c r="A416" s="85">
        <v>44832</v>
      </c>
      <c r="B416" s="48" t="s">
        <v>215</v>
      </c>
      <c r="C416" s="48">
        <v>102949536098411</v>
      </c>
      <c r="D416" s="92">
        <v>1898</v>
      </c>
      <c r="E416" s="48" t="s">
        <v>281</v>
      </c>
      <c r="F416" s="48">
        <v>0</v>
      </c>
      <c r="G416" s="48">
        <v>3051</v>
      </c>
      <c r="H416" s="48">
        <v>85</v>
      </c>
      <c r="I416" s="48">
        <v>3</v>
      </c>
      <c r="J416" s="48">
        <v>3</v>
      </c>
      <c r="K416" s="48">
        <v>3</v>
      </c>
      <c r="L416" s="48">
        <v>3</v>
      </c>
      <c r="M416" s="92">
        <v>876</v>
      </c>
    </row>
    <row r="417" spans="1:13">
      <c r="A417" s="85">
        <v>44832</v>
      </c>
      <c r="B417" s="48" t="s">
        <v>234</v>
      </c>
      <c r="C417" s="48">
        <v>102949835098411</v>
      </c>
      <c r="D417" s="92">
        <v>1699</v>
      </c>
      <c r="E417" s="48" t="s">
        <v>281</v>
      </c>
      <c r="F417" s="48">
        <v>0</v>
      </c>
      <c r="G417" s="48">
        <v>1465</v>
      </c>
      <c r="H417" s="48">
        <v>61</v>
      </c>
      <c r="I417" s="48">
        <v>3</v>
      </c>
      <c r="J417" s="48">
        <v>3</v>
      </c>
      <c r="K417" s="48">
        <v>3</v>
      </c>
      <c r="L417" s="48">
        <v>3</v>
      </c>
      <c r="M417" s="92">
        <v>447</v>
      </c>
    </row>
    <row r="418" spans="1:13">
      <c r="A418" s="85">
        <v>44832</v>
      </c>
      <c r="B418" s="48" t="s">
        <v>238</v>
      </c>
      <c r="C418" s="48">
        <v>102949653098411</v>
      </c>
      <c r="D418" s="92">
        <v>1399</v>
      </c>
      <c r="E418" s="48" t="s">
        <v>281</v>
      </c>
      <c r="F418" s="48">
        <v>0</v>
      </c>
      <c r="G418" s="48">
        <v>340</v>
      </c>
      <c r="H418" s="48">
        <v>9</v>
      </c>
      <c r="I418" s="48">
        <v>2</v>
      </c>
      <c r="J418" s="48">
        <v>2</v>
      </c>
      <c r="K418" s="48">
        <v>2</v>
      </c>
      <c r="L418" s="48">
        <v>2</v>
      </c>
      <c r="M418" s="92">
        <v>398</v>
      </c>
    </row>
    <row r="419" spans="1:13">
      <c r="A419" s="85">
        <v>44832</v>
      </c>
      <c r="B419" s="48" t="s">
        <v>244</v>
      </c>
      <c r="C419" s="48">
        <v>102949107098411</v>
      </c>
      <c r="D419" s="92">
        <v>1599</v>
      </c>
      <c r="E419" s="48" t="s">
        <v>281</v>
      </c>
      <c r="F419" s="48">
        <v>0</v>
      </c>
      <c r="G419" s="48">
        <v>3211</v>
      </c>
      <c r="H419" s="48">
        <v>71</v>
      </c>
      <c r="I419" s="48">
        <v>1</v>
      </c>
      <c r="J419" s="48">
        <v>1</v>
      </c>
      <c r="K419" s="48">
        <v>1</v>
      </c>
      <c r="L419" s="48">
        <v>1</v>
      </c>
      <c r="M419" s="92">
        <v>269</v>
      </c>
    </row>
    <row r="420" spans="1:13">
      <c r="A420" s="85">
        <v>44832</v>
      </c>
      <c r="B420" s="48" t="s">
        <v>242</v>
      </c>
      <c r="C420" s="48">
        <v>102972043098411</v>
      </c>
      <c r="D420" s="92">
        <v>1399</v>
      </c>
      <c r="E420" s="48" t="s">
        <v>281</v>
      </c>
      <c r="F420" s="48">
        <v>0</v>
      </c>
      <c r="G420" s="48">
        <v>2577</v>
      </c>
      <c r="H420" s="48">
        <v>79</v>
      </c>
      <c r="I420" s="48">
        <v>1</v>
      </c>
      <c r="J420" s="48">
        <v>1</v>
      </c>
      <c r="K420" s="48">
        <v>1</v>
      </c>
      <c r="L420" s="48">
        <v>1</v>
      </c>
      <c r="M420" s="92">
        <v>299</v>
      </c>
    </row>
    <row r="421" spans="1:13">
      <c r="A421" s="85">
        <v>44832</v>
      </c>
      <c r="B421" s="48" t="s">
        <v>240</v>
      </c>
      <c r="C421" s="48">
        <v>102949396098411</v>
      </c>
      <c r="D421" s="92">
        <v>598</v>
      </c>
      <c r="E421" s="48" t="s">
        <v>281</v>
      </c>
      <c r="F421" s="48">
        <v>0</v>
      </c>
      <c r="G421" s="48">
        <v>1975</v>
      </c>
      <c r="H421" s="48">
        <v>57</v>
      </c>
      <c r="I421" s="48">
        <v>1</v>
      </c>
      <c r="J421" s="48">
        <v>1</v>
      </c>
      <c r="K421" s="48">
        <v>1</v>
      </c>
      <c r="L421" s="48">
        <v>1</v>
      </c>
      <c r="M421" s="93">
        <v>79.9</v>
      </c>
    </row>
    <row r="422" spans="1:13">
      <c r="A422" s="85">
        <v>44832</v>
      </c>
      <c r="B422" s="48" t="s">
        <v>277</v>
      </c>
      <c r="C422" s="48">
        <v>102949508098411</v>
      </c>
      <c r="D422" s="92">
        <v>1576</v>
      </c>
      <c r="E422" s="48" t="s">
        <v>281</v>
      </c>
      <c r="F422" s="48">
        <v>0</v>
      </c>
      <c r="G422" s="48">
        <v>1863</v>
      </c>
      <c r="H422" s="48">
        <v>59</v>
      </c>
      <c r="I422" s="48">
        <v>0</v>
      </c>
      <c r="J422" s="48">
        <v>0</v>
      </c>
      <c r="K422" s="48">
        <v>0</v>
      </c>
      <c r="L422" s="48">
        <v>0</v>
      </c>
      <c r="M422" s="92">
        <v>0</v>
      </c>
    </row>
    <row r="423" spans="1:13">
      <c r="A423" s="85">
        <v>44832</v>
      </c>
      <c r="B423" s="48" t="s">
        <v>276</v>
      </c>
      <c r="C423" s="48">
        <v>102949633098411</v>
      </c>
      <c r="D423" s="92">
        <v>1699</v>
      </c>
      <c r="E423" s="48" t="s">
        <v>281</v>
      </c>
      <c r="F423" s="48">
        <v>0</v>
      </c>
      <c r="G423" s="48">
        <v>849</v>
      </c>
      <c r="H423" s="48">
        <v>22</v>
      </c>
      <c r="I423" s="48">
        <v>0</v>
      </c>
      <c r="J423" s="48">
        <v>0</v>
      </c>
      <c r="K423" s="48">
        <v>0</v>
      </c>
      <c r="L423" s="48">
        <v>0</v>
      </c>
      <c r="M423" s="92">
        <v>0</v>
      </c>
    </row>
    <row r="424" spans="1:13">
      <c r="A424" s="85">
        <v>44832</v>
      </c>
      <c r="B424" s="48" t="s">
        <v>275</v>
      </c>
      <c r="C424" s="48">
        <v>102972027098411</v>
      </c>
      <c r="D424" s="92">
        <v>1168</v>
      </c>
      <c r="E424" s="48" t="s">
        <v>281</v>
      </c>
      <c r="F424" s="48">
        <v>0</v>
      </c>
      <c r="G424" s="48">
        <v>1203</v>
      </c>
      <c r="H424" s="48">
        <v>36</v>
      </c>
      <c r="I424" s="48">
        <v>0</v>
      </c>
      <c r="J424" s="48">
        <v>0</v>
      </c>
      <c r="K424" s="48">
        <v>0</v>
      </c>
      <c r="L424" s="48">
        <v>0</v>
      </c>
      <c r="M424" s="92">
        <v>0</v>
      </c>
    </row>
    <row r="425" spans="1:13">
      <c r="A425" s="85">
        <v>44832</v>
      </c>
      <c r="B425" s="48" t="s">
        <v>274</v>
      </c>
      <c r="C425" s="48">
        <v>102972062098411</v>
      </c>
      <c r="D425" s="92">
        <v>1999</v>
      </c>
      <c r="E425" s="48" t="s">
        <v>281</v>
      </c>
      <c r="F425" s="48">
        <v>0</v>
      </c>
      <c r="G425" s="48">
        <v>1935</v>
      </c>
      <c r="H425" s="48">
        <v>32</v>
      </c>
      <c r="I425" s="48">
        <v>0</v>
      </c>
      <c r="J425" s="48">
        <v>0</v>
      </c>
      <c r="K425" s="48">
        <v>0</v>
      </c>
      <c r="L425" s="48">
        <v>0</v>
      </c>
      <c r="M425" s="92">
        <v>0</v>
      </c>
    </row>
    <row r="426" spans="1:13">
      <c r="A426" s="85">
        <v>44832</v>
      </c>
      <c r="B426" s="48" t="s">
        <v>273</v>
      </c>
      <c r="C426" s="48">
        <v>102949754098411</v>
      </c>
      <c r="D426" s="92">
        <v>1899</v>
      </c>
      <c r="E426" s="48" t="s">
        <v>281</v>
      </c>
      <c r="F426" s="48">
        <v>0</v>
      </c>
      <c r="G426" s="48">
        <v>223</v>
      </c>
      <c r="H426" s="48">
        <v>7</v>
      </c>
      <c r="I426" s="48">
        <v>0</v>
      </c>
      <c r="J426" s="48">
        <v>0</v>
      </c>
      <c r="K426" s="48">
        <v>0</v>
      </c>
      <c r="L426" s="48">
        <v>0</v>
      </c>
      <c r="M426" s="92">
        <v>0</v>
      </c>
    </row>
    <row r="427" spans="1:13">
      <c r="A427" s="85">
        <v>44832</v>
      </c>
      <c r="B427" s="48" t="s">
        <v>272</v>
      </c>
      <c r="C427" s="48">
        <v>101728597098411</v>
      </c>
      <c r="D427" s="92">
        <v>369</v>
      </c>
      <c r="E427" s="48" t="s">
        <v>281</v>
      </c>
      <c r="F427" s="48">
        <v>0</v>
      </c>
      <c r="G427" s="48">
        <v>2757</v>
      </c>
      <c r="H427" s="48">
        <v>70</v>
      </c>
      <c r="I427" s="48">
        <v>0</v>
      </c>
      <c r="J427" s="48">
        <v>0</v>
      </c>
      <c r="K427" s="48">
        <v>0</v>
      </c>
      <c r="L427" s="48">
        <v>0</v>
      </c>
      <c r="M427" s="92">
        <v>0</v>
      </c>
    </row>
    <row r="428" spans="1:13">
      <c r="A428" s="85">
        <v>44832</v>
      </c>
      <c r="B428" s="48" t="s">
        <v>271</v>
      </c>
      <c r="C428" s="48">
        <v>102949645098411</v>
      </c>
      <c r="D428" s="92">
        <v>2099</v>
      </c>
      <c r="E428" s="48" t="s">
        <v>281</v>
      </c>
      <c r="F428" s="48">
        <v>0</v>
      </c>
      <c r="G428" s="48">
        <v>219</v>
      </c>
      <c r="H428" s="48">
        <v>7</v>
      </c>
      <c r="I428" s="48">
        <v>0</v>
      </c>
      <c r="J428" s="48">
        <v>0</v>
      </c>
      <c r="K428" s="48">
        <v>0</v>
      </c>
      <c r="L428" s="48">
        <v>0</v>
      </c>
      <c r="M428" s="92">
        <v>0</v>
      </c>
    </row>
    <row r="429" spans="1:13">
      <c r="A429" s="85">
        <v>44832</v>
      </c>
      <c r="B429" s="48" t="s">
        <v>270</v>
      </c>
      <c r="C429" s="48">
        <v>102949495098411</v>
      </c>
      <c r="D429" s="92">
        <v>1868</v>
      </c>
      <c r="E429" s="48" t="s">
        <v>281</v>
      </c>
      <c r="F429" s="48">
        <v>0</v>
      </c>
      <c r="G429" s="48">
        <v>302</v>
      </c>
      <c r="H429" s="48">
        <v>9</v>
      </c>
      <c r="I429" s="48">
        <v>0</v>
      </c>
      <c r="J429" s="48">
        <v>0</v>
      </c>
      <c r="K429" s="48">
        <v>0</v>
      </c>
      <c r="L429" s="48">
        <v>0</v>
      </c>
      <c r="M429" s="92">
        <v>0</v>
      </c>
    </row>
    <row r="430" spans="1:13">
      <c r="A430" s="85">
        <v>44832</v>
      </c>
      <c r="B430" s="48" t="s">
        <v>269</v>
      </c>
      <c r="C430" s="48">
        <v>102971895098411</v>
      </c>
      <c r="D430" s="92">
        <v>1899</v>
      </c>
      <c r="E430" s="48" t="s">
        <v>281</v>
      </c>
      <c r="F430" s="48">
        <v>0</v>
      </c>
      <c r="G430" s="48">
        <v>295</v>
      </c>
      <c r="H430" s="48">
        <v>11</v>
      </c>
      <c r="I430" s="48">
        <v>0</v>
      </c>
      <c r="J430" s="48">
        <v>0</v>
      </c>
      <c r="K430" s="48">
        <v>0</v>
      </c>
      <c r="L430" s="48">
        <v>0</v>
      </c>
      <c r="M430" s="92">
        <v>0</v>
      </c>
    </row>
    <row r="431" spans="1:13">
      <c r="A431" s="85">
        <v>44832</v>
      </c>
      <c r="B431" s="48" t="s">
        <v>268</v>
      </c>
      <c r="C431" s="48">
        <v>102972153098411</v>
      </c>
      <c r="D431" s="92">
        <v>2269</v>
      </c>
      <c r="E431" s="48" t="s">
        <v>281</v>
      </c>
      <c r="F431" s="48">
        <v>0</v>
      </c>
      <c r="G431" s="48">
        <v>293</v>
      </c>
      <c r="H431" s="48">
        <v>9</v>
      </c>
      <c r="I431" s="48">
        <v>0</v>
      </c>
      <c r="J431" s="48">
        <v>0</v>
      </c>
      <c r="K431" s="48">
        <v>0</v>
      </c>
      <c r="L431" s="48">
        <v>0</v>
      </c>
      <c r="M431" s="92">
        <v>0</v>
      </c>
    </row>
    <row r="432" spans="1:13">
      <c r="A432" s="85">
        <v>44832</v>
      </c>
      <c r="B432" s="48" t="s">
        <v>267</v>
      </c>
      <c r="C432" s="48">
        <v>101729413098411</v>
      </c>
      <c r="D432" s="92">
        <v>1999</v>
      </c>
      <c r="E432" s="48" t="s">
        <v>281</v>
      </c>
      <c r="F432" s="48">
        <v>0</v>
      </c>
      <c r="G432" s="48">
        <v>298</v>
      </c>
      <c r="H432" s="48">
        <v>2</v>
      </c>
      <c r="I432" s="48">
        <v>0</v>
      </c>
      <c r="J432" s="48">
        <v>0</v>
      </c>
      <c r="K432" s="48">
        <v>0</v>
      </c>
      <c r="L432" s="48">
        <v>0</v>
      </c>
      <c r="M432" s="92">
        <v>0</v>
      </c>
    </row>
    <row r="433" spans="1:13">
      <c r="A433" s="85">
        <v>44832</v>
      </c>
      <c r="B433" s="48" t="s">
        <v>266</v>
      </c>
      <c r="C433" s="48">
        <v>101729149098411</v>
      </c>
      <c r="D433" s="92">
        <v>1968</v>
      </c>
      <c r="E433" s="48" t="s">
        <v>281</v>
      </c>
      <c r="F433" s="48">
        <v>0</v>
      </c>
      <c r="G433" s="48">
        <v>295</v>
      </c>
      <c r="H433" s="48">
        <v>13</v>
      </c>
      <c r="I433" s="48">
        <v>0</v>
      </c>
      <c r="J433" s="48">
        <v>0</v>
      </c>
      <c r="K433" s="48">
        <v>0</v>
      </c>
      <c r="L433" s="48">
        <v>0</v>
      </c>
      <c r="M433" s="92">
        <v>0</v>
      </c>
    </row>
    <row r="434" spans="1:13">
      <c r="A434" s="85">
        <v>44832</v>
      </c>
      <c r="B434" s="48" t="s">
        <v>264</v>
      </c>
      <c r="C434" s="48">
        <v>101729408098411</v>
      </c>
      <c r="D434" s="92">
        <v>1999</v>
      </c>
      <c r="E434" s="48" t="s">
        <v>281</v>
      </c>
      <c r="F434" s="48">
        <v>0</v>
      </c>
      <c r="G434" s="48">
        <v>257</v>
      </c>
      <c r="H434" s="48">
        <v>1</v>
      </c>
      <c r="I434" s="48">
        <v>0</v>
      </c>
      <c r="J434" s="48">
        <v>0</v>
      </c>
      <c r="K434" s="48">
        <v>0</v>
      </c>
      <c r="L434" s="48">
        <v>0</v>
      </c>
      <c r="M434" s="92">
        <v>0</v>
      </c>
    </row>
    <row r="435" spans="1:13">
      <c r="A435" s="85">
        <v>44832</v>
      </c>
      <c r="B435" s="48" t="s">
        <v>262</v>
      </c>
      <c r="C435" s="48">
        <v>102949582098411</v>
      </c>
      <c r="D435" s="92">
        <v>1699</v>
      </c>
      <c r="E435" s="48" t="s">
        <v>281</v>
      </c>
      <c r="F435" s="48">
        <v>0</v>
      </c>
      <c r="G435" s="48">
        <v>242</v>
      </c>
      <c r="H435" s="48">
        <v>4</v>
      </c>
      <c r="I435" s="48">
        <v>0</v>
      </c>
      <c r="J435" s="48">
        <v>0</v>
      </c>
      <c r="K435" s="48">
        <v>0</v>
      </c>
      <c r="L435" s="48">
        <v>0</v>
      </c>
      <c r="M435" s="92">
        <v>0</v>
      </c>
    </row>
    <row r="436" spans="1:13">
      <c r="A436" s="85">
        <v>44832</v>
      </c>
      <c r="B436" s="48" t="s">
        <v>260</v>
      </c>
      <c r="C436" s="48">
        <v>102949834098411</v>
      </c>
      <c r="D436" s="92">
        <v>1676</v>
      </c>
      <c r="E436" s="48" t="s">
        <v>281</v>
      </c>
      <c r="F436" s="48">
        <v>0</v>
      </c>
      <c r="G436" s="48">
        <v>249</v>
      </c>
      <c r="H436" s="48">
        <v>13</v>
      </c>
      <c r="I436" s="48">
        <v>0</v>
      </c>
      <c r="J436" s="48">
        <v>0</v>
      </c>
      <c r="K436" s="48">
        <v>0</v>
      </c>
      <c r="L436" s="48">
        <v>0</v>
      </c>
      <c r="M436" s="92">
        <v>0</v>
      </c>
    </row>
    <row r="437" spans="1:13">
      <c r="A437" s="85">
        <v>44832</v>
      </c>
      <c r="B437" s="48" t="s">
        <v>258</v>
      </c>
      <c r="C437" s="48">
        <v>102949693098411</v>
      </c>
      <c r="D437" s="92">
        <v>8999</v>
      </c>
      <c r="E437" s="48" t="s">
        <v>281</v>
      </c>
      <c r="F437" s="48">
        <v>0</v>
      </c>
      <c r="G437" s="48">
        <v>247</v>
      </c>
      <c r="H437" s="48">
        <v>10</v>
      </c>
      <c r="I437" s="48">
        <v>0</v>
      </c>
      <c r="J437" s="48">
        <v>0</v>
      </c>
      <c r="K437" s="48">
        <v>0</v>
      </c>
      <c r="L437" s="48">
        <v>0</v>
      </c>
      <c r="M437" s="92">
        <v>0</v>
      </c>
    </row>
    <row r="438" spans="1:13">
      <c r="A438" s="85">
        <v>44832</v>
      </c>
      <c r="B438" s="48" t="s">
        <v>257</v>
      </c>
      <c r="C438" s="48">
        <v>102949509098411</v>
      </c>
      <c r="D438" s="92">
        <v>1568</v>
      </c>
      <c r="E438" s="48" t="s">
        <v>281</v>
      </c>
      <c r="F438" s="48">
        <v>0</v>
      </c>
      <c r="G438" s="48">
        <v>224</v>
      </c>
      <c r="H438" s="48">
        <v>5</v>
      </c>
      <c r="I438" s="48">
        <v>0</v>
      </c>
      <c r="J438" s="48">
        <v>0</v>
      </c>
      <c r="K438" s="48">
        <v>0</v>
      </c>
      <c r="L438" s="48">
        <v>0</v>
      </c>
      <c r="M438" s="92">
        <v>0</v>
      </c>
    </row>
    <row r="439" spans="1:13">
      <c r="A439" s="85">
        <v>44832</v>
      </c>
      <c r="B439" s="48" t="s">
        <v>255</v>
      </c>
      <c r="C439" s="48">
        <v>102949721098411</v>
      </c>
      <c r="D439" s="92">
        <v>1399</v>
      </c>
      <c r="E439" s="48" t="s">
        <v>281</v>
      </c>
      <c r="F439" s="48">
        <v>0</v>
      </c>
      <c r="G439" s="48">
        <v>318</v>
      </c>
      <c r="H439" s="48">
        <v>7</v>
      </c>
      <c r="I439" s="48">
        <v>0</v>
      </c>
      <c r="J439" s="48">
        <v>0</v>
      </c>
      <c r="K439" s="48">
        <v>0</v>
      </c>
      <c r="L439" s="48">
        <v>0</v>
      </c>
      <c r="M439" s="92">
        <v>0</v>
      </c>
    </row>
    <row r="440" spans="1:13">
      <c r="A440" s="85">
        <v>44832</v>
      </c>
      <c r="B440" s="48" t="s">
        <v>253</v>
      </c>
      <c r="C440" s="48">
        <v>102949368098411</v>
      </c>
      <c r="D440" s="92">
        <v>1899</v>
      </c>
      <c r="E440" s="48" t="s">
        <v>281</v>
      </c>
      <c r="F440" s="48">
        <v>0</v>
      </c>
      <c r="G440" s="48">
        <v>254</v>
      </c>
      <c r="H440" s="48">
        <v>8</v>
      </c>
      <c r="I440" s="48">
        <v>0</v>
      </c>
      <c r="J440" s="48">
        <v>0</v>
      </c>
      <c r="K440" s="48">
        <v>0</v>
      </c>
      <c r="L440" s="48">
        <v>0</v>
      </c>
      <c r="M440" s="92">
        <v>0</v>
      </c>
    </row>
    <row r="441" spans="1:13">
      <c r="A441" s="85">
        <v>44832</v>
      </c>
      <c r="B441" s="48" t="s">
        <v>251</v>
      </c>
      <c r="C441" s="48">
        <v>102949644098411</v>
      </c>
      <c r="D441" s="92">
        <v>1458</v>
      </c>
      <c r="E441" s="48" t="s">
        <v>281</v>
      </c>
      <c r="F441" s="48">
        <v>0</v>
      </c>
      <c r="G441" s="48">
        <v>252</v>
      </c>
      <c r="H441" s="48">
        <v>7</v>
      </c>
      <c r="I441" s="48">
        <v>0</v>
      </c>
      <c r="J441" s="48">
        <v>0</v>
      </c>
      <c r="K441" s="48">
        <v>0</v>
      </c>
      <c r="L441" s="48">
        <v>0</v>
      </c>
      <c r="M441" s="92">
        <v>0</v>
      </c>
    </row>
    <row r="442" spans="1:13">
      <c r="A442" s="85">
        <v>44832</v>
      </c>
      <c r="B442" s="48" t="s">
        <v>249</v>
      </c>
      <c r="C442" s="48">
        <v>102949808098411</v>
      </c>
      <c r="D442" s="92">
        <v>1499</v>
      </c>
      <c r="E442" s="48" t="s">
        <v>281</v>
      </c>
      <c r="F442" s="48">
        <v>0</v>
      </c>
      <c r="G442" s="48">
        <v>252</v>
      </c>
      <c r="H442" s="48">
        <v>11</v>
      </c>
      <c r="I442" s="48">
        <v>0</v>
      </c>
      <c r="J442" s="48">
        <v>0</v>
      </c>
      <c r="K442" s="48">
        <v>0</v>
      </c>
      <c r="L442" s="48">
        <v>0</v>
      </c>
      <c r="M442" s="92">
        <v>0</v>
      </c>
    </row>
    <row r="443" spans="1:13">
      <c r="A443" s="85">
        <v>44832</v>
      </c>
      <c r="B443" s="48" t="s">
        <v>248</v>
      </c>
      <c r="C443" s="48">
        <v>102949588098411</v>
      </c>
      <c r="D443" s="92">
        <v>1399</v>
      </c>
      <c r="E443" s="48" t="s">
        <v>281</v>
      </c>
      <c r="F443" s="48">
        <v>0</v>
      </c>
      <c r="G443" s="48">
        <v>237</v>
      </c>
      <c r="H443" s="48">
        <v>1</v>
      </c>
      <c r="I443" s="48">
        <v>0</v>
      </c>
      <c r="J443" s="48">
        <v>0</v>
      </c>
      <c r="K443" s="48">
        <v>0</v>
      </c>
      <c r="L443" s="48">
        <v>0</v>
      </c>
      <c r="M443" s="92">
        <v>0</v>
      </c>
    </row>
    <row r="444" spans="1:13">
      <c r="A444" s="85">
        <v>44832</v>
      </c>
      <c r="B444" s="48" t="s">
        <v>246</v>
      </c>
      <c r="C444" s="48">
        <v>102949478098411</v>
      </c>
      <c r="D444" s="92">
        <v>6999</v>
      </c>
      <c r="E444" s="48" t="s">
        <v>281</v>
      </c>
      <c r="F444" s="48">
        <v>0</v>
      </c>
      <c r="G444" s="48">
        <v>228</v>
      </c>
      <c r="H444" s="48">
        <v>2</v>
      </c>
      <c r="I444" s="48">
        <v>0</v>
      </c>
      <c r="J444" s="48">
        <v>0</v>
      </c>
      <c r="K444" s="48">
        <v>0</v>
      </c>
      <c r="L444" s="48">
        <v>0</v>
      </c>
      <c r="M444" s="92">
        <v>0</v>
      </c>
    </row>
    <row r="445" spans="1:13">
      <c r="A445" s="85">
        <v>44832</v>
      </c>
      <c r="B445" s="48" t="s">
        <v>245</v>
      </c>
      <c r="C445" s="48">
        <v>102949930098411</v>
      </c>
      <c r="D445" s="92">
        <v>2168</v>
      </c>
      <c r="E445" s="48" t="s">
        <v>281</v>
      </c>
      <c r="F445" s="48">
        <v>0</v>
      </c>
      <c r="G445" s="48">
        <v>227</v>
      </c>
      <c r="H445" s="48">
        <v>11</v>
      </c>
      <c r="I445" s="48">
        <v>0</v>
      </c>
      <c r="J445" s="48">
        <v>0</v>
      </c>
      <c r="K445" s="48">
        <v>0</v>
      </c>
      <c r="L445" s="48">
        <v>0</v>
      </c>
      <c r="M445" s="92">
        <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Z1033"/>
  <sheetViews>
    <sheetView workbookViewId="0">
      <selection activeCell="E29" sqref="E29"/>
    </sheetView>
  </sheetViews>
  <sheetFormatPr defaultColWidth="9" defaultRowHeight="13.5" customHeight="1" zeroHeight="1"/>
  <cols>
    <col min="1" max="1" width="15" style="2" customWidth="1"/>
    <col min="2" max="2" width="13.75" style="2" customWidth="1"/>
    <col min="3" max="3" width="12.375" style="2" customWidth="1"/>
    <col min="4" max="4" width="13.625" style="2" customWidth="1"/>
    <col min="5" max="6" width="16.25" style="2" customWidth="1"/>
    <col min="7" max="7" width="15.25" style="2" customWidth="1"/>
    <col min="8" max="9" width="13.625" style="2" customWidth="1"/>
    <col min="10" max="10" width="16.25" style="2" customWidth="1"/>
    <col min="11" max="12" width="9" style="2"/>
    <col min="13" max="13" width="13.625" style="2" customWidth="1"/>
    <col min="14" max="15" width="16.25" style="2" customWidth="1"/>
    <col min="16" max="17" width="13.75" style="2" customWidth="1"/>
    <col min="18" max="18" width="11.5" style="2" customWidth="1"/>
    <col min="19" max="19" width="13.75" style="2" customWidth="1"/>
    <col min="20" max="20" width="11.5" style="2" customWidth="1"/>
    <col min="21" max="21" width="9" style="2"/>
    <col min="22" max="22" width="12.875" style="2" customWidth="1"/>
    <col min="23" max="23" width="13.75" style="2" customWidth="1"/>
    <col min="24" max="24" width="11.5" style="2" customWidth="1"/>
    <col min="25" max="25" width="9" style="2"/>
    <col min="26" max="26" width="13.75" style="2" customWidth="1"/>
    <col min="27" max="27" width="11.5" style="2" customWidth="1"/>
    <col min="28" max="28" width="13.75" style="2" customWidth="1"/>
    <col min="29" max="29" width="9" style="2" customWidth="1"/>
    <col min="30" max="16384" width="9" style="2"/>
  </cols>
  <sheetData>
    <row r="1" ht="18" customHeight="1" spans="1:7">
      <c r="A1" s="55">
        <v>44805</v>
      </c>
      <c r="B1" s="56"/>
      <c r="C1" s="57"/>
      <c r="D1" s="57"/>
      <c r="E1" s="57"/>
      <c r="F1" s="57"/>
      <c r="G1" s="57"/>
    </row>
    <row r="2" ht="15.75" spans="1:13">
      <c r="A2" s="6" t="s">
        <v>163</v>
      </c>
      <c r="B2" s="6" t="s">
        <v>164</v>
      </c>
      <c r="C2" s="6" t="s">
        <v>100</v>
      </c>
      <c r="D2" s="6" t="s">
        <v>352</v>
      </c>
      <c r="E2" s="6" t="s">
        <v>353</v>
      </c>
      <c r="F2" s="6" t="s">
        <v>93</v>
      </c>
      <c r="G2" s="6" t="s">
        <v>94</v>
      </c>
      <c r="H2" s="6" t="s">
        <v>95</v>
      </c>
      <c r="K2" s="29" t="s">
        <v>354</v>
      </c>
      <c r="L2" s="29" t="s">
        <v>355</v>
      </c>
      <c r="M2" s="29" t="s">
        <v>356</v>
      </c>
    </row>
    <row r="3" ht="15.75" spans="1:13">
      <c r="A3" s="58">
        <v>30</v>
      </c>
      <c r="B3" s="58">
        <f>COUNT(B8:B21)</f>
        <v>12</v>
      </c>
      <c r="C3" s="8">
        <f>D23</f>
        <v>115719.6</v>
      </c>
      <c r="D3" s="9">
        <f>B23</f>
        <v>545</v>
      </c>
      <c r="E3" s="9">
        <f>C23</f>
        <v>783</v>
      </c>
      <c r="F3" s="8">
        <f>C3/D3</f>
        <v>212.329541284404</v>
      </c>
      <c r="G3" s="59">
        <f>C3/B3</f>
        <v>9643.3</v>
      </c>
      <c r="H3" s="60">
        <f>E3/B3</f>
        <v>65.25</v>
      </c>
      <c r="K3" s="76" t="s">
        <v>357</v>
      </c>
      <c r="L3" s="28">
        <f>M3/$M$5</f>
        <v>0.255045871559633</v>
      </c>
      <c r="M3" s="39">
        <f>H23</f>
        <v>139</v>
      </c>
    </row>
    <row r="4" ht="14.25" spans="11:26">
      <c r="K4" s="76" t="s">
        <v>358</v>
      </c>
      <c r="L4" s="28">
        <f>M4/$M$5</f>
        <v>0.744954128440367</v>
      </c>
      <c r="M4" s="39">
        <f>B23-H23</f>
        <v>406</v>
      </c>
      <c r="P4" s="61" t="s">
        <v>359</v>
      </c>
      <c r="U4" s="82" t="s">
        <v>360</v>
      </c>
      <c r="V4" s="83"/>
      <c r="W4" s="83"/>
      <c r="X4" s="83"/>
      <c r="Y4" s="84" t="s">
        <v>361</v>
      </c>
      <c r="Z4" s="84">
        <f>COUNT(V6:V38)</f>
        <v>33</v>
      </c>
    </row>
    <row r="5" ht="14.25" spans="11:24">
      <c r="K5" s="76" t="s">
        <v>88</v>
      </c>
      <c r="L5" s="81">
        <f>SUM(L3:L4)</f>
        <v>1</v>
      </c>
      <c r="M5" s="39">
        <f>SUM(M3:M4)</f>
        <v>545</v>
      </c>
      <c r="P5" s="50" t="s">
        <v>362</v>
      </c>
      <c r="Q5" s="50" t="s">
        <v>363</v>
      </c>
      <c r="R5" s="50" t="s">
        <v>364</v>
      </c>
      <c r="S5" s="50" t="s">
        <v>365</v>
      </c>
      <c r="U5" s="50" t="s">
        <v>362</v>
      </c>
      <c r="V5" s="50" t="s">
        <v>363</v>
      </c>
      <c r="W5" s="50" t="s">
        <v>364</v>
      </c>
      <c r="X5" s="50" t="s">
        <v>365</v>
      </c>
    </row>
    <row r="6" ht="14.25" spans="1:24">
      <c r="A6" s="61" t="s">
        <v>97</v>
      </c>
      <c r="B6" s="62" t="s">
        <v>98</v>
      </c>
      <c r="C6" s="12" t="s">
        <v>99</v>
      </c>
      <c r="P6" s="52" t="s">
        <v>366</v>
      </c>
      <c r="Q6" s="52">
        <v>3918</v>
      </c>
      <c r="R6" s="52">
        <v>14</v>
      </c>
      <c r="S6" s="52">
        <v>2</v>
      </c>
      <c r="U6" s="52" t="s">
        <v>366</v>
      </c>
      <c r="V6" s="52">
        <v>3918</v>
      </c>
      <c r="W6" s="52">
        <v>14</v>
      </c>
      <c r="X6" s="52">
        <v>2</v>
      </c>
    </row>
    <row r="7" ht="14.25" spans="1:24">
      <c r="A7" s="50" t="s">
        <v>186</v>
      </c>
      <c r="B7" s="50" t="s">
        <v>352</v>
      </c>
      <c r="C7" s="50" t="s">
        <v>367</v>
      </c>
      <c r="D7" s="63" t="s">
        <v>100</v>
      </c>
      <c r="E7" s="50" t="s">
        <v>93</v>
      </c>
      <c r="F7" s="50" t="s">
        <v>368</v>
      </c>
      <c r="G7" s="50" t="s">
        <v>369</v>
      </c>
      <c r="H7" s="64" t="s">
        <v>370</v>
      </c>
      <c r="I7" s="50" t="s">
        <v>371</v>
      </c>
      <c r="P7" s="52" t="s">
        <v>372</v>
      </c>
      <c r="Q7" s="52">
        <v>2028.7</v>
      </c>
      <c r="R7" s="52">
        <v>9</v>
      </c>
      <c r="S7" s="52">
        <v>3</v>
      </c>
      <c r="U7" s="52" t="s">
        <v>373</v>
      </c>
      <c r="V7" s="52">
        <v>2922.86</v>
      </c>
      <c r="W7" s="52">
        <v>30</v>
      </c>
      <c r="X7" s="52">
        <v>10</v>
      </c>
    </row>
    <row r="8" ht="14.25" spans="1:24">
      <c r="A8" s="65">
        <v>44808</v>
      </c>
      <c r="B8" s="52">
        <v>140</v>
      </c>
      <c r="C8" s="66">
        <v>236</v>
      </c>
      <c r="D8" s="67">
        <v>17566.71</v>
      </c>
      <c r="E8" s="19">
        <f t="shared" ref="E8:E22" si="0">D8/B8</f>
        <v>125.4765</v>
      </c>
      <c r="F8" s="68">
        <v>8717.81</v>
      </c>
      <c r="G8" s="21">
        <f t="shared" ref="G8:G22" si="1">F8/D8</f>
        <v>0.496268794782859</v>
      </c>
      <c r="H8" s="69">
        <v>33</v>
      </c>
      <c r="I8" s="42">
        <f t="shared" ref="I8:I22" si="2">H8/B8</f>
        <v>0.235714285714286</v>
      </c>
      <c r="P8" s="52" t="s">
        <v>374</v>
      </c>
      <c r="Q8" s="52">
        <v>1655.8</v>
      </c>
      <c r="R8" s="52">
        <v>11</v>
      </c>
      <c r="S8" s="52">
        <v>6</v>
      </c>
      <c r="U8" s="52" t="s">
        <v>375</v>
      </c>
      <c r="V8" s="52">
        <v>2796.94</v>
      </c>
      <c r="W8" s="52">
        <v>27</v>
      </c>
      <c r="X8" s="52">
        <v>15</v>
      </c>
    </row>
    <row r="9" ht="15.75" spans="1:24">
      <c r="A9" s="51">
        <v>44809</v>
      </c>
      <c r="B9" s="52">
        <v>56</v>
      </c>
      <c r="C9" s="70">
        <v>84</v>
      </c>
      <c r="D9" s="8">
        <v>5392.79999999999</v>
      </c>
      <c r="E9" s="19">
        <f t="shared" si="0"/>
        <v>96.2999999999998</v>
      </c>
      <c r="F9" s="68">
        <v>4285.9</v>
      </c>
      <c r="G9" s="21">
        <f t="shared" si="1"/>
        <v>0.794744844978491</v>
      </c>
      <c r="H9" s="69">
        <v>13</v>
      </c>
      <c r="I9" s="42">
        <f t="shared" si="2"/>
        <v>0.232142857142857</v>
      </c>
      <c r="P9" s="52" t="s">
        <v>376</v>
      </c>
      <c r="Q9" s="52">
        <v>1596.6</v>
      </c>
      <c r="R9" s="52">
        <v>10</v>
      </c>
      <c r="S9" s="52">
        <v>2</v>
      </c>
      <c r="U9" s="52" t="s">
        <v>372</v>
      </c>
      <c r="V9" s="52">
        <v>2028.7</v>
      </c>
      <c r="W9" s="52">
        <v>9</v>
      </c>
      <c r="X9" s="52">
        <v>3</v>
      </c>
    </row>
    <row r="10" ht="14.25" spans="1:24">
      <c r="A10" s="51">
        <v>44811</v>
      </c>
      <c r="B10" s="52">
        <v>37</v>
      </c>
      <c r="C10" s="52">
        <v>64</v>
      </c>
      <c r="D10" s="71">
        <v>7643.6</v>
      </c>
      <c r="E10" s="19">
        <f t="shared" si="0"/>
        <v>206.583783783784</v>
      </c>
      <c r="F10" s="68">
        <v>7181.5</v>
      </c>
      <c r="G10" s="21">
        <f t="shared" si="1"/>
        <v>0.939544193835365</v>
      </c>
      <c r="H10" s="69">
        <v>10</v>
      </c>
      <c r="I10" s="42">
        <f t="shared" si="2"/>
        <v>0.27027027027027</v>
      </c>
      <c r="P10" s="52" t="s">
        <v>377</v>
      </c>
      <c r="Q10" s="52">
        <v>1502</v>
      </c>
      <c r="R10" s="52">
        <v>6</v>
      </c>
      <c r="S10" s="52">
        <v>2</v>
      </c>
      <c r="U10" s="52" t="s">
        <v>378</v>
      </c>
      <c r="V10" s="52">
        <v>2026.81</v>
      </c>
      <c r="W10" s="52">
        <v>12</v>
      </c>
      <c r="X10" s="52">
        <v>7</v>
      </c>
    </row>
    <row r="11" ht="14.25" spans="1:24">
      <c r="A11" s="51">
        <v>44813</v>
      </c>
      <c r="B11" s="52">
        <v>48</v>
      </c>
      <c r="C11" s="52">
        <v>62</v>
      </c>
      <c r="D11" s="71">
        <v>11243.75</v>
      </c>
      <c r="E11" s="19">
        <f t="shared" si="0"/>
        <v>234.244791666667</v>
      </c>
      <c r="F11" s="68">
        <v>8222.23</v>
      </c>
      <c r="G11" s="21">
        <f t="shared" si="1"/>
        <v>0.731271150639244</v>
      </c>
      <c r="H11" s="69">
        <v>12</v>
      </c>
      <c r="I11" s="42">
        <f t="shared" si="2"/>
        <v>0.25</v>
      </c>
      <c r="P11" s="52" t="s">
        <v>379</v>
      </c>
      <c r="Q11" s="52">
        <v>1452</v>
      </c>
      <c r="R11" s="52">
        <v>3</v>
      </c>
      <c r="S11" s="52">
        <v>2</v>
      </c>
      <c r="U11" s="52" t="s">
        <v>380</v>
      </c>
      <c r="V11" s="52">
        <v>1747.7</v>
      </c>
      <c r="W11" s="52">
        <v>11</v>
      </c>
      <c r="X11" s="52">
        <v>2</v>
      </c>
    </row>
    <row r="12" ht="14.25" spans="1:24">
      <c r="A12" s="65">
        <v>44815</v>
      </c>
      <c r="B12" s="52">
        <v>60</v>
      </c>
      <c r="C12" s="52">
        <v>83</v>
      </c>
      <c r="D12" s="71">
        <v>18339.3</v>
      </c>
      <c r="E12" s="19">
        <f t="shared" si="0"/>
        <v>305.655</v>
      </c>
      <c r="F12" s="68">
        <v>11742.8</v>
      </c>
      <c r="G12" s="21">
        <f t="shared" si="1"/>
        <v>0.640307972496224</v>
      </c>
      <c r="H12" s="69">
        <v>22</v>
      </c>
      <c r="I12" s="42">
        <f t="shared" si="2"/>
        <v>0.366666666666667</v>
      </c>
      <c r="P12" s="52" t="s">
        <v>381</v>
      </c>
      <c r="Q12" s="52">
        <v>1445</v>
      </c>
      <c r="R12" s="52">
        <v>4</v>
      </c>
      <c r="S12" s="52">
        <v>2</v>
      </c>
      <c r="U12" s="52" t="s">
        <v>382</v>
      </c>
      <c r="V12" s="52">
        <v>1746.94</v>
      </c>
      <c r="W12" s="52">
        <v>35</v>
      </c>
      <c r="X12" s="52">
        <v>9</v>
      </c>
    </row>
    <row r="13" ht="14.25" spans="1:24">
      <c r="A13" s="51">
        <v>44816</v>
      </c>
      <c r="B13" s="52">
        <v>37</v>
      </c>
      <c r="C13" s="52">
        <v>43</v>
      </c>
      <c r="D13" s="72">
        <v>8158.7</v>
      </c>
      <c r="E13" s="19">
        <f t="shared" si="0"/>
        <v>220.505405405405</v>
      </c>
      <c r="F13" s="68">
        <v>6175.8</v>
      </c>
      <c r="G13" s="21">
        <f t="shared" si="1"/>
        <v>0.756958829225244</v>
      </c>
      <c r="H13" s="69">
        <v>5</v>
      </c>
      <c r="I13" s="42">
        <f t="shared" si="2"/>
        <v>0.135135135135135</v>
      </c>
      <c r="P13" s="52" t="s">
        <v>383</v>
      </c>
      <c r="Q13" s="52">
        <v>1430.4</v>
      </c>
      <c r="R13" s="52">
        <v>10</v>
      </c>
      <c r="S13" s="52">
        <v>5</v>
      </c>
      <c r="U13" s="52" t="s">
        <v>384</v>
      </c>
      <c r="V13" s="52">
        <v>1734.13</v>
      </c>
      <c r="W13" s="52">
        <v>27</v>
      </c>
      <c r="X13" s="52">
        <v>9</v>
      </c>
    </row>
    <row r="14" ht="14.25" spans="1:24">
      <c r="A14" s="51">
        <v>44817</v>
      </c>
      <c r="B14" s="52">
        <v>30</v>
      </c>
      <c r="C14" s="52">
        <v>59</v>
      </c>
      <c r="D14" s="72">
        <v>14445</v>
      </c>
      <c r="E14" s="19">
        <f t="shared" si="0"/>
        <v>481.5</v>
      </c>
      <c r="F14" s="68">
        <v>13212.7</v>
      </c>
      <c r="G14" s="21">
        <f t="shared" si="1"/>
        <v>0.914690204222915</v>
      </c>
      <c r="H14" s="69">
        <v>8</v>
      </c>
      <c r="I14" s="42">
        <f t="shared" si="2"/>
        <v>0.266666666666667</v>
      </c>
      <c r="P14" s="52" t="s">
        <v>385</v>
      </c>
      <c r="Q14" s="52">
        <v>1342</v>
      </c>
      <c r="R14" s="52">
        <v>4</v>
      </c>
      <c r="S14" s="52">
        <v>1</v>
      </c>
      <c r="U14" s="52" t="s">
        <v>374</v>
      </c>
      <c r="V14" s="52">
        <v>1655.8</v>
      </c>
      <c r="W14" s="52">
        <v>11</v>
      </c>
      <c r="X14" s="52">
        <v>6</v>
      </c>
    </row>
    <row r="15" ht="14.25" spans="1:24">
      <c r="A15" s="51">
        <v>44818</v>
      </c>
      <c r="B15" s="52">
        <v>17</v>
      </c>
      <c r="C15" s="52">
        <v>19</v>
      </c>
      <c r="D15" s="71">
        <v>2337.9</v>
      </c>
      <c r="E15" s="19">
        <f t="shared" si="0"/>
        <v>137.523529411765</v>
      </c>
      <c r="F15" s="68">
        <v>2070.6</v>
      </c>
      <c r="G15" s="21">
        <f t="shared" si="1"/>
        <v>0.885666623893237</v>
      </c>
      <c r="H15" s="69">
        <v>4</v>
      </c>
      <c r="I15" s="42">
        <f t="shared" si="2"/>
        <v>0.235294117647059</v>
      </c>
      <c r="P15" s="52" t="s">
        <v>380</v>
      </c>
      <c r="Q15" s="52">
        <v>1235.8</v>
      </c>
      <c r="R15" s="52">
        <v>7</v>
      </c>
      <c r="S15" s="52">
        <v>1</v>
      </c>
      <c r="U15" s="52" t="s">
        <v>376</v>
      </c>
      <c r="V15" s="52">
        <v>1596.6</v>
      </c>
      <c r="W15" s="52">
        <v>10</v>
      </c>
      <c r="X15" s="52">
        <v>2</v>
      </c>
    </row>
    <row r="16" ht="14.25" spans="1:24">
      <c r="A16" s="51">
        <v>44820</v>
      </c>
      <c r="B16" s="52">
        <v>10</v>
      </c>
      <c r="C16" s="73">
        <v>13</v>
      </c>
      <c r="D16" s="20">
        <v>3549.78</v>
      </c>
      <c r="E16" s="19">
        <f t="shared" si="0"/>
        <v>354.978</v>
      </c>
      <c r="F16" s="74">
        <v>3549.78</v>
      </c>
      <c r="G16" s="21">
        <f t="shared" si="1"/>
        <v>1</v>
      </c>
      <c r="H16" s="69">
        <v>1</v>
      </c>
      <c r="I16" s="42">
        <f t="shared" si="2"/>
        <v>0.1</v>
      </c>
      <c r="P16" s="52" t="s">
        <v>386</v>
      </c>
      <c r="Q16" s="52">
        <v>1197.02</v>
      </c>
      <c r="R16" s="52">
        <v>4</v>
      </c>
      <c r="S16" s="52">
        <v>2</v>
      </c>
      <c r="U16" s="52" t="s">
        <v>387</v>
      </c>
      <c r="V16" s="52">
        <v>1586.5</v>
      </c>
      <c r="W16" s="52">
        <v>15</v>
      </c>
      <c r="X16" s="52">
        <v>4</v>
      </c>
    </row>
    <row r="17" ht="14.25" spans="1:24">
      <c r="A17" s="65">
        <v>44829</v>
      </c>
      <c r="B17" s="39">
        <v>46</v>
      </c>
      <c r="C17" s="39">
        <v>56</v>
      </c>
      <c r="D17" s="19">
        <v>12976.92</v>
      </c>
      <c r="E17" s="19">
        <f t="shared" si="0"/>
        <v>282.106956521739</v>
      </c>
      <c r="F17" s="19">
        <v>8071.42</v>
      </c>
      <c r="G17" s="21">
        <f t="shared" si="1"/>
        <v>0.621982720090746</v>
      </c>
      <c r="H17" s="75">
        <v>22</v>
      </c>
      <c r="I17" s="42">
        <f t="shared" si="2"/>
        <v>0.478260869565217</v>
      </c>
      <c r="P17" s="52" t="s">
        <v>388</v>
      </c>
      <c r="Q17" s="52">
        <v>1124.9</v>
      </c>
      <c r="R17" s="52">
        <v>5</v>
      </c>
      <c r="S17" s="52">
        <v>4</v>
      </c>
      <c r="U17" s="52" t="s">
        <v>377</v>
      </c>
      <c r="V17" s="52">
        <v>1502</v>
      </c>
      <c r="W17" s="52">
        <v>6</v>
      </c>
      <c r="X17" s="52">
        <v>2</v>
      </c>
    </row>
    <row r="18" ht="14.25" spans="1:24">
      <c r="A18" s="51">
        <v>44830</v>
      </c>
      <c r="B18" s="39">
        <v>46</v>
      </c>
      <c r="C18" s="39">
        <v>46</v>
      </c>
      <c r="D18" s="19">
        <v>8516.24</v>
      </c>
      <c r="E18" s="19">
        <f t="shared" si="0"/>
        <v>185.135652173913</v>
      </c>
      <c r="F18" s="19">
        <v>8288.22</v>
      </c>
      <c r="G18" s="21">
        <f t="shared" si="1"/>
        <v>0.973225273125229</v>
      </c>
      <c r="H18" s="75">
        <v>4</v>
      </c>
      <c r="I18" s="42">
        <f t="shared" si="2"/>
        <v>0.0869565217391304</v>
      </c>
      <c r="P18" s="52" t="s">
        <v>389</v>
      </c>
      <c r="Q18" s="52">
        <v>1107.9</v>
      </c>
      <c r="R18" s="52">
        <v>4</v>
      </c>
      <c r="S18" s="52">
        <v>2</v>
      </c>
      <c r="U18" s="52" t="s">
        <v>390</v>
      </c>
      <c r="V18" s="52">
        <v>1482.82</v>
      </c>
      <c r="W18" s="52">
        <v>16</v>
      </c>
      <c r="X18" s="52">
        <v>7</v>
      </c>
    </row>
    <row r="19" ht="14.25" spans="1:24">
      <c r="A19" s="51">
        <v>44831</v>
      </c>
      <c r="B19" s="39">
        <v>18</v>
      </c>
      <c r="C19" s="39">
        <v>18</v>
      </c>
      <c r="D19" s="19">
        <v>5548.9</v>
      </c>
      <c r="E19" s="19">
        <f t="shared" si="0"/>
        <v>308.272222222222</v>
      </c>
      <c r="F19" s="19">
        <v>4694</v>
      </c>
      <c r="G19" s="21">
        <f t="shared" si="1"/>
        <v>0.84593342824704</v>
      </c>
      <c r="H19" s="75">
        <v>5</v>
      </c>
      <c r="I19" s="42">
        <f t="shared" si="2"/>
        <v>0.277777777777778</v>
      </c>
      <c r="P19" s="52" t="s">
        <v>375</v>
      </c>
      <c r="Q19" s="52">
        <v>1099.88</v>
      </c>
      <c r="R19" s="52">
        <v>7</v>
      </c>
      <c r="S19" s="52">
        <v>5</v>
      </c>
      <c r="U19" s="52" t="s">
        <v>379</v>
      </c>
      <c r="V19" s="52">
        <v>1452</v>
      </c>
      <c r="W19" s="52">
        <v>3</v>
      </c>
      <c r="X19" s="52">
        <v>2</v>
      </c>
    </row>
    <row r="20" ht="14.25" spans="1:24">
      <c r="A20" s="51">
        <v>44833</v>
      </c>
      <c r="B20" s="39"/>
      <c r="C20" s="39"/>
      <c r="D20" s="39"/>
      <c r="E20" s="19" t="e">
        <f t="shared" si="0"/>
        <v>#DIV/0!</v>
      </c>
      <c r="F20" s="76"/>
      <c r="G20" s="21" t="e">
        <f t="shared" si="1"/>
        <v>#DIV/0!</v>
      </c>
      <c r="H20" s="76"/>
      <c r="I20" s="42" t="e">
        <f t="shared" si="2"/>
        <v>#DIV/0!</v>
      </c>
      <c r="P20" s="52" t="s">
        <v>391</v>
      </c>
      <c r="Q20" s="52">
        <v>1095</v>
      </c>
      <c r="R20" s="52">
        <v>3</v>
      </c>
      <c r="S20" s="52">
        <v>2</v>
      </c>
      <c r="U20" s="52" t="s">
        <v>381</v>
      </c>
      <c r="V20" s="52">
        <v>1445</v>
      </c>
      <c r="W20" s="52">
        <v>4</v>
      </c>
      <c r="X20" s="52">
        <v>2</v>
      </c>
    </row>
    <row r="21" ht="14.25" spans="1:24">
      <c r="A21" s="51">
        <v>44834</v>
      </c>
      <c r="B21" s="39"/>
      <c r="C21" s="39"/>
      <c r="D21" s="39"/>
      <c r="E21" s="19" t="e">
        <f t="shared" si="0"/>
        <v>#DIV/0!</v>
      </c>
      <c r="F21" s="76"/>
      <c r="G21" s="21" t="e">
        <f t="shared" si="1"/>
        <v>#DIV/0!</v>
      </c>
      <c r="H21" s="76"/>
      <c r="I21" s="42" t="e">
        <f t="shared" si="2"/>
        <v>#DIV/0!</v>
      </c>
      <c r="P21" s="52" t="s">
        <v>392</v>
      </c>
      <c r="Q21" s="52">
        <v>1088.92</v>
      </c>
      <c r="R21" s="52">
        <v>6</v>
      </c>
      <c r="S21" s="52">
        <v>3</v>
      </c>
      <c r="U21" s="52" t="s">
        <v>383</v>
      </c>
      <c r="V21" s="52">
        <v>1430.4</v>
      </c>
      <c r="W21" s="52">
        <v>10</v>
      </c>
      <c r="X21" s="52">
        <v>5</v>
      </c>
    </row>
    <row r="22" ht="14.25" spans="1:24">
      <c r="A22" s="29" t="s">
        <v>101</v>
      </c>
      <c r="B22" s="30"/>
      <c r="C22" s="30"/>
      <c r="D22" s="31"/>
      <c r="E22" s="31"/>
      <c r="F22" s="31"/>
      <c r="G22" s="77"/>
      <c r="H22" s="33"/>
      <c r="I22" s="44"/>
      <c r="P22" s="52" t="s">
        <v>387</v>
      </c>
      <c r="Q22" s="52">
        <v>1075.8</v>
      </c>
      <c r="R22" s="52">
        <v>6</v>
      </c>
      <c r="S22" s="52">
        <v>1</v>
      </c>
      <c r="U22" s="52" t="s">
        <v>393</v>
      </c>
      <c r="V22" s="52">
        <v>1405.15</v>
      </c>
      <c r="W22" s="52">
        <v>23</v>
      </c>
      <c r="X22" s="52">
        <v>7</v>
      </c>
    </row>
    <row r="23" ht="14.25" spans="1:24">
      <c r="A23" s="50" t="s">
        <v>88</v>
      </c>
      <c r="B23" s="50">
        <f>SUM(B8:B21)</f>
        <v>545</v>
      </c>
      <c r="C23" s="50">
        <f>SUM(C8:C21)</f>
        <v>783</v>
      </c>
      <c r="D23" s="78">
        <f>SUM(D8:D21)</f>
        <v>115719.6</v>
      </c>
      <c r="E23" s="79"/>
      <c r="F23" s="78">
        <f>SUM(F8:F21)</f>
        <v>86212.76</v>
      </c>
      <c r="G23" s="80"/>
      <c r="H23" s="64">
        <f>SUM(H8:H21)</f>
        <v>139</v>
      </c>
      <c r="I23" s="80"/>
      <c r="P23" s="52" t="s">
        <v>394</v>
      </c>
      <c r="Q23" s="52">
        <v>958.6</v>
      </c>
      <c r="R23" s="52">
        <v>7</v>
      </c>
      <c r="S23" s="52">
        <v>2</v>
      </c>
      <c r="U23" s="52" t="s">
        <v>385</v>
      </c>
      <c r="V23" s="52">
        <v>1342</v>
      </c>
      <c r="W23" s="52">
        <v>4</v>
      </c>
      <c r="X23" s="52">
        <v>1</v>
      </c>
    </row>
    <row r="24" ht="14.25" spans="16:24">
      <c r="P24" s="52" t="s">
        <v>395</v>
      </c>
      <c r="Q24" s="52">
        <v>933.9</v>
      </c>
      <c r="R24" s="52">
        <v>4</v>
      </c>
      <c r="S24" s="52">
        <v>1</v>
      </c>
      <c r="U24" s="52" t="s">
        <v>386</v>
      </c>
      <c r="V24" s="52">
        <v>1282.02</v>
      </c>
      <c r="W24" s="52">
        <v>5</v>
      </c>
      <c r="X24" s="52">
        <v>3</v>
      </c>
    </row>
    <row r="25" ht="14.25" spans="16:24">
      <c r="P25" s="52" t="s">
        <v>378</v>
      </c>
      <c r="Q25" s="52">
        <v>929</v>
      </c>
      <c r="R25" s="52">
        <v>2</v>
      </c>
      <c r="S25" s="52">
        <v>1</v>
      </c>
      <c r="U25" s="52" t="s">
        <v>396</v>
      </c>
      <c r="V25" s="52">
        <v>1278.42</v>
      </c>
      <c r="W25" s="52">
        <v>24</v>
      </c>
      <c r="X25" s="52">
        <v>11</v>
      </c>
    </row>
    <row r="26" ht="14.25" spans="21:24">
      <c r="U26" s="52" t="s">
        <v>397</v>
      </c>
      <c r="V26" s="52">
        <v>1242.2</v>
      </c>
      <c r="W26" s="52">
        <v>18</v>
      </c>
      <c r="X26" s="52">
        <v>10</v>
      </c>
    </row>
    <row r="27" ht="14.25" spans="21:24">
      <c r="U27" s="52" t="s">
        <v>398</v>
      </c>
      <c r="V27" s="52">
        <v>1199.29</v>
      </c>
      <c r="W27" s="52">
        <v>13</v>
      </c>
      <c r="X27" s="52">
        <v>4</v>
      </c>
    </row>
    <row r="28" ht="14.25" spans="21:24">
      <c r="U28" s="52" t="s">
        <v>399</v>
      </c>
      <c r="V28" s="52">
        <v>1175.3</v>
      </c>
      <c r="W28" s="52">
        <v>17</v>
      </c>
      <c r="X28" s="52">
        <v>3</v>
      </c>
    </row>
    <row r="29" ht="14.25" spans="21:24">
      <c r="U29" s="52" t="s">
        <v>400</v>
      </c>
      <c r="V29" s="52">
        <v>1158.45</v>
      </c>
      <c r="W29" s="52">
        <v>16</v>
      </c>
      <c r="X29" s="52">
        <v>5</v>
      </c>
    </row>
    <row r="30" ht="14.25" spans="21:24">
      <c r="U30" s="52" t="s">
        <v>401</v>
      </c>
      <c r="V30" s="52">
        <v>1155.6</v>
      </c>
      <c r="W30" s="52">
        <v>10</v>
      </c>
      <c r="X30" s="52">
        <v>3</v>
      </c>
    </row>
    <row r="31" ht="14.25" spans="21:24">
      <c r="U31" s="52" t="s">
        <v>392</v>
      </c>
      <c r="V31" s="52">
        <v>1136.72</v>
      </c>
      <c r="W31" s="52">
        <v>9</v>
      </c>
      <c r="X31" s="52">
        <v>5</v>
      </c>
    </row>
    <row r="32" ht="14.25" spans="21:24">
      <c r="U32" s="52" t="s">
        <v>388</v>
      </c>
      <c r="V32" s="52">
        <v>1124.9</v>
      </c>
      <c r="W32" s="52">
        <v>5</v>
      </c>
      <c r="X32" s="52">
        <v>4</v>
      </c>
    </row>
    <row r="33" ht="14.25" spans="21:24">
      <c r="U33" s="52" t="s">
        <v>402</v>
      </c>
      <c r="V33" s="52">
        <v>1114.4</v>
      </c>
      <c r="W33" s="52">
        <v>12</v>
      </c>
      <c r="X33" s="52">
        <v>5</v>
      </c>
    </row>
    <row r="34" ht="14.25" spans="21:24">
      <c r="U34" s="52" t="s">
        <v>389</v>
      </c>
      <c r="V34" s="52">
        <v>1107.9</v>
      </c>
      <c r="W34" s="52">
        <v>4</v>
      </c>
      <c r="X34" s="52">
        <v>2</v>
      </c>
    </row>
    <row r="35" ht="14.25" spans="21:24">
      <c r="U35" s="52" t="s">
        <v>403</v>
      </c>
      <c r="V35" s="52">
        <v>1100.82</v>
      </c>
      <c r="W35" s="52">
        <v>10</v>
      </c>
      <c r="X35" s="52">
        <v>7</v>
      </c>
    </row>
    <row r="36" ht="14.25" spans="21:24">
      <c r="U36" s="52" t="s">
        <v>391</v>
      </c>
      <c r="V36" s="52">
        <v>1095</v>
      </c>
      <c r="W36" s="52">
        <v>3</v>
      </c>
      <c r="X36" s="52">
        <v>2</v>
      </c>
    </row>
    <row r="37" ht="14.25" spans="21:24">
      <c r="U37" s="52" t="s">
        <v>404</v>
      </c>
      <c r="V37" s="52">
        <v>1093.68</v>
      </c>
      <c r="W37" s="52">
        <v>20</v>
      </c>
      <c r="X37" s="52">
        <v>8</v>
      </c>
    </row>
    <row r="38" ht="14.25" spans="21:24">
      <c r="U38" s="52" t="s">
        <v>405</v>
      </c>
      <c r="V38" s="52">
        <v>1081.9</v>
      </c>
      <c r="W38" s="52">
        <v>18</v>
      </c>
      <c r="X38" s="52">
        <v>11</v>
      </c>
    </row>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sheetData>
  <conditionalFormatting sqref="B8:B16">
    <cfRule type="top10" dxfId="8" priority="129" percent="1" rank="10"/>
    <cfRule type="top10" dxfId="7" priority="131" percent="1" bottom="1" rank="10"/>
  </conditionalFormatting>
  <conditionalFormatting sqref="C8:C16">
    <cfRule type="top10" dxfId="7" priority="164" percent="1" bottom="1" rank="10"/>
    <cfRule type="top10" dxfId="8" priority="165" percent="1" rank="10"/>
  </conditionalFormatting>
  <conditionalFormatting sqref="E8:E21">
    <cfRule type="top10" dxfId="8" priority="133" percent="1" rank="10"/>
    <cfRule type="top10" dxfId="8" priority="134" percent="1" rank="10"/>
    <cfRule type="top10" dxfId="7" priority="139" percent="1" bottom="1" rank="10"/>
    <cfRule type="top10" dxfId="8" priority="140" percent="1" rank="10"/>
    <cfRule type="top10" dxfId="7" priority="141" percent="1" bottom="1" rank="10"/>
  </conditionalFormatting>
  <conditionalFormatting sqref="F8:F15">
    <cfRule type="top10" dxfId="8" priority="148" percent="1" rank="10"/>
    <cfRule type="top10" dxfId="7" priority="150" percent="1" bottom="1" rank="10"/>
  </conditionalFormatting>
  <conditionalFormatting sqref="G8:G21">
    <cfRule type="top10" dxfId="8" priority="152" percent="1" rank="10"/>
    <cfRule type="top10" dxfId="7" priority="154" percent="1" bottom="1" rank="10"/>
  </conditionalFormatting>
  <conditionalFormatting sqref="H8:H16">
    <cfRule type="top10" dxfId="8" priority="156" percent="1" rank="10"/>
    <cfRule type="top10" dxfId="7" priority="158" percent="1" bottom="1" rank="10"/>
  </conditionalFormatting>
  <conditionalFormatting sqref="I8:I21">
    <cfRule type="top10" dxfId="8" priority="160" percent="1" rank="10"/>
    <cfRule type="top10" dxfId="7" priority="162" percent="1" bottom="1" rank="10"/>
  </conditionalFormatting>
  <conditionalFormatting sqref="D8:D15 D17:D21">
    <cfRule type="top10" dxfId="7" priority="1" percent="1" bottom="1" rank="5"/>
    <cfRule type="top10" dxfId="8" priority="2" percent="1" rank="5"/>
  </conditionalFormatting>
  <pageMargins left="0.7" right="0.7" top="0.75" bottom="0.75" header="0.3" footer="0.3"/>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669"/>
  <sheetViews>
    <sheetView topLeftCell="E7" workbookViewId="0">
      <selection activeCell="O42" sqref="O10:R42"/>
    </sheetView>
  </sheetViews>
  <sheetFormatPr defaultColWidth="9" defaultRowHeight="14.25"/>
  <cols>
    <col min="1" max="1" width="15.75"/>
    <col min="2" max="5" width="19.625"/>
    <col min="8" max="8" width="10" customWidth="1"/>
    <col min="10" max="10" width="13" customWidth="1"/>
    <col min="11" max="11" width="11" customWidth="1"/>
    <col min="12" max="12" width="13" customWidth="1"/>
    <col min="15" max="15" width="31.625"/>
    <col min="16" max="16" width="19.75"/>
    <col min="17" max="17" width="17.625"/>
    <col min="18" max="18" width="19.75"/>
  </cols>
  <sheetData>
    <row r="1" spans="1:2">
      <c r="A1" t="s">
        <v>406</v>
      </c>
      <c r="B1" t="s">
        <v>407</v>
      </c>
    </row>
    <row r="2" spans="1:2">
      <c r="A2" t="s">
        <v>408</v>
      </c>
      <c r="B2" t="s">
        <v>409</v>
      </c>
    </row>
    <row r="3" spans="1:2">
      <c r="A3" t="s">
        <v>410</v>
      </c>
      <c r="B3" t="s">
        <v>411</v>
      </c>
    </row>
    <row r="4" spans="1:2">
      <c r="A4" t="s">
        <v>412</v>
      </c>
      <c r="B4" t="s">
        <v>413</v>
      </c>
    </row>
    <row r="5" spans="1:2">
      <c r="A5" t="s">
        <v>414</v>
      </c>
      <c r="B5" t="s">
        <v>415</v>
      </c>
    </row>
    <row r="6" spans="1:2">
      <c r="A6" t="s">
        <v>416</v>
      </c>
      <c r="B6" t="s">
        <v>411</v>
      </c>
    </row>
    <row r="7" spans="15:16">
      <c r="O7" t="s">
        <v>186</v>
      </c>
      <c r="P7" t="s">
        <v>409</v>
      </c>
    </row>
    <row r="8" spans="1:12">
      <c r="A8" t="s">
        <v>417</v>
      </c>
      <c r="B8" t="s">
        <v>418</v>
      </c>
      <c r="C8" t="s">
        <v>419</v>
      </c>
      <c r="H8" s="50" t="s">
        <v>186</v>
      </c>
      <c r="I8" s="50" t="s">
        <v>362</v>
      </c>
      <c r="J8" s="50" t="s">
        <v>363</v>
      </c>
      <c r="K8" s="50" t="s">
        <v>364</v>
      </c>
      <c r="L8" s="50" t="s">
        <v>365</v>
      </c>
    </row>
    <row r="9" spans="1:18">
      <c r="A9" t="s">
        <v>420</v>
      </c>
      <c r="B9">
        <v>599</v>
      </c>
      <c r="C9">
        <v>1</v>
      </c>
      <c r="H9" s="51">
        <v>44808</v>
      </c>
      <c r="I9" s="52" t="s">
        <v>380</v>
      </c>
      <c r="J9" s="53">
        <v>1235.8</v>
      </c>
      <c r="K9" s="53">
        <v>7</v>
      </c>
      <c r="L9" s="52">
        <v>1</v>
      </c>
      <c r="O9" t="s">
        <v>227</v>
      </c>
      <c r="P9" t="s">
        <v>421</v>
      </c>
      <c r="Q9" t="s">
        <v>422</v>
      </c>
      <c r="R9" t="s">
        <v>423</v>
      </c>
    </row>
    <row r="10" spans="1:18">
      <c r="A10" t="s">
        <v>424</v>
      </c>
      <c r="B10">
        <v>269</v>
      </c>
      <c r="C10">
        <v>1</v>
      </c>
      <c r="H10" s="51">
        <v>44808</v>
      </c>
      <c r="I10" s="52" t="s">
        <v>425</v>
      </c>
      <c r="J10" s="53">
        <v>631.11</v>
      </c>
      <c r="K10" s="53">
        <v>6</v>
      </c>
      <c r="L10" s="52">
        <v>1</v>
      </c>
      <c r="O10" s="54" t="s">
        <v>366</v>
      </c>
      <c r="P10">
        <v>3918</v>
      </c>
      <c r="Q10">
        <v>14</v>
      </c>
      <c r="R10">
        <v>2</v>
      </c>
    </row>
    <row r="11" spans="1:18">
      <c r="A11" t="s">
        <v>381</v>
      </c>
      <c r="B11">
        <v>259</v>
      </c>
      <c r="C11">
        <v>1</v>
      </c>
      <c r="H11" s="51">
        <v>44808</v>
      </c>
      <c r="I11" s="52" t="s">
        <v>379</v>
      </c>
      <c r="J11" s="53">
        <v>602</v>
      </c>
      <c r="K11" s="53">
        <v>2</v>
      </c>
      <c r="L11" s="52">
        <v>1</v>
      </c>
      <c r="O11" s="54" t="s">
        <v>373</v>
      </c>
      <c r="P11">
        <v>2922.86</v>
      </c>
      <c r="Q11">
        <v>30</v>
      </c>
      <c r="R11">
        <v>10</v>
      </c>
    </row>
    <row r="12" spans="1:18">
      <c r="A12" t="s">
        <v>88</v>
      </c>
      <c r="B12">
        <v>1127</v>
      </c>
      <c r="C12">
        <v>3</v>
      </c>
      <c r="H12" s="51">
        <v>44808</v>
      </c>
      <c r="I12" s="52" t="s">
        <v>402</v>
      </c>
      <c r="J12" s="53">
        <v>559.8</v>
      </c>
      <c r="K12" s="53">
        <v>4</v>
      </c>
      <c r="L12" s="52">
        <v>1</v>
      </c>
      <c r="O12" s="54" t="s">
        <v>375</v>
      </c>
      <c r="P12">
        <v>2796.94</v>
      </c>
      <c r="Q12">
        <v>27</v>
      </c>
      <c r="R12">
        <v>15</v>
      </c>
    </row>
    <row r="13" spans="8:18">
      <c r="H13" s="51">
        <v>44808</v>
      </c>
      <c r="I13" s="52" t="s">
        <v>426</v>
      </c>
      <c r="J13" s="53">
        <v>512.8</v>
      </c>
      <c r="K13" s="53">
        <v>4</v>
      </c>
      <c r="L13" s="52">
        <v>1</v>
      </c>
      <c r="O13" s="54" t="s">
        <v>372</v>
      </c>
      <c r="P13">
        <v>2028.7</v>
      </c>
      <c r="Q13">
        <v>9</v>
      </c>
      <c r="R13">
        <v>3</v>
      </c>
    </row>
    <row r="14" spans="8:18">
      <c r="H14" s="51">
        <v>44808</v>
      </c>
      <c r="I14" s="52" t="s">
        <v>427</v>
      </c>
      <c r="J14" s="53">
        <v>489.9</v>
      </c>
      <c r="K14" s="53">
        <v>4</v>
      </c>
      <c r="L14" s="52">
        <v>1</v>
      </c>
      <c r="O14" s="54" t="s">
        <v>378</v>
      </c>
      <c r="P14">
        <v>2026.81</v>
      </c>
      <c r="Q14">
        <v>12</v>
      </c>
      <c r="R14">
        <v>7</v>
      </c>
    </row>
    <row r="15" spans="8:18">
      <c r="H15" s="51">
        <v>44808</v>
      </c>
      <c r="I15" s="52" t="s">
        <v>428</v>
      </c>
      <c r="J15" s="53">
        <v>420.7</v>
      </c>
      <c r="K15" s="53">
        <v>5</v>
      </c>
      <c r="L15" s="52">
        <v>1</v>
      </c>
      <c r="O15" s="54" t="s">
        <v>380</v>
      </c>
      <c r="P15">
        <v>1747.7</v>
      </c>
      <c r="Q15">
        <v>11</v>
      </c>
      <c r="R15">
        <v>2</v>
      </c>
    </row>
    <row r="16" spans="8:18">
      <c r="H16" s="51">
        <v>44808</v>
      </c>
      <c r="I16" s="52" t="s">
        <v>429</v>
      </c>
      <c r="J16" s="53">
        <v>401.8</v>
      </c>
      <c r="K16" s="53">
        <v>4</v>
      </c>
      <c r="L16" s="52">
        <v>1</v>
      </c>
      <c r="O16" s="54" t="s">
        <v>382</v>
      </c>
      <c r="P16">
        <v>1746.94</v>
      </c>
      <c r="Q16">
        <v>35</v>
      </c>
      <c r="R16">
        <v>9</v>
      </c>
    </row>
    <row r="17" spans="8:18">
      <c r="H17" s="51">
        <v>44808</v>
      </c>
      <c r="I17" s="52" t="s">
        <v>430</v>
      </c>
      <c r="J17" s="53">
        <v>369.8</v>
      </c>
      <c r="K17" s="53">
        <v>5</v>
      </c>
      <c r="L17" s="52">
        <v>1</v>
      </c>
      <c r="O17" s="54" t="s">
        <v>384</v>
      </c>
      <c r="P17">
        <v>1734.13</v>
      </c>
      <c r="Q17">
        <v>27</v>
      </c>
      <c r="R17">
        <v>9</v>
      </c>
    </row>
    <row r="18" spans="8:18">
      <c r="H18" s="51">
        <v>44808</v>
      </c>
      <c r="I18" s="52" t="s">
        <v>431</v>
      </c>
      <c r="J18" s="53">
        <v>369.8</v>
      </c>
      <c r="K18" s="53">
        <v>4</v>
      </c>
      <c r="L18" s="52">
        <v>1</v>
      </c>
      <c r="O18" s="54" t="s">
        <v>374</v>
      </c>
      <c r="P18">
        <v>1655.8</v>
      </c>
      <c r="Q18">
        <v>11</v>
      </c>
      <c r="R18">
        <v>6</v>
      </c>
    </row>
    <row r="19" spans="8:18">
      <c r="H19" s="51">
        <v>44808</v>
      </c>
      <c r="I19" s="52" t="s">
        <v>432</v>
      </c>
      <c r="J19" s="53">
        <v>360.9</v>
      </c>
      <c r="K19" s="53">
        <v>3</v>
      </c>
      <c r="L19" s="52">
        <v>1</v>
      </c>
      <c r="O19" s="54" t="s">
        <v>376</v>
      </c>
      <c r="P19">
        <v>1596.6</v>
      </c>
      <c r="Q19">
        <v>10</v>
      </c>
      <c r="R19">
        <v>2</v>
      </c>
    </row>
    <row r="20" spans="8:18">
      <c r="H20" s="51">
        <v>44808</v>
      </c>
      <c r="I20" s="52" t="s">
        <v>433</v>
      </c>
      <c r="J20" s="53">
        <v>344</v>
      </c>
      <c r="K20" s="53">
        <v>2</v>
      </c>
      <c r="L20" s="52">
        <v>1</v>
      </c>
      <c r="O20" s="54" t="s">
        <v>387</v>
      </c>
      <c r="P20">
        <v>1586.5</v>
      </c>
      <c r="Q20">
        <v>15</v>
      </c>
      <c r="R20">
        <v>4</v>
      </c>
    </row>
    <row r="21" spans="8:18">
      <c r="H21" s="51">
        <v>44808</v>
      </c>
      <c r="I21" s="52" t="s">
        <v>434</v>
      </c>
      <c r="J21" s="53">
        <v>343</v>
      </c>
      <c r="K21" s="53">
        <v>2</v>
      </c>
      <c r="L21" s="52">
        <v>1</v>
      </c>
      <c r="O21" s="54" t="s">
        <v>377</v>
      </c>
      <c r="P21">
        <v>1502</v>
      </c>
      <c r="Q21">
        <v>6</v>
      </c>
      <c r="R21">
        <v>2</v>
      </c>
    </row>
    <row r="22" spans="8:18">
      <c r="H22" s="51">
        <v>44808</v>
      </c>
      <c r="I22" s="52" t="s">
        <v>435</v>
      </c>
      <c r="J22" s="53">
        <v>321.8</v>
      </c>
      <c r="K22" s="53">
        <v>3</v>
      </c>
      <c r="L22" s="52">
        <v>1</v>
      </c>
      <c r="O22" s="54" t="s">
        <v>390</v>
      </c>
      <c r="P22">
        <v>1482.82</v>
      </c>
      <c r="Q22">
        <v>16</v>
      </c>
      <c r="R22">
        <v>7</v>
      </c>
    </row>
    <row r="23" spans="8:18">
      <c r="H23" s="51">
        <v>44808</v>
      </c>
      <c r="I23" s="52" t="s">
        <v>436</v>
      </c>
      <c r="J23" s="53">
        <v>316</v>
      </c>
      <c r="K23" s="53">
        <v>2</v>
      </c>
      <c r="L23" s="52">
        <v>1</v>
      </c>
      <c r="O23" s="54" t="s">
        <v>379</v>
      </c>
      <c r="P23">
        <v>1452</v>
      </c>
      <c r="Q23">
        <v>3</v>
      </c>
      <c r="R23">
        <v>2</v>
      </c>
    </row>
    <row r="24" spans="8:18">
      <c r="H24" s="51">
        <v>44808</v>
      </c>
      <c r="I24" s="52" t="s">
        <v>437</v>
      </c>
      <c r="J24" s="53">
        <v>314</v>
      </c>
      <c r="K24" s="53">
        <v>2</v>
      </c>
      <c r="L24" s="52">
        <v>1</v>
      </c>
      <c r="O24" s="54" t="s">
        <v>381</v>
      </c>
      <c r="P24">
        <v>1445</v>
      </c>
      <c r="Q24">
        <v>4</v>
      </c>
      <c r="R24">
        <v>2</v>
      </c>
    </row>
    <row r="25" spans="8:18">
      <c r="H25" s="51">
        <v>44808</v>
      </c>
      <c r="I25" s="52" t="s">
        <v>438</v>
      </c>
      <c r="J25" s="53">
        <v>298.9</v>
      </c>
      <c r="K25" s="53">
        <v>2</v>
      </c>
      <c r="L25" s="52">
        <v>1</v>
      </c>
      <c r="O25" s="54" t="s">
        <v>383</v>
      </c>
      <c r="P25">
        <v>1430.4</v>
      </c>
      <c r="Q25">
        <v>10</v>
      </c>
      <c r="R25">
        <v>5</v>
      </c>
    </row>
    <row r="26" spans="8:18">
      <c r="H26" s="51">
        <v>44808</v>
      </c>
      <c r="I26" s="52" t="s">
        <v>439</v>
      </c>
      <c r="J26" s="53">
        <v>287.9</v>
      </c>
      <c r="K26" s="53">
        <v>2</v>
      </c>
      <c r="L26" s="52">
        <v>1</v>
      </c>
      <c r="O26" s="54" t="s">
        <v>393</v>
      </c>
      <c r="P26">
        <v>1405.15</v>
      </c>
      <c r="Q26">
        <v>23</v>
      </c>
      <c r="R26">
        <v>7</v>
      </c>
    </row>
    <row r="27" spans="8:18">
      <c r="H27" s="51">
        <v>44808</v>
      </c>
      <c r="I27" s="52" t="s">
        <v>440</v>
      </c>
      <c r="J27" s="53">
        <v>268.9</v>
      </c>
      <c r="K27" s="53">
        <v>2</v>
      </c>
      <c r="L27" s="52">
        <v>1</v>
      </c>
      <c r="O27" s="54" t="s">
        <v>385</v>
      </c>
      <c r="P27">
        <v>1342</v>
      </c>
      <c r="Q27">
        <v>4</v>
      </c>
      <c r="R27">
        <v>1</v>
      </c>
    </row>
    <row r="28" spans="8:18">
      <c r="H28" s="51">
        <v>44808</v>
      </c>
      <c r="I28" s="52" t="s">
        <v>441</v>
      </c>
      <c r="J28" s="53">
        <v>268.9</v>
      </c>
      <c r="K28" s="53">
        <v>2</v>
      </c>
      <c r="L28" s="52">
        <v>1</v>
      </c>
      <c r="O28" s="54" t="s">
        <v>386</v>
      </c>
      <c r="P28">
        <v>1282.02</v>
      </c>
      <c r="Q28">
        <v>5</v>
      </c>
      <c r="R28">
        <v>3</v>
      </c>
    </row>
    <row r="29" spans="8:18">
      <c r="H29" s="51">
        <v>44808</v>
      </c>
      <c r="I29" s="52" t="s">
        <v>442</v>
      </c>
      <c r="J29" s="53">
        <v>259</v>
      </c>
      <c r="K29" s="53">
        <v>1</v>
      </c>
      <c r="L29" s="52">
        <v>1</v>
      </c>
      <c r="O29" s="54" t="s">
        <v>396</v>
      </c>
      <c r="P29">
        <v>1278.42</v>
      </c>
      <c r="Q29">
        <v>24</v>
      </c>
      <c r="R29">
        <v>11</v>
      </c>
    </row>
    <row r="30" spans="8:18">
      <c r="H30" s="51">
        <v>44808</v>
      </c>
      <c r="I30" s="52" t="s">
        <v>443</v>
      </c>
      <c r="J30" s="53">
        <v>249</v>
      </c>
      <c r="K30" s="53">
        <v>1</v>
      </c>
      <c r="L30" s="52">
        <v>1</v>
      </c>
      <c r="O30" s="54" t="s">
        <v>397</v>
      </c>
      <c r="P30">
        <v>1242.2</v>
      </c>
      <c r="Q30">
        <v>18</v>
      </c>
      <c r="R30">
        <v>10</v>
      </c>
    </row>
    <row r="31" spans="8:18">
      <c r="H31" s="51">
        <v>44808</v>
      </c>
      <c r="I31" s="52" t="s">
        <v>444</v>
      </c>
      <c r="J31" s="53">
        <v>249</v>
      </c>
      <c r="K31" s="53">
        <v>1</v>
      </c>
      <c r="L31" s="52">
        <v>1</v>
      </c>
      <c r="O31" s="54" t="s">
        <v>398</v>
      </c>
      <c r="P31">
        <v>1199.29</v>
      </c>
      <c r="Q31">
        <v>13</v>
      </c>
      <c r="R31">
        <v>4</v>
      </c>
    </row>
    <row r="32" spans="8:18">
      <c r="H32" s="51">
        <v>44808</v>
      </c>
      <c r="I32" s="52" t="s">
        <v>445</v>
      </c>
      <c r="J32" s="53">
        <v>249</v>
      </c>
      <c r="K32" s="53">
        <v>1</v>
      </c>
      <c r="L32" s="52">
        <v>1</v>
      </c>
      <c r="O32" s="54" t="s">
        <v>399</v>
      </c>
      <c r="P32">
        <v>1175.3</v>
      </c>
      <c r="Q32">
        <v>17</v>
      </c>
      <c r="R32">
        <v>3</v>
      </c>
    </row>
    <row r="33" spans="8:18">
      <c r="H33" s="51">
        <v>44808</v>
      </c>
      <c r="I33" s="52" t="s">
        <v>446</v>
      </c>
      <c r="J33" s="53">
        <v>249</v>
      </c>
      <c r="K33" s="53">
        <v>1</v>
      </c>
      <c r="L33" s="52">
        <v>1</v>
      </c>
      <c r="O33" s="54" t="s">
        <v>400</v>
      </c>
      <c r="P33">
        <v>1158.45</v>
      </c>
      <c r="Q33">
        <v>16</v>
      </c>
      <c r="R33">
        <v>5</v>
      </c>
    </row>
    <row r="34" spans="8:18">
      <c r="H34" s="51">
        <v>44808</v>
      </c>
      <c r="I34" s="52" t="s">
        <v>447</v>
      </c>
      <c r="J34" s="53">
        <v>249</v>
      </c>
      <c r="K34" s="53">
        <v>1</v>
      </c>
      <c r="L34" s="52">
        <v>1</v>
      </c>
      <c r="O34" s="54" t="s">
        <v>401</v>
      </c>
      <c r="P34">
        <v>1155.6</v>
      </c>
      <c r="Q34">
        <v>10</v>
      </c>
      <c r="R34">
        <v>3</v>
      </c>
    </row>
    <row r="35" spans="8:18">
      <c r="H35" s="51">
        <v>44808</v>
      </c>
      <c r="I35" s="52" t="s">
        <v>401</v>
      </c>
      <c r="J35" s="53">
        <v>248</v>
      </c>
      <c r="K35" s="53">
        <v>1</v>
      </c>
      <c r="L35" s="52">
        <v>1</v>
      </c>
      <c r="O35" s="54" t="s">
        <v>392</v>
      </c>
      <c r="P35">
        <v>1136.72</v>
      </c>
      <c r="Q35">
        <v>9</v>
      </c>
      <c r="R35">
        <v>5</v>
      </c>
    </row>
    <row r="36" spans="8:18">
      <c r="H36" s="51">
        <v>44808</v>
      </c>
      <c r="I36" s="52" t="s">
        <v>448</v>
      </c>
      <c r="J36" s="53">
        <v>245</v>
      </c>
      <c r="K36" s="53">
        <v>1</v>
      </c>
      <c r="L36" s="52">
        <v>1</v>
      </c>
      <c r="O36" s="54" t="s">
        <v>388</v>
      </c>
      <c r="P36">
        <v>1124.9</v>
      </c>
      <c r="Q36">
        <v>5</v>
      </c>
      <c r="R36">
        <v>4</v>
      </c>
    </row>
    <row r="37" spans="8:18">
      <c r="H37" s="51">
        <v>44808</v>
      </c>
      <c r="I37" s="52" t="s">
        <v>449</v>
      </c>
      <c r="J37" s="53">
        <v>244</v>
      </c>
      <c r="K37" s="53">
        <v>1</v>
      </c>
      <c r="L37" s="52">
        <v>1</v>
      </c>
      <c r="O37" s="54" t="s">
        <v>402</v>
      </c>
      <c r="P37">
        <v>1114.4</v>
      </c>
      <c r="Q37">
        <v>12</v>
      </c>
      <c r="R37">
        <v>5</v>
      </c>
    </row>
    <row r="38" spans="8:18">
      <c r="H38" s="51">
        <v>44808</v>
      </c>
      <c r="I38" s="52" t="s">
        <v>450</v>
      </c>
      <c r="J38" s="53">
        <v>242</v>
      </c>
      <c r="K38" s="53">
        <v>1</v>
      </c>
      <c r="L38" s="52">
        <v>1</v>
      </c>
      <c r="O38" s="54" t="s">
        <v>389</v>
      </c>
      <c r="P38">
        <v>1107.9</v>
      </c>
      <c r="Q38">
        <v>4</v>
      </c>
      <c r="R38">
        <v>2</v>
      </c>
    </row>
    <row r="39" spans="8:18">
      <c r="H39" s="51">
        <v>44808</v>
      </c>
      <c r="I39" s="52" t="s">
        <v>451</v>
      </c>
      <c r="J39" s="53">
        <v>235.9</v>
      </c>
      <c r="K39" s="53">
        <v>3</v>
      </c>
      <c r="L39" s="52">
        <v>1</v>
      </c>
      <c r="O39" s="54" t="s">
        <v>403</v>
      </c>
      <c r="P39">
        <v>1100.82</v>
      </c>
      <c r="Q39">
        <v>10</v>
      </c>
      <c r="R39">
        <v>7</v>
      </c>
    </row>
    <row r="40" spans="8:18">
      <c r="H40" s="51">
        <v>44808</v>
      </c>
      <c r="I40" s="52" t="s">
        <v>452</v>
      </c>
      <c r="J40" s="53">
        <v>219</v>
      </c>
      <c r="K40" s="53">
        <v>1</v>
      </c>
      <c r="L40" s="52">
        <v>1</v>
      </c>
      <c r="O40" s="54" t="s">
        <v>391</v>
      </c>
      <c r="P40">
        <v>1095</v>
      </c>
      <c r="Q40">
        <v>3</v>
      </c>
      <c r="R40">
        <v>2</v>
      </c>
    </row>
    <row r="41" spans="8:18">
      <c r="H41" s="51">
        <v>44808</v>
      </c>
      <c r="I41" s="52" t="s">
        <v>453</v>
      </c>
      <c r="J41" s="53">
        <v>219</v>
      </c>
      <c r="K41" s="53">
        <v>1</v>
      </c>
      <c r="L41" s="52">
        <v>1</v>
      </c>
      <c r="O41" s="54" t="s">
        <v>404</v>
      </c>
      <c r="P41">
        <v>1093.68</v>
      </c>
      <c r="Q41">
        <v>20</v>
      </c>
      <c r="R41">
        <v>8</v>
      </c>
    </row>
    <row r="42" spans="8:18">
      <c r="H42" s="51">
        <v>44808</v>
      </c>
      <c r="I42" s="52" t="s">
        <v>454</v>
      </c>
      <c r="J42" s="53">
        <v>213.6</v>
      </c>
      <c r="K42" s="53">
        <v>5</v>
      </c>
      <c r="L42" s="52">
        <v>1</v>
      </c>
      <c r="O42" s="54" t="s">
        <v>405</v>
      </c>
      <c r="P42">
        <v>1081.9</v>
      </c>
      <c r="Q42">
        <v>18</v>
      </c>
      <c r="R42">
        <v>11</v>
      </c>
    </row>
    <row r="43" spans="8:18">
      <c r="H43" s="51">
        <v>44808</v>
      </c>
      <c r="I43" s="52" t="s">
        <v>455</v>
      </c>
      <c r="J43" s="53">
        <v>201</v>
      </c>
      <c r="K43" s="53">
        <v>1</v>
      </c>
      <c r="L43" s="52">
        <v>1</v>
      </c>
      <c r="O43" s="54" t="s">
        <v>456</v>
      </c>
      <c r="P43">
        <v>1066.67</v>
      </c>
      <c r="Q43">
        <v>28</v>
      </c>
      <c r="R43">
        <v>15</v>
      </c>
    </row>
    <row r="44" spans="8:18">
      <c r="H44" s="51">
        <v>44808</v>
      </c>
      <c r="I44" s="52" t="s">
        <v>457</v>
      </c>
      <c r="J44" s="53">
        <v>177.8</v>
      </c>
      <c r="K44" s="53">
        <v>2</v>
      </c>
      <c r="L44" s="52">
        <v>1</v>
      </c>
      <c r="O44" s="54" t="s">
        <v>394</v>
      </c>
      <c r="P44">
        <v>958.6</v>
      </c>
      <c r="Q44">
        <v>7</v>
      </c>
      <c r="R44">
        <v>2</v>
      </c>
    </row>
    <row r="45" spans="8:18">
      <c r="H45" s="51">
        <v>44808</v>
      </c>
      <c r="I45" s="52" t="s">
        <v>458</v>
      </c>
      <c r="J45" s="53">
        <v>174.7</v>
      </c>
      <c r="K45" s="53">
        <v>4</v>
      </c>
      <c r="L45" s="52">
        <v>1</v>
      </c>
      <c r="O45" s="54" t="s">
        <v>459</v>
      </c>
      <c r="P45">
        <v>944.38</v>
      </c>
      <c r="Q45">
        <v>15</v>
      </c>
      <c r="R45">
        <v>1</v>
      </c>
    </row>
    <row r="46" spans="8:18">
      <c r="H46" s="51">
        <v>44808</v>
      </c>
      <c r="I46" s="52" t="s">
        <v>460</v>
      </c>
      <c r="J46" s="53">
        <v>157.4</v>
      </c>
      <c r="K46" s="53">
        <v>6</v>
      </c>
      <c r="L46" s="52">
        <v>1</v>
      </c>
      <c r="O46" s="54" t="s">
        <v>395</v>
      </c>
      <c r="P46">
        <v>933.9</v>
      </c>
      <c r="Q46">
        <v>4</v>
      </c>
      <c r="R46">
        <v>1</v>
      </c>
    </row>
    <row r="47" spans="8:18">
      <c r="H47" s="51">
        <v>44808</v>
      </c>
      <c r="I47" s="52" t="s">
        <v>461</v>
      </c>
      <c r="J47" s="53">
        <v>156.8</v>
      </c>
      <c r="K47" s="53">
        <v>3</v>
      </c>
      <c r="L47" s="52">
        <v>1</v>
      </c>
      <c r="O47" s="54" t="s">
        <v>462</v>
      </c>
      <c r="P47">
        <v>929.21</v>
      </c>
      <c r="Q47">
        <v>18</v>
      </c>
      <c r="R47">
        <v>7</v>
      </c>
    </row>
    <row r="48" spans="8:18">
      <c r="H48" s="51">
        <v>44808</v>
      </c>
      <c r="I48" s="52" t="s">
        <v>463</v>
      </c>
      <c r="J48" s="53">
        <v>138.9</v>
      </c>
      <c r="K48" s="53">
        <v>2</v>
      </c>
      <c r="L48" s="52">
        <v>1</v>
      </c>
      <c r="O48" s="54" t="s">
        <v>444</v>
      </c>
      <c r="P48">
        <v>929</v>
      </c>
      <c r="Q48">
        <v>3</v>
      </c>
      <c r="R48">
        <v>2</v>
      </c>
    </row>
    <row r="49" spans="8:18">
      <c r="H49" s="51">
        <v>44808</v>
      </c>
      <c r="I49" s="52" t="s">
        <v>405</v>
      </c>
      <c r="J49" s="53">
        <v>137.9</v>
      </c>
      <c r="K49" s="53">
        <v>2</v>
      </c>
      <c r="L49" s="52">
        <v>1</v>
      </c>
      <c r="O49" s="54" t="s">
        <v>464</v>
      </c>
      <c r="P49">
        <v>927.21</v>
      </c>
      <c r="Q49">
        <v>8</v>
      </c>
      <c r="R49">
        <v>4</v>
      </c>
    </row>
    <row r="50" spans="8:18">
      <c r="H50" s="51">
        <v>44808</v>
      </c>
      <c r="I50" s="52" t="s">
        <v>465</v>
      </c>
      <c r="J50" s="53">
        <v>99</v>
      </c>
      <c r="K50" s="53">
        <v>1</v>
      </c>
      <c r="L50" s="52">
        <v>1</v>
      </c>
      <c r="O50" s="54" t="s">
        <v>466</v>
      </c>
      <c r="P50">
        <v>926</v>
      </c>
      <c r="Q50">
        <v>2</v>
      </c>
      <c r="R50">
        <v>1</v>
      </c>
    </row>
    <row r="51" spans="8:18">
      <c r="H51" s="51">
        <v>44808</v>
      </c>
      <c r="I51" s="52" t="s">
        <v>467</v>
      </c>
      <c r="J51" s="53">
        <v>99</v>
      </c>
      <c r="K51" s="53">
        <v>1</v>
      </c>
      <c r="L51" s="52">
        <v>1</v>
      </c>
      <c r="O51" s="54" t="s">
        <v>468</v>
      </c>
      <c r="P51">
        <v>925.6</v>
      </c>
      <c r="Q51">
        <v>11</v>
      </c>
      <c r="R51">
        <v>5</v>
      </c>
    </row>
    <row r="52" spans="8:18">
      <c r="H52" s="51">
        <v>44808</v>
      </c>
      <c r="I52" s="52" t="s">
        <v>469</v>
      </c>
      <c r="J52" s="53">
        <v>99</v>
      </c>
      <c r="K52" s="53">
        <v>1</v>
      </c>
      <c r="L52" s="52">
        <v>1</v>
      </c>
      <c r="O52" s="54" t="s">
        <v>470</v>
      </c>
      <c r="P52">
        <v>920.2</v>
      </c>
      <c r="Q52">
        <v>18</v>
      </c>
      <c r="R52">
        <v>8</v>
      </c>
    </row>
    <row r="53" spans="8:18">
      <c r="H53" s="51">
        <v>44808</v>
      </c>
      <c r="I53" s="52" t="s">
        <v>471</v>
      </c>
      <c r="J53" s="53">
        <v>99</v>
      </c>
      <c r="K53" s="53">
        <v>1</v>
      </c>
      <c r="L53" s="52">
        <v>1</v>
      </c>
      <c r="O53" s="54" t="s">
        <v>472</v>
      </c>
      <c r="P53">
        <v>914.9</v>
      </c>
      <c r="Q53">
        <v>12</v>
      </c>
      <c r="R53">
        <v>8</v>
      </c>
    </row>
    <row r="54" spans="8:18">
      <c r="H54" s="51">
        <v>44808</v>
      </c>
      <c r="I54" s="52" t="s">
        <v>473</v>
      </c>
      <c r="J54" s="53">
        <v>99</v>
      </c>
      <c r="K54" s="53">
        <v>1</v>
      </c>
      <c r="L54" s="52">
        <v>1</v>
      </c>
      <c r="O54" s="54" t="s">
        <v>474</v>
      </c>
      <c r="P54">
        <v>894.98</v>
      </c>
      <c r="Q54">
        <v>18</v>
      </c>
      <c r="R54">
        <v>8</v>
      </c>
    </row>
    <row r="55" spans="8:18">
      <c r="H55" s="51">
        <v>44808</v>
      </c>
      <c r="I55" s="52" t="s">
        <v>475</v>
      </c>
      <c r="J55" s="53">
        <v>98.7</v>
      </c>
      <c r="K55" s="53">
        <v>3</v>
      </c>
      <c r="L55" s="52">
        <v>1</v>
      </c>
      <c r="O55" s="54" t="s">
        <v>476</v>
      </c>
      <c r="P55">
        <v>888.8</v>
      </c>
      <c r="Q55">
        <v>9</v>
      </c>
      <c r="R55">
        <v>6</v>
      </c>
    </row>
    <row r="56" spans="8:18">
      <c r="H56" s="51">
        <v>44808</v>
      </c>
      <c r="I56" s="52" t="s">
        <v>477</v>
      </c>
      <c r="J56" s="53">
        <v>98.7</v>
      </c>
      <c r="K56" s="53">
        <v>3</v>
      </c>
      <c r="L56" s="52">
        <v>1</v>
      </c>
      <c r="O56" s="54" t="s">
        <v>425</v>
      </c>
      <c r="P56">
        <v>880.11</v>
      </c>
      <c r="Q56">
        <v>7</v>
      </c>
      <c r="R56">
        <v>2</v>
      </c>
    </row>
    <row r="57" spans="8:18">
      <c r="H57" s="51">
        <v>44808</v>
      </c>
      <c r="I57" s="52" t="s">
        <v>478</v>
      </c>
      <c r="J57" s="53">
        <v>97.7</v>
      </c>
      <c r="K57" s="53">
        <v>3</v>
      </c>
      <c r="L57" s="52">
        <v>1</v>
      </c>
      <c r="O57" s="54" t="s">
        <v>479</v>
      </c>
      <c r="P57">
        <v>875.9</v>
      </c>
      <c r="Q57">
        <v>4</v>
      </c>
      <c r="R57">
        <v>2</v>
      </c>
    </row>
    <row r="58" spans="8:18">
      <c r="H58" s="51">
        <v>44808</v>
      </c>
      <c r="I58" s="52" t="s">
        <v>480</v>
      </c>
      <c r="J58" s="53">
        <v>97</v>
      </c>
      <c r="K58" s="53">
        <v>1</v>
      </c>
      <c r="L58" s="52">
        <v>1</v>
      </c>
      <c r="O58" s="54" t="s">
        <v>481</v>
      </c>
      <c r="P58">
        <v>872.4</v>
      </c>
      <c r="Q58">
        <v>11</v>
      </c>
      <c r="R58">
        <v>1</v>
      </c>
    </row>
    <row r="59" spans="8:18">
      <c r="H59" s="51">
        <v>44808</v>
      </c>
      <c r="I59" s="52" t="s">
        <v>482</v>
      </c>
      <c r="J59" s="53">
        <v>97</v>
      </c>
      <c r="K59" s="53">
        <v>1</v>
      </c>
      <c r="L59" s="52">
        <v>1</v>
      </c>
      <c r="O59" s="54" t="s">
        <v>483</v>
      </c>
      <c r="P59">
        <v>866.7</v>
      </c>
      <c r="Q59">
        <v>8</v>
      </c>
      <c r="R59">
        <v>7</v>
      </c>
    </row>
    <row r="60" spans="8:18">
      <c r="H60" s="51">
        <v>44808</v>
      </c>
      <c r="I60" s="52" t="s">
        <v>397</v>
      </c>
      <c r="J60" s="53">
        <v>97</v>
      </c>
      <c r="K60" s="53">
        <v>1</v>
      </c>
      <c r="L60" s="52">
        <v>1</v>
      </c>
      <c r="O60" s="54" t="s">
        <v>484</v>
      </c>
      <c r="P60">
        <v>856</v>
      </c>
      <c r="Q60">
        <v>3</v>
      </c>
      <c r="R60">
        <v>1</v>
      </c>
    </row>
    <row r="61" spans="8:18">
      <c r="H61" s="51">
        <v>44808</v>
      </c>
      <c r="I61" s="52" t="s">
        <v>485</v>
      </c>
      <c r="J61" s="53">
        <v>96.6</v>
      </c>
      <c r="K61" s="53">
        <v>4</v>
      </c>
      <c r="L61" s="52">
        <v>1</v>
      </c>
      <c r="O61" s="54" t="s">
        <v>486</v>
      </c>
      <c r="P61">
        <v>847.82</v>
      </c>
      <c r="Q61">
        <v>9</v>
      </c>
      <c r="R61">
        <v>4</v>
      </c>
    </row>
    <row r="62" spans="8:18">
      <c r="H62" s="51">
        <v>44808</v>
      </c>
      <c r="I62" s="52" t="s">
        <v>487</v>
      </c>
      <c r="J62" s="53">
        <v>95.7</v>
      </c>
      <c r="K62" s="53">
        <v>3</v>
      </c>
      <c r="L62" s="52">
        <v>1</v>
      </c>
      <c r="O62" s="54" t="s">
        <v>488</v>
      </c>
      <c r="P62">
        <v>844.7</v>
      </c>
      <c r="Q62">
        <v>6</v>
      </c>
      <c r="R62">
        <v>1</v>
      </c>
    </row>
    <row r="63" spans="8:18">
      <c r="H63" s="51">
        <v>44808</v>
      </c>
      <c r="I63" s="52" t="s">
        <v>374</v>
      </c>
      <c r="J63" s="53">
        <v>95.7</v>
      </c>
      <c r="K63" s="53">
        <v>3</v>
      </c>
      <c r="L63" s="52">
        <v>1</v>
      </c>
      <c r="O63" s="54" t="s">
        <v>489</v>
      </c>
      <c r="P63">
        <v>842.5</v>
      </c>
      <c r="Q63">
        <v>13</v>
      </c>
      <c r="R63">
        <v>4</v>
      </c>
    </row>
    <row r="64" spans="8:18">
      <c r="H64" s="51">
        <v>44808</v>
      </c>
      <c r="I64" s="52" t="s">
        <v>400</v>
      </c>
      <c r="J64" s="53">
        <v>90</v>
      </c>
      <c r="K64" s="53">
        <v>1</v>
      </c>
      <c r="L64" s="52">
        <v>1</v>
      </c>
      <c r="O64" s="54" t="s">
        <v>490</v>
      </c>
      <c r="P64">
        <v>833.9</v>
      </c>
      <c r="Q64">
        <v>4</v>
      </c>
      <c r="R64">
        <v>2</v>
      </c>
    </row>
    <row r="65" spans="8:18">
      <c r="H65" s="51">
        <v>44808</v>
      </c>
      <c r="I65" s="52" t="s">
        <v>396</v>
      </c>
      <c r="J65" s="53">
        <v>77.8</v>
      </c>
      <c r="K65" s="53">
        <v>1</v>
      </c>
      <c r="L65" s="52">
        <v>1</v>
      </c>
      <c r="O65" s="54" t="s">
        <v>491</v>
      </c>
      <c r="P65">
        <v>817.9</v>
      </c>
      <c r="Q65">
        <v>10</v>
      </c>
      <c r="R65">
        <v>5</v>
      </c>
    </row>
    <row r="66" spans="8:18">
      <c r="H66" s="51">
        <v>44808</v>
      </c>
      <c r="I66" s="52" t="s">
        <v>492</v>
      </c>
      <c r="J66" s="53">
        <v>77.8</v>
      </c>
      <c r="K66" s="53">
        <v>2</v>
      </c>
      <c r="L66" s="52">
        <v>1</v>
      </c>
      <c r="O66" s="54" t="s">
        <v>493</v>
      </c>
      <c r="P66">
        <v>807</v>
      </c>
      <c r="Q66">
        <v>2</v>
      </c>
      <c r="R66">
        <v>1</v>
      </c>
    </row>
    <row r="67" spans="8:18">
      <c r="H67" s="51">
        <v>44808</v>
      </c>
      <c r="I67" s="52" t="s">
        <v>494</v>
      </c>
      <c r="J67" s="53">
        <v>77.8</v>
      </c>
      <c r="K67" s="53">
        <v>2</v>
      </c>
      <c r="L67" s="52">
        <v>1</v>
      </c>
      <c r="O67" s="54" t="s">
        <v>495</v>
      </c>
      <c r="P67">
        <v>772.45</v>
      </c>
      <c r="Q67">
        <v>8</v>
      </c>
      <c r="R67">
        <v>5</v>
      </c>
    </row>
    <row r="68" spans="8:18">
      <c r="H68" s="51">
        <v>44808</v>
      </c>
      <c r="I68" s="52" t="s">
        <v>496</v>
      </c>
      <c r="J68" s="53">
        <v>76.7</v>
      </c>
      <c r="K68" s="53">
        <v>3</v>
      </c>
      <c r="L68" s="52">
        <v>1</v>
      </c>
      <c r="O68" s="54" t="s">
        <v>497</v>
      </c>
      <c r="P68">
        <v>753</v>
      </c>
      <c r="Q68">
        <v>3</v>
      </c>
      <c r="R68">
        <v>1</v>
      </c>
    </row>
    <row r="69" spans="8:18">
      <c r="H69" s="51">
        <v>44808</v>
      </c>
      <c r="I69" s="52" t="s">
        <v>498</v>
      </c>
      <c r="J69" s="53">
        <v>69</v>
      </c>
      <c r="K69" s="53">
        <v>1</v>
      </c>
      <c r="L69" s="52">
        <v>1</v>
      </c>
      <c r="O69" s="54" t="s">
        <v>499</v>
      </c>
      <c r="P69">
        <v>748</v>
      </c>
      <c r="Q69">
        <v>2</v>
      </c>
      <c r="R69">
        <v>2</v>
      </c>
    </row>
    <row r="70" spans="8:18">
      <c r="H70" s="51">
        <v>44808</v>
      </c>
      <c r="I70" s="52" t="s">
        <v>500</v>
      </c>
      <c r="J70" s="53">
        <v>59.8</v>
      </c>
      <c r="K70" s="53">
        <v>2</v>
      </c>
      <c r="L70" s="52">
        <v>1</v>
      </c>
      <c r="O70" s="54" t="s">
        <v>501</v>
      </c>
      <c r="P70">
        <v>742</v>
      </c>
      <c r="Q70">
        <v>3</v>
      </c>
      <c r="R70">
        <v>2</v>
      </c>
    </row>
    <row r="71" spans="8:18">
      <c r="H71" s="51">
        <v>44808</v>
      </c>
      <c r="I71" s="52" t="s">
        <v>502</v>
      </c>
      <c r="J71" s="53">
        <v>59.8</v>
      </c>
      <c r="K71" s="53">
        <v>2</v>
      </c>
      <c r="L71" s="52">
        <v>1</v>
      </c>
      <c r="O71" s="54" t="s">
        <v>503</v>
      </c>
      <c r="P71">
        <v>739.8</v>
      </c>
      <c r="Q71">
        <v>5</v>
      </c>
      <c r="R71">
        <v>2</v>
      </c>
    </row>
    <row r="72" spans="8:18">
      <c r="H72" s="51">
        <v>44808</v>
      </c>
      <c r="I72" s="52" t="s">
        <v>504</v>
      </c>
      <c r="J72" s="53">
        <v>59.8</v>
      </c>
      <c r="K72" s="53">
        <v>2</v>
      </c>
      <c r="L72" s="52">
        <v>1</v>
      </c>
      <c r="O72" s="54" t="s">
        <v>505</v>
      </c>
      <c r="P72">
        <v>728.7</v>
      </c>
      <c r="Q72">
        <v>5</v>
      </c>
      <c r="R72">
        <v>2</v>
      </c>
    </row>
    <row r="73" spans="8:18">
      <c r="H73" s="51">
        <v>44808</v>
      </c>
      <c r="I73" s="52" t="s">
        <v>506</v>
      </c>
      <c r="J73" s="53">
        <v>59.8</v>
      </c>
      <c r="K73" s="53">
        <v>2</v>
      </c>
      <c r="L73" s="52">
        <v>1</v>
      </c>
      <c r="O73" s="54" t="s">
        <v>507</v>
      </c>
      <c r="P73">
        <v>725.5</v>
      </c>
      <c r="Q73">
        <v>10</v>
      </c>
      <c r="R73">
        <v>8</v>
      </c>
    </row>
    <row r="74" spans="8:18">
      <c r="H74" s="51">
        <v>44808</v>
      </c>
      <c r="I74" s="52" t="s">
        <v>508</v>
      </c>
      <c r="J74" s="53">
        <v>59.8</v>
      </c>
      <c r="K74" s="53">
        <v>2</v>
      </c>
      <c r="L74" s="52">
        <v>1</v>
      </c>
      <c r="O74" s="54" t="s">
        <v>509</v>
      </c>
      <c r="P74">
        <v>724.5</v>
      </c>
      <c r="Q74">
        <v>12</v>
      </c>
      <c r="R74">
        <v>4</v>
      </c>
    </row>
    <row r="75" spans="8:18">
      <c r="H75" s="51">
        <v>44808</v>
      </c>
      <c r="I75" s="52" t="s">
        <v>510</v>
      </c>
      <c r="J75" s="53">
        <v>59.8</v>
      </c>
      <c r="K75" s="53">
        <v>2</v>
      </c>
      <c r="L75" s="52">
        <v>1</v>
      </c>
      <c r="O75" s="54" t="s">
        <v>485</v>
      </c>
      <c r="P75">
        <v>704.6</v>
      </c>
      <c r="Q75">
        <v>19</v>
      </c>
      <c r="R75">
        <v>9</v>
      </c>
    </row>
    <row r="76" spans="8:18">
      <c r="H76" s="51">
        <v>44808</v>
      </c>
      <c r="I76" s="52" t="s">
        <v>511</v>
      </c>
      <c r="J76" s="53">
        <v>58.8</v>
      </c>
      <c r="K76" s="53">
        <v>2</v>
      </c>
      <c r="L76" s="52">
        <v>1</v>
      </c>
      <c r="O76" s="54" t="s">
        <v>512</v>
      </c>
      <c r="P76">
        <v>700.3</v>
      </c>
      <c r="Q76">
        <v>12</v>
      </c>
      <c r="R76">
        <v>5</v>
      </c>
    </row>
    <row r="77" spans="8:18">
      <c r="H77" s="51">
        <v>44808</v>
      </c>
      <c r="I77" s="52" t="s">
        <v>513</v>
      </c>
      <c r="J77" s="53">
        <v>58.8</v>
      </c>
      <c r="K77" s="53">
        <v>2</v>
      </c>
      <c r="L77" s="52">
        <v>1</v>
      </c>
      <c r="O77" s="54" t="s">
        <v>514</v>
      </c>
      <c r="P77">
        <v>699.58</v>
      </c>
      <c r="Q77">
        <v>9</v>
      </c>
      <c r="R77">
        <v>6</v>
      </c>
    </row>
    <row r="78" spans="8:18">
      <c r="H78" s="51">
        <v>44808</v>
      </c>
      <c r="I78" s="52" t="s">
        <v>515</v>
      </c>
      <c r="J78" s="53">
        <v>57.8</v>
      </c>
      <c r="K78" s="53">
        <v>2</v>
      </c>
      <c r="L78" s="52">
        <v>1</v>
      </c>
      <c r="O78" s="54" t="s">
        <v>516</v>
      </c>
      <c r="P78">
        <v>685.8</v>
      </c>
      <c r="Q78">
        <v>8</v>
      </c>
      <c r="R78">
        <v>2</v>
      </c>
    </row>
    <row r="79" spans="8:18">
      <c r="H79" s="51">
        <v>44808</v>
      </c>
      <c r="I79" s="52" t="s">
        <v>403</v>
      </c>
      <c r="J79" s="53">
        <v>57.8</v>
      </c>
      <c r="K79" s="53">
        <v>2</v>
      </c>
      <c r="L79" s="52">
        <v>1</v>
      </c>
      <c r="O79" s="54" t="s">
        <v>517</v>
      </c>
      <c r="P79">
        <v>675</v>
      </c>
      <c r="Q79">
        <v>6</v>
      </c>
      <c r="R79">
        <v>1</v>
      </c>
    </row>
    <row r="80" spans="8:18">
      <c r="H80" s="51">
        <v>44808</v>
      </c>
      <c r="I80" s="52" t="s">
        <v>489</v>
      </c>
      <c r="J80" s="53">
        <v>56.8</v>
      </c>
      <c r="K80" s="53">
        <v>2</v>
      </c>
      <c r="L80" s="52">
        <v>1</v>
      </c>
      <c r="O80" s="54" t="s">
        <v>518</v>
      </c>
      <c r="P80">
        <v>674.92</v>
      </c>
      <c r="Q80">
        <v>13</v>
      </c>
      <c r="R80">
        <v>7</v>
      </c>
    </row>
    <row r="81" spans="8:18">
      <c r="H81" s="51">
        <v>44808</v>
      </c>
      <c r="I81" s="52" t="s">
        <v>519</v>
      </c>
      <c r="J81" s="53">
        <v>39.9</v>
      </c>
      <c r="K81" s="53">
        <v>1</v>
      </c>
      <c r="L81" s="52">
        <v>1</v>
      </c>
      <c r="O81" s="54" t="s">
        <v>520</v>
      </c>
      <c r="P81">
        <v>669.4</v>
      </c>
      <c r="Q81">
        <v>12</v>
      </c>
      <c r="R81">
        <v>5</v>
      </c>
    </row>
    <row r="82" spans="8:18">
      <c r="H82" s="51">
        <v>44808</v>
      </c>
      <c r="I82" s="52" t="s">
        <v>521</v>
      </c>
      <c r="J82" s="53">
        <v>39.9</v>
      </c>
      <c r="K82" s="53">
        <v>1</v>
      </c>
      <c r="L82" s="52">
        <v>1</v>
      </c>
      <c r="O82" s="54" t="s">
        <v>522</v>
      </c>
      <c r="P82">
        <v>659</v>
      </c>
      <c r="Q82">
        <v>3</v>
      </c>
      <c r="R82">
        <v>2</v>
      </c>
    </row>
    <row r="83" spans="8:18">
      <c r="H83" s="51">
        <v>44808</v>
      </c>
      <c r="I83" s="52" t="s">
        <v>523</v>
      </c>
      <c r="J83" s="53">
        <v>39.9</v>
      </c>
      <c r="K83" s="53">
        <v>1</v>
      </c>
      <c r="L83" s="52">
        <v>1</v>
      </c>
      <c r="O83" s="54" t="s">
        <v>524</v>
      </c>
      <c r="P83">
        <v>657</v>
      </c>
      <c r="Q83">
        <v>2</v>
      </c>
      <c r="R83">
        <v>1</v>
      </c>
    </row>
    <row r="84" spans="8:18">
      <c r="H84" s="51">
        <v>44808</v>
      </c>
      <c r="I84" s="52" t="s">
        <v>525</v>
      </c>
      <c r="J84" s="53">
        <v>39.9</v>
      </c>
      <c r="K84" s="53">
        <v>1</v>
      </c>
      <c r="L84" s="52">
        <v>1</v>
      </c>
      <c r="O84" s="54" t="s">
        <v>526</v>
      </c>
      <c r="P84">
        <v>653.8</v>
      </c>
      <c r="Q84">
        <v>5</v>
      </c>
      <c r="R84">
        <v>2</v>
      </c>
    </row>
    <row r="85" spans="8:18">
      <c r="H85" s="51">
        <v>44808</v>
      </c>
      <c r="I85" s="52" t="s">
        <v>527</v>
      </c>
      <c r="J85" s="53">
        <v>39.9</v>
      </c>
      <c r="K85" s="53">
        <v>1</v>
      </c>
      <c r="L85" s="52">
        <v>1</v>
      </c>
      <c r="O85" s="54" t="s">
        <v>528</v>
      </c>
      <c r="P85">
        <v>648.8</v>
      </c>
      <c r="Q85">
        <v>3</v>
      </c>
      <c r="R85">
        <v>2</v>
      </c>
    </row>
    <row r="86" spans="8:18">
      <c r="H86" s="51">
        <v>44808</v>
      </c>
      <c r="I86" s="52" t="s">
        <v>529</v>
      </c>
      <c r="J86" s="53">
        <v>39.9</v>
      </c>
      <c r="K86" s="53">
        <v>1</v>
      </c>
      <c r="L86" s="52">
        <v>1</v>
      </c>
      <c r="O86" s="54" t="s">
        <v>530</v>
      </c>
      <c r="P86">
        <v>641.9</v>
      </c>
      <c r="Q86">
        <v>3</v>
      </c>
      <c r="R86">
        <v>2</v>
      </c>
    </row>
    <row r="87" spans="8:18">
      <c r="H87" s="51">
        <v>44808</v>
      </c>
      <c r="I87" s="52" t="s">
        <v>531</v>
      </c>
      <c r="J87" s="53">
        <v>39.9</v>
      </c>
      <c r="K87" s="53">
        <v>1</v>
      </c>
      <c r="L87" s="52">
        <v>1</v>
      </c>
      <c r="O87" s="54" t="s">
        <v>532</v>
      </c>
      <c r="P87">
        <v>634.66</v>
      </c>
      <c r="Q87">
        <v>12</v>
      </c>
      <c r="R87">
        <v>2</v>
      </c>
    </row>
    <row r="88" spans="8:18">
      <c r="H88" s="51">
        <v>44808</v>
      </c>
      <c r="I88" s="52" t="s">
        <v>533</v>
      </c>
      <c r="J88" s="53">
        <v>39.9</v>
      </c>
      <c r="K88" s="53">
        <v>1</v>
      </c>
      <c r="L88" s="52">
        <v>1</v>
      </c>
      <c r="O88" s="54" t="s">
        <v>534</v>
      </c>
      <c r="P88">
        <v>632</v>
      </c>
      <c r="Q88">
        <v>2</v>
      </c>
      <c r="R88">
        <v>1</v>
      </c>
    </row>
    <row r="89" spans="8:18">
      <c r="H89" s="51">
        <v>44808</v>
      </c>
      <c r="I89" s="52" t="s">
        <v>535</v>
      </c>
      <c r="J89" s="53">
        <v>39.9</v>
      </c>
      <c r="K89" s="53">
        <v>1</v>
      </c>
      <c r="L89" s="52">
        <v>1</v>
      </c>
      <c r="O89" s="54" t="s">
        <v>536</v>
      </c>
      <c r="P89">
        <v>620.75</v>
      </c>
      <c r="Q89">
        <v>15</v>
      </c>
      <c r="R89">
        <v>7</v>
      </c>
    </row>
    <row r="90" spans="8:18">
      <c r="H90" s="51">
        <v>44808</v>
      </c>
      <c r="I90" s="52" t="s">
        <v>537</v>
      </c>
      <c r="J90" s="53">
        <v>39.9</v>
      </c>
      <c r="K90" s="53">
        <v>1</v>
      </c>
      <c r="L90" s="52">
        <v>1</v>
      </c>
      <c r="O90" s="54" t="s">
        <v>538</v>
      </c>
      <c r="P90">
        <v>611.8</v>
      </c>
      <c r="Q90">
        <v>7</v>
      </c>
      <c r="R90">
        <v>2</v>
      </c>
    </row>
    <row r="91" spans="8:18">
      <c r="H91" s="51">
        <v>44808</v>
      </c>
      <c r="I91" s="52" t="s">
        <v>539</v>
      </c>
      <c r="J91" s="53">
        <v>39.9</v>
      </c>
      <c r="K91" s="53">
        <v>1</v>
      </c>
      <c r="L91" s="52">
        <v>1</v>
      </c>
      <c r="O91" s="54" t="s">
        <v>540</v>
      </c>
      <c r="P91">
        <v>608</v>
      </c>
      <c r="Q91">
        <v>2</v>
      </c>
      <c r="R91">
        <v>1</v>
      </c>
    </row>
    <row r="92" spans="8:18">
      <c r="H92" s="51">
        <v>44808</v>
      </c>
      <c r="I92" s="52" t="s">
        <v>541</v>
      </c>
      <c r="J92" s="53">
        <v>39.8</v>
      </c>
      <c r="K92" s="53">
        <v>2</v>
      </c>
      <c r="L92" s="52">
        <v>1</v>
      </c>
      <c r="O92" s="54" t="s">
        <v>542</v>
      </c>
      <c r="P92">
        <v>607.98</v>
      </c>
      <c r="Q92">
        <v>5</v>
      </c>
      <c r="R92">
        <v>2</v>
      </c>
    </row>
    <row r="93" spans="8:18">
      <c r="H93" s="51">
        <v>44808</v>
      </c>
      <c r="I93" s="52" t="s">
        <v>383</v>
      </c>
      <c r="J93" s="53">
        <v>39.8</v>
      </c>
      <c r="K93" s="53">
        <v>1</v>
      </c>
      <c r="L93" s="52">
        <v>1</v>
      </c>
      <c r="O93" s="54" t="s">
        <v>543</v>
      </c>
      <c r="P93">
        <v>602.6</v>
      </c>
      <c r="Q93">
        <v>8</v>
      </c>
      <c r="R93">
        <v>3</v>
      </c>
    </row>
    <row r="94" spans="8:18">
      <c r="H94" s="51">
        <v>44808</v>
      </c>
      <c r="I94" s="52" t="s">
        <v>544</v>
      </c>
      <c r="J94" s="53">
        <v>39.8</v>
      </c>
      <c r="K94" s="53">
        <v>2</v>
      </c>
      <c r="L94" s="52">
        <v>1</v>
      </c>
      <c r="O94" s="54" t="s">
        <v>420</v>
      </c>
      <c r="P94">
        <v>599</v>
      </c>
      <c r="Q94">
        <v>1</v>
      </c>
      <c r="R94">
        <v>1</v>
      </c>
    </row>
    <row r="95" spans="8:18">
      <c r="H95" s="51">
        <v>44808</v>
      </c>
      <c r="I95" s="52" t="s">
        <v>545</v>
      </c>
      <c r="J95" s="53">
        <v>38.9</v>
      </c>
      <c r="K95" s="53">
        <v>1</v>
      </c>
      <c r="L95" s="52">
        <v>1</v>
      </c>
      <c r="O95" s="54" t="s">
        <v>546</v>
      </c>
      <c r="P95">
        <v>599</v>
      </c>
      <c r="Q95">
        <v>1</v>
      </c>
      <c r="R95">
        <v>1</v>
      </c>
    </row>
    <row r="96" spans="8:18">
      <c r="H96" s="51">
        <v>44808</v>
      </c>
      <c r="I96" s="52" t="s">
        <v>547</v>
      </c>
      <c r="J96" s="53">
        <v>38.9</v>
      </c>
      <c r="K96" s="53">
        <v>1</v>
      </c>
      <c r="L96" s="52">
        <v>1</v>
      </c>
      <c r="O96" s="54" t="s">
        <v>548</v>
      </c>
      <c r="P96">
        <v>599</v>
      </c>
      <c r="Q96">
        <v>1</v>
      </c>
      <c r="R96">
        <v>1</v>
      </c>
    </row>
    <row r="97" spans="8:18">
      <c r="H97" s="51">
        <v>44808</v>
      </c>
      <c r="I97" s="52" t="s">
        <v>549</v>
      </c>
      <c r="J97" s="53">
        <v>38.9</v>
      </c>
      <c r="K97" s="53">
        <v>1</v>
      </c>
      <c r="L97" s="52">
        <v>1</v>
      </c>
      <c r="O97" s="54" t="s">
        <v>550</v>
      </c>
      <c r="P97">
        <v>599</v>
      </c>
      <c r="Q97">
        <v>1</v>
      </c>
      <c r="R97">
        <v>1</v>
      </c>
    </row>
    <row r="98" spans="8:18">
      <c r="H98" s="51">
        <v>44808</v>
      </c>
      <c r="I98" s="52" t="s">
        <v>551</v>
      </c>
      <c r="J98" s="53">
        <v>38.9</v>
      </c>
      <c r="K98" s="53">
        <v>1</v>
      </c>
      <c r="L98" s="52">
        <v>1</v>
      </c>
      <c r="O98" s="54" t="s">
        <v>552</v>
      </c>
      <c r="P98">
        <v>599</v>
      </c>
      <c r="Q98">
        <v>1</v>
      </c>
      <c r="R98">
        <v>1</v>
      </c>
    </row>
    <row r="99" spans="8:18">
      <c r="H99" s="51">
        <v>44808</v>
      </c>
      <c r="I99" s="52" t="s">
        <v>553</v>
      </c>
      <c r="J99" s="53">
        <v>37.9</v>
      </c>
      <c r="K99" s="53">
        <v>1</v>
      </c>
      <c r="L99" s="52">
        <v>1</v>
      </c>
      <c r="O99" s="54" t="s">
        <v>554</v>
      </c>
      <c r="P99">
        <v>599</v>
      </c>
      <c r="Q99">
        <v>1</v>
      </c>
      <c r="R99">
        <v>1</v>
      </c>
    </row>
    <row r="100" spans="8:18">
      <c r="H100" s="51">
        <v>44808</v>
      </c>
      <c r="I100" s="52" t="s">
        <v>555</v>
      </c>
      <c r="J100" s="53">
        <v>37.9</v>
      </c>
      <c r="K100" s="53">
        <v>1</v>
      </c>
      <c r="L100" s="52">
        <v>1</v>
      </c>
      <c r="O100" s="54" t="s">
        <v>556</v>
      </c>
      <c r="P100">
        <v>599</v>
      </c>
      <c r="Q100">
        <v>1</v>
      </c>
      <c r="R100">
        <v>1</v>
      </c>
    </row>
    <row r="101" spans="8:18">
      <c r="H101" s="51">
        <v>44808</v>
      </c>
      <c r="I101" s="52" t="s">
        <v>557</v>
      </c>
      <c r="J101" s="53">
        <v>36.9</v>
      </c>
      <c r="K101" s="53">
        <v>1</v>
      </c>
      <c r="L101" s="52">
        <v>1</v>
      </c>
      <c r="O101" s="54" t="s">
        <v>558</v>
      </c>
      <c r="P101">
        <v>599</v>
      </c>
      <c r="Q101">
        <v>1</v>
      </c>
      <c r="R101">
        <v>1</v>
      </c>
    </row>
    <row r="102" spans="8:18">
      <c r="H102" s="51">
        <v>44808</v>
      </c>
      <c r="I102" s="52" t="s">
        <v>559</v>
      </c>
      <c r="J102" s="53">
        <v>36.9</v>
      </c>
      <c r="K102" s="53">
        <v>1</v>
      </c>
      <c r="L102" s="52">
        <v>1</v>
      </c>
      <c r="O102" s="54" t="s">
        <v>560</v>
      </c>
      <c r="P102">
        <v>593.64</v>
      </c>
      <c r="Q102">
        <v>12</v>
      </c>
      <c r="R102">
        <v>1</v>
      </c>
    </row>
    <row r="103" spans="8:18">
      <c r="H103" s="51">
        <v>44808</v>
      </c>
      <c r="I103" s="52" t="s">
        <v>561</v>
      </c>
      <c r="J103" s="53">
        <v>36.9</v>
      </c>
      <c r="K103" s="53">
        <v>1</v>
      </c>
      <c r="L103" s="52">
        <v>1</v>
      </c>
      <c r="O103" s="54" t="s">
        <v>562</v>
      </c>
      <c r="P103">
        <v>593</v>
      </c>
      <c r="Q103">
        <v>1</v>
      </c>
      <c r="R103">
        <v>1</v>
      </c>
    </row>
    <row r="104" spans="8:18">
      <c r="H104" s="51">
        <v>44808</v>
      </c>
      <c r="I104" s="52" t="s">
        <v>563</v>
      </c>
      <c r="J104" s="53">
        <v>36.9</v>
      </c>
      <c r="K104" s="53">
        <v>1</v>
      </c>
      <c r="L104" s="52">
        <v>1</v>
      </c>
      <c r="O104" s="54" t="s">
        <v>564</v>
      </c>
      <c r="P104">
        <v>592</v>
      </c>
      <c r="Q104">
        <v>2</v>
      </c>
      <c r="R104">
        <v>1</v>
      </c>
    </row>
    <row r="105" spans="8:18">
      <c r="H105" s="51">
        <v>44808</v>
      </c>
      <c r="I105" s="52" t="s">
        <v>565</v>
      </c>
      <c r="J105" s="53">
        <v>36.9</v>
      </c>
      <c r="K105" s="53">
        <v>1</v>
      </c>
      <c r="L105" s="52">
        <v>1</v>
      </c>
      <c r="O105" s="54" t="s">
        <v>566</v>
      </c>
      <c r="P105">
        <v>591</v>
      </c>
      <c r="Q105">
        <v>3</v>
      </c>
      <c r="R105">
        <v>1</v>
      </c>
    </row>
    <row r="106" spans="8:18">
      <c r="H106" s="51">
        <v>44808</v>
      </c>
      <c r="I106" s="52" t="s">
        <v>567</v>
      </c>
      <c r="J106" s="53">
        <v>36.9</v>
      </c>
      <c r="K106" s="53">
        <v>1</v>
      </c>
      <c r="L106" s="52">
        <v>1</v>
      </c>
      <c r="O106" s="54" t="s">
        <v>568</v>
      </c>
      <c r="P106">
        <v>583</v>
      </c>
      <c r="Q106">
        <v>2</v>
      </c>
      <c r="R106">
        <v>2</v>
      </c>
    </row>
    <row r="107" spans="8:18">
      <c r="H107" s="51">
        <v>44808</v>
      </c>
      <c r="I107" s="52" t="s">
        <v>569</v>
      </c>
      <c r="J107" s="53">
        <v>19.9</v>
      </c>
      <c r="K107" s="53">
        <v>1</v>
      </c>
      <c r="L107" s="52">
        <v>1</v>
      </c>
      <c r="O107" s="54" t="s">
        <v>570</v>
      </c>
      <c r="P107">
        <v>581</v>
      </c>
      <c r="Q107">
        <v>3</v>
      </c>
      <c r="R107">
        <v>2</v>
      </c>
    </row>
    <row r="108" spans="8:18">
      <c r="H108" s="51">
        <v>44808</v>
      </c>
      <c r="I108" s="52" t="s">
        <v>571</v>
      </c>
      <c r="J108" s="53">
        <v>19.9</v>
      </c>
      <c r="K108" s="53">
        <v>1</v>
      </c>
      <c r="L108" s="52">
        <v>1</v>
      </c>
      <c r="O108" s="54" t="s">
        <v>572</v>
      </c>
      <c r="P108">
        <v>577.7</v>
      </c>
      <c r="Q108">
        <v>9</v>
      </c>
      <c r="R108">
        <v>4</v>
      </c>
    </row>
    <row r="109" spans="8:18">
      <c r="H109" s="51">
        <v>44808</v>
      </c>
      <c r="I109" s="52" t="s">
        <v>573</v>
      </c>
      <c r="J109" s="53">
        <v>19.9</v>
      </c>
      <c r="K109" s="53">
        <v>1</v>
      </c>
      <c r="L109" s="52">
        <v>1</v>
      </c>
      <c r="O109" s="54" t="s">
        <v>574</v>
      </c>
      <c r="P109">
        <v>571.9</v>
      </c>
      <c r="Q109">
        <v>3</v>
      </c>
      <c r="R109">
        <v>1</v>
      </c>
    </row>
    <row r="110" spans="8:18">
      <c r="H110" s="51">
        <v>44808</v>
      </c>
      <c r="I110" s="52" t="s">
        <v>456</v>
      </c>
      <c r="J110" s="53">
        <v>19.9</v>
      </c>
      <c r="K110" s="53">
        <v>1</v>
      </c>
      <c r="L110" s="52">
        <v>1</v>
      </c>
      <c r="O110" s="54" t="s">
        <v>575</v>
      </c>
      <c r="P110">
        <v>570.9</v>
      </c>
      <c r="Q110">
        <v>5</v>
      </c>
      <c r="R110">
        <v>1</v>
      </c>
    </row>
    <row r="111" spans="8:18">
      <c r="H111" s="51">
        <v>44808</v>
      </c>
      <c r="I111" s="52" t="s">
        <v>576</v>
      </c>
      <c r="J111" s="53">
        <v>19.9</v>
      </c>
      <c r="K111" s="53">
        <v>1</v>
      </c>
      <c r="L111" s="52">
        <v>1</v>
      </c>
      <c r="O111" s="54" t="s">
        <v>577</v>
      </c>
      <c r="P111">
        <v>570.6</v>
      </c>
      <c r="Q111">
        <v>7</v>
      </c>
      <c r="R111">
        <v>1</v>
      </c>
    </row>
    <row r="112" spans="8:18">
      <c r="H112" s="51">
        <v>44808</v>
      </c>
      <c r="I112" s="52" t="s">
        <v>578</v>
      </c>
      <c r="J112" s="53">
        <v>19.9</v>
      </c>
      <c r="K112" s="53">
        <v>1</v>
      </c>
      <c r="L112" s="52">
        <v>1</v>
      </c>
      <c r="O112" s="54" t="s">
        <v>579</v>
      </c>
      <c r="P112">
        <v>564.39</v>
      </c>
      <c r="Q112">
        <v>14</v>
      </c>
      <c r="R112">
        <v>7</v>
      </c>
    </row>
    <row r="113" spans="8:18">
      <c r="H113" s="51">
        <v>44808</v>
      </c>
      <c r="I113" s="52" t="s">
        <v>580</v>
      </c>
      <c r="J113" s="53">
        <v>19.9</v>
      </c>
      <c r="K113" s="53">
        <v>1</v>
      </c>
      <c r="L113" s="52">
        <v>1</v>
      </c>
      <c r="O113" s="54" t="s">
        <v>581</v>
      </c>
      <c r="P113">
        <v>562.6</v>
      </c>
      <c r="Q113">
        <v>8</v>
      </c>
      <c r="R113">
        <v>6</v>
      </c>
    </row>
    <row r="114" spans="8:18">
      <c r="H114" s="51">
        <v>44808</v>
      </c>
      <c r="I114" s="52" t="s">
        <v>582</v>
      </c>
      <c r="J114" s="53">
        <v>19.9</v>
      </c>
      <c r="K114" s="53">
        <v>1</v>
      </c>
      <c r="L114" s="52">
        <v>1</v>
      </c>
      <c r="O114" s="54" t="s">
        <v>583</v>
      </c>
      <c r="P114">
        <v>561.8</v>
      </c>
      <c r="Q114">
        <v>4</v>
      </c>
      <c r="R114">
        <v>2</v>
      </c>
    </row>
    <row r="115" spans="8:18">
      <c r="H115" s="51">
        <v>44808</v>
      </c>
      <c r="I115" s="52" t="s">
        <v>584</v>
      </c>
      <c r="J115" s="53">
        <v>19.9</v>
      </c>
      <c r="K115" s="53">
        <v>1</v>
      </c>
      <c r="L115" s="52">
        <v>1</v>
      </c>
      <c r="O115" s="54" t="s">
        <v>585</v>
      </c>
      <c r="P115">
        <v>554</v>
      </c>
      <c r="Q115">
        <v>2</v>
      </c>
      <c r="R115">
        <v>2</v>
      </c>
    </row>
    <row r="116" spans="8:18">
      <c r="H116" s="51">
        <v>44808</v>
      </c>
      <c r="I116" s="52" t="s">
        <v>586</v>
      </c>
      <c r="J116" s="53">
        <v>19.9</v>
      </c>
      <c r="K116" s="53">
        <v>1</v>
      </c>
      <c r="L116" s="52">
        <v>1</v>
      </c>
      <c r="O116" s="54" t="s">
        <v>587</v>
      </c>
      <c r="P116">
        <v>549.8</v>
      </c>
      <c r="Q116">
        <v>6</v>
      </c>
      <c r="R116">
        <v>4</v>
      </c>
    </row>
    <row r="117" spans="8:18">
      <c r="H117" s="51">
        <v>44808</v>
      </c>
      <c r="I117" s="52" t="s">
        <v>588</v>
      </c>
      <c r="J117" s="53">
        <v>19.9</v>
      </c>
      <c r="K117" s="53">
        <v>1</v>
      </c>
      <c r="L117" s="52">
        <v>1</v>
      </c>
      <c r="O117" s="54" t="s">
        <v>432</v>
      </c>
      <c r="P117">
        <v>548.6</v>
      </c>
      <c r="Q117">
        <v>8</v>
      </c>
      <c r="R117">
        <v>2</v>
      </c>
    </row>
    <row r="118" spans="8:18">
      <c r="H118" s="51">
        <v>44808</v>
      </c>
      <c r="I118" s="52" t="s">
        <v>589</v>
      </c>
      <c r="J118" s="53">
        <v>19.9</v>
      </c>
      <c r="K118" s="53">
        <v>1</v>
      </c>
      <c r="L118" s="52">
        <v>1</v>
      </c>
      <c r="O118" s="54" t="s">
        <v>590</v>
      </c>
      <c r="P118">
        <v>546.61</v>
      </c>
      <c r="Q118">
        <v>8</v>
      </c>
      <c r="R118">
        <v>3</v>
      </c>
    </row>
    <row r="119" spans="8:18">
      <c r="H119" s="51">
        <v>44808</v>
      </c>
      <c r="I119" s="52" t="s">
        <v>591</v>
      </c>
      <c r="J119" s="53">
        <v>19.9</v>
      </c>
      <c r="K119" s="53">
        <v>1</v>
      </c>
      <c r="L119" s="52">
        <v>1</v>
      </c>
      <c r="O119" s="54" t="s">
        <v>592</v>
      </c>
      <c r="P119">
        <v>545.9</v>
      </c>
      <c r="Q119">
        <v>3</v>
      </c>
      <c r="R119">
        <v>3</v>
      </c>
    </row>
    <row r="120" spans="8:18">
      <c r="H120" s="51">
        <v>44808</v>
      </c>
      <c r="I120" s="52" t="s">
        <v>375</v>
      </c>
      <c r="J120" s="53">
        <v>19.9</v>
      </c>
      <c r="K120" s="53">
        <v>1</v>
      </c>
      <c r="L120" s="52">
        <v>1</v>
      </c>
      <c r="O120" s="54" t="s">
        <v>593</v>
      </c>
      <c r="P120">
        <v>536.8</v>
      </c>
      <c r="Q120">
        <v>7</v>
      </c>
      <c r="R120">
        <v>6</v>
      </c>
    </row>
    <row r="121" spans="8:18">
      <c r="H121" s="51">
        <v>44808</v>
      </c>
      <c r="I121" s="52" t="s">
        <v>594</v>
      </c>
      <c r="J121" s="53">
        <v>19.9</v>
      </c>
      <c r="K121" s="53">
        <v>1</v>
      </c>
      <c r="L121" s="52">
        <v>1</v>
      </c>
      <c r="O121" s="54" t="s">
        <v>595</v>
      </c>
      <c r="P121">
        <v>536.6</v>
      </c>
      <c r="Q121">
        <v>7</v>
      </c>
      <c r="R121">
        <v>1</v>
      </c>
    </row>
    <row r="122" spans="8:18">
      <c r="H122" s="51">
        <v>44808</v>
      </c>
      <c r="I122" s="52" t="s">
        <v>596</v>
      </c>
      <c r="J122" s="53">
        <v>19.9</v>
      </c>
      <c r="K122" s="53">
        <v>1</v>
      </c>
      <c r="L122" s="52">
        <v>1</v>
      </c>
      <c r="O122" s="54" t="s">
        <v>515</v>
      </c>
      <c r="P122">
        <v>529.2</v>
      </c>
      <c r="Q122">
        <v>5</v>
      </c>
      <c r="R122">
        <v>3</v>
      </c>
    </row>
    <row r="123" spans="8:18">
      <c r="H123" s="51">
        <v>44808</v>
      </c>
      <c r="I123" s="52" t="s">
        <v>597</v>
      </c>
      <c r="J123" s="53">
        <v>19.9</v>
      </c>
      <c r="K123" s="53">
        <v>1</v>
      </c>
      <c r="L123" s="52">
        <v>1</v>
      </c>
      <c r="O123" s="54" t="s">
        <v>598</v>
      </c>
      <c r="P123">
        <v>528.8</v>
      </c>
      <c r="Q123">
        <v>6</v>
      </c>
      <c r="R123">
        <v>3</v>
      </c>
    </row>
    <row r="124" spans="8:18">
      <c r="H124" s="51">
        <v>44808</v>
      </c>
      <c r="I124" s="52" t="s">
        <v>599</v>
      </c>
      <c r="J124" s="53">
        <v>19.9</v>
      </c>
      <c r="K124" s="53">
        <v>1</v>
      </c>
      <c r="L124" s="52">
        <v>1</v>
      </c>
      <c r="O124" s="54" t="s">
        <v>600</v>
      </c>
      <c r="P124">
        <v>528</v>
      </c>
      <c r="Q124">
        <v>2</v>
      </c>
      <c r="R124">
        <v>2</v>
      </c>
    </row>
    <row r="125" spans="8:18">
      <c r="H125" s="51">
        <v>44808</v>
      </c>
      <c r="I125" s="52" t="s">
        <v>601</v>
      </c>
      <c r="J125" s="53">
        <v>19.9</v>
      </c>
      <c r="K125" s="53">
        <v>1</v>
      </c>
      <c r="L125" s="52">
        <v>1</v>
      </c>
      <c r="O125" s="54" t="s">
        <v>427</v>
      </c>
      <c r="P125">
        <v>527.8</v>
      </c>
      <c r="Q125">
        <v>5</v>
      </c>
      <c r="R125">
        <v>2</v>
      </c>
    </row>
    <row r="126" spans="8:18">
      <c r="H126" s="51">
        <v>44808</v>
      </c>
      <c r="I126" s="52" t="s">
        <v>602</v>
      </c>
      <c r="J126" s="53">
        <v>19.9</v>
      </c>
      <c r="K126" s="53">
        <v>1</v>
      </c>
      <c r="L126" s="52">
        <v>1</v>
      </c>
      <c r="O126" s="54" t="s">
        <v>603</v>
      </c>
      <c r="P126">
        <v>527.6</v>
      </c>
      <c r="Q126">
        <v>11</v>
      </c>
      <c r="R126">
        <v>8</v>
      </c>
    </row>
    <row r="127" spans="8:18">
      <c r="H127" s="51">
        <v>44808</v>
      </c>
      <c r="I127" s="52" t="s">
        <v>604</v>
      </c>
      <c r="J127" s="53">
        <v>19.9</v>
      </c>
      <c r="K127" s="53">
        <v>1</v>
      </c>
      <c r="L127" s="52">
        <v>1</v>
      </c>
      <c r="O127" s="54" t="s">
        <v>605</v>
      </c>
      <c r="P127">
        <v>520</v>
      </c>
      <c r="Q127">
        <v>4</v>
      </c>
      <c r="R127">
        <v>1</v>
      </c>
    </row>
    <row r="128" spans="8:18">
      <c r="H128" s="51">
        <v>44808</v>
      </c>
      <c r="I128" s="52" t="s">
        <v>606</v>
      </c>
      <c r="J128" s="53">
        <v>19.9</v>
      </c>
      <c r="K128" s="53">
        <v>1</v>
      </c>
      <c r="L128" s="52">
        <v>1</v>
      </c>
      <c r="O128" s="54" t="s">
        <v>607</v>
      </c>
      <c r="P128">
        <v>518.9</v>
      </c>
      <c r="Q128">
        <v>4</v>
      </c>
      <c r="R128">
        <v>3</v>
      </c>
    </row>
    <row r="129" spans="8:18">
      <c r="H129" s="51">
        <v>44808</v>
      </c>
      <c r="I129" s="52" t="s">
        <v>608</v>
      </c>
      <c r="J129" s="53">
        <v>19.9</v>
      </c>
      <c r="K129" s="53">
        <v>1</v>
      </c>
      <c r="L129" s="52">
        <v>1</v>
      </c>
      <c r="O129" s="54" t="s">
        <v>431</v>
      </c>
      <c r="P129">
        <v>518.6</v>
      </c>
      <c r="Q129">
        <v>8</v>
      </c>
      <c r="R129">
        <v>2</v>
      </c>
    </row>
    <row r="130" spans="8:18">
      <c r="H130" s="51">
        <v>44808</v>
      </c>
      <c r="I130" s="52" t="s">
        <v>609</v>
      </c>
      <c r="J130" s="53">
        <v>19.9</v>
      </c>
      <c r="K130" s="53">
        <v>1</v>
      </c>
      <c r="L130" s="52">
        <v>1</v>
      </c>
      <c r="O130" s="54" t="s">
        <v>610</v>
      </c>
      <c r="P130">
        <v>518</v>
      </c>
      <c r="Q130">
        <v>2</v>
      </c>
      <c r="R130">
        <v>2</v>
      </c>
    </row>
    <row r="131" spans="8:18">
      <c r="H131" s="51">
        <v>44808</v>
      </c>
      <c r="I131" s="52" t="s">
        <v>611</v>
      </c>
      <c r="J131" s="53">
        <v>19.9</v>
      </c>
      <c r="K131" s="53">
        <v>1</v>
      </c>
      <c r="L131" s="52">
        <v>1</v>
      </c>
      <c r="O131" s="54" t="s">
        <v>612</v>
      </c>
      <c r="P131">
        <v>516.7</v>
      </c>
      <c r="Q131">
        <v>6</v>
      </c>
      <c r="R131">
        <v>2</v>
      </c>
    </row>
    <row r="132" spans="8:18">
      <c r="H132" s="51">
        <v>44808</v>
      </c>
      <c r="I132" s="52" t="s">
        <v>613</v>
      </c>
      <c r="J132" s="53">
        <v>19.9</v>
      </c>
      <c r="K132" s="53">
        <v>1</v>
      </c>
      <c r="L132" s="52">
        <v>1</v>
      </c>
      <c r="O132" s="54" t="s">
        <v>614</v>
      </c>
      <c r="P132">
        <v>513.8</v>
      </c>
      <c r="Q132">
        <v>5</v>
      </c>
      <c r="R132">
        <v>2</v>
      </c>
    </row>
    <row r="133" spans="8:18">
      <c r="H133" s="51">
        <v>44808</v>
      </c>
      <c r="I133" s="52" t="s">
        <v>615</v>
      </c>
      <c r="J133" s="53">
        <v>19.9</v>
      </c>
      <c r="K133" s="53">
        <v>1</v>
      </c>
      <c r="L133" s="52">
        <v>1</v>
      </c>
      <c r="O133" s="54" t="s">
        <v>426</v>
      </c>
      <c r="P133">
        <v>512.8</v>
      </c>
      <c r="Q133">
        <v>4</v>
      </c>
      <c r="R133">
        <v>1</v>
      </c>
    </row>
    <row r="134" spans="8:18">
      <c r="H134" s="51">
        <v>44808</v>
      </c>
      <c r="I134" s="52" t="s">
        <v>616</v>
      </c>
      <c r="J134" s="53">
        <v>19.9</v>
      </c>
      <c r="K134" s="53">
        <v>1</v>
      </c>
      <c r="L134" s="52">
        <v>1</v>
      </c>
      <c r="O134" s="54" t="s">
        <v>545</v>
      </c>
      <c r="P134">
        <v>509.5</v>
      </c>
      <c r="Q134">
        <v>10</v>
      </c>
      <c r="R134">
        <v>7</v>
      </c>
    </row>
    <row r="135" spans="8:18">
      <c r="H135" s="51">
        <v>44808</v>
      </c>
      <c r="I135" s="52" t="s">
        <v>617</v>
      </c>
      <c r="J135" s="53">
        <v>19.9</v>
      </c>
      <c r="K135" s="53">
        <v>1</v>
      </c>
      <c r="L135" s="52">
        <v>1</v>
      </c>
      <c r="O135" s="54" t="s">
        <v>430</v>
      </c>
      <c r="P135">
        <v>508.8</v>
      </c>
      <c r="Q135">
        <v>6</v>
      </c>
      <c r="R135">
        <v>2</v>
      </c>
    </row>
    <row r="136" spans="8:18">
      <c r="H136" s="51">
        <v>44808</v>
      </c>
      <c r="I136" s="52" t="s">
        <v>618</v>
      </c>
      <c r="J136" s="53">
        <v>19.9</v>
      </c>
      <c r="K136" s="53">
        <v>1</v>
      </c>
      <c r="L136" s="52">
        <v>1</v>
      </c>
      <c r="O136" s="54" t="s">
        <v>619</v>
      </c>
      <c r="P136">
        <v>503</v>
      </c>
      <c r="Q136">
        <v>2</v>
      </c>
      <c r="R136">
        <v>1</v>
      </c>
    </row>
    <row r="137" spans="8:18">
      <c r="H137" s="51">
        <v>44808</v>
      </c>
      <c r="I137" s="52" t="s">
        <v>620</v>
      </c>
      <c r="J137" s="53">
        <v>19.9</v>
      </c>
      <c r="K137" s="53">
        <v>1</v>
      </c>
      <c r="L137" s="52">
        <v>1</v>
      </c>
      <c r="O137" s="54" t="s">
        <v>621</v>
      </c>
      <c r="P137">
        <v>494</v>
      </c>
      <c r="Q137">
        <v>2</v>
      </c>
      <c r="R137">
        <v>1</v>
      </c>
    </row>
    <row r="138" spans="8:18">
      <c r="H138" s="51">
        <v>44808</v>
      </c>
      <c r="I138" s="52" t="s">
        <v>622</v>
      </c>
      <c r="J138" s="53">
        <v>19.9</v>
      </c>
      <c r="K138" s="53">
        <v>1</v>
      </c>
      <c r="L138" s="52">
        <v>1</v>
      </c>
      <c r="O138" s="54" t="s">
        <v>623</v>
      </c>
      <c r="P138">
        <v>494</v>
      </c>
      <c r="Q138">
        <v>2</v>
      </c>
      <c r="R138">
        <v>2</v>
      </c>
    </row>
    <row r="139" spans="8:18">
      <c r="H139" s="51">
        <v>44808</v>
      </c>
      <c r="I139" s="52" t="s">
        <v>624</v>
      </c>
      <c r="J139" s="53">
        <v>19.9</v>
      </c>
      <c r="K139" s="53">
        <v>1</v>
      </c>
      <c r="L139" s="52">
        <v>1</v>
      </c>
      <c r="O139" s="54" t="s">
        <v>625</v>
      </c>
      <c r="P139">
        <v>492</v>
      </c>
      <c r="Q139">
        <v>2</v>
      </c>
      <c r="R139">
        <v>1</v>
      </c>
    </row>
    <row r="140" spans="8:18">
      <c r="H140" s="51">
        <v>44808</v>
      </c>
      <c r="I140" s="52" t="s">
        <v>626</v>
      </c>
      <c r="J140" s="53">
        <v>19.9</v>
      </c>
      <c r="K140" s="53">
        <v>1</v>
      </c>
      <c r="L140" s="52">
        <v>1</v>
      </c>
      <c r="O140" s="54" t="s">
        <v>449</v>
      </c>
      <c r="P140">
        <v>491</v>
      </c>
      <c r="Q140">
        <v>5</v>
      </c>
      <c r="R140">
        <v>5</v>
      </c>
    </row>
    <row r="141" spans="8:18">
      <c r="H141" s="51">
        <v>44808</v>
      </c>
      <c r="I141" s="52" t="s">
        <v>627</v>
      </c>
      <c r="J141" s="53">
        <v>19.9</v>
      </c>
      <c r="K141" s="53">
        <v>1</v>
      </c>
      <c r="L141" s="52">
        <v>1</v>
      </c>
      <c r="O141" s="54" t="s">
        <v>628</v>
      </c>
      <c r="P141">
        <v>489.5</v>
      </c>
      <c r="Q141">
        <v>10</v>
      </c>
      <c r="R141">
        <v>3</v>
      </c>
    </row>
    <row r="142" spans="8:18">
      <c r="H142" s="51">
        <v>44808</v>
      </c>
      <c r="I142" s="52" t="s">
        <v>629</v>
      </c>
      <c r="J142" s="53">
        <v>19.9</v>
      </c>
      <c r="K142" s="53">
        <v>1</v>
      </c>
      <c r="L142" s="52">
        <v>1</v>
      </c>
      <c r="O142" s="54" t="s">
        <v>630</v>
      </c>
      <c r="P142">
        <v>484</v>
      </c>
      <c r="Q142">
        <v>2</v>
      </c>
      <c r="R142">
        <v>2</v>
      </c>
    </row>
    <row r="143" spans="8:18">
      <c r="H143" s="51">
        <v>44808</v>
      </c>
      <c r="I143" s="52" t="s">
        <v>631</v>
      </c>
      <c r="J143" s="53">
        <v>19.9</v>
      </c>
      <c r="K143" s="53">
        <v>1</v>
      </c>
      <c r="L143" s="52">
        <v>1</v>
      </c>
      <c r="O143" s="54" t="s">
        <v>632</v>
      </c>
      <c r="P143">
        <v>482.9</v>
      </c>
      <c r="Q143">
        <v>3</v>
      </c>
      <c r="R143">
        <v>2</v>
      </c>
    </row>
    <row r="144" spans="8:18">
      <c r="H144" s="51">
        <v>44808</v>
      </c>
      <c r="I144" s="52" t="s">
        <v>633</v>
      </c>
      <c r="J144" s="53">
        <v>19.9</v>
      </c>
      <c r="K144" s="53">
        <v>1</v>
      </c>
      <c r="L144" s="52">
        <v>1</v>
      </c>
      <c r="O144" s="54" t="s">
        <v>634</v>
      </c>
      <c r="P144">
        <v>481.4</v>
      </c>
      <c r="Q144">
        <v>13</v>
      </c>
      <c r="R144">
        <v>6</v>
      </c>
    </row>
    <row r="145" spans="8:18">
      <c r="H145" s="51">
        <v>44808</v>
      </c>
      <c r="I145" s="52" t="s">
        <v>635</v>
      </c>
      <c r="J145" s="53">
        <v>19.9</v>
      </c>
      <c r="K145" s="53">
        <v>1</v>
      </c>
      <c r="L145" s="52">
        <v>1</v>
      </c>
      <c r="O145" s="54" t="s">
        <v>636</v>
      </c>
      <c r="P145">
        <v>480.48</v>
      </c>
      <c r="Q145">
        <v>15</v>
      </c>
      <c r="R145">
        <v>5</v>
      </c>
    </row>
    <row r="146" spans="8:18">
      <c r="H146" s="51">
        <v>44808</v>
      </c>
      <c r="I146" s="52" t="s">
        <v>637</v>
      </c>
      <c r="J146" s="53">
        <v>19.9</v>
      </c>
      <c r="K146" s="53">
        <v>1</v>
      </c>
      <c r="L146" s="52">
        <v>1</v>
      </c>
      <c r="O146" s="54" t="s">
        <v>638</v>
      </c>
      <c r="P146">
        <v>474</v>
      </c>
      <c r="Q146">
        <v>2</v>
      </c>
      <c r="R146">
        <v>1</v>
      </c>
    </row>
    <row r="147" spans="8:18">
      <c r="H147" s="51">
        <v>44808</v>
      </c>
      <c r="I147" s="52" t="s">
        <v>639</v>
      </c>
      <c r="J147" s="53">
        <v>19.9</v>
      </c>
      <c r="K147" s="53">
        <v>1</v>
      </c>
      <c r="L147" s="52">
        <v>1</v>
      </c>
      <c r="O147" s="54" t="s">
        <v>640</v>
      </c>
      <c r="P147">
        <v>472</v>
      </c>
      <c r="Q147">
        <v>2</v>
      </c>
      <c r="R147">
        <v>2</v>
      </c>
    </row>
    <row r="148" spans="8:18">
      <c r="H148" s="51">
        <v>44808</v>
      </c>
      <c r="I148" s="52" t="s">
        <v>641</v>
      </c>
      <c r="J148" s="53">
        <v>19.9</v>
      </c>
      <c r="K148" s="53">
        <v>1</v>
      </c>
      <c r="L148" s="52">
        <v>1</v>
      </c>
      <c r="O148" s="54" t="s">
        <v>467</v>
      </c>
      <c r="P148">
        <v>463.58</v>
      </c>
      <c r="Q148">
        <v>12</v>
      </c>
      <c r="R148">
        <v>9</v>
      </c>
    </row>
    <row r="149" spans="8:18">
      <c r="H149" s="51">
        <v>44809</v>
      </c>
      <c r="I149" s="52" t="s">
        <v>642</v>
      </c>
      <c r="J149" s="53">
        <v>442.7</v>
      </c>
      <c r="K149" s="53">
        <v>5</v>
      </c>
      <c r="L149" s="17">
        <v>1</v>
      </c>
      <c r="O149" s="54" t="s">
        <v>643</v>
      </c>
      <c r="P149">
        <v>457.9</v>
      </c>
      <c r="Q149">
        <v>11</v>
      </c>
      <c r="R149">
        <v>6</v>
      </c>
    </row>
    <row r="150" spans="8:18">
      <c r="H150" s="51">
        <v>44809</v>
      </c>
      <c r="I150" s="52" t="s">
        <v>644</v>
      </c>
      <c r="J150" s="53">
        <v>411.7</v>
      </c>
      <c r="K150" s="53">
        <v>5</v>
      </c>
      <c r="L150" s="17">
        <v>1</v>
      </c>
      <c r="O150" s="54" t="s">
        <v>645</v>
      </c>
      <c r="P150">
        <v>451.6</v>
      </c>
      <c r="Q150">
        <v>13</v>
      </c>
      <c r="R150">
        <v>6</v>
      </c>
    </row>
    <row r="151" spans="8:18">
      <c r="H151" s="51">
        <v>44809</v>
      </c>
      <c r="I151" s="52" t="s">
        <v>526</v>
      </c>
      <c r="J151" s="53">
        <v>404.8</v>
      </c>
      <c r="K151" s="53">
        <v>4</v>
      </c>
      <c r="L151" s="17">
        <v>1</v>
      </c>
      <c r="O151" s="54" t="s">
        <v>646</v>
      </c>
      <c r="P151">
        <v>443.9</v>
      </c>
      <c r="Q151">
        <v>4</v>
      </c>
      <c r="R151">
        <v>1</v>
      </c>
    </row>
    <row r="152" spans="8:18">
      <c r="H152" s="51">
        <v>44809</v>
      </c>
      <c r="I152" s="52" t="s">
        <v>503</v>
      </c>
      <c r="J152" s="53">
        <v>360.9</v>
      </c>
      <c r="K152" s="53">
        <v>3</v>
      </c>
      <c r="L152" s="17">
        <v>1</v>
      </c>
      <c r="O152" s="54" t="s">
        <v>642</v>
      </c>
      <c r="P152">
        <v>442.7</v>
      </c>
      <c r="Q152">
        <v>5</v>
      </c>
      <c r="R152">
        <v>1</v>
      </c>
    </row>
    <row r="153" spans="8:18">
      <c r="H153" s="51">
        <v>44809</v>
      </c>
      <c r="I153" s="52" t="s">
        <v>515</v>
      </c>
      <c r="J153" s="53">
        <v>346</v>
      </c>
      <c r="K153" s="53">
        <v>2</v>
      </c>
      <c r="L153" s="17">
        <v>1</v>
      </c>
      <c r="O153" s="54" t="s">
        <v>647</v>
      </c>
      <c r="P153">
        <v>436.81</v>
      </c>
      <c r="Q153">
        <v>17</v>
      </c>
      <c r="R153">
        <v>10</v>
      </c>
    </row>
    <row r="154" spans="8:18">
      <c r="H154" s="51">
        <v>44809</v>
      </c>
      <c r="I154" s="52" t="s">
        <v>400</v>
      </c>
      <c r="J154" s="53">
        <v>268.9</v>
      </c>
      <c r="K154" s="53">
        <v>2</v>
      </c>
      <c r="L154" s="17">
        <v>1</v>
      </c>
      <c r="O154" s="54" t="s">
        <v>648</v>
      </c>
      <c r="P154">
        <v>432.8</v>
      </c>
      <c r="Q154">
        <v>5</v>
      </c>
      <c r="R154">
        <v>1</v>
      </c>
    </row>
    <row r="155" spans="8:18">
      <c r="H155" s="51">
        <v>44809</v>
      </c>
      <c r="I155" s="52" t="s">
        <v>476</v>
      </c>
      <c r="J155" s="53">
        <v>259</v>
      </c>
      <c r="K155" s="53">
        <v>1</v>
      </c>
      <c r="L155" s="17">
        <v>1</v>
      </c>
      <c r="O155" s="54" t="s">
        <v>494</v>
      </c>
      <c r="P155">
        <v>430.71</v>
      </c>
      <c r="Q155">
        <v>5</v>
      </c>
      <c r="R155">
        <v>2</v>
      </c>
    </row>
    <row r="156" spans="8:18">
      <c r="H156" s="51">
        <v>44809</v>
      </c>
      <c r="I156" s="52" t="s">
        <v>649</v>
      </c>
      <c r="J156" s="53">
        <v>249</v>
      </c>
      <c r="K156" s="53">
        <v>1</v>
      </c>
      <c r="L156" s="17">
        <v>1</v>
      </c>
      <c r="O156" s="54" t="s">
        <v>436</v>
      </c>
      <c r="P156">
        <v>429.9</v>
      </c>
      <c r="Q156">
        <v>4</v>
      </c>
      <c r="R156">
        <v>3</v>
      </c>
    </row>
    <row r="157" spans="8:18">
      <c r="H157" s="51">
        <v>44809</v>
      </c>
      <c r="I157" s="52" t="s">
        <v>425</v>
      </c>
      <c r="J157" s="53">
        <v>249</v>
      </c>
      <c r="K157" s="53">
        <v>1</v>
      </c>
      <c r="L157" s="17">
        <v>1</v>
      </c>
      <c r="O157" s="54" t="s">
        <v>650</v>
      </c>
      <c r="P157">
        <v>427.7</v>
      </c>
      <c r="Q157">
        <v>4</v>
      </c>
      <c r="R157">
        <v>2</v>
      </c>
    </row>
    <row r="158" spans="8:18">
      <c r="H158" s="51">
        <v>44809</v>
      </c>
      <c r="I158" s="52" t="s">
        <v>651</v>
      </c>
      <c r="J158" s="53">
        <v>245</v>
      </c>
      <c r="K158" s="53">
        <v>1</v>
      </c>
      <c r="L158" s="17">
        <v>1</v>
      </c>
      <c r="O158" s="54" t="s">
        <v>549</v>
      </c>
      <c r="P158">
        <v>425.8</v>
      </c>
      <c r="Q158">
        <v>7</v>
      </c>
      <c r="R158">
        <v>6</v>
      </c>
    </row>
    <row r="159" spans="8:18">
      <c r="H159" s="51">
        <v>44809</v>
      </c>
      <c r="I159" s="52" t="s">
        <v>495</v>
      </c>
      <c r="J159" s="53">
        <v>194</v>
      </c>
      <c r="K159" s="53">
        <v>2</v>
      </c>
      <c r="L159" s="17">
        <v>1</v>
      </c>
      <c r="O159" s="54" t="s">
        <v>652</v>
      </c>
      <c r="P159">
        <v>424.3</v>
      </c>
      <c r="Q159">
        <v>10</v>
      </c>
      <c r="R159">
        <v>4</v>
      </c>
    </row>
    <row r="160" spans="8:18">
      <c r="H160" s="51">
        <v>44809</v>
      </c>
      <c r="I160" s="52" t="s">
        <v>653</v>
      </c>
      <c r="J160" s="53">
        <v>136.9</v>
      </c>
      <c r="K160" s="53">
        <v>2</v>
      </c>
      <c r="L160" s="17">
        <v>1</v>
      </c>
      <c r="O160" s="54" t="s">
        <v>513</v>
      </c>
      <c r="P160">
        <v>424.11</v>
      </c>
      <c r="Q160">
        <v>8</v>
      </c>
      <c r="R160">
        <v>5</v>
      </c>
    </row>
    <row r="161" spans="8:18">
      <c r="H161" s="51">
        <v>44809</v>
      </c>
      <c r="I161" s="52" t="s">
        <v>654</v>
      </c>
      <c r="J161" s="53">
        <v>99</v>
      </c>
      <c r="K161" s="53">
        <v>1</v>
      </c>
      <c r="L161" s="17">
        <v>1</v>
      </c>
      <c r="O161" s="54" t="s">
        <v>644</v>
      </c>
      <c r="P161">
        <v>423.6</v>
      </c>
      <c r="Q161">
        <v>8</v>
      </c>
      <c r="R161">
        <v>3</v>
      </c>
    </row>
    <row r="162" spans="8:18">
      <c r="H162" s="51">
        <v>44809</v>
      </c>
      <c r="I162" s="52" t="s">
        <v>650</v>
      </c>
      <c r="J162" s="53">
        <v>98.7</v>
      </c>
      <c r="K162" s="53">
        <v>3</v>
      </c>
      <c r="L162" s="17">
        <v>1</v>
      </c>
      <c r="O162" s="54" t="s">
        <v>428</v>
      </c>
      <c r="P162">
        <v>420.7</v>
      </c>
      <c r="Q162">
        <v>5</v>
      </c>
      <c r="R162">
        <v>1</v>
      </c>
    </row>
    <row r="163" spans="8:18">
      <c r="H163" s="51">
        <v>44809</v>
      </c>
      <c r="I163" s="52" t="s">
        <v>384</v>
      </c>
      <c r="J163" s="53">
        <v>98</v>
      </c>
      <c r="K163" s="53">
        <v>1</v>
      </c>
      <c r="L163" s="17">
        <v>1</v>
      </c>
      <c r="O163" s="54" t="s">
        <v>655</v>
      </c>
      <c r="P163">
        <v>419.3</v>
      </c>
      <c r="Q163">
        <v>15</v>
      </c>
      <c r="R163">
        <v>9</v>
      </c>
    </row>
    <row r="164" spans="8:18">
      <c r="H164" s="51">
        <v>44809</v>
      </c>
      <c r="I164" s="52" t="s">
        <v>468</v>
      </c>
      <c r="J164" s="53">
        <v>98</v>
      </c>
      <c r="K164" s="53">
        <v>1</v>
      </c>
      <c r="L164" s="17">
        <v>1</v>
      </c>
      <c r="O164" s="54" t="s">
        <v>656</v>
      </c>
      <c r="P164">
        <v>413.82</v>
      </c>
      <c r="Q164">
        <v>3</v>
      </c>
      <c r="R164">
        <v>1</v>
      </c>
    </row>
    <row r="165" spans="8:18">
      <c r="H165" s="51">
        <v>44809</v>
      </c>
      <c r="I165" s="52" t="s">
        <v>436</v>
      </c>
      <c r="J165" s="53">
        <v>94</v>
      </c>
      <c r="K165" s="53">
        <v>1</v>
      </c>
      <c r="L165" s="17">
        <v>1</v>
      </c>
      <c r="O165" s="54" t="s">
        <v>657</v>
      </c>
      <c r="P165">
        <v>410.9</v>
      </c>
      <c r="Q165">
        <v>3</v>
      </c>
      <c r="R165">
        <v>1</v>
      </c>
    </row>
    <row r="166" spans="8:18">
      <c r="H166" s="51">
        <v>44809</v>
      </c>
      <c r="I166" s="52" t="s">
        <v>612</v>
      </c>
      <c r="J166" s="53">
        <v>93.7</v>
      </c>
      <c r="K166" s="53">
        <v>3</v>
      </c>
      <c r="L166" s="17">
        <v>1</v>
      </c>
      <c r="O166" s="54" t="s">
        <v>658</v>
      </c>
      <c r="P166">
        <v>409.8</v>
      </c>
      <c r="Q166">
        <v>6</v>
      </c>
      <c r="R166">
        <v>3</v>
      </c>
    </row>
    <row r="167" spans="8:18">
      <c r="H167" s="51">
        <v>44809</v>
      </c>
      <c r="I167" s="52" t="s">
        <v>659</v>
      </c>
      <c r="J167" s="53">
        <v>76.8</v>
      </c>
      <c r="K167" s="53">
        <v>2</v>
      </c>
      <c r="L167" s="17">
        <v>1</v>
      </c>
      <c r="O167" s="54" t="s">
        <v>660</v>
      </c>
      <c r="P167">
        <v>403.8</v>
      </c>
      <c r="Q167">
        <v>5</v>
      </c>
      <c r="R167">
        <v>3</v>
      </c>
    </row>
    <row r="168" spans="8:18">
      <c r="H168" s="51">
        <v>44809</v>
      </c>
      <c r="I168" s="52" t="s">
        <v>661</v>
      </c>
      <c r="J168" s="53">
        <v>59.8</v>
      </c>
      <c r="K168" s="53">
        <v>2</v>
      </c>
      <c r="L168" s="17">
        <v>1</v>
      </c>
      <c r="O168" s="54" t="s">
        <v>662</v>
      </c>
      <c r="P168">
        <v>402</v>
      </c>
      <c r="Q168">
        <v>2</v>
      </c>
      <c r="R168">
        <v>1</v>
      </c>
    </row>
    <row r="169" spans="8:18">
      <c r="H169" s="51">
        <v>44809</v>
      </c>
      <c r="I169" s="52" t="s">
        <v>663</v>
      </c>
      <c r="J169" s="53">
        <v>57.8</v>
      </c>
      <c r="K169" s="53">
        <v>2</v>
      </c>
      <c r="L169" s="17">
        <v>1</v>
      </c>
      <c r="O169" s="54" t="s">
        <v>664</v>
      </c>
      <c r="P169">
        <v>401.8</v>
      </c>
      <c r="Q169">
        <v>4</v>
      </c>
      <c r="R169">
        <v>1</v>
      </c>
    </row>
    <row r="170" spans="8:18">
      <c r="H170" s="51">
        <v>44809</v>
      </c>
      <c r="I170" s="52" t="s">
        <v>514</v>
      </c>
      <c r="J170" s="53">
        <v>56.8</v>
      </c>
      <c r="K170" s="53">
        <v>2</v>
      </c>
      <c r="L170" s="17">
        <v>1</v>
      </c>
      <c r="O170" s="54" t="s">
        <v>429</v>
      </c>
      <c r="P170">
        <v>401.8</v>
      </c>
      <c r="Q170">
        <v>4</v>
      </c>
      <c r="R170">
        <v>1</v>
      </c>
    </row>
    <row r="171" spans="8:18">
      <c r="H171" s="51">
        <v>44809</v>
      </c>
      <c r="I171" s="52" t="s">
        <v>439</v>
      </c>
      <c r="J171" s="53">
        <v>56.8</v>
      </c>
      <c r="K171" s="53">
        <v>2</v>
      </c>
      <c r="L171" s="17">
        <v>1</v>
      </c>
      <c r="O171" s="54" t="s">
        <v>665</v>
      </c>
      <c r="P171">
        <v>397.91</v>
      </c>
      <c r="Q171">
        <v>5</v>
      </c>
      <c r="R171">
        <v>2</v>
      </c>
    </row>
    <row r="172" spans="8:18">
      <c r="H172" s="51">
        <v>44809</v>
      </c>
      <c r="I172" s="52" t="s">
        <v>666</v>
      </c>
      <c r="J172" s="53">
        <v>39.9</v>
      </c>
      <c r="K172" s="53">
        <v>1</v>
      </c>
      <c r="L172" s="17">
        <v>1</v>
      </c>
      <c r="O172" s="54" t="s">
        <v>667</v>
      </c>
      <c r="P172">
        <v>396.6</v>
      </c>
      <c r="Q172">
        <v>7</v>
      </c>
      <c r="R172">
        <v>5</v>
      </c>
    </row>
    <row r="173" spans="8:18">
      <c r="H173" s="51">
        <v>44809</v>
      </c>
      <c r="I173" s="52" t="s">
        <v>668</v>
      </c>
      <c r="J173" s="53">
        <v>39.9</v>
      </c>
      <c r="K173" s="53">
        <v>1</v>
      </c>
      <c r="L173" s="17">
        <v>1</v>
      </c>
      <c r="O173" s="54" t="s">
        <v>669</v>
      </c>
      <c r="P173">
        <v>392.9</v>
      </c>
      <c r="Q173">
        <v>3</v>
      </c>
      <c r="R173">
        <v>2</v>
      </c>
    </row>
    <row r="174" spans="8:18">
      <c r="H174" s="51">
        <v>44809</v>
      </c>
      <c r="I174" s="52" t="s">
        <v>670</v>
      </c>
      <c r="J174" s="53">
        <v>39.9</v>
      </c>
      <c r="K174" s="53">
        <v>1</v>
      </c>
      <c r="L174" s="17">
        <v>1</v>
      </c>
      <c r="O174" s="54" t="s">
        <v>671</v>
      </c>
      <c r="P174">
        <v>391.8</v>
      </c>
      <c r="Q174">
        <v>5</v>
      </c>
      <c r="R174">
        <v>2</v>
      </c>
    </row>
    <row r="175" spans="8:18">
      <c r="H175" s="51">
        <v>44809</v>
      </c>
      <c r="I175" s="52" t="s">
        <v>672</v>
      </c>
      <c r="J175" s="53">
        <v>39.9</v>
      </c>
      <c r="K175" s="53">
        <v>1</v>
      </c>
      <c r="L175" s="17">
        <v>1</v>
      </c>
      <c r="O175" s="54" t="s">
        <v>673</v>
      </c>
      <c r="P175">
        <v>391.51</v>
      </c>
      <c r="Q175">
        <v>2</v>
      </c>
      <c r="R175">
        <v>2</v>
      </c>
    </row>
    <row r="176" spans="8:18">
      <c r="H176" s="51">
        <v>44809</v>
      </c>
      <c r="I176" s="52" t="s">
        <v>674</v>
      </c>
      <c r="J176" s="53">
        <v>39.9</v>
      </c>
      <c r="K176" s="53">
        <v>1</v>
      </c>
      <c r="L176" s="17">
        <v>1</v>
      </c>
      <c r="O176" s="54" t="s">
        <v>675</v>
      </c>
      <c r="P176">
        <v>388.31</v>
      </c>
      <c r="Q176">
        <v>4</v>
      </c>
      <c r="R176">
        <v>4</v>
      </c>
    </row>
    <row r="177" spans="8:18">
      <c r="H177" s="51">
        <v>44809</v>
      </c>
      <c r="I177" s="52" t="s">
        <v>462</v>
      </c>
      <c r="J177" s="53">
        <v>39.9</v>
      </c>
      <c r="K177" s="53">
        <v>1</v>
      </c>
      <c r="L177" s="17">
        <v>1</v>
      </c>
      <c r="O177" s="54" t="s">
        <v>676</v>
      </c>
      <c r="P177">
        <v>387.7</v>
      </c>
      <c r="Q177">
        <v>4</v>
      </c>
      <c r="R177">
        <v>2</v>
      </c>
    </row>
    <row r="178" spans="8:18">
      <c r="H178" s="51">
        <v>44809</v>
      </c>
      <c r="I178" s="52" t="s">
        <v>394</v>
      </c>
      <c r="J178" s="53">
        <v>39.8</v>
      </c>
      <c r="K178" s="53">
        <v>2</v>
      </c>
      <c r="L178" s="17">
        <v>1</v>
      </c>
      <c r="O178" s="54" t="s">
        <v>525</v>
      </c>
      <c r="P178">
        <v>378.8</v>
      </c>
      <c r="Q178">
        <v>3</v>
      </c>
      <c r="R178">
        <v>2</v>
      </c>
    </row>
    <row r="179" spans="8:18">
      <c r="H179" s="51">
        <v>44809</v>
      </c>
      <c r="I179" s="52" t="s">
        <v>491</v>
      </c>
      <c r="J179" s="53">
        <v>39.8</v>
      </c>
      <c r="K179" s="53">
        <v>2</v>
      </c>
      <c r="L179" s="17">
        <v>1</v>
      </c>
      <c r="O179" s="54" t="s">
        <v>480</v>
      </c>
      <c r="P179">
        <v>370.61</v>
      </c>
      <c r="Q179">
        <v>10</v>
      </c>
      <c r="R179">
        <v>4</v>
      </c>
    </row>
    <row r="180" spans="8:18">
      <c r="H180" s="51">
        <v>44809</v>
      </c>
      <c r="I180" s="52" t="s">
        <v>677</v>
      </c>
      <c r="J180" s="53">
        <v>38.9</v>
      </c>
      <c r="K180" s="53">
        <v>1</v>
      </c>
      <c r="L180" s="17">
        <v>1</v>
      </c>
      <c r="O180" s="54" t="s">
        <v>678</v>
      </c>
      <c r="P180">
        <v>368.9</v>
      </c>
      <c r="Q180">
        <v>2</v>
      </c>
      <c r="R180">
        <v>2</v>
      </c>
    </row>
    <row r="181" spans="8:18">
      <c r="H181" s="51">
        <v>44809</v>
      </c>
      <c r="I181" s="52" t="s">
        <v>679</v>
      </c>
      <c r="J181" s="53">
        <v>37.9</v>
      </c>
      <c r="K181" s="53">
        <v>1</v>
      </c>
      <c r="L181" s="17">
        <v>1</v>
      </c>
      <c r="O181" s="54" t="s">
        <v>680</v>
      </c>
      <c r="P181">
        <v>359</v>
      </c>
      <c r="Q181">
        <v>1</v>
      </c>
      <c r="R181">
        <v>1</v>
      </c>
    </row>
    <row r="182" spans="8:18">
      <c r="H182" s="51">
        <v>44809</v>
      </c>
      <c r="I182" s="52" t="s">
        <v>427</v>
      </c>
      <c r="J182" s="53">
        <v>37.9</v>
      </c>
      <c r="K182" s="53">
        <v>1</v>
      </c>
      <c r="L182" s="17">
        <v>1</v>
      </c>
      <c r="O182" s="54" t="s">
        <v>681</v>
      </c>
      <c r="P182">
        <v>355</v>
      </c>
      <c r="Q182">
        <v>1</v>
      </c>
      <c r="R182">
        <v>1</v>
      </c>
    </row>
    <row r="183" spans="8:18">
      <c r="H183" s="51">
        <v>44809</v>
      </c>
      <c r="I183" s="52" t="s">
        <v>397</v>
      </c>
      <c r="J183" s="53">
        <v>37.9</v>
      </c>
      <c r="K183" s="53">
        <v>1</v>
      </c>
      <c r="L183" s="17">
        <v>1</v>
      </c>
      <c r="O183" s="54" t="s">
        <v>469</v>
      </c>
      <c r="P183">
        <v>353.9</v>
      </c>
      <c r="Q183">
        <v>3</v>
      </c>
      <c r="R183">
        <v>3</v>
      </c>
    </row>
    <row r="184" spans="8:18">
      <c r="H184" s="51">
        <v>44809</v>
      </c>
      <c r="I184" s="52" t="s">
        <v>682</v>
      </c>
      <c r="J184" s="53">
        <v>37.9</v>
      </c>
      <c r="K184" s="53">
        <v>1</v>
      </c>
      <c r="L184" s="17">
        <v>1</v>
      </c>
      <c r="O184" s="54" t="s">
        <v>683</v>
      </c>
      <c r="P184">
        <v>346.9</v>
      </c>
      <c r="Q184">
        <v>3</v>
      </c>
      <c r="R184">
        <v>1</v>
      </c>
    </row>
    <row r="185" spans="8:18">
      <c r="H185" s="51">
        <v>44809</v>
      </c>
      <c r="I185" s="52" t="s">
        <v>684</v>
      </c>
      <c r="J185" s="53">
        <v>37.9</v>
      </c>
      <c r="K185" s="53">
        <v>1</v>
      </c>
      <c r="L185" s="17">
        <v>1</v>
      </c>
      <c r="O185" s="54" t="s">
        <v>475</v>
      </c>
      <c r="P185">
        <v>346.7</v>
      </c>
      <c r="Q185">
        <v>4</v>
      </c>
      <c r="R185">
        <v>2</v>
      </c>
    </row>
    <row r="186" spans="8:18">
      <c r="H186" s="51">
        <v>44809</v>
      </c>
      <c r="I186" s="52" t="s">
        <v>685</v>
      </c>
      <c r="J186" s="53">
        <v>29.9</v>
      </c>
      <c r="K186" s="53">
        <v>1</v>
      </c>
      <c r="L186" s="17">
        <v>1</v>
      </c>
      <c r="O186" s="54" t="s">
        <v>439</v>
      </c>
      <c r="P186">
        <v>344.7</v>
      </c>
      <c r="Q186">
        <v>4</v>
      </c>
      <c r="R186">
        <v>2</v>
      </c>
    </row>
    <row r="187" spans="8:18">
      <c r="H187" s="51">
        <v>44809</v>
      </c>
      <c r="I187" s="52" t="s">
        <v>471</v>
      </c>
      <c r="J187" s="53">
        <v>19.9</v>
      </c>
      <c r="K187" s="53">
        <v>1</v>
      </c>
      <c r="L187" s="17">
        <v>1</v>
      </c>
      <c r="O187" s="54" t="s">
        <v>686</v>
      </c>
      <c r="P187">
        <v>344</v>
      </c>
      <c r="Q187">
        <v>2</v>
      </c>
      <c r="R187">
        <v>2</v>
      </c>
    </row>
    <row r="188" spans="8:18">
      <c r="H188" s="51">
        <v>44809</v>
      </c>
      <c r="I188" s="52" t="s">
        <v>533</v>
      </c>
      <c r="J188" s="53">
        <v>19.9</v>
      </c>
      <c r="K188" s="53">
        <v>1</v>
      </c>
      <c r="L188" s="17">
        <v>1</v>
      </c>
      <c r="O188" s="54" t="s">
        <v>433</v>
      </c>
      <c r="P188">
        <v>344</v>
      </c>
      <c r="Q188">
        <v>2</v>
      </c>
      <c r="R188">
        <v>1</v>
      </c>
    </row>
    <row r="189" spans="8:18">
      <c r="H189" s="51">
        <v>44809</v>
      </c>
      <c r="I189" s="52" t="s">
        <v>687</v>
      </c>
      <c r="J189" s="53">
        <v>19.9</v>
      </c>
      <c r="K189" s="53">
        <v>1</v>
      </c>
      <c r="L189" s="17">
        <v>1</v>
      </c>
      <c r="O189" s="54" t="s">
        <v>688</v>
      </c>
      <c r="P189">
        <v>343.9</v>
      </c>
      <c r="Q189">
        <v>3</v>
      </c>
      <c r="R189">
        <v>1</v>
      </c>
    </row>
    <row r="190" spans="8:18">
      <c r="H190" s="51">
        <v>44809</v>
      </c>
      <c r="I190" s="52" t="s">
        <v>689</v>
      </c>
      <c r="J190" s="53">
        <v>19.9</v>
      </c>
      <c r="K190" s="53">
        <v>1</v>
      </c>
      <c r="L190" s="17">
        <v>1</v>
      </c>
      <c r="O190" s="54" t="s">
        <v>434</v>
      </c>
      <c r="P190">
        <v>343</v>
      </c>
      <c r="Q190">
        <v>2</v>
      </c>
      <c r="R190">
        <v>1</v>
      </c>
    </row>
    <row r="191" spans="8:18">
      <c r="H191" s="51">
        <v>44809</v>
      </c>
      <c r="I191" s="52" t="s">
        <v>690</v>
      </c>
      <c r="J191" s="53">
        <v>19.9</v>
      </c>
      <c r="K191" s="53">
        <v>1</v>
      </c>
      <c r="L191" s="17">
        <v>1</v>
      </c>
      <c r="O191" s="54" t="s">
        <v>691</v>
      </c>
      <c r="P191">
        <v>340</v>
      </c>
      <c r="Q191">
        <v>2</v>
      </c>
      <c r="R191">
        <v>1</v>
      </c>
    </row>
    <row r="192" spans="8:18">
      <c r="H192" s="51">
        <v>44809</v>
      </c>
      <c r="I192" s="52" t="s">
        <v>692</v>
      </c>
      <c r="J192" s="53">
        <v>19.9</v>
      </c>
      <c r="K192" s="53">
        <v>1</v>
      </c>
      <c r="L192" s="17">
        <v>1</v>
      </c>
      <c r="O192" s="54" t="s">
        <v>693</v>
      </c>
      <c r="P192">
        <v>339</v>
      </c>
      <c r="Q192">
        <v>1</v>
      </c>
      <c r="R192">
        <v>1</v>
      </c>
    </row>
    <row r="193" spans="8:18">
      <c r="H193" s="51">
        <v>44809</v>
      </c>
      <c r="I193" s="52" t="s">
        <v>472</v>
      </c>
      <c r="J193" s="53">
        <v>19.9</v>
      </c>
      <c r="K193" s="53">
        <v>1</v>
      </c>
      <c r="L193" s="17">
        <v>1</v>
      </c>
      <c r="O193" s="54" t="s">
        <v>694</v>
      </c>
      <c r="P193">
        <v>339</v>
      </c>
      <c r="Q193">
        <v>1</v>
      </c>
      <c r="R193">
        <v>1</v>
      </c>
    </row>
    <row r="194" spans="8:18">
      <c r="H194" s="51">
        <v>44809</v>
      </c>
      <c r="I194" s="52" t="s">
        <v>695</v>
      </c>
      <c r="J194" s="53">
        <v>19.9</v>
      </c>
      <c r="K194" s="53">
        <v>1</v>
      </c>
      <c r="L194" s="17">
        <v>1</v>
      </c>
      <c r="O194" s="54" t="s">
        <v>696</v>
      </c>
      <c r="P194">
        <v>339</v>
      </c>
      <c r="Q194">
        <v>1</v>
      </c>
      <c r="R194">
        <v>1</v>
      </c>
    </row>
    <row r="195" spans="8:18">
      <c r="H195" s="51">
        <v>44809</v>
      </c>
      <c r="I195" s="52" t="s">
        <v>697</v>
      </c>
      <c r="J195" s="53">
        <v>19.9</v>
      </c>
      <c r="K195" s="53">
        <v>1</v>
      </c>
      <c r="L195" s="17">
        <v>1</v>
      </c>
      <c r="O195" s="54" t="s">
        <v>698</v>
      </c>
      <c r="P195">
        <v>339</v>
      </c>
      <c r="Q195">
        <v>1</v>
      </c>
      <c r="R195">
        <v>1</v>
      </c>
    </row>
    <row r="196" spans="8:18">
      <c r="H196" s="51">
        <v>44809</v>
      </c>
      <c r="I196" s="52" t="s">
        <v>498</v>
      </c>
      <c r="J196" s="53">
        <v>19.9</v>
      </c>
      <c r="K196" s="53">
        <v>1</v>
      </c>
      <c r="L196" s="17">
        <v>1</v>
      </c>
      <c r="O196" s="54" t="s">
        <v>699</v>
      </c>
      <c r="P196">
        <v>339</v>
      </c>
      <c r="Q196">
        <v>1</v>
      </c>
      <c r="R196">
        <v>1</v>
      </c>
    </row>
    <row r="197" spans="8:18">
      <c r="H197" s="51">
        <v>44809</v>
      </c>
      <c r="I197" s="52" t="s">
        <v>700</v>
      </c>
      <c r="J197" s="53">
        <v>19.9</v>
      </c>
      <c r="K197" s="53">
        <v>1</v>
      </c>
      <c r="L197" s="17">
        <v>1</v>
      </c>
      <c r="O197" s="54" t="s">
        <v>701</v>
      </c>
      <c r="P197">
        <v>339</v>
      </c>
      <c r="Q197">
        <v>1</v>
      </c>
      <c r="R197">
        <v>1</v>
      </c>
    </row>
    <row r="198" spans="8:18">
      <c r="H198" s="51">
        <v>44809</v>
      </c>
      <c r="I198" s="52" t="s">
        <v>702</v>
      </c>
      <c r="J198" s="53">
        <v>19.9</v>
      </c>
      <c r="K198" s="53">
        <v>1</v>
      </c>
      <c r="L198" s="17">
        <v>1</v>
      </c>
      <c r="O198" s="54" t="s">
        <v>703</v>
      </c>
      <c r="P198">
        <v>339</v>
      </c>
      <c r="Q198">
        <v>1</v>
      </c>
      <c r="R198">
        <v>1</v>
      </c>
    </row>
    <row r="199" spans="8:18">
      <c r="H199" s="51">
        <v>44809</v>
      </c>
      <c r="I199" s="52" t="s">
        <v>704</v>
      </c>
      <c r="J199" s="53">
        <v>19.9</v>
      </c>
      <c r="K199" s="53">
        <v>1</v>
      </c>
      <c r="L199" s="17">
        <v>1</v>
      </c>
      <c r="O199" s="54" t="s">
        <v>705</v>
      </c>
      <c r="P199">
        <v>339</v>
      </c>
      <c r="Q199">
        <v>1</v>
      </c>
      <c r="R199">
        <v>1</v>
      </c>
    </row>
    <row r="200" spans="8:18">
      <c r="H200" s="51">
        <v>44809</v>
      </c>
      <c r="I200" s="52" t="s">
        <v>706</v>
      </c>
      <c r="J200" s="53">
        <v>19.9</v>
      </c>
      <c r="K200" s="53">
        <v>1</v>
      </c>
      <c r="L200" s="17">
        <v>1</v>
      </c>
      <c r="O200" s="54" t="s">
        <v>707</v>
      </c>
      <c r="P200">
        <v>338.68</v>
      </c>
      <c r="Q200">
        <v>7</v>
      </c>
      <c r="R200">
        <v>4</v>
      </c>
    </row>
    <row r="201" spans="8:18">
      <c r="H201" s="51">
        <v>44809</v>
      </c>
      <c r="I201" s="52" t="s">
        <v>708</v>
      </c>
      <c r="J201" s="53">
        <v>19.9</v>
      </c>
      <c r="K201" s="53">
        <v>1</v>
      </c>
      <c r="L201" s="17">
        <v>1</v>
      </c>
      <c r="O201" s="54" t="s">
        <v>709</v>
      </c>
      <c r="P201">
        <v>337.6</v>
      </c>
      <c r="Q201">
        <v>6</v>
      </c>
      <c r="R201">
        <v>2</v>
      </c>
    </row>
    <row r="202" spans="8:18">
      <c r="H202" s="51">
        <v>44809</v>
      </c>
      <c r="I202" s="52" t="s">
        <v>545</v>
      </c>
      <c r="J202" s="53">
        <v>19.9</v>
      </c>
      <c r="K202" s="53">
        <v>1</v>
      </c>
      <c r="L202" s="17">
        <v>1</v>
      </c>
      <c r="O202" s="54" t="s">
        <v>710</v>
      </c>
      <c r="P202">
        <v>334</v>
      </c>
      <c r="Q202">
        <v>1</v>
      </c>
      <c r="R202">
        <v>1</v>
      </c>
    </row>
    <row r="203" spans="8:18">
      <c r="H203" s="51">
        <v>44809</v>
      </c>
      <c r="I203" s="52" t="s">
        <v>711</v>
      </c>
      <c r="J203" s="53">
        <v>19.9</v>
      </c>
      <c r="K203" s="53">
        <v>1</v>
      </c>
      <c r="L203" s="17">
        <v>1</v>
      </c>
      <c r="O203" s="54" t="s">
        <v>712</v>
      </c>
      <c r="P203">
        <v>332.5</v>
      </c>
      <c r="Q203">
        <v>9</v>
      </c>
      <c r="R203">
        <v>2</v>
      </c>
    </row>
    <row r="204" spans="8:18">
      <c r="H204" s="51">
        <v>44809</v>
      </c>
      <c r="I204" s="52" t="s">
        <v>713</v>
      </c>
      <c r="J204" s="53">
        <v>19.9</v>
      </c>
      <c r="K204" s="53">
        <v>1</v>
      </c>
      <c r="L204" s="17">
        <v>1</v>
      </c>
      <c r="O204" s="54" t="s">
        <v>714</v>
      </c>
      <c r="P204">
        <v>329</v>
      </c>
      <c r="Q204">
        <v>1</v>
      </c>
      <c r="R204">
        <v>1</v>
      </c>
    </row>
    <row r="205" spans="8:18">
      <c r="H205" s="51">
        <v>44811</v>
      </c>
      <c r="I205" s="52" t="s">
        <v>376</v>
      </c>
      <c r="J205" s="53">
        <v>1074.8</v>
      </c>
      <c r="K205" s="53">
        <v>6</v>
      </c>
      <c r="L205" s="17">
        <v>1</v>
      </c>
      <c r="O205" s="54" t="s">
        <v>715</v>
      </c>
      <c r="P205">
        <v>329</v>
      </c>
      <c r="Q205">
        <v>1</v>
      </c>
      <c r="R205">
        <v>1</v>
      </c>
    </row>
    <row r="206" spans="8:18">
      <c r="H206" s="51">
        <v>44811</v>
      </c>
      <c r="I206" s="52" t="s">
        <v>394</v>
      </c>
      <c r="J206" s="53">
        <v>918.8</v>
      </c>
      <c r="K206" s="53">
        <v>5</v>
      </c>
      <c r="L206" s="17">
        <v>1</v>
      </c>
      <c r="O206" s="54" t="s">
        <v>716</v>
      </c>
      <c r="P206">
        <v>329</v>
      </c>
      <c r="Q206">
        <v>1</v>
      </c>
      <c r="R206">
        <v>1</v>
      </c>
    </row>
    <row r="207" spans="8:18">
      <c r="H207" s="51">
        <v>44811</v>
      </c>
      <c r="I207" s="52" t="s">
        <v>488</v>
      </c>
      <c r="J207" s="53">
        <v>844.7</v>
      </c>
      <c r="K207" s="53">
        <v>6</v>
      </c>
      <c r="L207" s="17">
        <v>1</v>
      </c>
      <c r="O207" s="54" t="s">
        <v>717</v>
      </c>
      <c r="P207">
        <v>329</v>
      </c>
      <c r="Q207">
        <v>1</v>
      </c>
      <c r="R207">
        <v>1</v>
      </c>
    </row>
    <row r="208" spans="8:18">
      <c r="H208" s="51">
        <v>44811</v>
      </c>
      <c r="I208" s="52" t="s">
        <v>619</v>
      </c>
      <c r="J208" s="53">
        <v>503</v>
      </c>
      <c r="K208" s="53">
        <v>2</v>
      </c>
      <c r="L208" s="17">
        <v>1</v>
      </c>
      <c r="O208" s="54" t="s">
        <v>718</v>
      </c>
      <c r="P208">
        <v>326.52</v>
      </c>
      <c r="Q208">
        <v>7</v>
      </c>
      <c r="R208">
        <v>2</v>
      </c>
    </row>
    <row r="209" spans="8:18">
      <c r="H209" s="51">
        <v>44811</v>
      </c>
      <c r="I209" s="52" t="s">
        <v>499</v>
      </c>
      <c r="J209" s="53">
        <v>499</v>
      </c>
      <c r="K209" s="53">
        <v>1</v>
      </c>
      <c r="L209" s="17">
        <v>1</v>
      </c>
      <c r="O209" s="54" t="s">
        <v>719</v>
      </c>
      <c r="P209">
        <v>321.81</v>
      </c>
      <c r="Q209">
        <v>9</v>
      </c>
      <c r="R209">
        <v>4</v>
      </c>
    </row>
    <row r="210" spans="8:18">
      <c r="H210" s="51">
        <v>44811</v>
      </c>
      <c r="I210" s="52" t="s">
        <v>664</v>
      </c>
      <c r="J210" s="53">
        <v>401.8</v>
      </c>
      <c r="K210" s="53">
        <v>4</v>
      </c>
      <c r="L210" s="17">
        <v>1</v>
      </c>
      <c r="O210" s="54" t="s">
        <v>435</v>
      </c>
      <c r="P210">
        <v>321.8</v>
      </c>
      <c r="Q210">
        <v>3</v>
      </c>
      <c r="R210">
        <v>1</v>
      </c>
    </row>
    <row r="211" spans="8:18">
      <c r="H211" s="51">
        <v>44811</v>
      </c>
      <c r="I211" s="52" t="s">
        <v>374</v>
      </c>
      <c r="J211" s="53">
        <v>342.7</v>
      </c>
      <c r="K211" s="53">
        <v>4</v>
      </c>
      <c r="L211" s="17">
        <v>1</v>
      </c>
      <c r="O211" s="54" t="s">
        <v>720</v>
      </c>
      <c r="P211">
        <v>319.58</v>
      </c>
      <c r="Q211">
        <v>9</v>
      </c>
      <c r="R211">
        <v>5</v>
      </c>
    </row>
    <row r="212" spans="8:18">
      <c r="H212" s="51">
        <v>44811</v>
      </c>
      <c r="I212" s="52" t="s">
        <v>716</v>
      </c>
      <c r="J212" s="53">
        <v>329</v>
      </c>
      <c r="K212" s="53">
        <v>1</v>
      </c>
      <c r="L212" s="17">
        <v>1</v>
      </c>
      <c r="O212" s="54" t="s">
        <v>721</v>
      </c>
      <c r="P212">
        <v>318.9</v>
      </c>
      <c r="Q212">
        <v>2</v>
      </c>
      <c r="R212">
        <v>2</v>
      </c>
    </row>
    <row r="213" spans="8:18">
      <c r="H213" s="51">
        <v>44811</v>
      </c>
      <c r="I213" s="52" t="s">
        <v>717</v>
      </c>
      <c r="J213" s="53">
        <v>329</v>
      </c>
      <c r="K213" s="53">
        <v>1</v>
      </c>
      <c r="L213" s="17">
        <v>1</v>
      </c>
      <c r="O213" s="54" t="s">
        <v>722</v>
      </c>
      <c r="P213">
        <v>318.8</v>
      </c>
      <c r="Q213">
        <v>3</v>
      </c>
      <c r="R213">
        <v>3</v>
      </c>
    </row>
    <row r="214" spans="8:18">
      <c r="H214" s="51">
        <v>44811</v>
      </c>
      <c r="I214" s="52" t="s">
        <v>723</v>
      </c>
      <c r="J214" s="53">
        <v>282.8</v>
      </c>
      <c r="K214" s="53">
        <v>4</v>
      </c>
      <c r="L214" s="17">
        <v>1</v>
      </c>
      <c r="O214" s="54" t="s">
        <v>724</v>
      </c>
      <c r="P214">
        <v>318</v>
      </c>
      <c r="Q214">
        <v>2</v>
      </c>
      <c r="R214">
        <v>1</v>
      </c>
    </row>
    <row r="215" spans="8:18">
      <c r="H215" s="51">
        <v>44811</v>
      </c>
      <c r="I215" s="52" t="s">
        <v>483</v>
      </c>
      <c r="J215" s="53">
        <v>257</v>
      </c>
      <c r="K215" s="53">
        <v>1</v>
      </c>
      <c r="L215" s="17">
        <v>1</v>
      </c>
      <c r="O215" s="54" t="s">
        <v>437</v>
      </c>
      <c r="P215">
        <v>314</v>
      </c>
      <c r="Q215">
        <v>2</v>
      </c>
      <c r="R215">
        <v>1</v>
      </c>
    </row>
    <row r="216" spans="8:18">
      <c r="H216" s="51">
        <v>44811</v>
      </c>
      <c r="I216" s="52" t="s">
        <v>725</v>
      </c>
      <c r="J216" s="53">
        <v>249</v>
      </c>
      <c r="K216" s="53">
        <v>1</v>
      </c>
      <c r="L216" s="17">
        <v>1</v>
      </c>
      <c r="O216" s="54" t="s">
        <v>602</v>
      </c>
      <c r="P216">
        <v>313.7</v>
      </c>
      <c r="Q216">
        <v>5</v>
      </c>
      <c r="R216">
        <v>2</v>
      </c>
    </row>
    <row r="217" spans="8:18">
      <c r="H217" s="51">
        <v>44811</v>
      </c>
      <c r="I217" s="52" t="s">
        <v>726</v>
      </c>
      <c r="J217" s="53">
        <v>249</v>
      </c>
      <c r="K217" s="53">
        <v>1</v>
      </c>
      <c r="L217" s="17">
        <v>1</v>
      </c>
      <c r="O217" s="54" t="s">
        <v>450</v>
      </c>
      <c r="P217">
        <v>310.7</v>
      </c>
      <c r="Q217">
        <v>5</v>
      </c>
      <c r="R217">
        <v>4</v>
      </c>
    </row>
    <row r="218" spans="8:18">
      <c r="H218" s="51">
        <v>44811</v>
      </c>
      <c r="I218" s="52" t="s">
        <v>727</v>
      </c>
      <c r="J218" s="53">
        <v>249</v>
      </c>
      <c r="K218" s="53">
        <v>1</v>
      </c>
      <c r="L218" s="17">
        <v>1</v>
      </c>
      <c r="O218" s="54" t="s">
        <v>728</v>
      </c>
      <c r="P218">
        <v>308</v>
      </c>
      <c r="Q218">
        <v>3</v>
      </c>
      <c r="R218">
        <v>2</v>
      </c>
    </row>
    <row r="219" spans="8:18">
      <c r="H219" s="51">
        <v>44811</v>
      </c>
      <c r="I219" s="52" t="s">
        <v>729</v>
      </c>
      <c r="J219" s="53">
        <v>148.9</v>
      </c>
      <c r="K219" s="53">
        <v>2</v>
      </c>
      <c r="L219" s="17">
        <v>1</v>
      </c>
      <c r="O219" s="54" t="s">
        <v>730</v>
      </c>
      <c r="P219">
        <v>307</v>
      </c>
      <c r="Q219">
        <v>2</v>
      </c>
      <c r="R219">
        <v>1</v>
      </c>
    </row>
    <row r="220" spans="8:18">
      <c r="H220" s="51">
        <v>44811</v>
      </c>
      <c r="I220" s="52" t="s">
        <v>707</v>
      </c>
      <c r="J220" s="53">
        <v>126</v>
      </c>
      <c r="K220" s="53">
        <v>1</v>
      </c>
      <c r="L220" s="17">
        <v>1</v>
      </c>
      <c r="O220" s="54" t="s">
        <v>731</v>
      </c>
      <c r="P220">
        <v>303.66</v>
      </c>
      <c r="Q220">
        <v>11</v>
      </c>
      <c r="R220">
        <v>2</v>
      </c>
    </row>
    <row r="221" spans="8:18">
      <c r="H221" s="51">
        <v>44811</v>
      </c>
      <c r="I221" s="52" t="s">
        <v>732</v>
      </c>
      <c r="J221" s="53">
        <v>99</v>
      </c>
      <c r="K221" s="53">
        <v>1</v>
      </c>
      <c r="L221" s="17">
        <v>1</v>
      </c>
      <c r="O221" s="54" t="s">
        <v>733</v>
      </c>
      <c r="P221">
        <v>299.7</v>
      </c>
      <c r="Q221">
        <v>9</v>
      </c>
      <c r="R221">
        <v>7</v>
      </c>
    </row>
    <row r="222" spans="8:18">
      <c r="H222" s="51">
        <v>44811</v>
      </c>
      <c r="I222" s="52" t="s">
        <v>647</v>
      </c>
      <c r="J222" s="53">
        <v>98</v>
      </c>
      <c r="K222" s="53">
        <v>1</v>
      </c>
      <c r="L222" s="17">
        <v>1</v>
      </c>
      <c r="O222" s="54" t="s">
        <v>734</v>
      </c>
      <c r="P222">
        <v>299</v>
      </c>
      <c r="Q222">
        <v>1</v>
      </c>
      <c r="R222">
        <v>1</v>
      </c>
    </row>
    <row r="223" spans="8:18">
      <c r="H223" s="51">
        <v>44811</v>
      </c>
      <c r="I223" s="52" t="s">
        <v>675</v>
      </c>
      <c r="J223" s="53">
        <v>96</v>
      </c>
      <c r="K223" s="53">
        <v>1</v>
      </c>
      <c r="L223" s="17">
        <v>1</v>
      </c>
      <c r="O223" s="54" t="s">
        <v>735</v>
      </c>
      <c r="P223">
        <v>299</v>
      </c>
      <c r="Q223">
        <v>1</v>
      </c>
      <c r="R223">
        <v>1</v>
      </c>
    </row>
    <row r="224" spans="8:18">
      <c r="H224" s="51">
        <v>44811</v>
      </c>
      <c r="I224" s="52" t="s">
        <v>593</v>
      </c>
      <c r="J224" s="53">
        <v>84</v>
      </c>
      <c r="K224" s="53">
        <v>1</v>
      </c>
      <c r="L224" s="17">
        <v>1</v>
      </c>
      <c r="O224" s="54" t="s">
        <v>736</v>
      </c>
      <c r="P224">
        <v>299</v>
      </c>
      <c r="Q224">
        <v>1</v>
      </c>
      <c r="R224">
        <v>1</v>
      </c>
    </row>
    <row r="225" spans="8:18">
      <c r="H225" s="51">
        <v>44811</v>
      </c>
      <c r="I225" s="52" t="s">
        <v>737</v>
      </c>
      <c r="J225" s="53">
        <v>59.8</v>
      </c>
      <c r="K225" s="53">
        <v>2</v>
      </c>
      <c r="L225" s="17">
        <v>1</v>
      </c>
      <c r="O225" s="54" t="s">
        <v>738</v>
      </c>
      <c r="P225">
        <v>299</v>
      </c>
      <c r="Q225">
        <v>1</v>
      </c>
      <c r="R225">
        <v>1</v>
      </c>
    </row>
    <row r="226" spans="8:18">
      <c r="H226" s="51">
        <v>44811</v>
      </c>
      <c r="I226" s="52" t="s">
        <v>739</v>
      </c>
      <c r="J226" s="53">
        <v>56.8</v>
      </c>
      <c r="K226" s="53">
        <v>2</v>
      </c>
      <c r="L226" s="17">
        <v>1</v>
      </c>
      <c r="O226" s="54" t="s">
        <v>740</v>
      </c>
      <c r="P226">
        <v>299</v>
      </c>
      <c r="Q226">
        <v>1</v>
      </c>
      <c r="R226">
        <v>1</v>
      </c>
    </row>
    <row r="227" spans="8:18">
      <c r="H227" s="51">
        <v>44811</v>
      </c>
      <c r="I227" s="52" t="s">
        <v>722</v>
      </c>
      <c r="J227" s="53">
        <v>39.9</v>
      </c>
      <c r="K227" s="53">
        <v>1</v>
      </c>
      <c r="L227" s="17">
        <v>1</v>
      </c>
      <c r="O227" s="54" t="s">
        <v>438</v>
      </c>
      <c r="P227">
        <v>298.9</v>
      </c>
      <c r="Q227">
        <v>2</v>
      </c>
      <c r="R227">
        <v>1</v>
      </c>
    </row>
    <row r="228" spans="8:18">
      <c r="H228" s="51">
        <v>44811</v>
      </c>
      <c r="I228" s="52" t="s">
        <v>741</v>
      </c>
      <c r="J228" s="53">
        <v>36.9</v>
      </c>
      <c r="K228" s="53">
        <v>1</v>
      </c>
      <c r="L228" s="17">
        <v>1</v>
      </c>
      <c r="O228" s="54" t="s">
        <v>742</v>
      </c>
      <c r="P228">
        <v>297.9</v>
      </c>
      <c r="Q228">
        <v>2</v>
      </c>
      <c r="R228">
        <v>2</v>
      </c>
    </row>
    <row r="229" spans="8:18">
      <c r="H229" s="51">
        <v>44811</v>
      </c>
      <c r="I229" s="52" t="s">
        <v>743</v>
      </c>
      <c r="J229" s="53">
        <v>29.9</v>
      </c>
      <c r="K229" s="53">
        <v>1</v>
      </c>
      <c r="L229" s="17">
        <v>1</v>
      </c>
      <c r="O229" s="54" t="s">
        <v>744</v>
      </c>
      <c r="P229">
        <v>295.8</v>
      </c>
      <c r="Q229">
        <v>3</v>
      </c>
      <c r="R229">
        <v>1</v>
      </c>
    </row>
    <row r="230" spans="8:18">
      <c r="H230" s="51">
        <v>44811</v>
      </c>
      <c r="I230" s="52" t="s">
        <v>745</v>
      </c>
      <c r="J230" s="53">
        <v>19.9</v>
      </c>
      <c r="K230" s="53">
        <v>1</v>
      </c>
      <c r="L230" s="17">
        <v>1</v>
      </c>
      <c r="O230" s="54" t="s">
        <v>746</v>
      </c>
      <c r="P230">
        <v>289.9</v>
      </c>
      <c r="Q230">
        <v>3</v>
      </c>
      <c r="R230">
        <v>1</v>
      </c>
    </row>
    <row r="231" spans="8:18">
      <c r="H231" s="51">
        <v>44811</v>
      </c>
      <c r="I231" s="52" t="s">
        <v>436</v>
      </c>
      <c r="J231" s="53">
        <v>19.9</v>
      </c>
      <c r="K231" s="53">
        <v>1</v>
      </c>
      <c r="L231" s="17">
        <v>1</v>
      </c>
      <c r="O231" s="54" t="s">
        <v>747</v>
      </c>
      <c r="P231">
        <v>289</v>
      </c>
      <c r="Q231">
        <v>1</v>
      </c>
      <c r="R231">
        <v>1</v>
      </c>
    </row>
    <row r="232" spans="8:18">
      <c r="H232" s="51">
        <v>44811</v>
      </c>
      <c r="I232" s="52" t="s">
        <v>748</v>
      </c>
      <c r="J232" s="53">
        <v>19.9</v>
      </c>
      <c r="K232" s="53">
        <v>1</v>
      </c>
      <c r="L232" s="17">
        <v>1</v>
      </c>
      <c r="O232" s="54" t="s">
        <v>749</v>
      </c>
      <c r="P232">
        <v>288.9</v>
      </c>
      <c r="Q232">
        <v>2</v>
      </c>
      <c r="R232">
        <v>1</v>
      </c>
    </row>
    <row r="233" spans="8:18">
      <c r="H233" s="51">
        <v>44811</v>
      </c>
      <c r="I233" s="52" t="s">
        <v>684</v>
      </c>
      <c r="J233" s="53">
        <v>19.9</v>
      </c>
      <c r="K233" s="53">
        <v>1</v>
      </c>
      <c r="L233" s="17">
        <v>1</v>
      </c>
      <c r="O233" s="54" t="s">
        <v>750</v>
      </c>
      <c r="P233">
        <v>288.7</v>
      </c>
      <c r="Q233">
        <v>8</v>
      </c>
      <c r="R233">
        <v>3</v>
      </c>
    </row>
    <row r="234" spans="8:18">
      <c r="H234" s="51">
        <v>44811</v>
      </c>
      <c r="I234" s="52" t="s">
        <v>697</v>
      </c>
      <c r="J234" s="53">
        <v>19.9</v>
      </c>
      <c r="K234" s="53">
        <v>1</v>
      </c>
      <c r="L234" s="17">
        <v>1</v>
      </c>
      <c r="O234" s="54" t="s">
        <v>751</v>
      </c>
      <c r="P234">
        <v>287.9</v>
      </c>
      <c r="Q234">
        <v>3</v>
      </c>
      <c r="R234">
        <v>2</v>
      </c>
    </row>
    <row r="235" spans="8:18">
      <c r="H235" s="51">
        <v>44811</v>
      </c>
      <c r="I235" s="52" t="s">
        <v>674</v>
      </c>
      <c r="J235" s="53">
        <v>19.9</v>
      </c>
      <c r="K235" s="53">
        <v>1</v>
      </c>
      <c r="L235" s="17">
        <v>1</v>
      </c>
      <c r="O235" s="54" t="s">
        <v>649</v>
      </c>
      <c r="P235">
        <v>285.9</v>
      </c>
      <c r="Q235">
        <v>2</v>
      </c>
      <c r="R235">
        <v>2</v>
      </c>
    </row>
    <row r="236" spans="8:18">
      <c r="H236" s="51">
        <v>44811</v>
      </c>
      <c r="I236" s="52" t="s">
        <v>752</v>
      </c>
      <c r="J236" s="53">
        <v>19.9</v>
      </c>
      <c r="K236" s="53">
        <v>1</v>
      </c>
      <c r="L236" s="17">
        <v>1</v>
      </c>
      <c r="O236" s="54" t="s">
        <v>753</v>
      </c>
      <c r="P236">
        <v>283.21</v>
      </c>
      <c r="Q236">
        <v>3</v>
      </c>
      <c r="R236">
        <v>2</v>
      </c>
    </row>
    <row r="237" spans="8:18">
      <c r="H237" s="51">
        <v>44811</v>
      </c>
      <c r="I237" s="52" t="s">
        <v>754</v>
      </c>
      <c r="J237" s="53">
        <v>19.9</v>
      </c>
      <c r="K237" s="53">
        <v>1</v>
      </c>
      <c r="L237" s="17">
        <v>1</v>
      </c>
      <c r="O237" s="54" t="s">
        <v>723</v>
      </c>
      <c r="P237">
        <v>282.8</v>
      </c>
      <c r="Q237">
        <v>4</v>
      </c>
      <c r="R237">
        <v>1</v>
      </c>
    </row>
    <row r="238" spans="8:18">
      <c r="H238" s="51">
        <v>44811</v>
      </c>
      <c r="I238" s="52" t="s">
        <v>755</v>
      </c>
      <c r="J238" s="53">
        <v>19.9</v>
      </c>
      <c r="K238" s="53">
        <v>1</v>
      </c>
      <c r="L238" s="17">
        <v>1</v>
      </c>
      <c r="O238" s="54" t="s">
        <v>756</v>
      </c>
      <c r="P238">
        <v>280.9</v>
      </c>
      <c r="Q238">
        <v>4</v>
      </c>
      <c r="R238">
        <v>3</v>
      </c>
    </row>
    <row r="239" spans="8:18">
      <c r="H239" s="51">
        <v>44811</v>
      </c>
      <c r="I239" s="52" t="s">
        <v>672</v>
      </c>
      <c r="J239" s="53">
        <v>19.9</v>
      </c>
      <c r="K239" s="53">
        <v>1</v>
      </c>
      <c r="L239" s="17">
        <v>1</v>
      </c>
      <c r="O239" s="54" t="s">
        <v>757</v>
      </c>
      <c r="P239">
        <v>280.8</v>
      </c>
      <c r="Q239">
        <v>4</v>
      </c>
      <c r="R239">
        <v>2</v>
      </c>
    </row>
    <row r="240" spans="8:18">
      <c r="H240" s="51">
        <v>44811</v>
      </c>
      <c r="I240" s="52" t="s">
        <v>758</v>
      </c>
      <c r="J240" s="53">
        <v>19.9</v>
      </c>
      <c r="K240" s="53">
        <v>1</v>
      </c>
      <c r="L240" s="17">
        <v>1</v>
      </c>
      <c r="O240" s="54" t="s">
        <v>622</v>
      </c>
      <c r="P240">
        <v>279.8</v>
      </c>
      <c r="Q240">
        <v>4</v>
      </c>
      <c r="R240">
        <v>4</v>
      </c>
    </row>
    <row r="241" spans="8:18">
      <c r="H241" s="51">
        <v>44811</v>
      </c>
      <c r="I241" s="52" t="s">
        <v>390</v>
      </c>
      <c r="J241" s="53">
        <v>19.9</v>
      </c>
      <c r="K241" s="53">
        <v>1</v>
      </c>
      <c r="L241" s="17">
        <v>1</v>
      </c>
      <c r="O241" s="54" t="s">
        <v>759</v>
      </c>
      <c r="P241">
        <v>278.9</v>
      </c>
      <c r="Q241">
        <v>2</v>
      </c>
      <c r="R241">
        <v>2</v>
      </c>
    </row>
    <row r="242" spans="8:18">
      <c r="H242" s="51">
        <v>44814</v>
      </c>
      <c r="I242" s="52" t="s">
        <v>379</v>
      </c>
      <c r="J242" s="53">
        <v>850</v>
      </c>
      <c r="K242" s="53">
        <v>1</v>
      </c>
      <c r="L242" s="17">
        <v>1</v>
      </c>
      <c r="O242" s="54" t="s">
        <v>760</v>
      </c>
      <c r="P242">
        <v>278.8</v>
      </c>
      <c r="Q242">
        <v>3</v>
      </c>
      <c r="R242">
        <v>2</v>
      </c>
    </row>
    <row r="243" spans="8:18">
      <c r="H243" s="51">
        <v>44814</v>
      </c>
      <c r="I243" s="52" t="s">
        <v>391</v>
      </c>
      <c r="J243" s="53">
        <v>836</v>
      </c>
      <c r="K243" s="53">
        <v>2</v>
      </c>
      <c r="L243" s="17">
        <v>1</v>
      </c>
      <c r="O243" s="54" t="s">
        <v>441</v>
      </c>
      <c r="P243">
        <v>278.8</v>
      </c>
      <c r="Q243">
        <v>3</v>
      </c>
      <c r="R243">
        <v>2</v>
      </c>
    </row>
    <row r="244" spans="8:18">
      <c r="H244" s="51">
        <v>44814</v>
      </c>
      <c r="I244" s="52" t="s">
        <v>392</v>
      </c>
      <c r="J244" s="53">
        <v>831</v>
      </c>
      <c r="K244" s="53">
        <v>4</v>
      </c>
      <c r="L244" s="17">
        <v>1</v>
      </c>
      <c r="O244" s="54" t="s">
        <v>761</v>
      </c>
      <c r="P244">
        <v>275.8</v>
      </c>
      <c r="Q244">
        <v>10</v>
      </c>
      <c r="R244">
        <v>5</v>
      </c>
    </row>
    <row r="245" spans="8:18">
      <c r="H245" s="51">
        <v>44814</v>
      </c>
      <c r="I245" s="52" t="s">
        <v>386</v>
      </c>
      <c r="J245" s="53">
        <v>609.02</v>
      </c>
      <c r="K245" s="53">
        <v>3</v>
      </c>
      <c r="L245" s="17">
        <v>1</v>
      </c>
      <c r="O245" s="54" t="s">
        <v>762</v>
      </c>
      <c r="P245">
        <v>273.8</v>
      </c>
      <c r="Q245">
        <v>4</v>
      </c>
      <c r="R245">
        <v>1</v>
      </c>
    </row>
    <row r="246" spans="8:18">
      <c r="H246" s="51">
        <v>44814</v>
      </c>
      <c r="I246" s="52" t="s">
        <v>540</v>
      </c>
      <c r="J246" s="53">
        <v>608</v>
      </c>
      <c r="K246" s="53">
        <v>2</v>
      </c>
      <c r="L246" s="17">
        <v>1</v>
      </c>
      <c r="O246" s="54" t="s">
        <v>763</v>
      </c>
      <c r="P246">
        <v>273.34</v>
      </c>
      <c r="Q246">
        <v>8</v>
      </c>
      <c r="R246">
        <v>3</v>
      </c>
    </row>
    <row r="247" spans="8:18">
      <c r="H247" s="51">
        <v>44814</v>
      </c>
      <c r="I247" s="52" t="s">
        <v>556</v>
      </c>
      <c r="J247" s="53">
        <v>599</v>
      </c>
      <c r="K247" s="53">
        <v>1</v>
      </c>
      <c r="L247" s="17">
        <v>1</v>
      </c>
      <c r="O247" s="54" t="s">
        <v>764</v>
      </c>
      <c r="P247">
        <v>270.8</v>
      </c>
      <c r="Q247">
        <v>5</v>
      </c>
      <c r="R247">
        <v>3</v>
      </c>
    </row>
    <row r="248" spans="8:18">
      <c r="H248" s="51">
        <v>44814</v>
      </c>
      <c r="I248" s="52" t="s">
        <v>605</v>
      </c>
      <c r="J248" s="53">
        <v>520</v>
      </c>
      <c r="K248" s="53">
        <v>4</v>
      </c>
      <c r="L248" s="17">
        <v>1</v>
      </c>
      <c r="O248" s="54" t="s">
        <v>458</v>
      </c>
      <c r="P248">
        <v>270.71</v>
      </c>
      <c r="Q248">
        <v>5</v>
      </c>
      <c r="R248">
        <v>2</v>
      </c>
    </row>
    <row r="249" spans="8:18">
      <c r="H249" s="51">
        <v>44814</v>
      </c>
      <c r="I249" s="52" t="s">
        <v>650</v>
      </c>
      <c r="J249" s="53">
        <v>329</v>
      </c>
      <c r="K249" s="53">
        <v>1</v>
      </c>
      <c r="L249" s="17">
        <v>1</v>
      </c>
      <c r="O249" s="54" t="s">
        <v>424</v>
      </c>
      <c r="P249">
        <v>269</v>
      </c>
      <c r="Q249">
        <v>1</v>
      </c>
      <c r="R249">
        <v>1</v>
      </c>
    </row>
    <row r="250" spans="8:18">
      <c r="H250" s="51">
        <v>44814</v>
      </c>
      <c r="I250" s="52" t="s">
        <v>709</v>
      </c>
      <c r="J250" s="53">
        <v>286.8</v>
      </c>
      <c r="K250" s="53">
        <v>3</v>
      </c>
      <c r="L250" s="17">
        <v>1</v>
      </c>
      <c r="O250" s="54" t="s">
        <v>765</v>
      </c>
      <c r="P250">
        <v>269</v>
      </c>
      <c r="Q250">
        <v>1</v>
      </c>
      <c r="R250">
        <v>1</v>
      </c>
    </row>
    <row r="251" spans="8:18">
      <c r="H251" s="51">
        <v>44814</v>
      </c>
      <c r="I251" s="52" t="s">
        <v>766</v>
      </c>
      <c r="J251" s="53">
        <v>259</v>
      </c>
      <c r="K251" s="53">
        <v>1</v>
      </c>
      <c r="L251" s="17">
        <v>1</v>
      </c>
      <c r="O251" s="54" t="s">
        <v>767</v>
      </c>
      <c r="P251">
        <v>269</v>
      </c>
      <c r="Q251">
        <v>1</v>
      </c>
      <c r="R251">
        <v>1</v>
      </c>
    </row>
    <row r="252" spans="8:18">
      <c r="H252" s="51">
        <v>44814</v>
      </c>
      <c r="I252" s="52" t="s">
        <v>675</v>
      </c>
      <c r="J252" s="53">
        <v>254.41</v>
      </c>
      <c r="K252" s="53">
        <v>1</v>
      </c>
      <c r="L252" s="17">
        <v>1</v>
      </c>
      <c r="O252" s="54" t="s">
        <v>768</v>
      </c>
      <c r="P252">
        <v>269</v>
      </c>
      <c r="Q252">
        <v>1</v>
      </c>
      <c r="R252">
        <v>1</v>
      </c>
    </row>
    <row r="253" spans="8:18">
      <c r="H253" s="51">
        <v>44814</v>
      </c>
      <c r="I253" s="52" t="s">
        <v>769</v>
      </c>
      <c r="J253" s="53">
        <v>249</v>
      </c>
      <c r="K253" s="53">
        <v>1</v>
      </c>
      <c r="L253" s="17">
        <v>1</v>
      </c>
      <c r="O253" s="54" t="s">
        <v>770</v>
      </c>
      <c r="P253">
        <v>269</v>
      </c>
      <c r="Q253">
        <v>1</v>
      </c>
      <c r="R253">
        <v>1</v>
      </c>
    </row>
    <row r="254" spans="8:18">
      <c r="H254" s="51">
        <v>44814</v>
      </c>
      <c r="I254" s="52" t="s">
        <v>405</v>
      </c>
      <c r="J254" s="53">
        <v>249</v>
      </c>
      <c r="K254" s="53">
        <v>1</v>
      </c>
      <c r="L254" s="17">
        <v>1</v>
      </c>
      <c r="O254" s="54" t="s">
        <v>771</v>
      </c>
      <c r="P254">
        <v>269</v>
      </c>
      <c r="Q254">
        <v>1</v>
      </c>
      <c r="R254">
        <v>1</v>
      </c>
    </row>
    <row r="255" spans="8:18">
      <c r="H255" s="51">
        <v>44814</v>
      </c>
      <c r="I255" s="52" t="s">
        <v>772</v>
      </c>
      <c r="J255" s="53">
        <v>249</v>
      </c>
      <c r="K255" s="53">
        <v>1</v>
      </c>
      <c r="L255" s="17">
        <v>1</v>
      </c>
      <c r="O255" s="54" t="s">
        <v>773</v>
      </c>
      <c r="P255">
        <v>269</v>
      </c>
      <c r="Q255">
        <v>1</v>
      </c>
      <c r="R255">
        <v>1</v>
      </c>
    </row>
    <row r="256" spans="8:18">
      <c r="H256" s="51">
        <v>44814</v>
      </c>
      <c r="I256" s="52" t="s">
        <v>774</v>
      </c>
      <c r="J256" s="53">
        <v>249</v>
      </c>
      <c r="K256" s="53">
        <v>1</v>
      </c>
      <c r="L256" s="17">
        <v>1</v>
      </c>
      <c r="O256" s="54" t="s">
        <v>775</v>
      </c>
      <c r="P256">
        <v>269</v>
      </c>
      <c r="Q256">
        <v>1</v>
      </c>
      <c r="R256">
        <v>1</v>
      </c>
    </row>
    <row r="257" spans="8:18">
      <c r="H257" s="51">
        <v>44814</v>
      </c>
      <c r="I257" s="52" t="s">
        <v>751</v>
      </c>
      <c r="J257" s="53">
        <v>249</v>
      </c>
      <c r="K257" s="53">
        <v>1</v>
      </c>
      <c r="L257" s="17">
        <v>1</v>
      </c>
      <c r="O257" s="54" t="s">
        <v>776</v>
      </c>
      <c r="P257">
        <v>269</v>
      </c>
      <c r="Q257">
        <v>1</v>
      </c>
      <c r="R257">
        <v>1</v>
      </c>
    </row>
    <row r="258" spans="8:18">
      <c r="H258" s="51">
        <v>44814</v>
      </c>
      <c r="I258" s="52" t="s">
        <v>777</v>
      </c>
      <c r="J258" s="53">
        <v>249</v>
      </c>
      <c r="K258" s="53">
        <v>1</v>
      </c>
      <c r="L258" s="17">
        <v>1</v>
      </c>
      <c r="O258" s="54" t="s">
        <v>778</v>
      </c>
      <c r="P258">
        <v>269</v>
      </c>
      <c r="Q258">
        <v>1</v>
      </c>
      <c r="R258">
        <v>1</v>
      </c>
    </row>
    <row r="259" spans="8:18">
      <c r="H259" s="51">
        <v>44814</v>
      </c>
      <c r="I259" s="52" t="s">
        <v>779</v>
      </c>
      <c r="J259" s="53">
        <v>249</v>
      </c>
      <c r="K259" s="53">
        <v>1</v>
      </c>
      <c r="L259" s="17">
        <v>1</v>
      </c>
      <c r="O259" s="54" t="s">
        <v>780</v>
      </c>
      <c r="P259">
        <v>268.9</v>
      </c>
      <c r="Q259">
        <v>2</v>
      </c>
      <c r="R259">
        <v>1</v>
      </c>
    </row>
    <row r="260" spans="8:18">
      <c r="H260" s="51">
        <v>44814</v>
      </c>
      <c r="I260" s="52" t="s">
        <v>623</v>
      </c>
      <c r="J260" s="53">
        <v>249</v>
      </c>
      <c r="K260" s="53">
        <v>1</v>
      </c>
      <c r="L260" s="17">
        <v>1</v>
      </c>
      <c r="O260" s="54" t="s">
        <v>781</v>
      </c>
      <c r="P260">
        <v>268.9</v>
      </c>
      <c r="Q260">
        <v>3</v>
      </c>
      <c r="R260">
        <v>1</v>
      </c>
    </row>
    <row r="261" spans="8:18">
      <c r="H261" s="51">
        <v>44814</v>
      </c>
      <c r="I261" s="52" t="s">
        <v>667</v>
      </c>
      <c r="J261" s="53">
        <v>248</v>
      </c>
      <c r="K261" s="53">
        <v>1</v>
      </c>
      <c r="L261" s="17">
        <v>1</v>
      </c>
      <c r="O261" s="54" t="s">
        <v>782</v>
      </c>
      <c r="P261">
        <v>268.9</v>
      </c>
      <c r="Q261">
        <v>2</v>
      </c>
      <c r="R261">
        <v>2</v>
      </c>
    </row>
    <row r="262" spans="8:18">
      <c r="H262" s="51">
        <v>44814</v>
      </c>
      <c r="I262" s="52" t="s">
        <v>783</v>
      </c>
      <c r="J262" s="53">
        <v>247</v>
      </c>
      <c r="K262" s="53">
        <v>1</v>
      </c>
      <c r="L262" s="17">
        <v>1</v>
      </c>
      <c r="O262" s="54" t="s">
        <v>440</v>
      </c>
      <c r="P262">
        <v>268.9</v>
      </c>
      <c r="Q262">
        <v>2</v>
      </c>
      <c r="R262">
        <v>1</v>
      </c>
    </row>
    <row r="263" spans="8:18">
      <c r="H263" s="51">
        <v>44814</v>
      </c>
      <c r="I263" s="52" t="s">
        <v>784</v>
      </c>
      <c r="J263" s="53">
        <v>246</v>
      </c>
      <c r="K263" s="53">
        <v>1</v>
      </c>
      <c r="L263" s="17">
        <v>1</v>
      </c>
      <c r="O263" s="54" t="s">
        <v>745</v>
      </c>
      <c r="P263">
        <v>268.9</v>
      </c>
      <c r="Q263">
        <v>2</v>
      </c>
      <c r="R263">
        <v>2</v>
      </c>
    </row>
    <row r="264" spans="8:18">
      <c r="H264" s="51">
        <v>44814</v>
      </c>
      <c r="I264" s="52" t="s">
        <v>514</v>
      </c>
      <c r="J264" s="53">
        <v>246</v>
      </c>
      <c r="K264" s="53">
        <v>1</v>
      </c>
      <c r="L264" s="17">
        <v>1</v>
      </c>
      <c r="O264" s="54" t="s">
        <v>726</v>
      </c>
      <c r="P264">
        <v>268.8</v>
      </c>
      <c r="Q264">
        <v>3</v>
      </c>
      <c r="R264">
        <v>3</v>
      </c>
    </row>
    <row r="265" spans="8:18">
      <c r="H265" s="51">
        <v>44814</v>
      </c>
      <c r="I265" s="52" t="s">
        <v>513</v>
      </c>
      <c r="J265" s="53">
        <v>245.51</v>
      </c>
      <c r="K265" s="53">
        <v>1</v>
      </c>
      <c r="L265" s="17">
        <v>1</v>
      </c>
      <c r="O265" s="54" t="s">
        <v>785</v>
      </c>
      <c r="P265">
        <v>268</v>
      </c>
      <c r="Q265">
        <v>1</v>
      </c>
      <c r="R265">
        <v>1</v>
      </c>
    </row>
    <row r="266" spans="8:18">
      <c r="H266" s="51">
        <v>44814</v>
      </c>
      <c r="I266" s="52" t="s">
        <v>469</v>
      </c>
      <c r="J266" s="53">
        <v>245</v>
      </c>
      <c r="K266" s="53">
        <v>1</v>
      </c>
      <c r="L266" s="17">
        <v>1</v>
      </c>
      <c r="O266" s="54" t="s">
        <v>786</v>
      </c>
      <c r="P266">
        <v>266.8</v>
      </c>
      <c r="Q266">
        <v>3</v>
      </c>
      <c r="R266">
        <v>1</v>
      </c>
    </row>
    <row r="267" spans="8:18">
      <c r="H267" s="51">
        <v>44814</v>
      </c>
      <c r="I267" s="52" t="s">
        <v>673</v>
      </c>
      <c r="J267" s="53">
        <v>244.51</v>
      </c>
      <c r="K267" s="53">
        <v>1</v>
      </c>
      <c r="L267" s="17">
        <v>1</v>
      </c>
      <c r="O267" s="54" t="s">
        <v>787</v>
      </c>
      <c r="P267">
        <v>265.06</v>
      </c>
      <c r="Q267">
        <v>5</v>
      </c>
      <c r="R267">
        <v>4</v>
      </c>
    </row>
    <row r="268" spans="8:18">
      <c r="H268" s="51">
        <v>44814</v>
      </c>
      <c r="I268" s="52" t="s">
        <v>640</v>
      </c>
      <c r="J268" s="53">
        <v>217</v>
      </c>
      <c r="K268" s="53">
        <v>1</v>
      </c>
      <c r="L268" s="17">
        <v>1</v>
      </c>
      <c r="O268" s="54" t="s">
        <v>788</v>
      </c>
      <c r="P268">
        <v>263.28</v>
      </c>
      <c r="Q268">
        <v>10</v>
      </c>
      <c r="R268">
        <v>4</v>
      </c>
    </row>
    <row r="269" spans="8:18">
      <c r="H269" s="51">
        <v>44814</v>
      </c>
      <c r="I269" s="52" t="s">
        <v>581</v>
      </c>
      <c r="J269" s="53">
        <v>216</v>
      </c>
      <c r="K269" s="53">
        <v>1</v>
      </c>
      <c r="L269" s="17">
        <v>1</v>
      </c>
      <c r="O269" s="54" t="s">
        <v>789</v>
      </c>
      <c r="P269">
        <v>261.88</v>
      </c>
      <c r="Q269">
        <v>4</v>
      </c>
      <c r="R269">
        <v>3</v>
      </c>
    </row>
    <row r="270" spans="8:18">
      <c r="H270" s="51">
        <v>44814</v>
      </c>
      <c r="I270" s="52" t="s">
        <v>758</v>
      </c>
      <c r="J270" s="53">
        <v>206</v>
      </c>
      <c r="K270" s="53">
        <v>2</v>
      </c>
      <c r="L270" s="17">
        <v>1</v>
      </c>
      <c r="O270" s="54" t="s">
        <v>790</v>
      </c>
      <c r="P270">
        <v>261.51</v>
      </c>
      <c r="Q270">
        <v>4</v>
      </c>
      <c r="R270">
        <v>3</v>
      </c>
    </row>
    <row r="271" spans="8:18">
      <c r="H271" s="51">
        <v>44814</v>
      </c>
      <c r="I271" s="52" t="s">
        <v>791</v>
      </c>
      <c r="J271" s="53">
        <v>99</v>
      </c>
      <c r="K271" s="53">
        <v>1</v>
      </c>
      <c r="L271" s="17">
        <v>1</v>
      </c>
      <c r="O271" s="54" t="s">
        <v>792</v>
      </c>
      <c r="P271">
        <v>259.9</v>
      </c>
      <c r="Q271">
        <v>3</v>
      </c>
      <c r="R271">
        <v>1</v>
      </c>
    </row>
    <row r="272" spans="8:18">
      <c r="H272" s="51">
        <v>44814</v>
      </c>
      <c r="I272" s="52" t="s">
        <v>793</v>
      </c>
      <c r="J272" s="53">
        <v>99</v>
      </c>
      <c r="K272" s="53">
        <v>1</v>
      </c>
      <c r="L272" s="17">
        <v>1</v>
      </c>
      <c r="O272" s="54" t="s">
        <v>794</v>
      </c>
      <c r="P272">
        <v>259.9</v>
      </c>
      <c r="Q272">
        <v>3</v>
      </c>
      <c r="R272">
        <v>1</v>
      </c>
    </row>
    <row r="273" spans="8:18">
      <c r="H273" s="51">
        <v>44814</v>
      </c>
      <c r="I273" s="52" t="s">
        <v>795</v>
      </c>
      <c r="J273" s="53">
        <v>98</v>
      </c>
      <c r="K273" s="53">
        <v>1</v>
      </c>
      <c r="L273" s="17">
        <v>1</v>
      </c>
      <c r="O273" s="54" t="s">
        <v>796</v>
      </c>
      <c r="P273">
        <v>259.9</v>
      </c>
      <c r="Q273">
        <v>3</v>
      </c>
      <c r="R273">
        <v>1</v>
      </c>
    </row>
    <row r="274" spans="8:18">
      <c r="H274" s="51">
        <v>44814</v>
      </c>
      <c r="I274" s="52" t="s">
        <v>491</v>
      </c>
      <c r="J274" s="53">
        <v>93</v>
      </c>
      <c r="K274" s="53">
        <v>1</v>
      </c>
      <c r="L274" s="17">
        <v>1</v>
      </c>
      <c r="O274" s="54" t="s">
        <v>797</v>
      </c>
      <c r="P274">
        <v>259.9</v>
      </c>
      <c r="Q274">
        <v>3</v>
      </c>
      <c r="R274">
        <v>2</v>
      </c>
    </row>
    <row r="275" spans="8:18">
      <c r="H275" s="51">
        <v>44814</v>
      </c>
      <c r="I275" s="52" t="s">
        <v>798</v>
      </c>
      <c r="J275" s="53">
        <v>88</v>
      </c>
      <c r="K275" s="53">
        <v>1</v>
      </c>
      <c r="L275" s="17">
        <v>1</v>
      </c>
      <c r="O275" s="54" t="s">
        <v>799</v>
      </c>
      <c r="P275">
        <v>259</v>
      </c>
      <c r="Q275">
        <v>1</v>
      </c>
      <c r="R275">
        <v>1</v>
      </c>
    </row>
    <row r="276" spans="8:18">
      <c r="H276" s="51">
        <v>44814</v>
      </c>
      <c r="I276" s="52" t="s">
        <v>800</v>
      </c>
      <c r="J276" s="53">
        <v>59.8</v>
      </c>
      <c r="K276" s="53">
        <v>2</v>
      </c>
      <c r="L276" s="17">
        <v>1</v>
      </c>
      <c r="O276" s="54" t="s">
        <v>801</v>
      </c>
      <c r="P276">
        <v>259</v>
      </c>
      <c r="Q276">
        <v>1</v>
      </c>
      <c r="R276">
        <v>1</v>
      </c>
    </row>
    <row r="277" spans="8:18">
      <c r="H277" s="51">
        <v>44814</v>
      </c>
      <c r="I277" s="52" t="s">
        <v>802</v>
      </c>
      <c r="J277" s="53">
        <v>39.9</v>
      </c>
      <c r="K277" s="53">
        <v>1</v>
      </c>
      <c r="L277" s="17">
        <v>1</v>
      </c>
      <c r="O277" s="54" t="s">
        <v>803</v>
      </c>
      <c r="P277">
        <v>259</v>
      </c>
      <c r="Q277">
        <v>1</v>
      </c>
      <c r="R277">
        <v>1</v>
      </c>
    </row>
    <row r="278" spans="8:18">
      <c r="H278" s="51">
        <v>44814</v>
      </c>
      <c r="I278" s="52" t="s">
        <v>804</v>
      </c>
      <c r="J278" s="53">
        <v>39.9</v>
      </c>
      <c r="K278" s="53">
        <v>1</v>
      </c>
      <c r="L278" s="17">
        <v>1</v>
      </c>
      <c r="O278" s="54" t="s">
        <v>766</v>
      </c>
      <c r="P278">
        <v>259</v>
      </c>
      <c r="Q278">
        <v>1</v>
      </c>
      <c r="R278">
        <v>1</v>
      </c>
    </row>
    <row r="279" spans="8:18">
      <c r="H279" s="51">
        <v>44814</v>
      </c>
      <c r="I279" s="52" t="s">
        <v>382</v>
      </c>
      <c r="J279" s="53">
        <v>39.9</v>
      </c>
      <c r="K279" s="53">
        <v>1</v>
      </c>
      <c r="L279" s="17">
        <v>1</v>
      </c>
      <c r="O279" s="54" t="s">
        <v>442</v>
      </c>
      <c r="P279">
        <v>259</v>
      </c>
      <c r="Q279">
        <v>1</v>
      </c>
      <c r="R279">
        <v>1</v>
      </c>
    </row>
    <row r="280" spans="8:18">
      <c r="H280" s="51">
        <v>44814</v>
      </c>
      <c r="I280" s="52" t="s">
        <v>634</v>
      </c>
      <c r="J280" s="53">
        <v>38.9</v>
      </c>
      <c r="K280" s="53">
        <v>1</v>
      </c>
      <c r="L280" s="17">
        <v>1</v>
      </c>
      <c r="O280" s="54" t="s">
        <v>805</v>
      </c>
      <c r="P280">
        <v>258.9</v>
      </c>
      <c r="Q280">
        <v>2</v>
      </c>
      <c r="R280">
        <v>2</v>
      </c>
    </row>
    <row r="281" spans="8:18">
      <c r="H281" s="51">
        <v>44814</v>
      </c>
      <c r="I281" s="52" t="s">
        <v>790</v>
      </c>
      <c r="J281" s="53">
        <v>36.9</v>
      </c>
      <c r="K281" s="53">
        <v>1</v>
      </c>
      <c r="L281" s="17">
        <v>1</v>
      </c>
      <c r="O281" s="54" t="s">
        <v>806</v>
      </c>
      <c r="P281">
        <v>258.9</v>
      </c>
      <c r="Q281">
        <v>2</v>
      </c>
      <c r="R281">
        <v>1</v>
      </c>
    </row>
    <row r="282" spans="8:18">
      <c r="H282" s="51">
        <v>44814</v>
      </c>
      <c r="I282" s="52" t="s">
        <v>476</v>
      </c>
      <c r="J282" s="53">
        <v>36.9</v>
      </c>
      <c r="K282" s="53">
        <v>1</v>
      </c>
      <c r="L282" s="17">
        <v>1</v>
      </c>
      <c r="O282" s="54" t="s">
        <v>807</v>
      </c>
      <c r="P282">
        <v>258.9</v>
      </c>
      <c r="Q282">
        <v>2</v>
      </c>
      <c r="R282">
        <v>2</v>
      </c>
    </row>
    <row r="283" spans="8:18">
      <c r="H283" s="51">
        <v>44814</v>
      </c>
      <c r="I283" s="52" t="s">
        <v>808</v>
      </c>
      <c r="J283" s="53">
        <v>19.9</v>
      </c>
      <c r="K283" s="53">
        <v>1</v>
      </c>
      <c r="L283" s="17">
        <v>1</v>
      </c>
      <c r="O283" s="54" t="s">
        <v>809</v>
      </c>
      <c r="P283">
        <v>258.9</v>
      </c>
      <c r="Q283">
        <v>2</v>
      </c>
      <c r="R283">
        <v>1</v>
      </c>
    </row>
    <row r="284" spans="8:18">
      <c r="H284" s="51">
        <v>44814</v>
      </c>
      <c r="I284" s="52" t="s">
        <v>512</v>
      </c>
      <c r="J284" s="53">
        <v>19.9</v>
      </c>
      <c r="K284" s="53">
        <v>1</v>
      </c>
      <c r="L284" s="17">
        <v>1</v>
      </c>
      <c r="O284" s="54" t="s">
        <v>624</v>
      </c>
      <c r="P284">
        <v>255.5</v>
      </c>
      <c r="Q284">
        <v>8</v>
      </c>
      <c r="R284">
        <v>3</v>
      </c>
    </row>
    <row r="285" spans="8:18">
      <c r="H285" s="51">
        <v>44814</v>
      </c>
      <c r="I285" s="52" t="s">
        <v>810</v>
      </c>
      <c r="J285" s="53">
        <v>19.9</v>
      </c>
      <c r="K285" s="53">
        <v>1</v>
      </c>
      <c r="L285" s="17">
        <v>1</v>
      </c>
      <c r="O285" s="54" t="s">
        <v>448</v>
      </c>
      <c r="P285">
        <v>254.9</v>
      </c>
      <c r="Q285">
        <v>2</v>
      </c>
      <c r="R285">
        <v>2</v>
      </c>
    </row>
    <row r="286" spans="8:18">
      <c r="H286" s="51">
        <v>44814</v>
      </c>
      <c r="I286" s="52" t="s">
        <v>520</v>
      </c>
      <c r="J286" s="53">
        <v>19.9</v>
      </c>
      <c r="K286" s="53">
        <v>1</v>
      </c>
      <c r="L286" s="17">
        <v>1</v>
      </c>
      <c r="O286" s="54" t="s">
        <v>743</v>
      </c>
      <c r="P286">
        <v>254.8</v>
      </c>
      <c r="Q286">
        <v>4</v>
      </c>
      <c r="R286">
        <v>4</v>
      </c>
    </row>
    <row r="287" spans="8:18">
      <c r="H287" s="51">
        <v>44814</v>
      </c>
      <c r="I287" s="52" t="s">
        <v>811</v>
      </c>
      <c r="J287" s="53">
        <v>19.9</v>
      </c>
      <c r="K287" s="53">
        <v>1</v>
      </c>
      <c r="L287" s="17">
        <v>1</v>
      </c>
      <c r="O287" s="54" t="s">
        <v>812</v>
      </c>
      <c r="P287">
        <v>254.5</v>
      </c>
      <c r="Q287">
        <v>7</v>
      </c>
      <c r="R287">
        <v>4</v>
      </c>
    </row>
    <row r="288" spans="8:18">
      <c r="H288" s="51">
        <v>44814</v>
      </c>
      <c r="I288" s="52" t="s">
        <v>813</v>
      </c>
      <c r="J288" s="53">
        <v>19.9</v>
      </c>
      <c r="K288" s="53">
        <v>1</v>
      </c>
      <c r="L288" s="17">
        <v>1</v>
      </c>
      <c r="O288" s="54" t="s">
        <v>814</v>
      </c>
      <c r="P288">
        <v>250</v>
      </c>
      <c r="Q288">
        <v>6</v>
      </c>
      <c r="R288">
        <v>6</v>
      </c>
    </row>
    <row r="289" spans="8:18">
      <c r="H289" s="51">
        <v>44814</v>
      </c>
      <c r="I289" s="52" t="s">
        <v>815</v>
      </c>
      <c r="J289" s="53">
        <v>19.9</v>
      </c>
      <c r="K289" s="53">
        <v>1</v>
      </c>
      <c r="L289" s="17">
        <v>1</v>
      </c>
      <c r="O289" s="54" t="s">
        <v>816</v>
      </c>
      <c r="P289">
        <v>250</v>
      </c>
      <c r="Q289">
        <v>2</v>
      </c>
      <c r="R289">
        <v>1</v>
      </c>
    </row>
    <row r="290" spans="8:18">
      <c r="H290" s="51">
        <v>44815</v>
      </c>
      <c r="I290" s="52" t="s">
        <v>385</v>
      </c>
      <c r="J290" s="53">
        <v>1342</v>
      </c>
      <c r="K290" s="53">
        <v>4</v>
      </c>
      <c r="L290" s="17">
        <v>1</v>
      </c>
      <c r="O290" s="54" t="s">
        <v>817</v>
      </c>
      <c r="P290">
        <v>250</v>
      </c>
      <c r="Q290">
        <v>2</v>
      </c>
      <c r="R290">
        <v>2</v>
      </c>
    </row>
    <row r="291" spans="8:18">
      <c r="H291" s="51">
        <v>44815</v>
      </c>
      <c r="I291" s="52" t="s">
        <v>389</v>
      </c>
      <c r="J291" s="53">
        <v>1088</v>
      </c>
      <c r="K291" s="53">
        <v>3</v>
      </c>
      <c r="L291" s="17">
        <v>1</v>
      </c>
      <c r="O291" s="54" t="s">
        <v>818</v>
      </c>
      <c r="P291">
        <v>250</v>
      </c>
      <c r="Q291">
        <v>2</v>
      </c>
      <c r="R291">
        <v>2</v>
      </c>
    </row>
    <row r="292" spans="8:18">
      <c r="H292" s="51">
        <v>44815</v>
      </c>
      <c r="I292" s="52" t="s">
        <v>490</v>
      </c>
      <c r="J292" s="53">
        <v>814</v>
      </c>
      <c r="K292" s="53">
        <v>3</v>
      </c>
      <c r="L292" s="17">
        <v>1</v>
      </c>
      <c r="O292" s="54" t="s">
        <v>819</v>
      </c>
      <c r="P292">
        <v>249</v>
      </c>
      <c r="Q292">
        <v>1</v>
      </c>
      <c r="R292">
        <v>1</v>
      </c>
    </row>
    <row r="293" spans="8:18">
      <c r="H293" s="51">
        <v>44815</v>
      </c>
      <c r="I293" s="52" t="s">
        <v>493</v>
      </c>
      <c r="J293" s="53">
        <v>807</v>
      </c>
      <c r="K293" s="53">
        <v>2</v>
      </c>
      <c r="L293" s="17">
        <v>1</v>
      </c>
      <c r="O293" s="54" t="s">
        <v>820</v>
      </c>
      <c r="P293">
        <v>249</v>
      </c>
      <c r="Q293">
        <v>1</v>
      </c>
      <c r="R293">
        <v>1</v>
      </c>
    </row>
    <row r="294" spans="8:18">
      <c r="H294" s="51">
        <v>44815</v>
      </c>
      <c r="I294" s="52" t="s">
        <v>497</v>
      </c>
      <c r="J294" s="53">
        <v>753</v>
      </c>
      <c r="K294" s="53">
        <v>3</v>
      </c>
      <c r="L294" s="17">
        <v>1</v>
      </c>
      <c r="O294" s="54" t="s">
        <v>821</v>
      </c>
      <c r="P294">
        <v>249</v>
      </c>
      <c r="Q294">
        <v>1</v>
      </c>
      <c r="R294">
        <v>1</v>
      </c>
    </row>
    <row r="295" spans="8:18">
      <c r="H295" s="51">
        <v>44815</v>
      </c>
      <c r="I295" s="52" t="s">
        <v>554</v>
      </c>
      <c r="J295" s="53">
        <v>599</v>
      </c>
      <c r="K295" s="53">
        <v>1</v>
      </c>
      <c r="L295" s="17">
        <v>1</v>
      </c>
      <c r="O295" s="54" t="s">
        <v>822</v>
      </c>
      <c r="P295">
        <v>249</v>
      </c>
      <c r="Q295">
        <v>1</v>
      </c>
      <c r="R295">
        <v>1</v>
      </c>
    </row>
    <row r="296" spans="8:18">
      <c r="H296" s="51">
        <v>44815</v>
      </c>
      <c r="I296" s="52" t="s">
        <v>558</v>
      </c>
      <c r="J296" s="53">
        <v>599</v>
      </c>
      <c r="K296" s="53">
        <v>1</v>
      </c>
      <c r="L296" s="17">
        <v>1</v>
      </c>
      <c r="O296" s="54" t="s">
        <v>823</v>
      </c>
      <c r="P296">
        <v>249</v>
      </c>
      <c r="Q296">
        <v>1</v>
      </c>
      <c r="R296">
        <v>1</v>
      </c>
    </row>
    <row r="297" spans="8:18">
      <c r="H297" s="51">
        <v>44815</v>
      </c>
      <c r="I297" s="52" t="s">
        <v>566</v>
      </c>
      <c r="J297" s="53">
        <v>591</v>
      </c>
      <c r="K297" s="53">
        <v>3</v>
      </c>
      <c r="L297" s="17">
        <v>1</v>
      </c>
      <c r="O297" s="54" t="s">
        <v>824</v>
      </c>
      <c r="P297">
        <v>249</v>
      </c>
      <c r="Q297">
        <v>1</v>
      </c>
      <c r="R297">
        <v>1</v>
      </c>
    </row>
    <row r="298" spans="8:18">
      <c r="H298" s="51">
        <v>44815</v>
      </c>
      <c r="I298" s="52" t="s">
        <v>570</v>
      </c>
      <c r="J298" s="53">
        <v>500</v>
      </c>
      <c r="K298" s="53">
        <v>2</v>
      </c>
      <c r="L298" s="17">
        <v>1</v>
      </c>
      <c r="O298" s="54" t="s">
        <v>825</v>
      </c>
      <c r="P298">
        <v>249</v>
      </c>
      <c r="Q298">
        <v>1</v>
      </c>
      <c r="R298">
        <v>1</v>
      </c>
    </row>
    <row r="299" spans="8:18">
      <c r="H299" s="51">
        <v>44815</v>
      </c>
      <c r="I299" s="52" t="s">
        <v>479</v>
      </c>
      <c r="J299" s="53">
        <v>494</v>
      </c>
      <c r="K299" s="53">
        <v>2</v>
      </c>
      <c r="L299" s="17">
        <v>1</v>
      </c>
      <c r="O299" s="54" t="s">
        <v>826</v>
      </c>
      <c r="P299">
        <v>249</v>
      </c>
      <c r="Q299">
        <v>1</v>
      </c>
      <c r="R299">
        <v>1</v>
      </c>
    </row>
    <row r="300" spans="8:18">
      <c r="H300" s="51">
        <v>44815</v>
      </c>
      <c r="I300" s="52" t="s">
        <v>388</v>
      </c>
      <c r="J300" s="53">
        <v>494</v>
      </c>
      <c r="K300" s="53">
        <v>2</v>
      </c>
      <c r="L300" s="17">
        <v>1</v>
      </c>
      <c r="O300" s="54" t="s">
        <v>827</v>
      </c>
      <c r="P300">
        <v>249</v>
      </c>
      <c r="Q300">
        <v>1</v>
      </c>
      <c r="R300">
        <v>1</v>
      </c>
    </row>
    <row r="301" spans="8:18">
      <c r="H301" s="51">
        <v>44815</v>
      </c>
      <c r="I301" s="52" t="s">
        <v>621</v>
      </c>
      <c r="J301" s="53">
        <v>494</v>
      </c>
      <c r="K301" s="53">
        <v>2</v>
      </c>
      <c r="L301" s="17">
        <v>1</v>
      </c>
      <c r="O301" s="54" t="s">
        <v>828</v>
      </c>
      <c r="P301">
        <v>249</v>
      </c>
      <c r="Q301">
        <v>1</v>
      </c>
      <c r="R301">
        <v>1</v>
      </c>
    </row>
    <row r="302" spans="8:18">
      <c r="H302" s="51">
        <v>44815</v>
      </c>
      <c r="I302" s="52" t="s">
        <v>501</v>
      </c>
      <c r="J302" s="53">
        <v>493</v>
      </c>
      <c r="K302" s="53">
        <v>2</v>
      </c>
      <c r="L302" s="17">
        <v>1</v>
      </c>
      <c r="O302" s="54" t="s">
        <v>829</v>
      </c>
      <c r="P302">
        <v>249</v>
      </c>
      <c r="Q302">
        <v>1</v>
      </c>
      <c r="R302">
        <v>1</v>
      </c>
    </row>
    <row r="303" spans="8:18">
      <c r="H303" s="51">
        <v>44815</v>
      </c>
      <c r="I303" s="52" t="s">
        <v>632</v>
      </c>
      <c r="J303" s="53">
        <v>463</v>
      </c>
      <c r="K303" s="53">
        <v>2</v>
      </c>
      <c r="L303" s="17">
        <v>1</v>
      </c>
      <c r="O303" s="54" t="s">
        <v>830</v>
      </c>
      <c r="P303">
        <v>249</v>
      </c>
      <c r="Q303">
        <v>1</v>
      </c>
      <c r="R303">
        <v>1</v>
      </c>
    </row>
    <row r="304" spans="8:18">
      <c r="H304" s="51">
        <v>44815</v>
      </c>
      <c r="I304" s="52" t="s">
        <v>401</v>
      </c>
      <c r="J304" s="53">
        <v>457</v>
      </c>
      <c r="K304" s="53">
        <v>3</v>
      </c>
      <c r="L304" s="17">
        <v>1</v>
      </c>
      <c r="O304" s="54" t="s">
        <v>725</v>
      </c>
      <c r="P304">
        <v>249</v>
      </c>
      <c r="Q304">
        <v>1</v>
      </c>
      <c r="R304">
        <v>1</v>
      </c>
    </row>
    <row r="305" spans="8:18">
      <c r="H305" s="51">
        <v>44815</v>
      </c>
      <c r="I305" s="52" t="s">
        <v>372</v>
      </c>
      <c r="J305" s="53">
        <v>395.9</v>
      </c>
      <c r="K305" s="53">
        <v>2</v>
      </c>
      <c r="L305" s="17">
        <v>1</v>
      </c>
      <c r="O305" s="54" t="s">
        <v>831</v>
      </c>
      <c r="P305">
        <v>249</v>
      </c>
      <c r="Q305">
        <v>1</v>
      </c>
      <c r="R305">
        <v>1</v>
      </c>
    </row>
    <row r="306" spans="8:18">
      <c r="H306" s="51">
        <v>44815</v>
      </c>
      <c r="I306" s="52" t="s">
        <v>680</v>
      </c>
      <c r="J306" s="53">
        <v>359</v>
      </c>
      <c r="K306" s="53">
        <v>1</v>
      </c>
      <c r="L306" s="17">
        <v>1</v>
      </c>
      <c r="O306" s="54" t="s">
        <v>772</v>
      </c>
      <c r="P306">
        <v>249</v>
      </c>
      <c r="Q306">
        <v>1</v>
      </c>
      <c r="R306">
        <v>1</v>
      </c>
    </row>
    <row r="307" spans="8:18">
      <c r="H307" s="51">
        <v>44815</v>
      </c>
      <c r="I307" s="52" t="s">
        <v>678</v>
      </c>
      <c r="J307" s="53">
        <v>359</v>
      </c>
      <c r="K307" s="53">
        <v>1</v>
      </c>
      <c r="L307" s="17">
        <v>1</v>
      </c>
      <c r="O307" s="54" t="s">
        <v>832</v>
      </c>
      <c r="P307">
        <v>249</v>
      </c>
      <c r="Q307">
        <v>1</v>
      </c>
      <c r="R307">
        <v>1</v>
      </c>
    </row>
    <row r="308" spans="8:18">
      <c r="H308" s="51">
        <v>44815</v>
      </c>
      <c r="I308" s="52" t="s">
        <v>681</v>
      </c>
      <c r="J308" s="53">
        <v>355</v>
      </c>
      <c r="K308" s="53">
        <v>1</v>
      </c>
      <c r="L308" s="17">
        <v>1</v>
      </c>
      <c r="O308" s="54" t="s">
        <v>833</v>
      </c>
      <c r="P308">
        <v>249</v>
      </c>
      <c r="Q308">
        <v>1</v>
      </c>
      <c r="R308">
        <v>1</v>
      </c>
    </row>
    <row r="309" spans="8:18">
      <c r="H309" s="51">
        <v>44815</v>
      </c>
      <c r="I309" s="52" t="s">
        <v>530</v>
      </c>
      <c r="J309" s="53">
        <v>285.9</v>
      </c>
      <c r="K309" s="53">
        <v>2</v>
      </c>
      <c r="L309" s="17">
        <v>1</v>
      </c>
      <c r="O309" s="54" t="s">
        <v>447</v>
      </c>
      <c r="P309">
        <v>249</v>
      </c>
      <c r="Q309">
        <v>1</v>
      </c>
      <c r="R309">
        <v>1</v>
      </c>
    </row>
    <row r="310" spans="8:18">
      <c r="H310" s="51">
        <v>44815</v>
      </c>
      <c r="I310" s="52" t="s">
        <v>756</v>
      </c>
      <c r="J310" s="53">
        <v>278.9</v>
      </c>
      <c r="K310" s="53">
        <v>2</v>
      </c>
      <c r="L310" s="17">
        <v>1</v>
      </c>
      <c r="O310" s="54" t="s">
        <v>834</v>
      </c>
      <c r="P310">
        <v>249</v>
      </c>
      <c r="Q310">
        <v>1</v>
      </c>
      <c r="R310">
        <v>1</v>
      </c>
    </row>
    <row r="311" spans="8:18">
      <c r="H311" s="51">
        <v>44815</v>
      </c>
      <c r="I311" s="52" t="s">
        <v>585</v>
      </c>
      <c r="J311" s="53">
        <v>259</v>
      </c>
      <c r="K311" s="53">
        <v>1</v>
      </c>
      <c r="L311" s="17">
        <v>1</v>
      </c>
      <c r="O311" s="54" t="s">
        <v>777</v>
      </c>
      <c r="P311">
        <v>249</v>
      </c>
      <c r="Q311">
        <v>1</v>
      </c>
      <c r="R311">
        <v>1</v>
      </c>
    </row>
    <row r="312" spans="8:18">
      <c r="H312" s="51">
        <v>44815</v>
      </c>
      <c r="I312" s="52" t="s">
        <v>832</v>
      </c>
      <c r="J312" s="53">
        <v>249</v>
      </c>
      <c r="K312" s="53">
        <v>1</v>
      </c>
      <c r="L312" s="17">
        <v>1</v>
      </c>
      <c r="O312" s="54" t="s">
        <v>835</v>
      </c>
      <c r="P312">
        <v>249</v>
      </c>
      <c r="Q312">
        <v>1</v>
      </c>
      <c r="R312">
        <v>1</v>
      </c>
    </row>
    <row r="313" spans="8:18">
      <c r="H313" s="51">
        <v>44815</v>
      </c>
      <c r="I313" s="52" t="s">
        <v>833</v>
      </c>
      <c r="J313" s="53">
        <v>249</v>
      </c>
      <c r="K313" s="53">
        <v>1</v>
      </c>
      <c r="L313" s="17">
        <v>1</v>
      </c>
      <c r="O313" s="54" t="s">
        <v>836</v>
      </c>
      <c r="P313">
        <v>249</v>
      </c>
      <c r="Q313">
        <v>1</v>
      </c>
      <c r="R313">
        <v>1</v>
      </c>
    </row>
    <row r="314" spans="8:18">
      <c r="H314" s="51">
        <v>44815</v>
      </c>
      <c r="I314" s="52" t="s">
        <v>836</v>
      </c>
      <c r="J314" s="53">
        <v>249</v>
      </c>
      <c r="K314" s="53">
        <v>1</v>
      </c>
      <c r="L314" s="17">
        <v>1</v>
      </c>
      <c r="O314" s="54" t="s">
        <v>769</v>
      </c>
      <c r="P314">
        <v>249</v>
      </c>
      <c r="Q314">
        <v>1</v>
      </c>
      <c r="R314">
        <v>1</v>
      </c>
    </row>
    <row r="315" spans="8:18">
      <c r="H315" s="51">
        <v>44815</v>
      </c>
      <c r="I315" s="52" t="s">
        <v>837</v>
      </c>
      <c r="J315" s="53">
        <v>249</v>
      </c>
      <c r="K315" s="53">
        <v>1</v>
      </c>
      <c r="L315" s="17">
        <v>1</v>
      </c>
      <c r="O315" s="54" t="s">
        <v>837</v>
      </c>
      <c r="P315">
        <v>249</v>
      </c>
      <c r="Q315">
        <v>1</v>
      </c>
      <c r="R315">
        <v>1</v>
      </c>
    </row>
    <row r="316" spans="8:18">
      <c r="H316" s="51">
        <v>44815</v>
      </c>
      <c r="I316" s="52" t="s">
        <v>831</v>
      </c>
      <c r="J316" s="53">
        <v>249</v>
      </c>
      <c r="K316" s="53">
        <v>1</v>
      </c>
      <c r="L316" s="17">
        <v>1</v>
      </c>
      <c r="O316" s="54" t="s">
        <v>445</v>
      </c>
      <c r="P316">
        <v>249</v>
      </c>
      <c r="Q316">
        <v>1</v>
      </c>
      <c r="R316">
        <v>1</v>
      </c>
    </row>
    <row r="317" spans="8:18">
      <c r="H317" s="51">
        <v>44815</v>
      </c>
      <c r="I317" s="52" t="s">
        <v>838</v>
      </c>
      <c r="J317" s="53">
        <v>249</v>
      </c>
      <c r="K317" s="53">
        <v>1</v>
      </c>
      <c r="L317" s="17">
        <v>1</v>
      </c>
      <c r="O317" s="54" t="s">
        <v>779</v>
      </c>
      <c r="P317">
        <v>249</v>
      </c>
      <c r="Q317">
        <v>1</v>
      </c>
      <c r="R317">
        <v>1</v>
      </c>
    </row>
    <row r="318" spans="8:18">
      <c r="H318" s="51">
        <v>44815</v>
      </c>
      <c r="I318" s="52" t="s">
        <v>622</v>
      </c>
      <c r="J318" s="53">
        <v>249</v>
      </c>
      <c r="K318" s="53">
        <v>1</v>
      </c>
      <c r="L318" s="17">
        <v>1</v>
      </c>
      <c r="O318" s="54" t="s">
        <v>839</v>
      </c>
      <c r="P318">
        <v>249</v>
      </c>
      <c r="Q318">
        <v>1</v>
      </c>
      <c r="R318">
        <v>1</v>
      </c>
    </row>
    <row r="319" spans="8:18">
      <c r="H319" s="51">
        <v>44815</v>
      </c>
      <c r="I319" s="52" t="s">
        <v>835</v>
      </c>
      <c r="J319" s="53">
        <v>249</v>
      </c>
      <c r="K319" s="53">
        <v>1</v>
      </c>
      <c r="L319" s="17">
        <v>1</v>
      </c>
      <c r="O319" s="54" t="s">
        <v>774</v>
      </c>
      <c r="P319">
        <v>249</v>
      </c>
      <c r="Q319">
        <v>1</v>
      </c>
      <c r="R319">
        <v>1</v>
      </c>
    </row>
    <row r="320" spans="8:18">
      <c r="H320" s="51">
        <v>44815</v>
      </c>
      <c r="I320" s="52" t="s">
        <v>839</v>
      </c>
      <c r="J320" s="53">
        <v>249</v>
      </c>
      <c r="K320" s="53">
        <v>1</v>
      </c>
      <c r="L320" s="17">
        <v>1</v>
      </c>
      <c r="O320" s="54" t="s">
        <v>840</v>
      </c>
      <c r="P320">
        <v>249</v>
      </c>
      <c r="Q320">
        <v>1</v>
      </c>
      <c r="R320">
        <v>1</v>
      </c>
    </row>
    <row r="321" spans="8:18">
      <c r="H321" s="51">
        <v>44815</v>
      </c>
      <c r="I321" s="52" t="s">
        <v>568</v>
      </c>
      <c r="J321" s="53">
        <v>249</v>
      </c>
      <c r="K321" s="53">
        <v>1</v>
      </c>
      <c r="L321" s="17">
        <v>1</v>
      </c>
      <c r="O321" s="54" t="s">
        <v>446</v>
      </c>
      <c r="P321">
        <v>249</v>
      </c>
      <c r="Q321">
        <v>1</v>
      </c>
      <c r="R321">
        <v>1</v>
      </c>
    </row>
    <row r="322" spans="8:18">
      <c r="H322" s="51">
        <v>44815</v>
      </c>
      <c r="I322" s="52" t="s">
        <v>405</v>
      </c>
      <c r="J322" s="53">
        <v>249</v>
      </c>
      <c r="K322" s="53">
        <v>1</v>
      </c>
      <c r="L322" s="17">
        <v>1</v>
      </c>
      <c r="O322" s="54" t="s">
        <v>727</v>
      </c>
      <c r="P322">
        <v>249</v>
      </c>
      <c r="Q322">
        <v>1</v>
      </c>
      <c r="R322">
        <v>1</v>
      </c>
    </row>
    <row r="323" spans="8:18">
      <c r="H323" s="51">
        <v>44815</v>
      </c>
      <c r="I323" s="52" t="s">
        <v>834</v>
      </c>
      <c r="J323" s="53">
        <v>249</v>
      </c>
      <c r="K323" s="53">
        <v>1</v>
      </c>
      <c r="L323" s="17">
        <v>1</v>
      </c>
      <c r="O323" s="54" t="s">
        <v>443</v>
      </c>
      <c r="P323">
        <v>249</v>
      </c>
      <c r="Q323">
        <v>1</v>
      </c>
      <c r="R323">
        <v>1</v>
      </c>
    </row>
    <row r="324" spans="8:18">
      <c r="H324" s="51">
        <v>44815</v>
      </c>
      <c r="I324" s="52" t="s">
        <v>789</v>
      </c>
      <c r="J324" s="53">
        <v>249</v>
      </c>
      <c r="K324" s="53">
        <v>1</v>
      </c>
      <c r="L324" s="17">
        <v>1</v>
      </c>
      <c r="O324" s="54" t="s">
        <v>838</v>
      </c>
      <c r="P324">
        <v>249</v>
      </c>
      <c r="Q324">
        <v>1</v>
      </c>
      <c r="R324">
        <v>1</v>
      </c>
    </row>
    <row r="325" spans="8:18">
      <c r="H325" s="51">
        <v>44815</v>
      </c>
      <c r="I325" s="52" t="s">
        <v>841</v>
      </c>
      <c r="J325" s="53">
        <v>249</v>
      </c>
      <c r="K325" s="53">
        <v>1</v>
      </c>
      <c r="L325" s="17">
        <v>1</v>
      </c>
      <c r="O325" s="54" t="s">
        <v>841</v>
      </c>
      <c r="P325">
        <v>249</v>
      </c>
      <c r="Q325">
        <v>1</v>
      </c>
      <c r="R325">
        <v>1</v>
      </c>
    </row>
    <row r="326" spans="8:18">
      <c r="H326" s="51">
        <v>44815</v>
      </c>
      <c r="I326" s="52" t="s">
        <v>383</v>
      </c>
      <c r="J326" s="53">
        <v>249</v>
      </c>
      <c r="K326" s="53">
        <v>1</v>
      </c>
      <c r="L326" s="17">
        <v>1</v>
      </c>
      <c r="O326" s="54" t="s">
        <v>842</v>
      </c>
      <c r="P326">
        <v>248.9</v>
      </c>
      <c r="Q326">
        <v>2</v>
      </c>
      <c r="R326">
        <v>1</v>
      </c>
    </row>
    <row r="327" spans="8:18">
      <c r="H327" s="51">
        <v>44815</v>
      </c>
      <c r="I327" s="52" t="s">
        <v>840</v>
      </c>
      <c r="J327" s="53">
        <v>249</v>
      </c>
      <c r="K327" s="53">
        <v>1</v>
      </c>
      <c r="L327" s="17">
        <v>1</v>
      </c>
      <c r="O327" s="54" t="s">
        <v>843</v>
      </c>
      <c r="P327">
        <v>248.9</v>
      </c>
      <c r="Q327">
        <v>2</v>
      </c>
      <c r="R327">
        <v>1</v>
      </c>
    </row>
    <row r="328" spans="8:18">
      <c r="H328" s="51">
        <v>44815</v>
      </c>
      <c r="I328" s="52" t="s">
        <v>630</v>
      </c>
      <c r="J328" s="53">
        <v>249</v>
      </c>
      <c r="K328" s="53">
        <v>1</v>
      </c>
      <c r="L328" s="17">
        <v>1</v>
      </c>
      <c r="O328" s="54" t="s">
        <v>844</v>
      </c>
      <c r="P328">
        <v>248.9</v>
      </c>
      <c r="Q328">
        <v>2</v>
      </c>
      <c r="R328">
        <v>1</v>
      </c>
    </row>
    <row r="329" spans="8:18">
      <c r="H329" s="51">
        <v>44815</v>
      </c>
      <c r="I329" s="52" t="s">
        <v>797</v>
      </c>
      <c r="J329" s="53">
        <v>249</v>
      </c>
      <c r="K329" s="53">
        <v>1</v>
      </c>
      <c r="L329" s="17">
        <v>1</v>
      </c>
      <c r="O329" s="54" t="s">
        <v>845</v>
      </c>
      <c r="P329">
        <v>248</v>
      </c>
      <c r="Q329">
        <v>1</v>
      </c>
      <c r="R329">
        <v>1</v>
      </c>
    </row>
    <row r="330" spans="8:18">
      <c r="H330" s="51">
        <v>44815</v>
      </c>
      <c r="I330" s="52" t="s">
        <v>472</v>
      </c>
      <c r="J330" s="53">
        <v>249</v>
      </c>
      <c r="K330" s="53">
        <v>1</v>
      </c>
      <c r="L330" s="17">
        <v>1</v>
      </c>
      <c r="O330" s="54" t="s">
        <v>846</v>
      </c>
      <c r="P330">
        <v>248</v>
      </c>
      <c r="Q330">
        <v>1</v>
      </c>
      <c r="R330">
        <v>1</v>
      </c>
    </row>
    <row r="331" spans="8:18">
      <c r="H331" s="51">
        <v>44815</v>
      </c>
      <c r="I331" s="52" t="s">
        <v>623</v>
      </c>
      <c r="J331" s="53">
        <v>245</v>
      </c>
      <c r="K331" s="53">
        <v>1</v>
      </c>
      <c r="L331" s="17">
        <v>1</v>
      </c>
      <c r="O331" s="54" t="s">
        <v>847</v>
      </c>
      <c r="P331">
        <v>247.1</v>
      </c>
      <c r="Q331">
        <v>3</v>
      </c>
      <c r="R331">
        <v>1</v>
      </c>
    </row>
    <row r="332" spans="8:18">
      <c r="H332" s="51">
        <v>44815</v>
      </c>
      <c r="I332" s="52" t="s">
        <v>449</v>
      </c>
      <c r="J332" s="53">
        <v>244</v>
      </c>
      <c r="K332" s="53">
        <v>1</v>
      </c>
      <c r="L332" s="17">
        <v>1</v>
      </c>
      <c r="O332" s="54" t="s">
        <v>783</v>
      </c>
      <c r="P332">
        <v>247</v>
      </c>
      <c r="Q332">
        <v>1</v>
      </c>
      <c r="R332">
        <v>1</v>
      </c>
    </row>
    <row r="333" spans="8:18">
      <c r="H333" s="51">
        <v>44815</v>
      </c>
      <c r="I333" s="52" t="s">
        <v>848</v>
      </c>
      <c r="J333" s="53">
        <v>225</v>
      </c>
      <c r="K333" s="53">
        <v>1</v>
      </c>
      <c r="L333" s="17">
        <v>1</v>
      </c>
      <c r="O333" s="54" t="s">
        <v>849</v>
      </c>
      <c r="P333">
        <v>246.9</v>
      </c>
      <c r="Q333">
        <v>2</v>
      </c>
      <c r="R333">
        <v>2</v>
      </c>
    </row>
    <row r="334" spans="8:18">
      <c r="H334" s="51">
        <v>44815</v>
      </c>
      <c r="I334" s="52" t="s">
        <v>392</v>
      </c>
      <c r="J334" s="53">
        <v>219</v>
      </c>
      <c r="K334" s="53">
        <v>1</v>
      </c>
      <c r="L334" s="17">
        <v>1</v>
      </c>
      <c r="O334" s="54" t="s">
        <v>850</v>
      </c>
      <c r="P334">
        <v>246.9</v>
      </c>
      <c r="Q334">
        <v>3</v>
      </c>
      <c r="R334">
        <v>1</v>
      </c>
    </row>
    <row r="335" spans="8:18">
      <c r="H335" s="51">
        <v>44815</v>
      </c>
      <c r="I335" s="52" t="s">
        <v>402</v>
      </c>
      <c r="J335" s="53">
        <v>63</v>
      </c>
      <c r="K335" s="53">
        <v>1</v>
      </c>
      <c r="L335" s="17">
        <v>1</v>
      </c>
      <c r="O335" s="54" t="s">
        <v>784</v>
      </c>
      <c r="P335">
        <v>246</v>
      </c>
      <c r="Q335">
        <v>1</v>
      </c>
      <c r="R335">
        <v>1</v>
      </c>
    </row>
    <row r="336" spans="8:18">
      <c r="H336" s="51">
        <v>44815</v>
      </c>
      <c r="I336" s="52" t="s">
        <v>851</v>
      </c>
      <c r="J336" s="53">
        <v>37.9</v>
      </c>
      <c r="K336" s="53">
        <v>1</v>
      </c>
      <c r="L336" s="17">
        <v>1</v>
      </c>
      <c r="O336" s="54" t="s">
        <v>852</v>
      </c>
      <c r="P336">
        <v>245.01</v>
      </c>
      <c r="Q336">
        <v>4</v>
      </c>
      <c r="R336">
        <v>2</v>
      </c>
    </row>
    <row r="337" spans="8:18">
      <c r="H337" s="51">
        <v>44815</v>
      </c>
      <c r="I337" s="52" t="s">
        <v>853</v>
      </c>
      <c r="J337" s="53">
        <v>37.9</v>
      </c>
      <c r="K337" s="53">
        <v>1</v>
      </c>
      <c r="L337" s="17">
        <v>1</v>
      </c>
      <c r="O337" s="54" t="s">
        <v>854</v>
      </c>
      <c r="P337">
        <v>245</v>
      </c>
      <c r="Q337">
        <v>1</v>
      </c>
      <c r="R337">
        <v>1</v>
      </c>
    </row>
    <row r="338" spans="8:18">
      <c r="H338" s="51">
        <v>44815</v>
      </c>
      <c r="I338" s="52" t="s">
        <v>855</v>
      </c>
      <c r="J338" s="53">
        <v>36.9</v>
      </c>
      <c r="K338" s="53">
        <v>1</v>
      </c>
      <c r="L338" s="17">
        <v>1</v>
      </c>
      <c r="O338" s="54" t="s">
        <v>651</v>
      </c>
      <c r="P338">
        <v>245</v>
      </c>
      <c r="Q338">
        <v>1</v>
      </c>
      <c r="R338">
        <v>1</v>
      </c>
    </row>
    <row r="339" spans="8:18">
      <c r="H339" s="51">
        <v>44815</v>
      </c>
      <c r="I339" s="52" t="s">
        <v>856</v>
      </c>
      <c r="J339" s="53">
        <v>19.9</v>
      </c>
      <c r="K339" s="53">
        <v>1</v>
      </c>
      <c r="L339" s="17">
        <v>1</v>
      </c>
      <c r="O339" s="54" t="s">
        <v>857</v>
      </c>
      <c r="P339">
        <v>244</v>
      </c>
      <c r="Q339">
        <v>2</v>
      </c>
      <c r="R339">
        <v>2</v>
      </c>
    </row>
    <row r="340" spans="8:18">
      <c r="H340" s="51">
        <v>44815</v>
      </c>
      <c r="I340" s="52" t="s">
        <v>858</v>
      </c>
      <c r="J340" s="53">
        <v>19.9</v>
      </c>
      <c r="K340" s="53">
        <v>1</v>
      </c>
      <c r="L340" s="17">
        <v>1</v>
      </c>
      <c r="O340" s="54" t="s">
        <v>859</v>
      </c>
      <c r="P340">
        <v>244</v>
      </c>
      <c r="Q340">
        <v>1</v>
      </c>
      <c r="R340">
        <v>1</v>
      </c>
    </row>
    <row r="341" spans="8:18">
      <c r="H341" s="51">
        <v>44815</v>
      </c>
      <c r="I341" s="52" t="s">
        <v>655</v>
      </c>
      <c r="J341" s="53">
        <v>19.9</v>
      </c>
      <c r="K341" s="53">
        <v>1</v>
      </c>
      <c r="L341" s="17">
        <v>1</v>
      </c>
      <c r="O341" s="54" t="s">
        <v>860</v>
      </c>
      <c r="P341">
        <v>243.9</v>
      </c>
      <c r="Q341">
        <v>3</v>
      </c>
      <c r="R341">
        <v>2</v>
      </c>
    </row>
    <row r="342" spans="8:18">
      <c r="H342" s="51">
        <v>44815</v>
      </c>
      <c r="I342" s="52" t="s">
        <v>861</v>
      </c>
      <c r="J342" s="53">
        <v>19.9</v>
      </c>
      <c r="K342" s="53">
        <v>1</v>
      </c>
      <c r="L342" s="17">
        <v>1</v>
      </c>
      <c r="O342" s="54" t="s">
        <v>862</v>
      </c>
      <c r="P342">
        <v>239</v>
      </c>
      <c r="Q342">
        <v>1</v>
      </c>
      <c r="R342">
        <v>1</v>
      </c>
    </row>
    <row r="343" spans="8:18">
      <c r="H343" s="51">
        <v>44815</v>
      </c>
      <c r="I343" s="52" t="s">
        <v>863</v>
      </c>
      <c r="J343" s="53">
        <v>19.9</v>
      </c>
      <c r="K343" s="53">
        <v>1</v>
      </c>
      <c r="L343" s="17">
        <v>1</v>
      </c>
      <c r="O343" s="54" t="s">
        <v>864</v>
      </c>
      <c r="P343">
        <v>239</v>
      </c>
      <c r="Q343">
        <v>1</v>
      </c>
      <c r="R343">
        <v>1</v>
      </c>
    </row>
    <row r="344" spans="8:18">
      <c r="H344" s="51">
        <v>44815</v>
      </c>
      <c r="I344" s="52" t="s">
        <v>865</v>
      </c>
      <c r="J344" s="53">
        <v>19.9</v>
      </c>
      <c r="K344" s="53">
        <v>1</v>
      </c>
      <c r="L344" s="17">
        <v>1</v>
      </c>
      <c r="O344" s="54" t="s">
        <v>866</v>
      </c>
      <c r="P344">
        <v>239</v>
      </c>
      <c r="Q344">
        <v>1</v>
      </c>
      <c r="R344">
        <v>1</v>
      </c>
    </row>
    <row r="345" spans="8:18">
      <c r="H345" s="51">
        <v>44815</v>
      </c>
      <c r="I345" s="52" t="s">
        <v>867</v>
      </c>
      <c r="J345" s="53">
        <v>19.9</v>
      </c>
      <c r="K345" s="53">
        <v>1</v>
      </c>
      <c r="L345" s="17">
        <v>1</v>
      </c>
      <c r="O345" s="54" t="s">
        <v>868</v>
      </c>
      <c r="P345">
        <v>239</v>
      </c>
      <c r="Q345">
        <v>1</v>
      </c>
      <c r="R345">
        <v>1</v>
      </c>
    </row>
    <row r="346" spans="8:18">
      <c r="H346" s="51">
        <v>44815</v>
      </c>
      <c r="I346" s="52" t="s">
        <v>869</v>
      </c>
      <c r="J346" s="53">
        <v>19.9</v>
      </c>
      <c r="K346" s="53">
        <v>1</v>
      </c>
      <c r="L346" s="17">
        <v>1</v>
      </c>
      <c r="O346" s="54" t="s">
        <v>870</v>
      </c>
      <c r="P346">
        <v>239</v>
      </c>
      <c r="Q346">
        <v>1</v>
      </c>
      <c r="R346">
        <v>1</v>
      </c>
    </row>
    <row r="347" spans="8:18">
      <c r="H347" s="51">
        <v>44815</v>
      </c>
      <c r="I347" s="52" t="s">
        <v>748</v>
      </c>
      <c r="J347" s="53">
        <v>19.9</v>
      </c>
      <c r="K347" s="53">
        <v>1</v>
      </c>
      <c r="L347" s="17">
        <v>1</v>
      </c>
      <c r="O347" s="54" t="s">
        <v>871</v>
      </c>
      <c r="P347">
        <v>239</v>
      </c>
      <c r="Q347">
        <v>1</v>
      </c>
      <c r="R347">
        <v>1</v>
      </c>
    </row>
    <row r="348" spans="8:18">
      <c r="H348" s="51">
        <v>44815</v>
      </c>
      <c r="I348" s="52" t="s">
        <v>872</v>
      </c>
      <c r="J348" s="53">
        <v>19.9</v>
      </c>
      <c r="K348" s="53">
        <v>1</v>
      </c>
      <c r="L348" s="17">
        <v>1</v>
      </c>
      <c r="O348" s="54" t="s">
        <v>873</v>
      </c>
      <c r="P348">
        <v>239</v>
      </c>
      <c r="Q348">
        <v>1</v>
      </c>
      <c r="R348">
        <v>1</v>
      </c>
    </row>
    <row r="349" spans="8:18">
      <c r="H349" s="51">
        <v>44815</v>
      </c>
      <c r="I349" s="52" t="s">
        <v>874</v>
      </c>
      <c r="J349" s="53">
        <v>19.9</v>
      </c>
      <c r="K349" s="53">
        <v>1</v>
      </c>
      <c r="L349" s="17">
        <v>1</v>
      </c>
      <c r="O349" s="54" t="s">
        <v>875</v>
      </c>
      <c r="P349">
        <v>238</v>
      </c>
      <c r="Q349">
        <v>1</v>
      </c>
      <c r="R349">
        <v>1</v>
      </c>
    </row>
    <row r="350" spans="8:18">
      <c r="H350" s="51">
        <v>44816</v>
      </c>
      <c r="I350" s="52" t="s">
        <v>528</v>
      </c>
      <c r="J350" s="53">
        <v>599</v>
      </c>
      <c r="K350" s="53">
        <v>1</v>
      </c>
      <c r="L350" s="17">
        <v>1</v>
      </c>
      <c r="O350" s="54" t="s">
        <v>876</v>
      </c>
      <c r="P350">
        <v>238</v>
      </c>
      <c r="Q350">
        <v>1</v>
      </c>
      <c r="R350">
        <v>1</v>
      </c>
    </row>
    <row r="351" spans="8:18">
      <c r="H351" s="51">
        <v>44816</v>
      </c>
      <c r="I351" s="52" t="s">
        <v>376</v>
      </c>
      <c r="J351" s="53">
        <v>521.8</v>
      </c>
      <c r="K351" s="53">
        <v>4</v>
      </c>
      <c r="L351" s="17">
        <v>1</v>
      </c>
      <c r="O351" s="54" t="s">
        <v>877</v>
      </c>
      <c r="P351">
        <v>236</v>
      </c>
      <c r="Q351">
        <v>2</v>
      </c>
      <c r="R351">
        <v>1</v>
      </c>
    </row>
    <row r="352" spans="8:18">
      <c r="H352" s="51">
        <v>44816</v>
      </c>
      <c r="I352" s="52" t="s">
        <v>625</v>
      </c>
      <c r="J352" s="53">
        <v>492</v>
      </c>
      <c r="K352" s="53">
        <v>2</v>
      </c>
      <c r="L352" s="17">
        <v>1</v>
      </c>
      <c r="O352" s="54" t="s">
        <v>451</v>
      </c>
      <c r="P352">
        <v>235.9</v>
      </c>
      <c r="Q352">
        <v>3</v>
      </c>
      <c r="R352">
        <v>1</v>
      </c>
    </row>
    <row r="353" spans="8:18">
      <c r="H353" s="51">
        <v>44816</v>
      </c>
      <c r="I353" s="52" t="s">
        <v>638</v>
      </c>
      <c r="J353" s="53">
        <v>474</v>
      </c>
      <c r="K353" s="53">
        <v>2</v>
      </c>
      <c r="L353" s="17">
        <v>1</v>
      </c>
      <c r="O353" s="54" t="s">
        <v>878</v>
      </c>
      <c r="P353">
        <v>235</v>
      </c>
      <c r="Q353">
        <v>3</v>
      </c>
      <c r="R353">
        <v>1</v>
      </c>
    </row>
    <row r="354" spans="8:18">
      <c r="H354" s="51">
        <v>44816</v>
      </c>
      <c r="I354" s="52" t="s">
        <v>530</v>
      </c>
      <c r="J354" s="53">
        <v>356</v>
      </c>
      <c r="K354" s="53">
        <v>1</v>
      </c>
      <c r="L354" s="17">
        <v>1</v>
      </c>
      <c r="O354" s="54" t="s">
        <v>879</v>
      </c>
      <c r="P354">
        <v>234.8</v>
      </c>
      <c r="Q354">
        <v>6</v>
      </c>
      <c r="R354">
        <v>4</v>
      </c>
    </row>
    <row r="355" spans="8:18">
      <c r="H355" s="51">
        <v>44816</v>
      </c>
      <c r="I355" s="52" t="s">
        <v>830</v>
      </c>
      <c r="J355" s="53">
        <v>249</v>
      </c>
      <c r="K355" s="53">
        <v>1</v>
      </c>
      <c r="L355" s="17">
        <v>1</v>
      </c>
      <c r="O355" s="54" t="s">
        <v>880</v>
      </c>
      <c r="P355">
        <v>233.9</v>
      </c>
      <c r="Q355">
        <v>2</v>
      </c>
      <c r="R355">
        <v>2</v>
      </c>
    </row>
    <row r="356" spans="8:18">
      <c r="H356" s="51">
        <v>44816</v>
      </c>
      <c r="I356" s="52" t="s">
        <v>829</v>
      </c>
      <c r="J356" s="53">
        <v>249</v>
      </c>
      <c r="K356" s="53">
        <v>1</v>
      </c>
      <c r="L356" s="17">
        <v>1</v>
      </c>
      <c r="O356" s="54" t="s">
        <v>453</v>
      </c>
      <c r="P356">
        <v>229.9</v>
      </c>
      <c r="Q356">
        <v>3</v>
      </c>
      <c r="R356">
        <v>3</v>
      </c>
    </row>
    <row r="357" spans="8:18">
      <c r="H357" s="51">
        <v>44816</v>
      </c>
      <c r="I357" s="52" t="s">
        <v>583</v>
      </c>
      <c r="J357" s="53">
        <v>249</v>
      </c>
      <c r="K357" s="53">
        <v>1</v>
      </c>
      <c r="L357" s="17">
        <v>1</v>
      </c>
      <c r="O357" s="54" t="s">
        <v>848</v>
      </c>
      <c r="P357">
        <v>226</v>
      </c>
      <c r="Q357">
        <v>2</v>
      </c>
      <c r="R357">
        <v>2</v>
      </c>
    </row>
    <row r="358" spans="8:18">
      <c r="H358" s="51">
        <v>44816</v>
      </c>
      <c r="I358" s="52" t="s">
        <v>745</v>
      </c>
      <c r="J358" s="53">
        <v>249</v>
      </c>
      <c r="K358" s="53">
        <v>1</v>
      </c>
      <c r="L358" s="17">
        <v>1</v>
      </c>
      <c r="O358" s="54" t="s">
        <v>758</v>
      </c>
      <c r="P358">
        <v>225.9</v>
      </c>
      <c r="Q358">
        <v>3</v>
      </c>
      <c r="R358">
        <v>2</v>
      </c>
    </row>
    <row r="359" spans="8:18">
      <c r="H359" s="51">
        <v>44816</v>
      </c>
      <c r="I359" s="52" t="s">
        <v>828</v>
      </c>
      <c r="J359" s="53">
        <v>249</v>
      </c>
      <c r="K359" s="53">
        <v>1</v>
      </c>
      <c r="L359" s="17">
        <v>1</v>
      </c>
      <c r="O359" s="54" t="s">
        <v>452</v>
      </c>
      <c r="P359">
        <v>219</v>
      </c>
      <c r="Q359">
        <v>1</v>
      </c>
      <c r="R359">
        <v>1</v>
      </c>
    </row>
    <row r="360" spans="8:18">
      <c r="H360" s="51">
        <v>44816</v>
      </c>
      <c r="I360" s="52" t="s">
        <v>827</v>
      </c>
      <c r="J360" s="53">
        <v>249</v>
      </c>
      <c r="K360" s="53">
        <v>1</v>
      </c>
      <c r="L360" s="17">
        <v>1</v>
      </c>
      <c r="O360" s="54" t="s">
        <v>588</v>
      </c>
      <c r="P360">
        <v>214.73</v>
      </c>
      <c r="Q360">
        <v>3</v>
      </c>
      <c r="R360">
        <v>2</v>
      </c>
    </row>
    <row r="361" spans="8:18">
      <c r="H361" s="51">
        <v>44816</v>
      </c>
      <c r="I361" s="52" t="s">
        <v>526</v>
      </c>
      <c r="J361" s="53">
        <v>249</v>
      </c>
      <c r="K361" s="53">
        <v>1</v>
      </c>
      <c r="L361" s="17">
        <v>1</v>
      </c>
      <c r="O361" s="54" t="s">
        <v>454</v>
      </c>
      <c r="P361">
        <v>213.6</v>
      </c>
      <c r="Q361">
        <v>5</v>
      </c>
      <c r="R361">
        <v>1</v>
      </c>
    </row>
    <row r="362" spans="8:18">
      <c r="H362" s="51">
        <v>44816</v>
      </c>
      <c r="I362" s="52" t="s">
        <v>826</v>
      </c>
      <c r="J362" s="53">
        <v>249</v>
      </c>
      <c r="K362" s="53">
        <v>1</v>
      </c>
      <c r="L362" s="17">
        <v>1</v>
      </c>
      <c r="O362" s="54" t="s">
        <v>482</v>
      </c>
      <c r="P362">
        <v>212.8</v>
      </c>
      <c r="Q362">
        <v>5</v>
      </c>
      <c r="R362">
        <v>3</v>
      </c>
    </row>
    <row r="363" spans="8:18">
      <c r="H363" s="51">
        <v>44816</v>
      </c>
      <c r="I363" s="52" t="s">
        <v>825</v>
      </c>
      <c r="J363" s="53">
        <v>249</v>
      </c>
      <c r="K363" s="53">
        <v>1</v>
      </c>
      <c r="L363" s="17">
        <v>1</v>
      </c>
      <c r="O363" s="54" t="s">
        <v>881</v>
      </c>
      <c r="P363">
        <v>210</v>
      </c>
      <c r="Q363">
        <v>2</v>
      </c>
      <c r="R363">
        <v>1</v>
      </c>
    </row>
    <row r="364" spans="8:18">
      <c r="H364" s="51">
        <v>44816</v>
      </c>
      <c r="I364" s="52" t="s">
        <v>824</v>
      </c>
      <c r="J364" s="53">
        <v>249</v>
      </c>
      <c r="K364" s="53">
        <v>1</v>
      </c>
      <c r="L364" s="17">
        <v>1</v>
      </c>
      <c r="O364" s="54" t="s">
        <v>882</v>
      </c>
      <c r="P364">
        <v>209.9</v>
      </c>
      <c r="Q364">
        <v>3</v>
      </c>
      <c r="R364">
        <v>2</v>
      </c>
    </row>
    <row r="365" spans="8:18">
      <c r="H365" s="51">
        <v>44816</v>
      </c>
      <c r="I365" s="52" t="s">
        <v>823</v>
      </c>
      <c r="J365" s="53">
        <v>249</v>
      </c>
      <c r="K365" s="53">
        <v>1</v>
      </c>
      <c r="L365" s="17">
        <v>1</v>
      </c>
      <c r="O365" s="54" t="s">
        <v>883</v>
      </c>
      <c r="P365">
        <v>208.9</v>
      </c>
      <c r="Q365">
        <v>2</v>
      </c>
      <c r="R365">
        <v>1</v>
      </c>
    </row>
    <row r="366" spans="8:18">
      <c r="H366" s="51">
        <v>44816</v>
      </c>
      <c r="I366" s="52" t="s">
        <v>822</v>
      </c>
      <c r="J366" s="53">
        <v>249</v>
      </c>
      <c r="K366" s="53">
        <v>1</v>
      </c>
      <c r="L366" s="17">
        <v>1</v>
      </c>
      <c r="O366" s="54" t="s">
        <v>884</v>
      </c>
      <c r="P366">
        <v>208.9</v>
      </c>
      <c r="Q366">
        <v>2</v>
      </c>
      <c r="R366">
        <v>1</v>
      </c>
    </row>
    <row r="367" spans="8:18">
      <c r="H367" s="51">
        <v>44816</v>
      </c>
      <c r="I367" s="52" t="s">
        <v>610</v>
      </c>
      <c r="J367" s="53">
        <v>249</v>
      </c>
      <c r="K367" s="53">
        <v>1</v>
      </c>
      <c r="L367" s="17">
        <v>1</v>
      </c>
      <c r="O367" s="54" t="s">
        <v>885</v>
      </c>
      <c r="P367">
        <v>201.93</v>
      </c>
      <c r="Q367">
        <v>2</v>
      </c>
      <c r="R367">
        <v>2</v>
      </c>
    </row>
    <row r="368" spans="8:18">
      <c r="H368" s="51">
        <v>44816</v>
      </c>
      <c r="I368" s="52" t="s">
        <v>549</v>
      </c>
      <c r="J368" s="53">
        <v>248</v>
      </c>
      <c r="K368" s="53">
        <v>1</v>
      </c>
      <c r="L368" s="17">
        <v>1</v>
      </c>
      <c r="O368" s="54" t="s">
        <v>455</v>
      </c>
      <c r="P368">
        <v>201</v>
      </c>
      <c r="Q368">
        <v>1</v>
      </c>
      <c r="R368">
        <v>1</v>
      </c>
    </row>
    <row r="369" spans="8:18">
      <c r="H369" s="51">
        <v>44816</v>
      </c>
      <c r="I369" s="52" t="s">
        <v>475</v>
      </c>
      <c r="J369" s="53">
        <v>248</v>
      </c>
      <c r="K369" s="53">
        <v>1</v>
      </c>
      <c r="L369" s="17">
        <v>1</v>
      </c>
      <c r="O369" s="54" t="s">
        <v>886</v>
      </c>
      <c r="P369">
        <v>196.9</v>
      </c>
      <c r="Q369">
        <v>3</v>
      </c>
      <c r="R369">
        <v>1</v>
      </c>
    </row>
    <row r="370" spans="8:18">
      <c r="H370" s="51">
        <v>44816</v>
      </c>
      <c r="I370" s="52" t="s">
        <v>660</v>
      </c>
      <c r="J370" s="53">
        <v>247</v>
      </c>
      <c r="K370" s="53">
        <v>1</v>
      </c>
      <c r="L370" s="17">
        <v>1</v>
      </c>
      <c r="O370" s="54" t="s">
        <v>887</v>
      </c>
      <c r="P370">
        <v>196.9</v>
      </c>
      <c r="Q370">
        <v>4</v>
      </c>
      <c r="R370">
        <v>2</v>
      </c>
    </row>
    <row r="371" spans="8:18">
      <c r="H371" s="51">
        <v>44816</v>
      </c>
      <c r="I371" s="52" t="s">
        <v>859</v>
      </c>
      <c r="J371" s="53">
        <v>244</v>
      </c>
      <c r="K371" s="53">
        <v>1</v>
      </c>
      <c r="L371" s="17">
        <v>1</v>
      </c>
      <c r="O371" s="54" t="s">
        <v>888</v>
      </c>
      <c r="P371">
        <v>196.8</v>
      </c>
      <c r="Q371">
        <v>4</v>
      </c>
      <c r="R371">
        <v>2</v>
      </c>
    </row>
    <row r="372" spans="8:18">
      <c r="H372" s="51">
        <v>44816</v>
      </c>
      <c r="I372" s="52" t="s">
        <v>607</v>
      </c>
      <c r="J372" s="53">
        <v>244</v>
      </c>
      <c r="K372" s="53">
        <v>1</v>
      </c>
      <c r="L372" s="17">
        <v>1</v>
      </c>
      <c r="O372" s="54" t="s">
        <v>889</v>
      </c>
      <c r="P372">
        <v>188.46</v>
      </c>
      <c r="Q372">
        <v>9</v>
      </c>
      <c r="R372">
        <v>3</v>
      </c>
    </row>
    <row r="373" spans="8:18">
      <c r="H373" s="51">
        <v>44816</v>
      </c>
      <c r="I373" s="52" t="s">
        <v>759</v>
      </c>
      <c r="J373" s="53">
        <v>239</v>
      </c>
      <c r="K373" s="53">
        <v>1</v>
      </c>
      <c r="L373" s="17">
        <v>1</v>
      </c>
      <c r="O373" s="54" t="s">
        <v>890</v>
      </c>
      <c r="P373">
        <v>187.6</v>
      </c>
      <c r="Q373">
        <v>6</v>
      </c>
      <c r="R373">
        <v>1</v>
      </c>
    </row>
    <row r="374" spans="8:18">
      <c r="H374" s="51">
        <v>44816</v>
      </c>
      <c r="I374" s="52" t="s">
        <v>873</v>
      </c>
      <c r="J374" s="53">
        <v>239</v>
      </c>
      <c r="K374" s="53">
        <v>1</v>
      </c>
      <c r="L374" s="17">
        <v>1</v>
      </c>
      <c r="O374" s="54" t="s">
        <v>891</v>
      </c>
      <c r="P374">
        <v>180.5</v>
      </c>
      <c r="Q374">
        <v>6</v>
      </c>
      <c r="R374">
        <v>1</v>
      </c>
    </row>
    <row r="375" spans="8:18">
      <c r="H375" s="51">
        <v>44816</v>
      </c>
      <c r="I375" s="52" t="s">
        <v>630</v>
      </c>
      <c r="J375" s="53">
        <v>235</v>
      </c>
      <c r="K375" s="53">
        <v>1</v>
      </c>
      <c r="L375" s="17">
        <v>1</v>
      </c>
      <c r="O375" s="54" t="s">
        <v>457</v>
      </c>
      <c r="P375">
        <v>177.8</v>
      </c>
      <c r="Q375">
        <v>2</v>
      </c>
      <c r="R375">
        <v>1</v>
      </c>
    </row>
    <row r="376" spans="8:18">
      <c r="H376" s="51">
        <v>44816</v>
      </c>
      <c r="I376" s="52" t="s">
        <v>390</v>
      </c>
      <c r="J376" s="53">
        <v>219</v>
      </c>
      <c r="K376" s="53">
        <v>1</v>
      </c>
      <c r="L376" s="17">
        <v>1</v>
      </c>
      <c r="O376" s="54" t="s">
        <v>892</v>
      </c>
      <c r="P376">
        <v>177</v>
      </c>
      <c r="Q376">
        <v>2</v>
      </c>
      <c r="R376">
        <v>1</v>
      </c>
    </row>
    <row r="377" spans="8:18">
      <c r="H377" s="51">
        <v>44816</v>
      </c>
      <c r="I377" s="52" t="s">
        <v>628</v>
      </c>
      <c r="J377" s="53">
        <v>57.8</v>
      </c>
      <c r="K377" s="53">
        <v>2</v>
      </c>
      <c r="L377" s="17">
        <v>1</v>
      </c>
      <c r="O377" s="54" t="s">
        <v>684</v>
      </c>
      <c r="P377">
        <v>176.85</v>
      </c>
      <c r="Q377">
        <v>3</v>
      </c>
      <c r="R377">
        <v>3</v>
      </c>
    </row>
    <row r="378" spans="8:18">
      <c r="H378" s="51">
        <v>44816</v>
      </c>
      <c r="I378" s="52" t="s">
        <v>592</v>
      </c>
      <c r="J378" s="53">
        <v>39.9</v>
      </c>
      <c r="K378" s="53">
        <v>1</v>
      </c>
      <c r="L378" s="17">
        <v>1</v>
      </c>
      <c r="O378" s="54" t="s">
        <v>893</v>
      </c>
      <c r="P378">
        <v>173.3</v>
      </c>
      <c r="Q378">
        <v>5</v>
      </c>
      <c r="R378">
        <v>1</v>
      </c>
    </row>
    <row r="379" spans="8:18">
      <c r="H379" s="51">
        <v>44816</v>
      </c>
      <c r="I379" s="52" t="s">
        <v>544</v>
      </c>
      <c r="J379" s="53">
        <v>39.9</v>
      </c>
      <c r="K379" s="53">
        <v>1</v>
      </c>
      <c r="L379" s="17">
        <v>1</v>
      </c>
      <c r="O379" s="54" t="s">
        <v>894</v>
      </c>
      <c r="P379">
        <v>173.2</v>
      </c>
      <c r="Q379">
        <v>3</v>
      </c>
      <c r="R379">
        <v>2</v>
      </c>
    </row>
    <row r="380" spans="8:18">
      <c r="H380" s="51">
        <v>44816</v>
      </c>
      <c r="I380" s="52" t="s">
        <v>895</v>
      </c>
      <c r="J380" s="53">
        <v>39.9</v>
      </c>
      <c r="K380" s="53">
        <v>1</v>
      </c>
      <c r="L380" s="17">
        <v>1</v>
      </c>
      <c r="O380" s="54" t="s">
        <v>896</v>
      </c>
      <c r="P380">
        <v>171.8</v>
      </c>
      <c r="Q380">
        <v>7</v>
      </c>
      <c r="R380">
        <v>5</v>
      </c>
    </row>
    <row r="381" spans="8:18">
      <c r="H381" s="51">
        <v>44816</v>
      </c>
      <c r="I381" s="52" t="s">
        <v>478</v>
      </c>
      <c r="J381" s="53">
        <v>38.9</v>
      </c>
      <c r="K381" s="53">
        <v>1</v>
      </c>
      <c r="L381" s="17">
        <v>1</v>
      </c>
      <c r="O381" s="54" t="s">
        <v>897</v>
      </c>
      <c r="P381">
        <v>170.5</v>
      </c>
      <c r="Q381">
        <v>7</v>
      </c>
      <c r="R381">
        <v>3</v>
      </c>
    </row>
    <row r="382" spans="8:18">
      <c r="H382" s="51">
        <v>44816</v>
      </c>
      <c r="I382" s="52" t="s">
        <v>898</v>
      </c>
      <c r="J382" s="53">
        <v>19.9</v>
      </c>
      <c r="K382" s="53">
        <v>1</v>
      </c>
      <c r="L382" s="17">
        <v>1</v>
      </c>
      <c r="O382" s="54" t="s">
        <v>899</v>
      </c>
      <c r="P382">
        <v>169</v>
      </c>
      <c r="Q382">
        <v>1</v>
      </c>
      <c r="R382">
        <v>1</v>
      </c>
    </row>
    <row r="383" spans="8:18">
      <c r="H383" s="51">
        <v>44816</v>
      </c>
      <c r="I383" s="52" t="s">
        <v>900</v>
      </c>
      <c r="J383" s="53">
        <v>19.9</v>
      </c>
      <c r="K383" s="53">
        <v>1</v>
      </c>
      <c r="L383" s="17">
        <v>1</v>
      </c>
      <c r="O383" s="54" t="s">
        <v>901</v>
      </c>
      <c r="P383">
        <v>169</v>
      </c>
      <c r="Q383">
        <v>1</v>
      </c>
      <c r="R383">
        <v>1</v>
      </c>
    </row>
    <row r="384" spans="8:18">
      <c r="H384" s="51">
        <v>44816</v>
      </c>
      <c r="I384" s="52" t="s">
        <v>389</v>
      </c>
      <c r="J384" s="53">
        <v>19.9</v>
      </c>
      <c r="K384" s="53">
        <v>1</v>
      </c>
      <c r="L384" s="17">
        <v>1</v>
      </c>
      <c r="O384" s="54" t="s">
        <v>547</v>
      </c>
      <c r="P384">
        <v>167.8</v>
      </c>
      <c r="Q384">
        <v>4</v>
      </c>
      <c r="R384">
        <v>3</v>
      </c>
    </row>
    <row r="385" spans="8:18">
      <c r="H385" s="51">
        <v>44816</v>
      </c>
      <c r="I385" s="52" t="s">
        <v>739</v>
      </c>
      <c r="J385" s="53">
        <v>19.9</v>
      </c>
      <c r="K385" s="53">
        <v>1</v>
      </c>
      <c r="L385" s="17">
        <v>1</v>
      </c>
      <c r="O385" s="54" t="s">
        <v>677</v>
      </c>
      <c r="P385">
        <v>165.46</v>
      </c>
      <c r="Q385">
        <v>6</v>
      </c>
      <c r="R385">
        <v>2</v>
      </c>
    </row>
    <row r="386" spans="8:18">
      <c r="H386" s="51">
        <v>44816</v>
      </c>
      <c r="I386" s="52" t="s">
        <v>372</v>
      </c>
      <c r="J386" s="53">
        <v>19.9</v>
      </c>
      <c r="K386" s="53">
        <v>1</v>
      </c>
      <c r="L386" s="17">
        <v>1</v>
      </c>
      <c r="O386" s="54" t="s">
        <v>902</v>
      </c>
      <c r="P386">
        <v>163.91</v>
      </c>
      <c r="Q386">
        <v>4</v>
      </c>
      <c r="R386">
        <v>3</v>
      </c>
    </row>
    <row r="387" spans="8:18">
      <c r="H387" s="51">
        <v>44817</v>
      </c>
      <c r="I387" s="52" t="s">
        <v>366</v>
      </c>
      <c r="J387" s="52">
        <v>3829</v>
      </c>
      <c r="K387" s="52">
        <v>13</v>
      </c>
      <c r="L387" s="52">
        <v>1</v>
      </c>
      <c r="O387" s="54" t="s">
        <v>903</v>
      </c>
      <c r="P387">
        <v>162.7</v>
      </c>
      <c r="Q387">
        <v>4</v>
      </c>
      <c r="R387">
        <v>2</v>
      </c>
    </row>
    <row r="388" spans="8:18">
      <c r="H388" s="51">
        <v>44817</v>
      </c>
      <c r="I388" s="52" t="s">
        <v>372</v>
      </c>
      <c r="J388" s="52">
        <v>1612.9</v>
      </c>
      <c r="K388" s="52">
        <v>6</v>
      </c>
      <c r="L388" s="52">
        <v>1</v>
      </c>
      <c r="O388" s="54" t="s">
        <v>904</v>
      </c>
      <c r="P388">
        <v>161.93</v>
      </c>
      <c r="Q388">
        <v>1</v>
      </c>
      <c r="R388">
        <v>1</v>
      </c>
    </row>
    <row r="389" spans="8:18">
      <c r="H389" s="51">
        <v>44817</v>
      </c>
      <c r="I389" s="52" t="s">
        <v>377</v>
      </c>
      <c r="J389" s="52">
        <v>1265</v>
      </c>
      <c r="K389" s="52">
        <v>5</v>
      </c>
      <c r="L389" s="52">
        <v>1</v>
      </c>
      <c r="O389" s="54" t="s">
        <v>629</v>
      </c>
      <c r="P389">
        <v>160.8</v>
      </c>
      <c r="Q389">
        <v>3</v>
      </c>
      <c r="R389">
        <v>3</v>
      </c>
    </row>
    <row r="390" spans="8:18">
      <c r="H390" s="51">
        <v>44817</v>
      </c>
      <c r="I390" s="52" t="s">
        <v>484</v>
      </c>
      <c r="J390" s="52">
        <v>856</v>
      </c>
      <c r="K390" s="52">
        <v>3</v>
      </c>
      <c r="L390" s="52">
        <v>1</v>
      </c>
      <c r="O390" s="54" t="s">
        <v>905</v>
      </c>
      <c r="P390">
        <v>159</v>
      </c>
      <c r="Q390">
        <v>1</v>
      </c>
      <c r="R390">
        <v>1</v>
      </c>
    </row>
    <row r="391" spans="8:18">
      <c r="H391" s="51">
        <v>44817</v>
      </c>
      <c r="I391" s="52" t="s">
        <v>524</v>
      </c>
      <c r="J391" s="52">
        <v>657</v>
      </c>
      <c r="K391" s="52">
        <v>2</v>
      </c>
      <c r="L391" s="52">
        <v>1</v>
      </c>
      <c r="O391" s="54" t="s">
        <v>906</v>
      </c>
      <c r="P391">
        <v>158.9</v>
      </c>
      <c r="Q391">
        <v>2</v>
      </c>
      <c r="R391">
        <v>2</v>
      </c>
    </row>
    <row r="392" spans="8:18">
      <c r="H392" s="51">
        <v>44817</v>
      </c>
      <c r="I392" s="52" t="s">
        <v>552</v>
      </c>
      <c r="J392" s="52">
        <v>599</v>
      </c>
      <c r="K392" s="52">
        <v>1</v>
      </c>
      <c r="L392" s="52">
        <v>1</v>
      </c>
      <c r="O392" s="54" t="s">
        <v>907</v>
      </c>
      <c r="P392">
        <v>157.9</v>
      </c>
      <c r="Q392">
        <v>3</v>
      </c>
      <c r="R392">
        <v>1</v>
      </c>
    </row>
    <row r="393" spans="8:18">
      <c r="H393" s="51">
        <v>44817</v>
      </c>
      <c r="I393" s="52" t="s">
        <v>564</v>
      </c>
      <c r="J393" s="52">
        <v>592</v>
      </c>
      <c r="K393" s="52">
        <v>2</v>
      </c>
      <c r="L393" s="52">
        <v>1</v>
      </c>
      <c r="O393" s="54" t="s">
        <v>608</v>
      </c>
      <c r="P393">
        <v>157.5</v>
      </c>
      <c r="Q393">
        <v>7</v>
      </c>
      <c r="R393">
        <v>6</v>
      </c>
    </row>
    <row r="394" spans="8:18">
      <c r="H394" s="51">
        <v>44817</v>
      </c>
      <c r="I394" s="52" t="s">
        <v>522</v>
      </c>
      <c r="J394" s="52">
        <v>510</v>
      </c>
      <c r="K394" s="52">
        <v>2</v>
      </c>
      <c r="L394" s="52">
        <v>1</v>
      </c>
      <c r="O394" s="54" t="s">
        <v>460</v>
      </c>
      <c r="P394">
        <v>157.4</v>
      </c>
      <c r="Q394">
        <v>6</v>
      </c>
      <c r="R394">
        <v>1</v>
      </c>
    </row>
    <row r="395" spans="8:18">
      <c r="H395" s="51">
        <v>44817</v>
      </c>
      <c r="I395" s="52" t="s">
        <v>600</v>
      </c>
      <c r="J395" s="52">
        <v>359</v>
      </c>
      <c r="K395" s="52">
        <v>1</v>
      </c>
      <c r="L395" s="52">
        <v>1</v>
      </c>
      <c r="O395" s="54" t="s">
        <v>461</v>
      </c>
      <c r="P395">
        <v>156.8</v>
      </c>
      <c r="Q395">
        <v>3</v>
      </c>
      <c r="R395">
        <v>1</v>
      </c>
    </row>
    <row r="396" spans="8:18">
      <c r="H396" s="51">
        <v>44817</v>
      </c>
      <c r="I396" s="52" t="s">
        <v>543</v>
      </c>
      <c r="J396" s="52">
        <v>299</v>
      </c>
      <c r="K396" s="52">
        <v>1</v>
      </c>
      <c r="L396" s="52">
        <v>1</v>
      </c>
      <c r="O396" s="54" t="s">
        <v>908</v>
      </c>
      <c r="P396">
        <v>155.9</v>
      </c>
      <c r="Q396">
        <v>2</v>
      </c>
      <c r="R396">
        <v>1</v>
      </c>
    </row>
    <row r="397" spans="8:18">
      <c r="H397" s="51">
        <v>44817</v>
      </c>
      <c r="I397" s="52" t="s">
        <v>483</v>
      </c>
      <c r="J397" s="52">
        <v>299</v>
      </c>
      <c r="K397" s="52">
        <v>1</v>
      </c>
      <c r="L397" s="52">
        <v>1</v>
      </c>
      <c r="O397" s="54" t="s">
        <v>909</v>
      </c>
      <c r="P397">
        <v>152.3</v>
      </c>
      <c r="Q397">
        <v>3</v>
      </c>
      <c r="R397">
        <v>3</v>
      </c>
    </row>
    <row r="398" spans="8:18">
      <c r="H398" s="51">
        <v>44817</v>
      </c>
      <c r="I398" s="52" t="s">
        <v>383</v>
      </c>
      <c r="J398" s="52">
        <v>298.8</v>
      </c>
      <c r="K398" s="52">
        <v>3</v>
      </c>
      <c r="L398" s="52">
        <v>1</v>
      </c>
      <c r="O398" s="54" t="s">
        <v>910</v>
      </c>
      <c r="P398">
        <v>151.08</v>
      </c>
      <c r="Q398">
        <v>3</v>
      </c>
      <c r="R398">
        <v>2</v>
      </c>
    </row>
    <row r="399" spans="8:18">
      <c r="H399" s="51">
        <v>44817</v>
      </c>
      <c r="I399" s="52" t="s">
        <v>778</v>
      </c>
      <c r="J399" s="52">
        <v>269</v>
      </c>
      <c r="K399" s="52">
        <v>1</v>
      </c>
      <c r="L399" s="52">
        <v>1</v>
      </c>
      <c r="O399" s="54" t="s">
        <v>911</v>
      </c>
      <c r="P399">
        <v>149.2</v>
      </c>
      <c r="Q399">
        <v>9</v>
      </c>
      <c r="R399">
        <v>5</v>
      </c>
    </row>
    <row r="400" spans="8:18">
      <c r="H400" s="51">
        <v>44817</v>
      </c>
      <c r="I400" s="52" t="s">
        <v>776</v>
      </c>
      <c r="J400" s="52">
        <v>269</v>
      </c>
      <c r="K400" s="52">
        <v>1</v>
      </c>
      <c r="L400" s="52">
        <v>1</v>
      </c>
      <c r="O400" s="54" t="s">
        <v>912</v>
      </c>
      <c r="P400">
        <v>149</v>
      </c>
      <c r="Q400">
        <v>1</v>
      </c>
      <c r="R400">
        <v>1</v>
      </c>
    </row>
    <row r="401" spans="8:18">
      <c r="H401" s="51">
        <v>44817</v>
      </c>
      <c r="I401" s="52" t="s">
        <v>607</v>
      </c>
      <c r="J401" s="52">
        <v>264</v>
      </c>
      <c r="K401" s="52">
        <v>1</v>
      </c>
      <c r="L401" s="52">
        <v>1</v>
      </c>
      <c r="O401" s="54" t="s">
        <v>913</v>
      </c>
      <c r="P401">
        <v>149</v>
      </c>
      <c r="Q401">
        <v>1</v>
      </c>
      <c r="R401">
        <v>1</v>
      </c>
    </row>
    <row r="402" spans="8:18">
      <c r="H402" s="51">
        <v>44817</v>
      </c>
      <c r="I402" s="52" t="s">
        <v>722</v>
      </c>
      <c r="J402" s="52">
        <v>259</v>
      </c>
      <c r="K402" s="52">
        <v>1</v>
      </c>
      <c r="L402" s="52">
        <v>1</v>
      </c>
      <c r="O402" s="54" t="s">
        <v>729</v>
      </c>
      <c r="P402">
        <v>148.9</v>
      </c>
      <c r="Q402">
        <v>2</v>
      </c>
      <c r="R402">
        <v>1</v>
      </c>
    </row>
    <row r="403" spans="8:18">
      <c r="H403" s="51">
        <v>44817</v>
      </c>
      <c r="I403" s="52" t="s">
        <v>501</v>
      </c>
      <c r="J403" s="52">
        <v>249</v>
      </c>
      <c r="K403" s="52">
        <v>1</v>
      </c>
      <c r="L403" s="52">
        <v>1</v>
      </c>
      <c r="O403" s="54" t="s">
        <v>618</v>
      </c>
      <c r="P403">
        <v>148.7</v>
      </c>
      <c r="Q403">
        <v>6</v>
      </c>
      <c r="R403">
        <v>4</v>
      </c>
    </row>
    <row r="404" spans="8:18">
      <c r="H404" s="51">
        <v>44817</v>
      </c>
      <c r="I404" s="52" t="s">
        <v>846</v>
      </c>
      <c r="J404" s="52">
        <v>248</v>
      </c>
      <c r="K404" s="52">
        <v>1</v>
      </c>
      <c r="L404" s="52">
        <v>1</v>
      </c>
      <c r="O404" s="54" t="s">
        <v>914</v>
      </c>
      <c r="P404">
        <v>147.9</v>
      </c>
      <c r="Q404">
        <v>2</v>
      </c>
      <c r="R404">
        <v>1</v>
      </c>
    </row>
    <row r="405" spans="8:18">
      <c r="H405" s="51">
        <v>44817</v>
      </c>
      <c r="I405" s="52" t="s">
        <v>871</v>
      </c>
      <c r="J405" s="52">
        <v>239</v>
      </c>
      <c r="K405" s="52">
        <v>1</v>
      </c>
      <c r="L405" s="52">
        <v>1</v>
      </c>
      <c r="O405" s="54" t="s">
        <v>795</v>
      </c>
      <c r="P405">
        <v>147.8</v>
      </c>
      <c r="Q405">
        <v>3</v>
      </c>
      <c r="R405">
        <v>3</v>
      </c>
    </row>
    <row r="406" spans="8:18">
      <c r="H406" s="51">
        <v>44817</v>
      </c>
      <c r="I406" s="52" t="s">
        <v>403</v>
      </c>
      <c r="J406" s="52">
        <v>239</v>
      </c>
      <c r="K406" s="52">
        <v>1</v>
      </c>
      <c r="L406" s="52">
        <v>1</v>
      </c>
      <c r="O406" s="54" t="s">
        <v>915</v>
      </c>
      <c r="P406">
        <v>147</v>
      </c>
      <c r="Q406">
        <v>1</v>
      </c>
      <c r="R406">
        <v>1</v>
      </c>
    </row>
    <row r="407" spans="8:18">
      <c r="H407" s="51">
        <v>44817</v>
      </c>
      <c r="I407" s="52" t="s">
        <v>876</v>
      </c>
      <c r="J407" s="52">
        <v>238</v>
      </c>
      <c r="K407" s="52">
        <v>1</v>
      </c>
      <c r="L407" s="52">
        <v>1</v>
      </c>
      <c r="O407" s="54" t="s">
        <v>463</v>
      </c>
      <c r="P407">
        <v>138.9</v>
      </c>
      <c r="Q407">
        <v>2</v>
      </c>
      <c r="R407">
        <v>1</v>
      </c>
    </row>
    <row r="408" spans="8:18">
      <c r="H408" s="51">
        <v>44817</v>
      </c>
      <c r="I408" s="52" t="s">
        <v>603</v>
      </c>
      <c r="J408" s="52">
        <v>237</v>
      </c>
      <c r="K408" s="52">
        <v>1</v>
      </c>
      <c r="L408" s="52">
        <v>1</v>
      </c>
      <c r="O408" s="54" t="s">
        <v>916</v>
      </c>
      <c r="P408">
        <v>138.8</v>
      </c>
      <c r="Q408">
        <v>3</v>
      </c>
      <c r="R408">
        <v>1</v>
      </c>
    </row>
    <row r="409" spans="8:18">
      <c r="H409" s="51">
        <v>44817</v>
      </c>
      <c r="I409" s="52" t="s">
        <v>374</v>
      </c>
      <c r="J409" s="52">
        <v>237</v>
      </c>
      <c r="K409" s="52">
        <v>1</v>
      </c>
      <c r="L409" s="52">
        <v>1</v>
      </c>
      <c r="O409" s="54" t="s">
        <v>917</v>
      </c>
      <c r="P409">
        <v>138.8</v>
      </c>
      <c r="Q409">
        <v>5</v>
      </c>
      <c r="R409">
        <v>1</v>
      </c>
    </row>
    <row r="410" spans="8:18">
      <c r="H410" s="51">
        <v>44817</v>
      </c>
      <c r="I410" s="52" t="s">
        <v>375</v>
      </c>
      <c r="J410" s="52">
        <v>232</v>
      </c>
      <c r="K410" s="52">
        <v>1</v>
      </c>
      <c r="L410" s="52">
        <v>1</v>
      </c>
      <c r="O410" s="54" t="s">
        <v>653</v>
      </c>
      <c r="P410">
        <v>137.9</v>
      </c>
      <c r="Q410">
        <v>3</v>
      </c>
      <c r="R410">
        <v>2</v>
      </c>
    </row>
    <row r="411" spans="8:18">
      <c r="H411" s="51">
        <v>44817</v>
      </c>
      <c r="I411" s="52" t="s">
        <v>918</v>
      </c>
      <c r="J411" s="52">
        <v>85.8</v>
      </c>
      <c r="K411" s="52">
        <v>2</v>
      </c>
      <c r="L411" s="52">
        <v>1</v>
      </c>
      <c r="O411" s="54" t="s">
        <v>478</v>
      </c>
      <c r="P411">
        <v>136.6</v>
      </c>
      <c r="Q411">
        <v>4</v>
      </c>
      <c r="R411">
        <v>2</v>
      </c>
    </row>
    <row r="412" spans="8:18">
      <c r="H412" s="51">
        <v>44817</v>
      </c>
      <c r="I412" s="52" t="s">
        <v>405</v>
      </c>
      <c r="J412" s="52">
        <v>48.9</v>
      </c>
      <c r="K412" s="52">
        <v>1</v>
      </c>
      <c r="L412" s="52">
        <v>1</v>
      </c>
      <c r="O412" s="54" t="s">
        <v>863</v>
      </c>
      <c r="P412">
        <v>136.18</v>
      </c>
      <c r="Q412">
        <v>9</v>
      </c>
      <c r="R412">
        <v>7</v>
      </c>
    </row>
    <row r="413" spans="8:18">
      <c r="H413" s="51">
        <v>44817</v>
      </c>
      <c r="I413" s="52" t="s">
        <v>629</v>
      </c>
      <c r="J413" s="52">
        <v>47.9</v>
      </c>
      <c r="K413" s="52">
        <v>1</v>
      </c>
      <c r="L413" s="52">
        <v>1</v>
      </c>
      <c r="O413" s="54" t="s">
        <v>900</v>
      </c>
      <c r="P413">
        <v>135.4</v>
      </c>
      <c r="Q413">
        <v>4</v>
      </c>
      <c r="R413">
        <v>2</v>
      </c>
    </row>
    <row r="414" spans="8:18">
      <c r="H414" s="51">
        <v>44817</v>
      </c>
      <c r="I414" s="52" t="s">
        <v>919</v>
      </c>
      <c r="J414" s="52">
        <v>46.9</v>
      </c>
      <c r="K414" s="52">
        <v>1</v>
      </c>
      <c r="L414" s="52">
        <v>1</v>
      </c>
      <c r="O414" s="54" t="s">
        <v>920</v>
      </c>
      <c r="P414">
        <v>131.71</v>
      </c>
      <c r="Q414">
        <v>4</v>
      </c>
      <c r="R414">
        <v>3</v>
      </c>
    </row>
    <row r="415" spans="8:18">
      <c r="H415" s="51">
        <v>44817</v>
      </c>
      <c r="I415" s="52" t="s">
        <v>498</v>
      </c>
      <c r="J415" s="52">
        <v>38.9</v>
      </c>
      <c r="K415" s="52">
        <v>1</v>
      </c>
      <c r="L415" s="52">
        <v>1</v>
      </c>
      <c r="O415" s="54" t="s">
        <v>921</v>
      </c>
      <c r="P415">
        <v>131.4</v>
      </c>
      <c r="Q415">
        <v>1</v>
      </c>
      <c r="R415">
        <v>1</v>
      </c>
    </row>
    <row r="416" spans="8:18">
      <c r="H416" s="51">
        <v>44817</v>
      </c>
      <c r="I416" s="52" t="s">
        <v>922</v>
      </c>
      <c r="J416" s="52">
        <v>19.9</v>
      </c>
      <c r="K416" s="52">
        <v>1</v>
      </c>
      <c r="L416" s="52">
        <v>1</v>
      </c>
      <c r="O416" s="54" t="s">
        <v>923</v>
      </c>
      <c r="P416">
        <v>131.34</v>
      </c>
      <c r="Q416">
        <v>8</v>
      </c>
      <c r="R416">
        <v>2</v>
      </c>
    </row>
    <row r="417" spans="8:18">
      <c r="H417" s="16">
        <v>44804</v>
      </c>
      <c r="I417" s="17" t="s">
        <v>560</v>
      </c>
      <c r="J417" s="17">
        <v>593.64</v>
      </c>
      <c r="K417" s="17">
        <v>12</v>
      </c>
      <c r="L417" s="17">
        <v>1</v>
      </c>
      <c r="O417" s="54" t="s">
        <v>471</v>
      </c>
      <c r="P417">
        <v>130.8</v>
      </c>
      <c r="Q417">
        <v>5</v>
      </c>
      <c r="R417">
        <v>4</v>
      </c>
    </row>
    <row r="418" spans="8:18">
      <c r="H418" s="16">
        <v>44804</v>
      </c>
      <c r="I418" s="17" t="s">
        <v>536</v>
      </c>
      <c r="J418" s="17">
        <v>412.15</v>
      </c>
      <c r="K418" s="17">
        <v>7</v>
      </c>
      <c r="L418" s="17">
        <v>1</v>
      </c>
      <c r="O418" s="54" t="s">
        <v>924</v>
      </c>
      <c r="P418">
        <v>130.45</v>
      </c>
      <c r="Q418">
        <v>1</v>
      </c>
      <c r="R418">
        <v>1</v>
      </c>
    </row>
    <row r="419" spans="8:18">
      <c r="H419" s="16">
        <v>44804</v>
      </c>
      <c r="I419" s="17" t="s">
        <v>400</v>
      </c>
      <c r="J419" s="17">
        <v>403.05</v>
      </c>
      <c r="K419" s="17">
        <v>6</v>
      </c>
      <c r="L419" s="17">
        <v>1</v>
      </c>
      <c r="O419" s="54" t="s">
        <v>925</v>
      </c>
      <c r="P419">
        <v>129.8</v>
      </c>
      <c r="Q419">
        <v>6</v>
      </c>
      <c r="R419">
        <v>5</v>
      </c>
    </row>
    <row r="420" spans="8:18">
      <c r="H420" s="16">
        <v>44804</v>
      </c>
      <c r="I420" s="17" t="s">
        <v>718</v>
      </c>
      <c r="J420" s="17">
        <v>326.52</v>
      </c>
      <c r="K420" s="17">
        <v>6</v>
      </c>
      <c r="L420" s="17">
        <v>1</v>
      </c>
      <c r="O420" s="54" t="s">
        <v>926</v>
      </c>
      <c r="P420">
        <v>129.4</v>
      </c>
      <c r="Q420">
        <v>5</v>
      </c>
      <c r="R420">
        <v>1</v>
      </c>
    </row>
    <row r="421" spans="8:18">
      <c r="H421" s="16">
        <v>44804</v>
      </c>
      <c r="I421" s="17" t="s">
        <v>384</v>
      </c>
      <c r="J421" s="17">
        <v>293.2</v>
      </c>
      <c r="K421" s="17">
        <v>4</v>
      </c>
      <c r="L421" s="17">
        <v>1</v>
      </c>
      <c r="O421" s="54" t="s">
        <v>498</v>
      </c>
      <c r="P421">
        <v>127.8</v>
      </c>
      <c r="Q421">
        <v>3</v>
      </c>
      <c r="R421">
        <v>3</v>
      </c>
    </row>
    <row r="422" spans="8:18">
      <c r="H422" s="16">
        <v>44804</v>
      </c>
      <c r="I422" s="17" t="s">
        <v>643</v>
      </c>
      <c r="J422" s="17">
        <v>275.8</v>
      </c>
      <c r="K422" s="17">
        <v>5</v>
      </c>
      <c r="L422" s="17">
        <v>1</v>
      </c>
      <c r="O422" s="54" t="s">
        <v>927</v>
      </c>
      <c r="P422">
        <v>126.9</v>
      </c>
      <c r="Q422">
        <v>2</v>
      </c>
      <c r="R422">
        <v>2</v>
      </c>
    </row>
    <row r="423" spans="8:18">
      <c r="H423" s="16">
        <v>44804</v>
      </c>
      <c r="I423" s="17" t="s">
        <v>847</v>
      </c>
      <c r="J423" s="17">
        <v>247.1</v>
      </c>
      <c r="K423" s="17">
        <v>3</v>
      </c>
      <c r="L423" s="17">
        <v>1</v>
      </c>
      <c r="O423" s="54" t="s">
        <v>855</v>
      </c>
      <c r="P423">
        <v>125.5</v>
      </c>
      <c r="Q423">
        <v>6</v>
      </c>
      <c r="R423">
        <v>2</v>
      </c>
    </row>
    <row r="424" spans="8:18">
      <c r="H424" s="16">
        <v>44804</v>
      </c>
      <c r="I424" s="17" t="s">
        <v>382</v>
      </c>
      <c r="J424" s="17">
        <v>243.9</v>
      </c>
      <c r="K424" s="17">
        <v>2</v>
      </c>
      <c r="L424" s="17">
        <v>1</v>
      </c>
      <c r="O424" s="54" t="s">
        <v>928</v>
      </c>
      <c r="P424">
        <v>119.9</v>
      </c>
      <c r="Q424">
        <v>3</v>
      </c>
      <c r="R424">
        <v>1</v>
      </c>
    </row>
    <row r="425" spans="8:18">
      <c r="H425" s="16">
        <v>44804</v>
      </c>
      <c r="I425" s="17" t="s">
        <v>731</v>
      </c>
      <c r="J425" s="17">
        <v>233.96</v>
      </c>
      <c r="K425" s="17">
        <v>8</v>
      </c>
      <c r="L425" s="17">
        <v>1</v>
      </c>
      <c r="O425" s="54" t="s">
        <v>929</v>
      </c>
      <c r="P425">
        <v>118.9</v>
      </c>
      <c r="Q425">
        <v>2</v>
      </c>
      <c r="R425">
        <v>2</v>
      </c>
    </row>
    <row r="426" spans="8:18">
      <c r="H426" s="16">
        <v>44804</v>
      </c>
      <c r="I426" s="17" t="s">
        <v>404</v>
      </c>
      <c r="J426" s="17">
        <v>223.38</v>
      </c>
      <c r="K426" s="17">
        <v>6</v>
      </c>
      <c r="L426" s="17">
        <v>1</v>
      </c>
      <c r="O426" s="54" t="s">
        <v>930</v>
      </c>
      <c r="P426">
        <v>118.9</v>
      </c>
      <c r="Q426">
        <v>2</v>
      </c>
      <c r="R426">
        <v>1</v>
      </c>
    </row>
    <row r="427" spans="8:18">
      <c r="H427" s="16">
        <v>44804</v>
      </c>
      <c r="I427" s="17" t="s">
        <v>509</v>
      </c>
      <c r="J427" s="17">
        <v>216.05</v>
      </c>
      <c r="K427" s="17">
        <v>5</v>
      </c>
      <c r="L427" s="17">
        <v>1</v>
      </c>
      <c r="O427" s="54" t="s">
        <v>589</v>
      </c>
      <c r="P427">
        <v>118.9</v>
      </c>
      <c r="Q427">
        <v>2</v>
      </c>
      <c r="R427">
        <v>2</v>
      </c>
    </row>
    <row r="428" spans="8:18">
      <c r="H428" s="16">
        <v>44804</v>
      </c>
      <c r="I428" s="17" t="s">
        <v>472</v>
      </c>
      <c r="J428" s="17">
        <v>195.3</v>
      </c>
      <c r="K428" s="17">
        <v>2</v>
      </c>
      <c r="L428" s="17">
        <v>1</v>
      </c>
      <c r="O428" s="54" t="s">
        <v>931</v>
      </c>
      <c r="P428">
        <v>117.7</v>
      </c>
      <c r="Q428">
        <v>4</v>
      </c>
      <c r="R428">
        <v>2</v>
      </c>
    </row>
    <row r="429" spans="8:18">
      <c r="H429" s="16">
        <v>44804</v>
      </c>
      <c r="I429" s="17" t="s">
        <v>812</v>
      </c>
      <c r="J429" s="17">
        <v>164.9</v>
      </c>
      <c r="K429" s="17">
        <v>2</v>
      </c>
      <c r="L429" s="17">
        <v>1</v>
      </c>
      <c r="O429" s="54" t="s">
        <v>932</v>
      </c>
      <c r="P429">
        <v>115.8</v>
      </c>
      <c r="Q429">
        <v>3</v>
      </c>
      <c r="R429">
        <v>1</v>
      </c>
    </row>
    <row r="430" spans="8:18">
      <c r="H430" s="16">
        <v>44804</v>
      </c>
      <c r="I430" s="17" t="s">
        <v>456</v>
      </c>
      <c r="J430" s="17">
        <v>162.44</v>
      </c>
      <c r="K430" s="17">
        <v>8</v>
      </c>
      <c r="L430" s="17">
        <v>1</v>
      </c>
      <c r="O430" s="54" t="s">
        <v>933</v>
      </c>
      <c r="P430">
        <v>112.38</v>
      </c>
      <c r="Q430">
        <v>9</v>
      </c>
      <c r="R430">
        <v>2</v>
      </c>
    </row>
    <row r="431" spans="8:18">
      <c r="H431" s="16">
        <v>44804</v>
      </c>
      <c r="I431" s="17" t="s">
        <v>398</v>
      </c>
      <c r="J431" s="17">
        <v>137.48</v>
      </c>
      <c r="K431" s="17">
        <v>6</v>
      </c>
      <c r="L431" s="17">
        <v>1</v>
      </c>
      <c r="O431" s="54" t="s">
        <v>934</v>
      </c>
      <c r="P431">
        <v>109.6</v>
      </c>
      <c r="Q431">
        <v>4</v>
      </c>
      <c r="R431">
        <v>1</v>
      </c>
    </row>
    <row r="432" spans="8:18">
      <c r="H432" s="16">
        <v>44804</v>
      </c>
      <c r="I432" s="17" t="s">
        <v>590</v>
      </c>
      <c r="J432" s="17">
        <v>137.3</v>
      </c>
      <c r="K432" s="17">
        <v>3</v>
      </c>
      <c r="L432" s="17">
        <v>1</v>
      </c>
      <c r="O432" s="54" t="s">
        <v>935</v>
      </c>
      <c r="P432">
        <v>109</v>
      </c>
      <c r="Q432">
        <v>1</v>
      </c>
      <c r="R432">
        <v>1</v>
      </c>
    </row>
    <row r="433" spans="8:18">
      <c r="H433" s="16">
        <v>44804</v>
      </c>
      <c r="I433" s="17" t="s">
        <v>921</v>
      </c>
      <c r="J433" s="17">
        <v>131.4</v>
      </c>
      <c r="K433" s="17">
        <v>1</v>
      </c>
      <c r="L433" s="17">
        <v>1</v>
      </c>
      <c r="O433" s="54" t="s">
        <v>936</v>
      </c>
      <c r="P433">
        <v>108.9</v>
      </c>
      <c r="Q433">
        <v>2</v>
      </c>
      <c r="R433">
        <v>2</v>
      </c>
    </row>
    <row r="434" spans="8:18">
      <c r="H434" s="16">
        <v>44804</v>
      </c>
      <c r="I434" s="17" t="s">
        <v>924</v>
      </c>
      <c r="J434" s="17">
        <v>130.45</v>
      </c>
      <c r="K434" s="17">
        <v>1</v>
      </c>
      <c r="L434" s="17">
        <v>1</v>
      </c>
      <c r="O434" s="54" t="s">
        <v>813</v>
      </c>
      <c r="P434">
        <v>108.38</v>
      </c>
      <c r="Q434">
        <v>8</v>
      </c>
      <c r="R434">
        <v>4</v>
      </c>
    </row>
    <row r="435" spans="8:18">
      <c r="H435" s="16">
        <v>44804</v>
      </c>
      <c r="I435" s="17" t="s">
        <v>923</v>
      </c>
      <c r="J435" s="17">
        <v>130.34</v>
      </c>
      <c r="K435" s="17">
        <v>7</v>
      </c>
      <c r="L435" s="17">
        <v>1</v>
      </c>
      <c r="O435" s="54" t="s">
        <v>937</v>
      </c>
      <c r="P435">
        <v>107.9</v>
      </c>
      <c r="Q435">
        <v>3</v>
      </c>
      <c r="R435">
        <v>1</v>
      </c>
    </row>
    <row r="436" spans="8:18">
      <c r="H436" s="16">
        <v>44804</v>
      </c>
      <c r="I436" s="17" t="s">
        <v>624</v>
      </c>
      <c r="J436" s="17">
        <v>127.7</v>
      </c>
      <c r="K436" s="17">
        <v>4</v>
      </c>
      <c r="L436" s="17">
        <v>1</v>
      </c>
      <c r="O436" s="54" t="s">
        <v>938</v>
      </c>
      <c r="P436">
        <v>106.92</v>
      </c>
      <c r="Q436">
        <v>3</v>
      </c>
      <c r="R436">
        <v>2</v>
      </c>
    </row>
    <row r="437" spans="8:18">
      <c r="H437" s="16">
        <v>44804</v>
      </c>
      <c r="I437" s="17" t="s">
        <v>677</v>
      </c>
      <c r="J437" s="17">
        <v>126.56</v>
      </c>
      <c r="K437" s="17">
        <v>5</v>
      </c>
      <c r="L437" s="17">
        <v>1</v>
      </c>
      <c r="O437" s="54" t="s">
        <v>939</v>
      </c>
      <c r="P437">
        <v>103.9</v>
      </c>
      <c r="Q437">
        <v>3</v>
      </c>
      <c r="R437">
        <v>2</v>
      </c>
    </row>
    <row r="438" spans="8:18">
      <c r="H438" s="16">
        <v>44804</v>
      </c>
      <c r="I438" s="17" t="s">
        <v>515</v>
      </c>
      <c r="J438" s="17">
        <v>125.4</v>
      </c>
      <c r="K438" s="17">
        <v>1</v>
      </c>
      <c r="L438" s="17">
        <v>1</v>
      </c>
      <c r="O438" s="54" t="s">
        <v>940</v>
      </c>
      <c r="P438">
        <v>100</v>
      </c>
      <c r="Q438">
        <v>2</v>
      </c>
      <c r="R438">
        <v>1</v>
      </c>
    </row>
    <row r="439" spans="8:18">
      <c r="H439" s="16">
        <v>44804</v>
      </c>
      <c r="I439" s="17" t="s">
        <v>911</v>
      </c>
      <c r="J439" s="17">
        <v>78.6</v>
      </c>
      <c r="K439" s="17">
        <v>4</v>
      </c>
      <c r="L439" s="17">
        <v>1</v>
      </c>
      <c r="O439" s="54" t="s">
        <v>941</v>
      </c>
      <c r="P439">
        <v>99.8</v>
      </c>
      <c r="Q439">
        <v>2</v>
      </c>
      <c r="R439">
        <v>1</v>
      </c>
    </row>
    <row r="440" spans="8:18">
      <c r="H440" s="16">
        <v>44804</v>
      </c>
      <c r="I440" s="17" t="s">
        <v>462</v>
      </c>
      <c r="J440" s="17">
        <v>77.8</v>
      </c>
      <c r="K440" s="17">
        <v>2</v>
      </c>
      <c r="L440" s="17">
        <v>1</v>
      </c>
      <c r="O440" s="54" t="s">
        <v>942</v>
      </c>
      <c r="P440">
        <v>99</v>
      </c>
      <c r="Q440">
        <v>1</v>
      </c>
      <c r="R440">
        <v>1</v>
      </c>
    </row>
    <row r="441" spans="8:18">
      <c r="H441" s="16">
        <v>44804</v>
      </c>
      <c r="I441" s="17" t="s">
        <v>889</v>
      </c>
      <c r="J441" s="17">
        <v>77.56</v>
      </c>
      <c r="K441" s="17">
        <v>5</v>
      </c>
      <c r="L441" s="17">
        <v>1</v>
      </c>
      <c r="O441" s="54" t="s">
        <v>943</v>
      </c>
      <c r="P441">
        <v>99</v>
      </c>
      <c r="Q441">
        <v>1</v>
      </c>
      <c r="R441">
        <v>1</v>
      </c>
    </row>
    <row r="442" spans="8:18">
      <c r="H442" s="16">
        <v>44804</v>
      </c>
      <c r="I442" s="17" t="s">
        <v>720</v>
      </c>
      <c r="J442" s="17">
        <v>70.98</v>
      </c>
      <c r="K442" s="17">
        <v>3</v>
      </c>
      <c r="L442" s="17">
        <v>1</v>
      </c>
      <c r="O442" s="54" t="s">
        <v>473</v>
      </c>
      <c r="P442">
        <v>99</v>
      </c>
      <c r="Q442">
        <v>1</v>
      </c>
      <c r="R442">
        <v>1</v>
      </c>
    </row>
    <row r="443" spans="8:18">
      <c r="H443" s="16">
        <v>44804</v>
      </c>
      <c r="I443" s="17" t="s">
        <v>733</v>
      </c>
      <c r="J443" s="17">
        <v>66.9</v>
      </c>
      <c r="K443" s="17">
        <v>1</v>
      </c>
      <c r="L443" s="17">
        <v>1</v>
      </c>
      <c r="O443" s="54" t="s">
        <v>654</v>
      </c>
      <c r="P443">
        <v>99</v>
      </c>
      <c r="Q443">
        <v>1</v>
      </c>
      <c r="R443">
        <v>1</v>
      </c>
    </row>
    <row r="444" spans="8:18">
      <c r="H444" s="16">
        <v>44804</v>
      </c>
      <c r="I444" s="17" t="s">
        <v>518</v>
      </c>
      <c r="J444" s="17">
        <v>65.8</v>
      </c>
      <c r="K444" s="17">
        <v>2</v>
      </c>
      <c r="L444" s="17">
        <v>1</v>
      </c>
      <c r="O444" s="54" t="s">
        <v>791</v>
      </c>
      <c r="P444">
        <v>99</v>
      </c>
      <c r="Q444">
        <v>1</v>
      </c>
      <c r="R444">
        <v>1</v>
      </c>
    </row>
    <row r="445" spans="8:18">
      <c r="H445" s="16">
        <v>44804</v>
      </c>
      <c r="I445" s="17" t="s">
        <v>920</v>
      </c>
      <c r="J445" s="17">
        <v>58.9</v>
      </c>
      <c r="K445" s="17">
        <v>1</v>
      </c>
      <c r="L445" s="17">
        <v>1</v>
      </c>
      <c r="O445" s="54" t="s">
        <v>793</v>
      </c>
      <c r="P445">
        <v>99</v>
      </c>
      <c r="Q445">
        <v>1</v>
      </c>
      <c r="R445">
        <v>1</v>
      </c>
    </row>
    <row r="446" spans="8:18">
      <c r="H446" s="16">
        <v>44804</v>
      </c>
      <c r="I446" s="17" t="s">
        <v>545</v>
      </c>
      <c r="J446" s="17">
        <v>56.8</v>
      </c>
      <c r="K446" s="17">
        <v>2</v>
      </c>
      <c r="L446" s="17">
        <v>1</v>
      </c>
      <c r="O446" s="54" t="s">
        <v>732</v>
      </c>
      <c r="P446">
        <v>99</v>
      </c>
      <c r="Q446">
        <v>1</v>
      </c>
      <c r="R446">
        <v>1</v>
      </c>
    </row>
    <row r="447" spans="8:18">
      <c r="H447" s="16">
        <v>44804</v>
      </c>
      <c r="I447" s="17" t="s">
        <v>788</v>
      </c>
      <c r="J447" s="17">
        <v>56.78</v>
      </c>
      <c r="K447" s="17">
        <v>2</v>
      </c>
      <c r="L447" s="17">
        <v>1</v>
      </c>
      <c r="O447" s="54" t="s">
        <v>465</v>
      </c>
      <c r="P447">
        <v>99</v>
      </c>
      <c r="Q447">
        <v>1</v>
      </c>
      <c r="R447">
        <v>1</v>
      </c>
    </row>
    <row r="448" spans="8:18">
      <c r="H448" s="16">
        <v>44804</v>
      </c>
      <c r="I448" s="17" t="s">
        <v>910</v>
      </c>
      <c r="J448" s="17">
        <v>52.08</v>
      </c>
      <c r="K448" s="17">
        <v>2</v>
      </c>
      <c r="L448" s="17">
        <v>1</v>
      </c>
      <c r="O448" s="54" t="s">
        <v>477</v>
      </c>
      <c r="P448">
        <v>98.7</v>
      </c>
      <c r="Q448">
        <v>3</v>
      </c>
      <c r="R448">
        <v>1</v>
      </c>
    </row>
    <row r="449" spans="8:18">
      <c r="H449" s="16">
        <v>44804</v>
      </c>
      <c r="I449" s="17" t="s">
        <v>513</v>
      </c>
      <c r="J449" s="17">
        <v>51.1</v>
      </c>
      <c r="K449" s="17">
        <v>1</v>
      </c>
      <c r="L449" s="17">
        <v>1</v>
      </c>
      <c r="O449" s="54" t="s">
        <v>944</v>
      </c>
      <c r="P449">
        <v>97.7</v>
      </c>
      <c r="Q449">
        <v>4</v>
      </c>
      <c r="R449">
        <v>2</v>
      </c>
    </row>
    <row r="450" spans="8:18">
      <c r="H450" s="16">
        <v>44804</v>
      </c>
      <c r="I450" s="17" t="s">
        <v>547</v>
      </c>
      <c r="J450" s="17">
        <v>51.1</v>
      </c>
      <c r="K450" s="17">
        <v>1</v>
      </c>
      <c r="L450" s="17">
        <v>1</v>
      </c>
      <c r="O450" s="54" t="s">
        <v>945</v>
      </c>
      <c r="P450">
        <v>96</v>
      </c>
      <c r="Q450">
        <v>1</v>
      </c>
      <c r="R450">
        <v>1</v>
      </c>
    </row>
    <row r="451" spans="8:18">
      <c r="H451" s="16">
        <v>44804</v>
      </c>
      <c r="I451" s="17" t="s">
        <v>761</v>
      </c>
      <c r="J451" s="17">
        <v>48.1</v>
      </c>
      <c r="K451" s="17">
        <v>1</v>
      </c>
      <c r="L451" s="17">
        <v>1</v>
      </c>
      <c r="O451" s="54" t="s">
        <v>487</v>
      </c>
      <c r="P451">
        <v>95.7</v>
      </c>
      <c r="Q451">
        <v>3</v>
      </c>
      <c r="R451">
        <v>1</v>
      </c>
    </row>
    <row r="452" spans="8:18">
      <c r="H452" s="16">
        <v>44804</v>
      </c>
      <c r="I452" s="17" t="s">
        <v>933</v>
      </c>
      <c r="J452" s="17">
        <v>42.68</v>
      </c>
      <c r="K452" s="17">
        <v>5</v>
      </c>
      <c r="L452" s="17">
        <v>1</v>
      </c>
      <c r="O452" s="54" t="s">
        <v>946</v>
      </c>
      <c r="P452">
        <v>91.9</v>
      </c>
      <c r="Q452">
        <v>2</v>
      </c>
      <c r="R452">
        <v>1</v>
      </c>
    </row>
    <row r="453" spans="8:18">
      <c r="H453" s="16">
        <v>44804</v>
      </c>
      <c r="I453" s="17" t="s">
        <v>947</v>
      </c>
      <c r="J453" s="17">
        <v>39.9</v>
      </c>
      <c r="K453" s="17">
        <v>1</v>
      </c>
      <c r="L453" s="17">
        <v>1</v>
      </c>
      <c r="O453" s="54" t="s">
        <v>948</v>
      </c>
      <c r="P453">
        <v>90.7</v>
      </c>
      <c r="Q453">
        <v>5</v>
      </c>
      <c r="R453">
        <v>3</v>
      </c>
    </row>
    <row r="454" spans="8:18">
      <c r="H454" s="16">
        <v>44804</v>
      </c>
      <c r="I454" s="17" t="s">
        <v>485</v>
      </c>
      <c r="J454" s="17">
        <v>39.7</v>
      </c>
      <c r="K454" s="17">
        <v>2</v>
      </c>
      <c r="L454" s="17">
        <v>1</v>
      </c>
      <c r="O454" s="54" t="s">
        <v>949</v>
      </c>
      <c r="P454">
        <v>89.7</v>
      </c>
      <c r="Q454">
        <v>2</v>
      </c>
      <c r="R454">
        <v>1</v>
      </c>
    </row>
    <row r="455" spans="8:18">
      <c r="H455" s="16">
        <v>44804</v>
      </c>
      <c r="I455" s="17" t="s">
        <v>579</v>
      </c>
      <c r="J455" s="17">
        <v>38.9</v>
      </c>
      <c r="K455" s="17">
        <v>2</v>
      </c>
      <c r="L455" s="17">
        <v>1</v>
      </c>
      <c r="O455" s="54" t="s">
        <v>950</v>
      </c>
      <c r="P455">
        <v>89</v>
      </c>
      <c r="Q455">
        <v>1</v>
      </c>
      <c r="R455">
        <v>1</v>
      </c>
    </row>
    <row r="456" spans="8:18">
      <c r="H456" s="16">
        <v>44804</v>
      </c>
      <c r="I456" s="17" t="s">
        <v>951</v>
      </c>
      <c r="J456" s="17">
        <v>27.9</v>
      </c>
      <c r="K456" s="17">
        <v>1</v>
      </c>
      <c r="L456" s="17">
        <v>1</v>
      </c>
      <c r="O456" s="54" t="s">
        <v>952</v>
      </c>
      <c r="P456">
        <v>89</v>
      </c>
      <c r="Q456">
        <v>1</v>
      </c>
      <c r="R456">
        <v>1</v>
      </c>
    </row>
    <row r="457" spans="8:18">
      <c r="H457" s="16">
        <v>44804</v>
      </c>
      <c r="I457" s="17" t="s">
        <v>467</v>
      </c>
      <c r="J457" s="17">
        <v>21.88</v>
      </c>
      <c r="K457" s="17">
        <v>2</v>
      </c>
      <c r="L457" s="17">
        <v>1</v>
      </c>
      <c r="O457" s="54" t="s">
        <v>798</v>
      </c>
      <c r="P457">
        <v>88</v>
      </c>
      <c r="Q457">
        <v>1</v>
      </c>
      <c r="R457">
        <v>1</v>
      </c>
    </row>
    <row r="458" spans="8:18">
      <c r="H458" s="16">
        <v>44804</v>
      </c>
      <c r="I458" s="17" t="s">
        <v>953</v>
      </c>
      <c r="J458" s="17">
        <v>19.9</v>
      </c>
      <c r="K458" s="17">
        <v>1</v>
      </c>
      <c r="L458" s="17">
        <v>1</v>
      </c>
      <c r="O458" s="54" t="s">
        <v>670</v>
      </c>
      <c r="P458">
        <v>87.7</v>
      </c>
      <c r="Q458">
        <v>4</v>
      </c>
      <c r="R458">
        <v>4</v>
      </c>
    </row>
    <row r="459" spans="8:18">
      <c r="H459" s="16">
        <v>44804</v>
      </c>
      <c r="I459" s="17" t="s">
        <v>375</v>
      </c>
      <c r="J459" s="17">
        <v>19.9</v>
      </c>
      <c r="K459" s="17">
        <v>1</v>
      </c>
      <c r="L459" s="17">
        <v>1</v>
      </c>
      <c r="O459" s="54" t="s">
        <v>954</v>
      </c>
      <c r="P459">
        <v>87</v>
      </c>
      <c r="Q459">
        <v>1</v>
      </c>
      <c r="R459">
        <v>1</v>
      </c>
    </row>
    <row r="460" spans="8:18">
      <c r="H460" s="16">
        <v>44804</v>
      </c>
      <c r="I460" s="17" t="s">
        <v>789</v>
      </c>
      <c r="J460" s="17">
        <v>11.88</v>
      </c>
      <c r="K460" s="17">
        <v>2</v>
      </c>
      <c r="L460" s="17">
        <v>1</v>
      </c>
      <c r="O460" s="54" t="s">
        <v>955</v>
      </c>
      <c r="P460">
        <v>86.6</v>
      </c>
      <c r="Q460">
        <v>4</v>
      </c>
      <c r="R460">
        <v>3</v>
      </c>
    </row>
    <row r="461" spans="8:18">
      <c r="H461" s="16">
        <v>44804</v>
      </c>
      <c r="I461" s="17" t="s">
        <v>956</v>
      </c>
      <c r="J461" s="17">
        <v>10.9</v>
      </c>
      <c r="K461" s="17">
        <v>2</v>
      </c>
      <c r="L461" s="17">
        <v>1</v>
      </c>
      <c r="O461" s="54" t="s">
        <v>957</v>
      </c>
      <c r="P461">
        <v>85.9</v>
      </c>
      <c r="Q461">
        <v>3</v>
      </c>
      <c r="R461">
        <v>2</v>
      </c>
    </row>
    <row r="462" spans="8:18">
      <c r="H462" s="16">
        <v>44804</v>
      </c>
      <c r="I462" s="17" t="s">
        <v>480</v>
      </c>
      <c r="J462" s="17">
        <v>10.9</v>
      </c>
      <c r="K462" s="17">
        <v>2</v>
      </c>
      <c r="L462" s="17">
        <v>1</v>
      </c>
      <c r="O462" s="54" t="s">
        <v>918</v>
      </c>
      <c r="P462">
        <v>85.8</v>
      </c>
      <c r="Q462">
        <v>2</v>
      </c>
      <c r="R462">
        <v>1</v>
      </c>
    </row>
    <row r="463" spans="8:18">
      <c r="H463" s="16">
        <v>44804</v>
      </c>
      <c r="I463" s="17" t="s">
        <v>958</v>
      </c>
      <c r="J463" s="17">
        <v>9.9</v>
      </c>
      <c r="K463" s="17">
        <v>1</v>
      </c>
      <c r="L463" s="17">
        <v>1</v>
      </c>
      <c r="O463" s="54" t="s">
        <v>741</v>
      </c>
      <c r="P463">
        <v>84.7</v>
      </c>
      <c r="Q463">
        <v>4</v>
      </c>
      <c r="R463">
        <v>3</v>
      </c>
    </row>
    <row r="464" spans="8:18">
      <c r="H464" s="16">
        <v>44804</v>
      </c>
      <c r="I464" s="17" t="s">
        <v>959</v>
      </c>
      <c r="J464" s="17">
        <v>9.9</v>
      </c>
      <c r="K464" s="17">
        <v>1</v>
      </c>
      <c r="L464" s="17">
        <v>1</v>
      </c>
      <c r="O464" s="54" t="s">
        <v>960</v>
      </c>
      <c r="P464">
        <v>82</v>
      </c>
      <c r="Q464">
        <v>1</v>
      </c>
      <c r="R464">
        <v>1</v>
      </c>
    </row>
    <row r="465" spans="8:18">
      <c r="H465" s="16">
        <v>44804</v>
      </c>
      <c r="I465" s="17" t="s">
        <v>961</v>
      </c>
      <c r="J465" s="17">
        <v>8.8</v>
      </c>
      <c r="K465" s="17">
        <v>1</v>
      </c>
      <c r="L465" s="17">
        <v>1</v>
      </c>
      <c r="O465" s="54" t="s">
        <v>962</v>
      </c>
      <c r="P465">
        <v>82</v>
      </c>
      <c r="Q465">
        <v>1</v>
      </c>
      <c r="R465">
        <v>1</v>
      </c>
    </row>
    <row r="466" spans="8:18">
      <c r="H466" s="16">
        <v>44804</v>
      </c>
      <c r="I466" s="17" t="s">
        <v>963</v>
      </c>
      <c r="J466" s="17">
        <v>8.8</v>
      </c>
      <c r="K466" s="17">
        <v>1</v>
      </c>
      <c r="L466" s="17">
        <v>1</v>
      </c>
      <c r="O466" s="54" t="s">
        <v>964</v>
      </c>
      <c r="P466">
        <v>82</v>
      </c>
      <c r="Q466">
        <v>2</v>
      </c>
      <c r="R466">
        <v>2</v>
      </c>
    </row>
    <row r="467" spans="8:18">
      <c r="H467" s="16">
        <v>44804</v>
      </c>
      <c r="I467" s="17" t="s">
        <v>403</v>
      </c>
      <c r="J467" s="17">
        <v>8.8</v>
      </c>
      <c r="K467" s="17">
        <v>1</v>
      </c>
      <c r="L467" s="17">
        <v>1</v>
      </c>
      <c r="O467" s="54" t="s">
        <v>666</v>
      </c>
      <c r="P467">
        <v>80.8</v>
      </c>
      <c r="Q467">
        <v>3</v>
      </c>
      <c r="R467">
        <v>3</v>
      </c>
    </row>
    <row r="468" spans="8:18">
      <c r="H468" s="16">
        <v>44804</v>
      </c>
      <c r="I468" s="17" t="s">
        <v>938</v>
      </c>
      <c r="J468" s="17">
        <v>7.92</v>
      </c>
      <c r="K468" s="17">
        <v>2</v>
      </c>
      <c r="L468" s="17">
        <v>1</v>
      </c>
      <c r="O468" s="54" t="s">
        <v>804</v>
      </c>
      <c r="P468">
        <v>79.7</v>
      </c>
      <c r="Q468">
        <v>3</v>
      </c>
      <c r="R468">
        <v>3</v>
      </c>
    </row>
    <row r="469" spans="8:18">
      <c r="H469" s="16">
        <v>44804</v>
      </c>
      <c r="I469" s="17" t="s">
        <v>965</v>
      </c>
      <c r="J469" s="17">
        <v>1.98</v>
      </c>
      <c r="K469" s="17">
        <v>1</v>
      </c>
      <c r="L469" s="17">
        <v>1</v>
      </c>
      <c r="O469" s="54" t="s">
        <v>544</v>
      </c>
      <c r="P469">
        <v>79.7</v>
      </c>
      <c r="Q469">
        <v>3</v>
      </c>
      <c r="R469">
        <v>2</v>
      </c>
    </row>
    <row r="470" spans="8:18">
      <c r="H470" s="16">
        <v>44804</v>
      </c>
      <c r="I470" s="17" t="s">
        <v>966</v>
      </c>
      <c r="J470" s="17">
        <v>1.98</v>
      </c>
      <c r="K470" s="17">
        <v>1</v>
      </c>
      <c r="L470" s="17">
        <v>1</v>
      </c>
      <c r="O470" s="54" t="s">
        <v>967</v>
      </c>
      <c r="P470">
        <v>79</v>
      </c>
      <c r="Q470">
        <v>1</v>
      </c>
      <c r="R470">
        <v>1</v>
      </c>
    </row>
    <row r="471" spans="8:18">
      <c r="H471" s="16">
        <v>44804</v>
      </c>
      <c r="I471" s="17" t="s">
        <v>542</v>
      </c>
      <c r="J471" s="17">
        <v>1.98</v>
      </c>
      <c r="K471" s="17">
        <v>1</v>
      </c>
      <c r="L471" s="17">
        <v>1</v>
      </c>
      <c r="O471" s="54" t="s">
        <v>968</v>
      </c>
      <c r="P471">
        <v>78.8</v>
      </c>
      <c r="Q471">
        <v>4</v>
      </c>
      <c r="R471">
        <v>3</v>
      </c>
    </row>
    <row r="472" spans="8:18">
      <c r="H472" s="16">
        <v>44804</v>
      </c>
      <c r="I472" s="17" t="s">
        <v>707</v>
      </c>
      <c r="J472" s="17">
        <v>1.98</v>
      </c>
      <c r="K472" s="17">
        <v>1</v>
      </c>
      <c r="L472" s="17">
        <v>1</v>
      </c>
      <c r="O472" s="54" t="s">
        <v>492</v>
      </c>
      <c r="P472">
        <v>77.8</v>
      </c>
      <c r="Q472">
        <v>2</v>
      </c>
      <c r="R472">
        <v>1</v>
      </c>
    </row>
    <row r="473" spans="8:18">
      <c r="H473" s="16">
        <v>44804</v>
      </c>
      <c r="I473" s="17" t="s">
        <v>514</v>
      </c>
      <c r="J473" s="17">
        <v>1.98</v>
      </c>
      <c r="K473" s="17">
        <v>1</v>
      </c>
      <c r="L473" s="17">
        <v>1</v>
      </c>
      <c r="O473" s="54" t="s">
        <v>969</v>
      </c>
      <c r="P473">
        <v>76.8</v>
      </c>
      <c r="Q473">
        <v>2</v>
      </c>
      <c r="R473">
        <v>1</v>
      </c>
    </row>
    <row r="474" spans="8:18">
      <c r="H474" s="16">
        <v>44804</v>
      </c>
      <c r="I474" s="17" t="s">
        <v>396</v>
      </c>
      <c r="J474" s="17">
        <v>1.98</v>
      </c>
      <c r="K474" s="17">
        <v>1</v>
      </c>
      <c r="L474" s="17">
        <v>1</v>
      </c>
      <c r="O474" s="54" t="s">
        <v>659</v>
      </c>
      <c r="P474">
        <v>76.8</v>
      </c>
      <c r="Q474">
        <v>2</v>
      </c>
      <c r="R474">
        <v>1</v>
      </c>
    </row>
    <row r="475" spans="8:18">
      <c r="H475" s="16">
        <v>44804</v>
      </c>
      <c r="I475" s="17" t="s">
        <v>474</v>
      </c>
      <c r="J475" s="17">
        <v>1.98</v>
      </c>
      <c r="K475" s="17">
        <v>1</v>
      </c>
      <c r="L475" s="17">
        <v>1</v>
      </c>
      <c r="O475" s="54" t="s">
        <v>496</v>
      </c>
      <c r="P475">
        <v>76.7</v>
      </c>
      <c r="Q475">
        <v>3</v>
      </c>
      <c r="R475">
        <v>1</v>
      </c>
    </row>
    <row r="476" spans="8:18">
      <c r="H476" s="16">
        <v>44804</v>
      </c>
      <c r="I476" s="17" t="s">
        <v>970</v>
      </c>
      <c r="J476" s="17">
        <v>1</v>
      </c>
      <c r="K476" s="17">
        <v>1</v>
      </c>
      <c r="L476" s="17">
        <v>1</v>
      </c>
      <c r="O476" s="54" t="s">
        <v>739</v>
      </c>
      <c r="P476">
        <v>76.7</v>
      </c>
      <c r="Q476">
        <v>3</v>
      </c>
      <c r="R476">
        <v>2</v>
      </c>
    </row>
    <row r="477" spans="8:18">
      <c r="H477" s="16">
        <v>44804</v>
      </c>
      <c r="I477" s="17" t="s">
        <v>971</v>
      </c>
      <c r="J477" s="17">
        <v>1</v>
      </c>
      <c r="K477" s="17">
        <v>1</v>
      </c>
      <c r="L477" s="17">
        <v>1</v>
      </c>
      <c r="O477" s="54" t="s">
        <v>972</v>
      </c>
      <c r="P477">
        <v>73.8</v>
      </c>
      <c r="Q477">
        <v>2</v>
      </c>
      <c r="R477">
        <v>1</v>
      </c>
    </row>
    <row r="478" spans="8:18">
      <c r="H478" s="16">
        <v>44804</v>
      </c>
      <c r="I478" s="17" t="s">
        <v>973</v>
      </c>
      <c r="J478" s="17">
        <v>1</v>
      </c>
      <c r="K478" s="17">
        <v>1</v>
      </c>
      <c r="L478" s="17">
        <v>1</v>
      </c>
      <c r="O478" s="54" t="s">
        <v>565</v>
      </c>
      <c r="P478">
        <v>73.8</v>
      </c>
      <c r="Q478">
        <v>2</v>
      </c>
      <c r="R478">
        <v>2</v>
      </c>
    </row>
    <row r="479" spans="8:18">
      <c r="H479" s="16">
        <v>44804</v>
      </c>
      <c r="I479" s="17" t="s">
        <v>974</v>
      </c>
      <c r="J479" s="17">
        <v>1</v>
      </c>
      <c r="K479" s="17">
        <v>1</v>
      </c>
      <c r="L479" s="17">
        <v>1</v>
      </c>
      <c r="O479" s="54" t="s">
        <v>975</v>
      </c>
      <c r="P479">
        <v>73</v>
      </c>
      <c r="Q479">
        <v>1</v>
      </c>
      <c r="R479">
        <v>1</v>
      </c>
    </row>
    <row r="480" spans="8:18">
      <c r="H480" s="16">
        <v>44804</v>
      </c>
      <c r="I480" s="17" t="s">
        <v>976</v>
      </c>
      <c r="J480" s="17">
        <v>1</v>
      </c>
      <c r="K480" s="17">
        <v>1</v>
      </c>
      <c r="L480" s="17">
        <v>1</v>
      </c>
      <c r="O480" s="54" t="s">
        <v>977</v>
      </c>
      <c r="P480">
        <v>69.7</v>
      </c>
      <c r="Q480">
        <v>3</v>
      </c>
      <c r="R480">
        <v>1</v>
      </c>
    </row>
    <row r="481" spans="8:18">
      <c r="H481" s="16">
        <v>44804</v>
      </c>
      <c r="I481" s="17" t="s">
        <v>756</v>
      </c>
      <c r="J481" s="17">
        <v>1</v>
      </c>
      <c r="K481" s="17">
        <v>1</v>
      </c>
      <c r="L481" s="17">
        <v>1</v>
      </c>
      <c r="O481" s="54" t="s">
        <v>502</v>
      </c>
      <c r="P481">
        <v>69.7</v>
      </c>
      <c r="Q481">
        <v>3</v>
      </c>
      <c r="R481">
        <v>2</v>
      </c>
    </row>
    <row r="482" spans="8:18">
      <c r="H482" s="16">
        <v>44804</v>
      </c>
      <c r="I482" s="17" t="s">
        <v>563</v>
      </c>
      <c r="J482" s="17">
        <v>1</v>
      </c>
      <c r="K482" s="17">
        <v>1</v>
      </c>
      <c r="L482" s="17">
        <v>1</v>
      </c>
      <c r="O482" s="54" t="s">
        <v>978</v>
      </c>
      <c r="P482">
        <v>69.6</v>
      </c>
      <c r="Q482">
        <v>3</v>
      </c>
      <c r="R482">
        <v>1</v>
      </c>
    </row>
    <row r="483" spans="8:18">
      <c r="H483" s="16">
        <v>44804</v>
      </c>
      <c r="I483" s="17" t="s">
        <v>808</v>
      </c>
      <c r="J483" s="17">
        <v>1</v>
      </c>
      <c r="K483" s="17">
        <v>1</v>
      </c>
      <c r="L483" s="17">
        <v>1</v>
      </c>
      <c r="O483" s="54" t="s">
        <v>551</v>
      </c>
      <c r="P483">
        <v>68.7</v>
      </c>
      <c r="Q483">
        <v>3</v>
      </c>
      <c r="R483">
        <v>3</v>
      </c>
    </row>
    <row r="484" spans="8:18">
      <c r="H484" s="16">
        <v>44804</v>
      </c>
      <c r="I484" s="17" t="s">
        <v>549</v>
      </c>
      <c r="J484" s="17">
        <v>1</v>
      </c>
      <c r="K484" s="17">
        <v>1</v>
      </c>
      <c r="L484" s="17">
        <v>1</v>
      </c>
      <c r="O484" s="54" t="s">
        <v>979</v>
      </c>
      <c r="P484">
        <v>67.7</v>
      </c>
      <c r="Q484">
        <v>4</v>
      </c>
      <c r="R484">
        <v>1</v>
      </c>
    </row>
    <row r="485" spans="8:18">
      <c r="H485" s="16">
        <v>44804</v>
      </c>
      <c r="I485" s="17" t="s">
        <v>378</v>
      </c>
      <c r="J485" s="17">
        <v>1</v>
      </c>
      <c r="K485" s="17">
        <v>1</v>
      </c>
      <c r="L485" s="17">
        <v>1</v>
      </c>
      <c r="O485" s="54" t="s">
        <v>980</v>
      </c>
      <c r="P485">
        <v>65.9</v>
      </c>
      <c r="Q485">
        <v>2</v>
      </c>
      <c r="R485">
        <v>2</v>
      </c>
    </row>
    <row r="486" spans="8:18">
      <c r="H486" s="16">
        <v>44804</v>
      </c>
      <c r="I486" s="17" t="s">
        <v>397</v>
      </c>
      <c r="J486" s="17">
        <v>1</v>
      </c>
      <c r="K486" s="17">
        <v>1</v>
      </c>
      <c r="L486" s="17">
        <v>1</v>
      </c>
      <c r="O486" s="54" t="s">
        <v>981</v>
      </c>
      <c r="P486">
        <v>61.7</v>
      </c>
      <c r="Q486">
        <v>5</v>
      </c>
      <c r="R486">
        <v>4</v>
      </c>
    </row>
    <row r="487" spans="8:18">
      <c r="H487" s="16">
        <v>44804</v>
      </c>
      <c r="I487" s="17" t="s">
        <v>982</v>
      </c>
      <c r="J487" s="17">
        <v>1</v>
      </c>
      <c r="K487" s="17">
        <v>1</v>
      </c>
      <c r="L487" s="17">
        <v>1</v>
      </c>
      <c r="O487" s="54" t="s">
        <v>983</v>
      </c>
      <c r="P487">
        <v>60.8</v>
      </c>
      <c r="Q487">
        <v>3</v>
      </c>
      <c r="R487">
        <v>1</v>
      </c>
    </row>
    <row r="488" spans="8:18">
      <c r="H488" s="16">
        <v>44804</v>
      </c>
      <c r="I488" s="17" t="s">
        <v>741</v>
      </c>
      <c r="J488" s="17">
        <v>1</v>
      </c>
      <c r="K488" s="17">
        <v>1</v>
      </c>
      <c r="L488" s="17">
        <v>1</v>
      </c>
      <c r="O488" s="54" t="s">
        <v>984</v>
      </c>
      <c r="P488">
        <v>59.8</v>
      </c>
      <c r="Q488">
        <v>2</v>
      </c>
      <c r="R488">
        <v>1</v>
      </c>
    </row>
    <row r="489" spans="8:18">
      <c r="H489" s="16">
        <v>44804</v>
      </c>
      <c r="I489" s="17" t="s">
        <v>985</v>
      </c>
      <c r="J489" s="17">
        <v>1</v>
      </c>
      <c r="K489" s="17">
        <v>1</v>
      </c>
      <c r="L489" s="17">
        <v>1</v>
      </c>
      <c r="O489" s="54" t="s">
        <v>986</v>
      </c>
      <c r="P489">
        <v>59.8</v>
      </c>
      <c r="Q489">
        <v>2</v>
      </c>
      <c r="R489">
        <v>1</v>
      </c>
    </row>
    <row r="490" spans="8:18">
      <c r="H490" s="16">
        <v>44802</v>
      </c>
      <c r="I490" s="17" t="s">
        <v>542</v>
      </c>
      <c r="J490" s="17">
        <v>606</v>
      </c>
      <c r="K490" s="17">
        <v>4</v>
      </c>
      <c r="L490" s="17">
        <v>1</v>
      </c>
      <c r="O490" s="54" t="s">
        <v>672</v>
      </c>
      <c r="P490">
        <v>59.8</v>
      </c>
      <c r="Q490">
        <v>2</v>
      </c>
      <c r="R490">
        <v>2</v>
      </c>
    </row>
    <row r="491" spans="8:18">
      <c r="H491" s="16">
        <v>44802</v>
      </c>
      <c r="I491" s="17" t="s">
        <v>378</v>
      </c>
      <c r="J491" s="17">
        <v>436</v>
      </c>
      <c r="K491" s="17">
        <v>4</v>
      </c>
      <c r="L491" s="17">
        <v>1</v>
      </c>
      <c r="O491" s="54" t="s">
        <v>800</v>
      </c>
      <c r="P491">
        <v>59.8</v>
      </c>
      <c r="Q491">
        <v>2</v>
      </c>
      <c r="R491">
        <v>1</v>
      </c>
    </row>
    <row r="492" spans="8:18">
      <c r="H492" s="16">
        <v>44802</v>
      </c>
      <c r="I492" s="17" t="s">
        <v>612</v>
      </c>
      <c r="J492" s="17">
        <v>423</v>
      </c>
      <c r="K492" s="17">
        <v>3</v>
      </c>
      <c r="L492" s="17">
        <v>1</v>
      </c>
      <c r="O492" s="54" t="s">
        <v>661</v>
      </c>
      <c r="P492">
        <v>59.8</v>
      </c>
      <c r="Q492">
        <v>2</v>
      </c>
      <c r="R492">
        <v>1</v>
      </c>
    </row>
    <row r="493" spans="8:18">
      <c r="H493" s="16">
        <v>44802</v>
      </c>
      <c r="I493" s="17" t="s">
        <v>486</v>
      </c>
      <c r="J493" s="17">
        <v>407.9</v>
      </c>
      <c r="K493" s="17">
        <v>3</v>
      </c>
      <c r="L493" s="17">
        <v>1</v>
      </c>
      <c r="O493" s="54" t="s">
        <v>500</v>
      </c>
      <c r="P493">
        <v>59.8</v>
      </c>
      <c r="Q493">
        <v>2</v>
      </c>
      <c r="R493">
        <v>1</v>
      </c>
    </row>
    <row r="494" spans="8:18">
      <c r="H494" s="16">
        <v>44802</v>
      </c>
      <c r="I494" s="17" t="s">
        <v>676</v>
      </c>
      <c r="J494" s="17">
        <v>357.9</v>
      </c>
      <c r="K494" s="17">
        <v>2</v>
      </c>
      <c r="L494" s="17">
        <v>1</v>
      </c>
      <c r="O494" s="54" t="s">
        <v>508</v>
      </c>
      <c r="P494">
        <v>59.8</v>
      </c>
      <c r="Q494">
        <v>2</v>
      </c>
      <c r="R494">
        <v>1</v>
      </c>
    </row>
    <row r="495" spans="8:18">
      <c r="H495" s="16">
        <v>44802</v>
      </c>
      <c r="I495" s="17" t="s">
        <v>691</v>
      </c>
      <c r="J495" s="17">
        <v>340</v>
      </c>
      <c r="K495" s="17">
        <v>2</v>
      </c>
      <c r="L495" s="17">
        <v>1</v>
      </c>
      <c r="O495" s="54" t="s">
        <v>533</v>
      </c>
      <c r="P495">
        <v>59.8</v>
      </c>
      <c r="Q495">
        <v>2</v>
      </c>
      <c r="R495">
        <v>2</v>
      </c>
    </row>
    <row r="496" spans="8:18">
      <c r="H496" s="16">
        <v>44802</v>
      </c>
      <c r="I496" s="17" t="s">
        <v>749</v>
      </c>
      <c r="J496" s="17">
        <v>288.9</v>
      </c>
      <c r="K496" s="17">
        <v>2</v>
      </c>
      <c r="L496" s="17">
        <v>1</v>
      </c>
      <c r="O496" s="54" t="s">
        <v>504</v>
      </c>
      <c r="P496">
        <v>59.8</v>
      </c>
      <c r="Q496">
        <v>2</v>
      </c>
      <c r="R496">
        <v>1</v>
      </c>
    </row>
    <row r="497" spans="8:18">
      <c r="H497" s="16">
        <v>44802</v>
      </c>
      <c r="I497" s="17" t="s">
        <v>809</v>
      </c>
      <c r="J497" s="17">
        <v>258.9</v>
      </c>
      <c r="K497" s="17">
        <v>2</v>
      </c>
      <c r="L497" s="17">
        <v>1</v>
      </c>
      <c r="O497" s="54" t="s">
        <v>613</v>
      </c>
      <c r="P497">
        <v>59.8</v>
      </c>
      <c r="Q497">
        <v>2</v>
      </c>
      <c r="R497">
        <v>2</v>
      </c>
    </row>
    <row r="498" spans="8:18">
      <c r="H498" s="16">
        <v>44802</v>
      </c>
      <c r="I498" s="17" t="s">
        <v>782</v>
      </c>
      <c r="J498" s="17">
        <v>249</v>
      </c>
      <c r="K498" s="17">
        <v>1</v>
      </c>
      <c r="L498" s="17">
        <v>1</v>
      </c>
      <c r="O498" s="54" t="s">
        <v>510</v>
      </c>
      <c r="P498">
        <v>59.8</v>
      </c>
      <c r="Q498">
        <v>2</v>
      </c>
      <c r="R498">
        <v>1</v>
      </c>
    </row>
    <row r="499" spans="8:18">
      <c r="H499" s="16">
        <v>44802</v>
      </c>
      <c r="I499" s="17" t="s">
        <v>818</v>
      </c>
      <c r="J499" s="17">
        <v>249</v>
      </c>
      <c r="K499" s="17">
        <v>1</v>
      </c>
      <c r="L499" s="17">
        <v>1</v>
      </c>
      <c r="O499" s="54" t="s">
        <v>506</v>
      </c>
      <c r="P499">
        <v>59.8</v>
      </c>
      <c r="Q499">
        <v>2</v>
      </c>
      <c r="R499">
        <v>1</v>
      </c>
    </row>
    <row r="500" spans="8:18">
      <c r="H500" s="16">
        <v>44802</v>
      </c>
      <c r="I500" s="17" t="s">
        <v>499</v>
      </c>
      <c r="J500" s="17">
        <v>249</v>
      </c>
      <c r="K500" s="17">
        <v>1</v>
      </c>
      <c r="L500" s="17">
        <v>1</v>
      </c>
      <c r="O500" s="54" t="s">
        <v>674</v>
      </c>
      <c r="P500">
        <v>59.8</v>
      </c>
      <c r="Q500">
        <v>2</v>
      </c>
      <c r="R500">
        <v>2</v>
      </c>
    </row>
    <row r="501" spans="8:18">
      <c r="H501" s="16">
        <v>44802</v>
      </c>
      <c r="I501" s="17" t="s">
        <v>807</v>
      </c>
      <c r="J501" s="17">
        <v>249</v>
      </c>
      <c r="K501" s="17">
        <v>1</v>
      </c>
      <c r="L501" s="17">
        <v>1</v>
      </c>
      <c r="O501" s="54" t="s">
        <v>737</v>
      </c>
      <c r="P501">
        <v>59.8</v>
      </c>
      <c r="Q501">
        <v>2</v>
      </c>
      <c r="R501">
        <v>1</v>
      </c>
    </row>
    <row r="502" spans="8:18">
      <c r="H502" s="16">
        <v>44802</v>
      </c>
      <c r="I502" s="17" t="s">
        <v>845</v>
      </c>
      <c r="J502" s="17">
        <v>248</v>
      </c>
      <c r="K502" s="17">
        <v>1</v>
      </c>
      <c r="L502" s="17">
        <v>1</v>
      </c>
      <c r="O502" s="54" t="s">
        <v>511</v>
      </c>
      <c r="P502">
        <v>58.8</v>
      </c>
      <c r="Q502">
        <v>2</v>
      </c>
      <c r="R502">
        <v>1</v>
      </c>
    </row>
    <row r="503" spans="8:18">
      <c r="H503" s="16">
        <v>44802</v>
      </c>
      <c r="I503" s="17" t="s">
        <v>590</v>
      </c>
      <c r="J503" s="17">
        <v>245.51</v>
      </c>
      <c r="K503" s="17">
        <v>1</v>
      </c>
      <c r="L503" s="17">
        <v>1</v>
      </c>
      <c r="O503" s="54" t="s">
        <v>987</v>
      </c>
      <c r="P503">
        <v>57.8</v>
      </c>
      <c r="Q503">
        <v>2</v>
      </c>
      <c r="R503">
        <v>1</v>
      </c>
    </row>
    <row r="504" spans="8:18">
      <c r="H504" s="16">
        <v>44802</v>
      </c>
      <c r="I504" s="17" t="s">
        <v>375</v>
      </c>
      <c r="J504" s="17">
        <v>218.12</v>
      </c>
      <c r="K504" s="17">
        <v>1</v>
      </c>
      <c r="L504" s="17">
        <v>1</v>
      </c>
      <c r="O504" s="54" t="s">
        <v>692</v>
      </c>
      <c r="P504">
        <v>57.8</v>
      </c>
      <c r="Q504">
        <v>2</v>
      </c>
      <c r="R504">
        <v>2</v>
      </c>
    </row>
    <row r="505" spans="8:18">
      <c r="H505" s="16">
        <v>44802</v>
      </c>
      <c r="I505" s="17" t="s">
        <v>432</v>
      </c>
      <c r="J505" s="17">
        <v>187.7</v>
      </c>
      <c r="K505" s="17">
        <v>5</v>
      </c>
      <c r="L505" s="17">
        <v>1</v>
      </c>
      <c r="O505" s="54" t="s">
        <v>663</v>
      </c>
      <c r="P505">
        <v>57.8</v>
      </c>
      <c r="Q505">
        <v>2</v>
      </c>
      <c r="R505">
        <v>1</v>
      </c>
    </row>
    <row r="506" spans="8:18">
      <c r="H506" s="16">
        <v>44802</v>
      </c>
      <c r="I506" s="17" t="s">
        <v>430</v>
      </c>
      <c r="J506" s="17">
        <v>139</v>
      </c>
      <c r="K506" s="17">
        <v>1</v>
      </c>
      <c r="L506" s="17">
        <v>1</v>
      </c>
      <c r="O506" s="54" t="s">
        <v>988</v>
      </c>
      <c r="P506">
        <v>56.8</v>
      </c>
      <c r="Q506">
        <v>2</v>
      </c>
      <c r="R506">
        <v>2</v>
      </c>
    </row>
    <row r="507" spans="8:18">
      <c r="H507" s="16">
        <v>44802</v>
      </c>
      <c r="I507" s="17" t="s">
        <v>720</v>
      </c>
      <c r="J507" s="17">
        <v>138</v>
      </c>
      <c r="K507" s="17">
        <v>1</v>
      </c>
      <c r="L507" s="17">
        <v>1</v>
      </c>
      <c r="O507" s="54" t="s">
        <v>573</v>
      </c>
      <c r="P507">
        <v>54.7</v>
      </c>
      <c r="Q507">
        <v>8</v>
      </c>
      <c r="R507">
        <v>7</v>
      </c>
    </row>
    <row r="508" spans="8:18">
      <c r="H508" s="16">
        <v>44802</v>
      </c>
      <c r="I508" s="17" t="s">
        <v>660</v>
      </c>
      <c r="J508" s="17">
        <v>136.9</v>
      </c>
      <c r="K508" s="17">
        <v>3</v>
      </c>
      <c r="L508" s="17">
        <v>1</v>
      </c>
      <c r="O508" s="54" t="s">
        <v>989</v>
      </c>
      <c r="P508">
        <v>53.6</v>
      </c>
      <c r="Q508">
        <v>8</v>
      </c>
      <c r="R508">
        <v>4</v>
      </c>
    </row>
    <row r="509" spans="8:18">
      <c r="H509" s="16">
        <v>44802</v>
      </c>
      <c r="I509" s="17" t="s">
        <v>930</v>
      </c>
      <c r="J509" s="17">
        <v>118.9</v>
      </c>
      <c r="K509" s="17">
        <v>2</v>
      </c>
      <c r="L509" s="17">
        <v>1</v>
      </c>
      <c r="O509" s="54" t="s">
        <v>990</v>
      </c>
      <c r="P509">
        <v>51.7</v>
      </c>
      <c r="Q509">
        <v>5</v>
      </c>
      <c r="R509">
        <v>2</v>
      </c>
    </row>
    <row r="510" spans="8:18">
      <c r="H510" s="16">
        <v>44802</v>
      </c>
      <c r="I510" s="17" t="s">
        <v>753</v>
      </c>
      <c r="J510" s="17">
        <v>117.9</v>
      </c>
      <c r="K510" s="17">
        <v>2</v>
      </c>
      <c r="L510" s="17">
        <v>1</v>
      </c>
      <c r="O510" s="54" t="s">
        <v>991</v>
      </c>
      <c r="P510">
        <v>50.8</v>
      </c>
      <c r="Q510">
        <v>3</v>
      </c>
      <c r="R510">
        <v>1</v>
      </c>
    </row>
    <row r="511" spans="8:18">
      <c r="H511" s="16">
        <v>44802</v>
      </c>
      <c r="I511" s="17" t="s">
        <v>396</v>
      </c>
      <c r="J511" s="17">
        <v>100.7</v>
      </c>
      <c r="K511" s="17">
        <v>3</v>
      </c>
      <c r="L511" s="17">
        <v>1</v>
      </c>
      <c r="O511" s="54" t="s">
        <v>523</v>
      </c>
      <c r="P511">
        <v>50.8</v>
      </c>
      <c r="Q511">
        <v>3</v>
      </c>
      <c r="R511">
        <v>3</v>
      </c>
    </row>
    <row r="512" spans="8:18">
      <c r="H512" s="16">
        <v>44802</v>
      </c>
      <c r="I512" s="17" t="s">
        <v>938</v>
      </c>
      <c r="J512" s="17">
        <v>99</v>
      </c>
      <c r="K512" s="17">
        <v>1</v>
      </c>
      <c r="L512" s="17">
        <v>1</v>
      </c>
      <c r="O512" s="54" t="s">
        <v>706</v>
      </c>
      <c r="P512">
        <v>50.7</v>
      </c>
      <c r="Q512">
        <v>4</v>
      </c>
      <c r="R512">
        <v>2</v>
      </c>
    </row>
    <row r="513" spans="8:18">
      <c r="H513" s="16">
        <v>44802</v>
      </c>
      <c r="I513" s="17" t="s">
        <v>589</v>
      </c>
      <c r="J513" s="17">
        <v>99</v>
      </c>
      <c r="K513" s="17">
        <v>1</v>
      </c>
      <c r="L513" s="17">
        <v>1</v>
      </c>
      <c r="O513" s="54" t="s">
        <v>992</v>
      </c>
      <c r="P513">
        <v>49.9</v>
      </c>
      <c r="Q513">
        <v>1</v>
      </c>
      <c r="R513">
        <v>1</v>
      </c>
    </row>
    <row r="514" spans="8:18">
      <c r="H514" s="16">
        <v>44802</v>
      </c>
      <c r="I514" s="17" t="s">
        <v>936</v>
      </c>
      <c r="J514" s="17">
        <v>99</v>
      </c>
      <c r="K514" s="17">
        <v>1</v>
      </c>
      <c r="L514" s="17">
        <v>1</v>
      </c>
      <c r="O514" s="54" t="s">
        <v>993</v>
      </c>
      <c r="P514">
        <v>49.9</v>
      </c>
      <c r="Q514">
        <v>1</v>
      </c>
      <c r="R514">
        <v>1</v>
      </c>
    </row>
    <row r="515" spans="8:18">
      <c r="H515" s="16">
        <v>44802</v>
      </c>
      <c r="I515" s="17" t="s">
        <v>587</v>
      </c>
      <c r="J515" s="17">
        <v>99</v>
      </c>
      <c r="K515" s="17">
        <v>1</v>
      </c>
      <c r="L515" s="17">
        <v>1</v>
      </c>
      <c r="O515" s="54" t="s">
        <v>994</v>
      </c>
      <c r="P515">
        <v>49.9</v>
      </c>
      <c r="Q515">
        <v>1</v>
      </c>
      <c r="R515">
        <v>1</v>
      </c>
    </row>
    <row r="516" spans="8:18">
      <c r="H516" s="16">
        <v>44802</v>
      </c>
      <c r="I516" s="17" t="s">
        <v>485</v>
      </c>
      <c r="J516" s="17">
        <v>99</v>
      </c>
      <c r="K516" s="17">
        <v>1</v>
      </c>
      <c r="L516" s="17">
        <v>1</v>
      </c>
      <c r="O516" s="54" t="s">
        <v>995</v>
      </c>
      <c r="P516">
        <v>49.9</v>
      </c>
      <c r="Q516">
        <v>1</v>
      </c>
      <c r="R516">
        <v>1</v>
      </c>
    </row>
    <row r="517" spans="8:18">
      <c r="H517" s="16">
        <v>44802</v>
      </c>
      <c r="I517" s="17" t="s">
        <v>618</v>
      </c>
      <c r="J517" s="17">
        <v>97</v>
      </c>
      <c r="K517" s="17">
        <v>1</v>
      </c>
      <c r="L517" s="17">
        <v>1</v>
      </c>
      <c r="O517" s="54" t="s">
        <v>996</v>
      </c>
      <c r="P517">
        <v>49.8</v>
      </c>
      <c r="Q517">
        <v>2</v>
      </c>
      <c r="R517">
        <v>1</v>
      </c>
    </row>
    <row r="518" spans="8:18">
      <c r="H518" s="16">
        <v>44802</v>
      </c>
      <c r="I518" s="17" t="s">
        <v>390</v>
      </c>
      <c r="J518" s="17">
        <v>97</v>
      </c>
      <c r="K518" s="17">
        <v>1</v>
      </c>
      <c r="L518" s="17">
        <v>1</v>
      </c>
      <c r="O518" s="54" t="s">
        <v>997</v>
      </c>
      <c r="P518">
        <v>49.8</v>
      </c>
      <c r="Q518">
        <v>3</v>
      </c>
      <c r="R518">
        <v>1</v>
      </c>
    </row>
    <row r="519" spans="8:18">
      <c r="H519" s="16">
        <v>44802</v>
      </c>
      <c r="I519" s="17" t="s">
        <v>464</v>
      </c>
      <c r="J519" s="17">
        <v>96</v>
      </c>
      <c r="K519" s="17">
        <v>1</v>
      </c>
      <c r="L519" s="17">
        <v>1</v>
      </c>
      <c r="O519" s="54" t="s">
        <v>679</v>
      </c>
      <c r="P519">
        <v>49.8</v>
      </c>
      <c r="Q519">
        <v>4</v>
      </c>
      <c r="R519">
        <v>3</v>
      </c>
    </row>
    <row r="520" spans="8:18">
      <c r="H520" s="16">
        <v>44802</v>
      </c>
      <c r="I520" s="17" t="s">
        <v>456</v>
      </c>
      <c r="J520" s="17">
        <v>75.8</v>
      </c>
      <c r="K520" s="17">
        <v>2</v>
      </c>
      <c r="L520" s="17">
        <v>1</v>
      </c>
      <c r="O520" s="54" t="s">
        <v>998</v>
      </c>
      <c r="P520">
        <v>48.8</v>
      </c>
      <c r="Q520">
        <v>3</v>
      </c>
      <c r="R520">
        <v>1</v>
      </c>
    </row>
    <row r="521" spans="8:18">
      <c r="H521" s="16">
        <v>44802</v>
      </c>
      <c r="I521" s="17" t="s">
        <v>403</v>
      </c>
      <c r="J521" s="17">
        <v>73.32</v>
      </c>
      <c r="K521" s="17">
        <v>1</v>
      </c>
      <c r="L521" s="17">
        <v>1</v>
      </c>
      <c r="O521" s="54" t="s">
        <v>999</v>
      </c>
      <c r="P521">
        <v>48.8</v>
      </c>
      <c r="Q521">
        <v>2</v>
      </c>
      <c r="R521">
        <v>1</v>
      </c>
    </row>
    <row r="522" spans="8:18">
      <c r="H522" s="16">
        <v>44802</v>
      </c>
      <c r="I522" s="17" t="s">
        <v>933</v>
      </c>
      <c r="J522" s="17">
        <v>69.7</v>
      </c>
      <c r="K522" s="17">
        <v>4</v>
      </c>
      <c r="L522" s="17">
        <v>1</v>
      </c>
      <c r="O522" s="54" t="s">
        <v>1000</v>
      </c>
      <c r="P522">
        <v>48.8</v>
      </c>
      <c r="Q522">
        <v>4</v>
      </c>
      <c r="R522">
        <v>4</v>
      </c>
    </row>
    <row r="523" spans="8:18">
      <c r="H523" s="16">
        <v>44802</v>
      </c>
      <c r="I523" s="17" t="s">
        <v>983</v>
      </c>
      <c r="J523" s="17">
        <v>60.8</v>
      </c>
      <c r="K523" s="17">
        <v>3</v>
      </c>
      <c r="L523" s="17">
        <v>1</v>
      </c>
      <c r="O523" s="54" t="s">
        <v>853</v>
      </c>
      <c r="P523">
        <v>48.8</v>
      </c>
      <c r="Q523">
        <v>3</v>
      </c>
      <c r="R523">
        <v>2</v>
      </c>
    </row>
    <row r="524" spans="8:18">
      <c r="H524" s="16">
        <v>44802</v>
      </c>
      <c r="I524" s="17" t="s">
        <v>944</v>
      </c>
      <c r="J524" s="17">
        <v>60.8</v>
      </c>
      <c r="K524" s="17">
        <v>3</v>
      </c>
      <c r="L524" s="17">
        <v>1</v>
      </c>
      <c r="O524" s="54" t="s">
        <v>919</v>
      </c>
      <c r="P524">
        <v>46.9</v>
      </c>
      <c r="Q524">
        <v>1</v>
      </c>
      <c r="R524">
        <v>1</v>
      </c>
    </row>
    <row r="525" spans="8:18">
      <c r="H525" s="16">
        <v>44802</v>
      </c>
      <c r="I525" s="17" t="s">
        <v>986</v>
      </c>
      <c r="J525" s="17">
        <v>59.8</v>
      </c>
      <c r="K525" s="17">
        <v>2</v>
      </c>
      <c r="L525" s="17">
        <v>1</v>
      </c>
      <c r="O525" s="54" t="s">
        <v>1001</v>
      </c>
      <c r="P525">
        <v>46.8</v>
      </c>
      <c r="Q525">
        <v>2</v>
      </c>
      <c r="R525">
        <v>1</v>
      </c>
    </row>
    <row r="526" spans="8:18">
      <c r="H526" s="16">
        <v>44802</v>
      </c>
      <c r="I526" s="17" t="s">
        <v>984</v>
      </c>
      <c r="J526" s="17">
        <v>59.8</v>
      </c>
      <c r="K526" s="17">
        <v>2</v>
      </c>
      <c r="L526" s="17">
        <v>1</v>
      </c>
      <c r="O526" s="54" t="s">
        <v>1002</v>
      </c>
      <c r="P526">
        <v>46.8</v>
      </c>
      <c r="Q526">
        <v>2</v>
      </c>
      <c r="R526">
        <v>1</v>
      </c>
    </row>
    <row r="527" spans="8:18">
      <c r="H527" s="16">
        <v>44802</v>
      </c>
      <c r="I527" s="17" t="s">
        <v>1003</v>
      </c>
      <c r="J527" s="17">
        <v>39.9</v>
      </c>
      <c r="K527" s="17">
        <v>1</v>
      </c>
      <c r="L527" s="17">
        <v>1</v>
      </c>
      <c r="O527" s="54" t="s">
        <v>1004</v>
      </c>
      <c r="P527">
        <v>46.8</v>
      </c>
      <c r="Q527">
        <v>2</v>
      </c>
      <c r="R527">
        <v>1</v>
      </c>
    </row>
    <row r="528" spans="8:18">
      <c r="H528" s="16">
        <v>44802</v>
      </c>
      <c r="I528" s="17" t="s">
        <v>1005</v>
      </c>
      <c r="J528" s="17">
        <v>39.8</v>
      </c>
      <c r="K528" s="17">
        <v>2</v>
      </c>
      <c r="L528" s="17">
        <v>1</v>
      </c>
      <c r="O528" s="54" t="s">
        <v>1006</v>
      </c>
      <c r="P528">
        <v>46.8</v>
      </c>
      <c r="Q528">
        <v>2</v>
      </c>
      <c r="R528">
        <v>1</v>
      </c>
    </row>
    <row r="529" spans="8:18">
      <c r="H529" s="16">
        <v>44802</v>
      </c>
      <c r="I529" s="17" t="s">
        <v>647</v>
      </c>
      <c r="J529" s="17">
        <v>38.9</v>
      </c>
      <c r="K529" s="17">
        <v>1</v>
      </c>
      <c r="L529" s="17">
        <v>1</v>
      </c>
      <c r="O529" s="54" t="s">
        <v>1007</v>
      </c>
      <c r="P529">
        <v>46.8</v>
      </c>
      <c r="Q529">
        <v>2</v>
      </c>
      <c r="R529">
        <v>1</v>
      </c>
    </row>
    <row r="530" spans="8:18">
      <c r="H530" s="16">
        <v>44802</v>
      </c>
      <c r="I530" s="17" t="s">
        <v>902</v>
      </c>
      <c r="J530" s="17">
        <v>38.9</v>
      </c>
      <c r="K530" s="17">
        <v>2</v>
      </c>
      <c r="L530" s="17">
        <v>1</v>
      </c>
      <c r="O530" s="54" t="s">
        <v>1008</v>
      </c>
      <c r="P530">
        <v>41.9</v>
      </c>
      <c r="Q530">
        <v>3</v>
      </c>
      <c r="R530">
        <v>2</v>
      </c>
    </row>
    <row r="531" spans="8:18">
      <c r="H531" s="16">
        <v>44802</v>
      </c>
      <c r="I531" s="17" t="s">
        <v>920</v>
      </c>
      <c r="J531" s="17">
        <v>37.9</v>
      </c>
      <c r="K531" s="17">
        <v>2</v>
      </c>
      <c r="L531" s="17">
        <v>1</v>
      </c>
      <c r="O531" s="54" t="s">
        <v>711</v>
      </c>
      <c r="P531">
        <v>41.8</v>
      </c>
      <c r="Q531">
        <v>4</v>
      </c>
      <c r="R531">
        <v>3</v>
      </c>
    </row>
    <row r="532" spans="8:18">
      <c r="H532" s="16">
        <v>44802</v>
      </c>
      <c r="I532" s="17" t="s">
        <v>581</v>
      </c>
      <c r="J532" s="17">
        <v>37.9</v>
      </c>
      <c r="K532" s="17">
        <v>2</v>
      </c>
      <c r="L532" s="17">
        <v>1</v>
      </c>
      <c r="O532" s="54" t="s">
        <v>748</v>
      </c>
      <c r="P532">
        <v>41.8</v>
      </c>
      <c r="Q532">
        <v>4</v>
      </c>
      <c r="R532">
        <v>4</v>
      </c>
    </row>
    <row r="533" spans="8:18">
      <c r="H533" s="16">
        <v>44802</v>
      </c>
      <c r="I533" s="17" t="s">
        <v>1000</v>
      </c>
      <c r="J533" s="17">
        <v>36.9</v>
      </c>
      <c r="K533" s="17">
        <v>1</v>
      </c>
      <c r="L533" s="17">
        <v>1</v>
      </c>
      <c r="O533" s="54" t="s">
        <v>1009</v>
      </c>
      <c r="P533">
        <v>40.9</v>
      </c>
      <c r="Q533">
        <v>2</v>
      </c>
      <c r="R533">
        <v>1</v>
      </c>
    </row>
    <row r="534" spans="8:18">
      <c r="H534" s="16">
        <v>44802</v>
      </c>
      <c r="I534" s="17" t="s">
        <v>988</v>
      </c>
      <c r="J534" s="17">
        <v>36.9</v>
      </c>
      <c r="K534" s="17">
        <v>1</v>
      </c>
      <c r="L534" s="17">
        <v>1</v>
      </c>
      <c r="O534" s="54" t="s">
        <v>1010</v>
      </c>
      <c r="P534">
        <v>40.9</v>
      </c>
      <c r="Q534">
        <v>2</v>
      </c>
      <c r="R534">
        <v>1</v>
      </c>
    </row>
    <row r="535" spans="8:18">
      <c r="H535" s="16">
        <v>44802</v>
      </c>
      <c r="I535" s="17" t="s">
        <v>1011</v>
      </c>
      <c r="J535" s="17">
        <v>30.8</v>
      </c>
      <c r="K535" s="17">
        <v>3</v>
      </c>
      <c r="L535" s="17">
        <v>1</v>
      </c>
      <c r="O535" s="54" t="s">
        <v>1012</v>
      </c>
      <c r="P535">
        <v>40.9</v>
      </c>
      <c r="Q535">
        <v>2</v>
      </c>
      <c r="R535">
        <v>1</v>
      </c>
    </row>
    <row r="536" spans="8:18">
      <c r="H536" s="16">
        <v>44802</v>
      </c>
      <c r="I536" s="17" t="s">
        <v>721</v>
      </c>
      <c r="J536" s="17">
        <v>19.9</v>
      </c>
      <c r="K536" s="17">
        <v>1</v>
      </c>
      <c r="L536" s="17">
        <v>1</v>
      </c>
      <c r="O536" s="54" t="s">
        <v>1013</v>
      </c>
      <c r="P536">
        <v>40.9</v>
      </c>
      <c r="Q536">
        <v>2</v>
      </c>
      <c r="R536">
        <v>1</v>
      </c>
    </row>
    <row r="537" spans="8:18">
      <c r="H537" s="16">
        <v>44802</v>
      </c>
      <c r="I537" s="17" t="s">
        <v>513</v>
      </c>
      <c r="J537" s="17">
        <v>19.9</v>
      </c>
      <c r="K537" s="17">
        <v>1</v>
      </c>
      <c r="L537" s="17">
        <v>1</v>
      </c>
      <c r="O537" s="54" t="s">
        <v>1014</v>
      </c>
      <c r="P537">
        <v>40.9</v>
      </c>
      <c r="Q537">
        <v>2</v>
      </c>
      <c r="R537">
        <v>1</v>
      </c>
    </row>
    <row r="538" spans="8:18">
      <c r="H538" s="16">
        <v>44802</v>
      </c>
      <c r="I538" s="17" t="s">
        <v>384</v>
      </c>
      <c r="J538" s="17">
        <v>19.9</v>
      </c>
      <c r="K538" s="17">
        <v>1</v>
      </c>
      <c r="L538" s="17">
        <v>1</v>
      </c>
      <c r="O538" s="54" t="s">
        <v>1015</v>
      </c>
      <c r="P538">
        <v>40.9</v>
      </c>
      <c r="Q538">
        <v>2</v>
      </c>
      <c r="R538">
        <v>1</v>
      </c>
    </row>
    <row r="539" spans="8:18">
      <c r="H539" s="16">
        <v>44802</v>
      </c>
      <c r="I539" s="17" t="s">
        <v>804</v>
      </c>
      <c r="J539" s="17">
        <v>19.9</v>
      </c>
      <c r="K539" s="17">
        <v>1</v>
      </c>
      <c r="L539" s="17">
        <v>1</v>
      </c>
      <c r="O539" s="54" t="s">
        <v>668</v>
      </c>
      <c r="P539">
        <v>40.9</v>
      </c>
      <c r="Q539">
        <v>2</v>
      </c>
      <c r="R539">
        <v>2</v>
      </c>
    </row>
    <row r="540" spans="8:18">
      <c r="H540" s="16">
        <v>44802</v>
      </c>
      <c r="I540" s="17" t="s">
        <v>472</v>
      </c>
      <c r="J540" s="17">
        <v>19.9</v>
      </c>
      <c r="K540" s="17">
        <v>1</v>
      </c>
      <c r="L540" s="17">
        <v>1</v>
      </c>
      <c r="O540" s="54" t="s">
        <v>1016</v>
      </c>
      <c r="P540">
        <v>40.8</v>
      </c>
      <c r="Q540">
        <v>3</v>
      </c>
      <c r="R540">
        <v>1</v>
      </c>
    </row>
    <row r="541" spans="8:18">
      <c r="H541" s="16">
        <v>44802</v>
      </c>
      <c r="I541" s="17" t="s">
        <v>655</v>
      </c>
      <c r="J541" s="17">
        <v>19.9</v>
      </c>
      <c r="K541" s="17">
        <v>1</v>
      </c>
      <c r="L541" s="17">
        <v>1</v>
      </c>
      <c r="O541" s="54" t="s">
        <v>953</v>
      </c>
      <c r="P541">
        <v>40.8</v>
      </c>
      <c r="Q541">
        <v>3</v>
      </c>
      <c r="R541">
        <v>2</v>
      </c>
    </row>
    <row r="542" spans="8:18">
      <c r="H542" s="16">
        <v>44802</v>
      </c>
      <c r="I542" s="17" t="s">
        <v>1017</v>
      </c>
      <c r="J542" s="17">
        <v>10.9</v>
      </c>
      <c r="K542" s="17">
        <v>2</v>
      </c>
      <c r="L542" s="17">
        <v>1</v>
      </c>
      <c r="O542" s="54" t="s">
        <v>687</v>
      </c>
      <c r="P542">
        <v>40.8</v>
      </c>
      <c r="Q542">
        <v>3</v>
      </c>
      <c r="R542">
        <v>3</v>
      </c>
    </row>
    <row r="543" spans="8:18">
      <c r="H543" s="16">
        <v>44802</v>
      </c>
      <c r="I543" s="17" t="s">
        <v>1018</v>
      </c>
      <c r="J543" s="17">
        <v>10.9</v>
      </c>
      <c r="K543" s="17">
        <v>2</v>
      </c>
      <c r="L543" s="17">
        <v>1</v>
      </c>
      <c r="O543" s="54" t="s">
        <v>1019</v>
      </c>
      <c r="P543">
        <v>39.9</v>
      </c>
      <c r="Q543">
        <v>1</v>
      </c>
      <c r="R543">
        <v>1</v>
      </c>
    </row>
    <row r="544" spans="8:18">
      <c r="H544" s="16">
        <v>44802</v>
      </c>
      <c r="I544" s="17" t="s">
        <v>1020</v>
      </c>
      <c r="J544" s="17">
        <v>10.9</v>
      </c>
      <c r="K544" s="17">
        <v>2</v>
      </c>
      <c r="L544" s="17">
        <v>1</v>
      </c>
      <c r="O544" s="54" t="s">
        <v>1021</v>
      </c>
      <c r="P544">
        <v>39.9</v>
      </c>
      <c r="Q544">
        <v>1</v>
      </c>
      <c r="R544">
        <v>1</v>
      </c>
    </row>
    <row r="545" spans="8:18">
      <c r="H545" s="16">
        <v>44802</v>
      </c>
      <c r="I545" s="17" t="s">
        <v>882</v>
      </c>
      <c r="J545" s="17">
        <v>10.9</v>
      </c>
      <c r="K545" s="17">
        <v>2</v>
      </c>
      <c r="L545" s="17">
        <v>1</v>
      </c>
      <c r="O545" s="54" t="s">
        <v>1022</v>
      </c>
      <c r="P545">
        <v>39.9</v>
      </c>
      <c r="Q545">
        <v>1</v>
      </c>
      <c r="R545">
        <v>1</v>
      </c>
    </row>
    <row r="546" spans="8:18">
      <c r="H546" s="16">
        <v>44802</v>
      </c>
      <c r="I546" s="17" t="s">
        <v>1023</v>
      </c>
      <c r="J546" s="17">
        <v>9.9</v>
      </c>
      <c r="K546" s="17">
        <v>1</v>
      </c>
      <c r="L546" s="17">
        <v>1</v>
      </c>
      <c r="O546" s="54" t="s">
        <v>1024</v>
      </c>
      <c r="P546">
        <v>39.9</v>
      </c>
      <c r="Q546">
        <v>1</v>
      </c>
      <c r="R546">
        <v>1</v>
      </c>
    </row>
    <row r="547" spans="8:18">
      <c r="H547" s="16">
        <v>44802</v>
      </c>
      <c r="I547" s="17" t="s">
        <v>1025</v>
      </c>
      <c r="J547" s="17">
        <v>9.9</v>
      </c>
      <c r="K547" s="17">
        <v>1</v>
      </c>
      <c r="L547" s="17">
        <v>1</v>
      </c>
      <c r="O547" s="54" t="s">
        <v>1026</v>
      </c>
      <c r="P547">
        <v>39.9</v>
      </c>
      <c r="Q547">
        <v>1</v>
      </c>
      <c r="R547">
        <v>1</v>
      </c>
    </row>
    <row r="548" spans="8:18">
      <c r="H548" s="16">
        <v>44802</v>
      </c>
      <c r="I548" s="17" t="s">
        <v>1027</v>
      </c>
      <c r="J548" s="17">
        <v>9.9</v>
      </c>
      <c r="K548" s="17">
        <v>1</v>
      </c>
      <c r="L548" s="17">
        <v>1</v>
      </c>
      <c r="O548" s="54" t="s">
        <v>1028</v>
      </c>
      <c r="P548">
        <v>39.9</v>
      </c>
      <c r="Q548">
        <v>1</v>
      </c>
      <c r="R548">
        <v>1</v>
      </c>
    </row>
    <row r="549" spans="8:18">
      <c r="H549" s="16">
        <v>44802</v>
      </c>
      <c r="I549" s="17" t="s">
        <v>1029</v>
      </c>
      <c r="J549" s="17">
        <v>9.9</v>
      </c>
      <c r="K549" s="17">
        <v>1</v>
      </c>
      <c r="L549" s="17">
        <v>1</v>
      </c>
      <c r="O549" s="54" t="s">
        <v>1030</v>
      </c>
      <c r="P549">
        <v>39.9</v>
      </c>
      <c r="Q549">
        <v>1</v>
      </c>
      <c r="R549">
        <v>1</v>
      </c>
    </row>
    <row r="550" spans="8:18">
      <c r="H550" s="16">
        <v>44802</v>
      </c>
      <c r="I550" s="17" t="s">
        <v>1031</v>
      </c>
      <c r="J550" s="17">
        <v>9.9</v>
      </c>
      <c r="K550" s="17">
        <v>1</v>
      </c>
      <c r="L550" s="17">
        <v>1</v>
      </c>
      <c r="O550" s="54" t="s">
        <v>1032</v>
      </c>
      <c r="P550">
        <v>39.9</v>
      </c>
      <c r="Q550">
        <v>1</v>
      </c>
      <c r="R550">
        <v>1</v>
      </c>
    </row>
    <row r="551" spans="8:18">
      <c r="H551" s="16">
        <v>44802</v>
      </c>
      <c r="I551" s="17" t="s">
        <v>1033</v>
      </c>
      <c r="J551" s="17">
        <v>9.9</v>
      </c>
      <c r="K551" s="17">
        <v>1</v>
      </c>
      <c r="L551" s="17">
        <v>1</v>
      </c>
      <c r="O551" s="54" t="s">
        <v>1034</v>
      </c>
      <c r="P551">
        <v>39.9</v>
      </c>
      <c r="Q551">
        <v>2</v>
      </c>
      <c r="R551">
        <v>2</v>
      </c>
    </row>
    <row r="552" spans="8:18">
      <c r="H552" s="16">
        <v>44802</v>
      </c>
      <c r="I552" s="17" t="s">
        <v>1035</v>
      </c>
      <c r="J552" s="17">
        <v>9.9</v>
      </c>
      <c r="K552" s="17">
        <v>1</v>
      </c>
      <c r="L552" s="17">
        <v>1</v>
      </c>
      <c r="O552" s="54" t="s">
        <v>1003</v>
      </c>
      <c r="P552">
        <v>39.9</v>
      </c>
      <c r="Q552">
        <v>1</v>
      </c>
      <c r="R552">
        <v>1</v>
      </c>
    </row>
    <row r="553" spans="8:18">
      <c r="H553" s="16">
        <v>44802</v>
      </c>
      <c r="I553" s="17" t="s">
        <v>1036</v>
      </c>
      <c r="J553" s="17">
        <v>9.9</v>
      </c>
      <c r="K553" s="17">
        <v>1</v>
      </c>
      <c r="L553" s="17">
        <v>1</v>
      </c>
      <c r="O553" s="54" t="s">
        <v>947</v>
      </c>
      <c r="P553">
        <v>39.9</v>
      </c>
      <c r="Q553">
        <v>1</v>
      </c>
      <c r="R553">
        <v>1</v>
      </c>
    </row>
    <row r="554" spans="8:18">
      <c r="H554" s="16">
        <v>44802</v>
      </c>
      <c r="I554" s="17" t="s">
        <v>752</v>
      </c>
      <c r="J554" s="17">
        <v>1</v>
      </c>
      <c r="K554" s="17">
        <v>1</v>
      </c>
      <c r="L554" s="17">
        <v>1</v>
      </c>
      <c r="O554" s="54" t="s">
        <v>895</v>
      </c>
      <c r="P554">
        <v>39.9</v>
      </c>
      <c r="Q554">
        <v>1</v>
      </c>
      <c r="R554">
        <v>1</v>
      </c>
    </row>
    <row r="555" spans="8:18">
      <c r="H555" s="16">
        <v>44802</v>
      </c>
      <c r="I555" s="17" t="s">
        <v>756</v>
      </c>
      <c r="J555" s="17">
        <v>1</v>
      </c>
      <c r="K555" s="17">
        <v>1</v>
      </c>
      <c r="L555" s="17">
        <v>1</v>
      </c>
      <c r="O555" s="54" t="s">
        <v>527</v>
      </c>
      <c r="P555">
        <v>39.9</v>
      </c>
      <c r="Q555">
        <v>1</v>
      </c>
      <c r="R555">
        <v>1</v>
      </c>
    </row>
    <row r="556" spans="8:18">
      <c r="H556" s="16">
        <v>44802</v>
      </c>
      <c r="I556" s="17" t="s">
        <v>1037</v>
      </c>
      <c r="J556" s="17">
        <v>1</v>
      </c>
      <c r="K556" s="17">
        <v>1</v>
      </c>
      <c r="L556" s="17">
        <v>1</v>
      </c>
      <c r="O556" s="54" t="s">
        <v>521</v>
      </c>
      <c r="P556">
        <v>39.9</v>
      </c>
      <c r="Q556">
        <v>1</v>
      </c>
      <c r="R556">
        <v>1</v>
      </c>
    </row>
    <row r="557" spans="8:18">
      <c r="H557" s="16">
        <v>44802</v>
      </c>
      <c r="I557" s="17" t="s">
        <v>1038</v>
      </c>
      <c r="J557" s="17">
        <v>1</v>
      </c>
      <c r="K557" s="17">
        <v>1</v>
      </c>
      <c r="L557" s="17">
        <v>1</v>
      </c>
      <c r="O557" s="54" t="s">
        <v>802</v>
      </c>
      <c r="P557">
        <v>39.9</v>
      </c>
      <c r="Q557">
        <v>1</v>
      </c>
      <c r="R557">
        <v>1</v>
      </c>
    </row>
    <row r="558" spans="8:18">
      <c r="H558" s="16">
        <v>44802</v>
      </c>
      <c r="I558" s="17" t="s">
        <v>1039</v>
      </c>
      <c r="J558" s="17">
        <v>1</v>
      </c>
      <c r="K558" s="17">
        <v>1</v>
      </c>
      <c r="L558" s="17">
        <v>1</v>
      </c>
      <c r="O558" s="54" t="s">
        <v>535</v>
      </c>
      <c r="P558">
        <v>39.9</v>
      </c>
      <c r="Q558">
        <v>1</v>
      </c>
      <c r="R558">
        <v>1</v>
      </c>
    </row>
    <row r="559" spans="8:18">
      <c r="H559" s="16">
        <v>44802</v>
      </c>
      <c r="I559" s="17" t="s">
        <v>1040</v>
      </c>
      <c r="J559" s="17">
        <v>1</v>
      </c>
      <c r="K559" s="17">
        <v>1</v>
      </c>
      <c r="L559" s="17">
        <v>1</v>
      </c>
      <c r="O559" s="54" t="s">
        <v>537</v>
      </c>
      <c r="P559">
        <v>39.9</v>
      </c>
      <c r="Q559">
        <v>1</v>
      </c>
      <c r="R559">
        <v>1</v>
      </c>
    </row>
    <row r="560" spans="8:18">
      <c r="H560" s="16">
        <v>44802</v>
      </c>
      <c r="I560" s="17" t="s">
        <v>1041</v>
      </c>
      <c r="J560" s="17">
        <v>1</v>
      </c>
      <c r="K560" s="17">
        <v>1</v>
      </c>
      <c r="L560" s="17">
        <v>1</v>
      </c>
      <c r="O560" s="54" t="s">
        <v>529</v>
      </c>
      <c r="P560">
        <v>39.9</v>
      </c>
      <c r="Q560">
        <v>1</v>
      </c>
      <c r="R560">
        <v>1</v>
      </c>
    </row>
    <row r="561" spans="8:18">
      <c r="H561" s="16">
        <v>44802</v>
      </c>
      <c r="I561" s="17" t="s">
        <v>1042</v>
      </c>
      <c r="J561" s="17">
        <v>1</v>
      </c>
      <c r="K561" s="17">
        <v>1</v>
      </c>
      <c r="L561" s="17">
        <v>1</v>
      </c>
      <c r="O561" s="54" t="s">
        <v>519</v>
      </c>
      <c r="P561">
        <v>39.9</v>
      </c>
      <c r="Q561">
        <v>1</v>
      </c>
      <c r="R561">
        <v>1</v>
      </c>
    </row>
    <row r="562" spans="8:18">
      <c r="H562" s="16">
        <v>44802</v>
      </c>
      <c r="I562" s="17" t="s">
        <v>789</v>
      </c>
      <c r="J562" s="17">
        <v>1</v>
      </c>
      <c r="K562" s="17">
        <v>1</v>
      </c>
      <c r="L562" s="17">
        <v>1</v>
      </c>
      <c r="O562" s="54" t="s">
        <v>531</v>
      </c>
      <c r="P562">
        <v>39.9</v>
      </c>
      <c r="Q562">
        <v>1</v>
      </c>
      <c r="R562">
        <v>1</v>
      </c>
    </row>
    <row r="563" spans="8:18">
      <c r="H563" s="16">
        <v>44802</v>
      </c>
      <c r="I563" s="17" t="s">
        <v>966</v>
      </c>
      <c r="J563" s="17">
        <v>1</v>
      </c>
      <c r="K563" s="17">
        <v>1</v>
      </c>
      <c r="L563" s="17">
        <v>1</v>
      </c>
      <c r="O563" s="54" t="s">
        <v>539</v>
      </c>
      <c r="P563">
        <v>39.9</v>
      </c>
      <c r="Q563">
        <v>1</v>
      </c>
      <c r="R563">
        <v>1</v>
      </c>
    </row>
    <row r="564" spans="8:18">
      <c r="H564" s="16">
        <v>44802</v>
      </c>
      <c r="I564" s="17" t="s">
        <v>1043</v>
      </c>
      <c r="J564" s="17">
        <v>1</v>
      </c>
      <c r="K564" s="17">
        <v>1</v>
      </c>
      <c r="L564" s="17">
        <v>1</v>
      </c>
      <c r="O564" s="54" t="s">
        <v>1044</v>
      </c>
      <c r="P564">
        <v>39.8</v>
      </c>
      <c r="Q564">
        <v>2</v>
      </c>
      <c r="R564">
        <v>1</v>
      </c>
    </row>
    <row r="565" spans="8:18">
      <c r="H565" s="16">
        <v>44802</v>
      </c>
      <c r="I565" s="17" t="s">
        <v>817</v>
      </c>
      <c r="J565" s="17">
        <v>1</v>
      </c>
      <c r="K565" s="17">
        <v>1</v>
      </c>
      <c r="L565" s="17">
        <v>1</v>
      </c>
      <c r="O565" s="54" t="s">
        <v>1045</v>
      </c>
      <c r="P565">
        <v>39.8</v>
      </c>
      <c r="Q565">
        <v>2</v>
      </c>
      <c r="R565">
        <v>1</v>
      </c>
    </row>
    <row r="566" spans="8:18">
      <c r="H566" s="16">
        <v>44802</v>
      </c>
      <c r="I566" s="17" t="s">
        <v>728</v>
      </c>
      <c r="J566" s="17">
        <v>1</v>
      </c>
      <c r="K566" s="17">
        <v>1</v>
      </c>
      <c r="L566" s="17">
        <v>1</v>
      </c>
      <c r="O566" s="54" t="s">
        <v>1005</v>
      </c>
      <c r="P566">
        <v>39.8</v>
      </c>
      <c r="Q566">
        <v>2</v>
      </c>
      <c r="R566">
        <v>1</v>
      </c>
    </row>
    <row r="567" spans="8:18">
      <c r="H567" s="16">
        <v>44802</v>
      </c>
      <c r="I567" s="17" t="s">
        <v>398</v>
      </c>
      <c r="J567" s="17">
        <v>1</v>
      </c>
      <c r="K567" s="17">
        <v>1</v>
      </c>
      <c r="L567" s="17">
        <v>1</v>
      </c>
      <c r="O567" s="54" t="s">
        <v>697</v>
      </c>
      <c r="P567">
        <v>39.8</v>
      </c>
      <c r="Q567">
        <v>2</v>
      </c>
      <c r="R567">
        <v>2</v>
      </c>
    </row>
    <row r="568" spans="8:18">
      <c r="H568" s="16">
        <v>44802</v>
      </c>
      <c r="I568" s="17" t="s">
        <v>896</v>
      </c>
      <c r="J568" s="17">
        <v>1</v>
      </c>
      <c r="K568" s="17">
        <v>1</v>
      </c>
      <c r="L568" s="17">
        <v>1</v>
      </c>
      <c r="O568" s="54" t="s">
        <v>541</v>
      </c>
      <c r="P568">
        <v>39.8</v>
      </c>
      <c r="Q568">
        <v>2</v>
      </c>
      <c r="R568">
        <v>1</v>
      </c>
    </row>
    <row r="569" spans="8:18">
      <c r="H569" s="16">
        <v>44802</v>
      </c>
      <c r="I569" s="17" t="s">
        <v>572</v>
      </c>
      <c r="J569" s="17">
        <v>1</v>
      </c>
      <c r="K569" s="17">
        <v>1</v>
      </c>
      <c r="L569" s="17">
        <v>1</v>
      </c>
      <c r="O569" s="54" t="s">
        <v>1046</v>
      </c>
      <c r="P569">
        <v>38.9</v>
      </c>
      <c r="Q569">
        <v>3</v>
      </c>
      <c r="R569">
        <v>3</v>
      </c>
    </row>
    <row r="570" spans="8:18">
      <c r="H570" s="16">
        <v>44802</v>
      </c>
      <c r="I570" s="17" t="s">
        <v>670</v>
      </c>
      <c r="J570" s="17">
        <v>1</v>
      </c>
      <c r="K570" s="17">
        <v>1</v>
      </c>
      <c r="L570" s="17">
        <v>1</v>
      </c>
      <c r="O570" s="54" t="s">
        <v>1047</v>
      </c>
      <c r="P570">
        <v>38.9</v>
      </c>
      <c r="Q570">
        <v>1</v>
      </c>
      <c r="R570">
        <v>1</v>
      </c>
    </row>
    <row r="571" spans="8:18">
      <c r="H571" s="16">
        <v>44802</v>
      </c>
      <c r="I571" s="17" t="s">
        <v>1048</v>
      </c>
      <c r="J571" s="17">
        <v>1</v>
      </c>
      <c r="K571" s="17">
        <v>1</v>
      </c>
      <c r="L571" s="17">
        <v>1</v>
      </c>
      <c r="O571" s="54" t="s">
        <v>563</v>
      </c>
      <c r="P571">
        <v>38.9</v>
      </c>
      <c r="Q571">
        <v>3</v>
      </c>
      <c r="R571">
        <v>3</v>
      </c>
    </row>
    <row r="572" spans="8:18">
      <c r="H572" s="16">
        <v>44802</v>
      </c>
      <c r="I572" s="17" t="s">
        <v>968</v>
      </c>
      <c r="J572" s="17">
        <v>1</v>
      </c>
      <c r="K572" s="17">
        <v>1</v>
      </c>
      <c r="L572" s="17">
        <v>1</v>
      </c>
      <c r="O572" s="54" t="s">
        <v>682</v>
      </c>
      <c r="P572">
        <v>38.9</v>
      </c>
      <c r="Q572">
        <v>2</v>
      </c>
      <c r="R572">
        <v>2</v>
      </c>
    </row>
    <row r="573" spans="8:18">
      <c r="H573" s="16">
        <v>44802</v>
      </c>
      <c r="I573" s="17" t="s">
        <v>1049</v>
      </c>
      <c r="J573" s="17">
        <v>1</v>
      </c>
      <c r="K573" s="17">
        <v>1</v>
      </c>
      <c r="L573" s="17">
        <v>1</v>
      </c>
      <c r="O573" s="54" t="s">
        <v>1050</v>
      </c>
      <c r="P573">
        <v>37.9</v>
      </c>
      <c r="Q573">
        <v>2</v>
      </c>
      <c r="R573">
        <v>1</v>
      </c>
    </row>
    <row r="574" spans="8:18">
      <c r="H574" s="16">
        <v>44802</v>
      </c>
      <c r="I574" s="17" t="s">
        <v>1051</v>
      </c>
      <c r="J574" s="17">
        <v>1</v>
      </c>
      <c r="K574" s="17">
        <v>1</v>
      </c>
      <c r="L574" s="17">
        <v>1</v>
      </c>
      <c r="O574" s="54" t="s">
        <v>1052</v>
      </c>
      <c r="P574">
        <v>37.9</v>
      </c>
      <c r="Q574">
        <v>2</v>
      </c>
      <c r="R574">
        <v>2</v>
      </c>
    </row>
    <row r="575" spans="8:18">
      <c r="H575" s="16">
        <v>44802</v>
      </c>
      <c r="I575" s="17" t="s">
        <v>750</v>
      </c>
      <c r="J575" s="17">
        <v>1</v>
      </c>
      <c r="K575" s="17">
        <v>1</v>
      </c>
      <c r="L575" s="17">
        <v>1</v>
      </c>
      <c r="O575" s="54" t="s">
        <v>1053</v>
      </c>
      <c r="P575">
        <v>37.9</v>
      </c>
      <c r="Q575">
        <v>2</v>
      </c>
      <c r="R575">
        <v>1</v>
      </c>
    </row>
    <row r="576" spans="8:18">
      <c r="H576" s="16">
        <v>44802</v>
      </c>
      <c r="I576" s="17" t="s">
        <v>507</v>
      </c>
      <c r="J576" s="17">
        <v>1</v>
      </c>
      <c r="K576" s="17">
        <v>1</v>
      </c>
      <c r="L576" s="17">
        <v>1</v>
      </c>
      <c r="O576" s="54" t="s">
        <v>553</v>
      </c>
      <c r="P576">
        <v>37.9</v>
      </c>
      <c r="Q576">
        <v>1</v>
      </c>
      <c r="R576">
        <v>1</v>
      </c>
    </row>
    <row r="577" spans="8:18">
      <c r="H577" s="16">
        <v>44802</v>
      </c>
      <c r="I577" s="17" t="s">
        <v>470</v>
      </c>
      <c r="J577" s="17">
        <v>1</v>
      </c>
      <c r="K577" s="17">
        <v>1</v>
      </c>
      <c r="L577" s="17">
        <v>1</v>
      </c>
      <c r="O577" s="54" t="s">
        <v>851</v>
      </c>
      <c r="P577">
        <v>37.9</v>
      </c>
      <c r="Q577">
        <v>1</v>
      </c>
      <c r="R577">
        <v>1</v>
      </c>
    </row>
    <row r="578" spans="8:18">
      <c r="H578" s="16">
        <v>44802</v>
      </c>
      <c r="I578" s="17" t="s">
        <v>392</v>
      </c>
      <c r="J578" s="17">
        <v>1</v>
      </c>
      <c r="K578" s="17">
        <v>1</v>
      </c>
      <c r="L578" s="17">
        <v>1</v>
      </c>
      <c r="O578" s="54" t="s">
        <v>555</v>
      </c>
      <c r="P578">
        <v>37.9</v>
      </c>
      <c r="Q578">
        <v>1</v>
      </c>
      <c r="R578">
        <v>1</v>
      </c>
    </row>
    <row r="579" spans="8:18">
      <c r="H579" s="16">
        <v>44801</v>
      </c>
      <c r="I579" s="17" t="s">
        <v>481</v>
      </c>
      <c r="J579" s="17">
        <v>872.4</v>
      </c>
      <c r="K579" s="17">
        <v>11</v>
      </c>
      <c r="L579" s="17">
        <v>1</v>
      </c>
      <c r="O579" s="54" t="s">
        <v>561</v>
      </c>
      <c r="P579">
        <v>37.9</v>
      </c>
      <c r="Q579">
        <v>2</v>
      </c>
      <c r="R579">
        <v>2</v>
      </c>
    </row>
    <row r="580" spans="8:18">
      <c r="H580" s="16">
        <v>44801</v>
      </c>
      <c r="I580" s="17" t="s">
        <v>595</v>
      </c>
      <c r="J580" s="17">
        <v>536.6</v>
      </c>
      <c r="K580" s="17">
        <v>7</v>
      </c>
      <c r="L580" s="17">
        <v>1</v>
      </c>
      <c r="O580" s="54" t="s">
        <v>1054</v>
      </c>
      <c r="P580">
        <v>37.8</v>
      </c>
      <c r="Q580">
        <v>2</v>
      </c>
      <c r="R580">
        <v>2</v>
      </c>
    </row>
    <row r="581" spans="8:18">
      <c r="H581" s="16">
        <v>44801</v>
      </c>
      <c r="I581" s="17" t="s">
        <v>380</v>
      </c>
      <c r="J581" s="17">
        <v>511.9</v>
      </c>
      <c r="K581" s="17">
        <v>4</v>
      </c>
      <c r="L581" s="17">
        <v>1</v>
      </c>
      <c r="O581" s="54" t="s">
        <v>1055</v>
      </c>
      <c r="P581">
        <v>37.1</v>
      </c>
      <c r="Q581">
        <v>1</v>
      </c>
      <c r="R581">
        <v>1</v>
      </c>
    </row>
    <row r="582" spans="8:18">
      <c r="H582" s="16">
        <v>44801</v>
      </c>
      <c r="I582" s="17" t="s">
        <v>401</v>
      </c>
      <c r="J582" s="17">
        <v>450.6</v>
      </c>
      <c r="K582" s="17">
        <v>6</v>
      </c>
      <c r="L582" s="17">
        <v>1</v>
      </c>
      <c r="O582" s="54" t="s">
        <v>1056</v>
      </c>
      <c r="P582">
        <v>36.9</v>
      </c>
      <c r="Q582">
        <v>1</v>
      </c>
      <c r="R582">
        <v>1</v>
      </c>
    </row>
    <row r="583" spans="8:18">
      <c r="H583" s="16">
        <v>44801</v>
      </c>
      <c r="I583" s="17" t="s">
        <v>671</v>
      </c>
      <c r="J583" s="17">
        <v>381.9</v>
      </c>
      <c r="K583" s="17">
        <v>4</v>
      </c>
      <c r="L583" s="17">
        <v>1</v>
      </c>
      <c r="O583" s="54" t="s">
        <v>559</v>
      </c>
      <c r="P583">
        <v>36.9</v>
      </c>
      <c r="Q583">
        <v>1</v>
      </c>
      <c r="R583">
        <v>1</v>
      </c>
    </row>
    <row r="584" spans="8:18">
      <c r="H584" s="16">
        <v>44801</v>
      </c>
      <c r="I584" s="17" t="s">
        <v>400</v>
      </c>
      <c r="J584" s="17">
        <v>329.8</v>
      </c>
      <c r="K584" s="17">
        <v>4</v>
      </c>
      <c r="L584" s="17">
        <v>1</v>
      </c>
      <c r="O584" s="54" t="s">
        <v>557</v>
      </c>
      <c r="P584">
        <v>36.9</v>
      </c>
      <c r="Q584">
        <v>1</v>
      </c>
      <c r="R584">
        <v>1</v>
      </c>
    </row>
    <row r="585" spans="8:18">
      <c r="H585" s="16">
        <v>44801</v>
      </c>
      <c r="I585" s="17" t="s">
        <v>390</v>
      </c>
      <c r="J585" s="17">
        <v>320.8</v>
      </c>
      <c r="K585" s="17">
        <v>3</v>
      </c>
      <c r="L585" s="17">
        <v>1</v>
      </c>
      <c r="O585" s="54" t="s">
        <v>567</v>
      </c>
      <c r="P585">
        <v>36.9</v>
      </c>
      <c r="Q585">
        <v>1</v>
      </c>
      <c r="R585">
        <v>1</v>
      </c>
    </row>
    <row r="586" spans="8:18">
      <c r="H586" s="16">
        <v>44801</v>
      </c>
      <c r="I586" s="17" t="s">
        <v>744</v>
      </c>
      <c r="J586" s="17">
        <v>295.8</v>
      </c>
      <c r="K586" s="17">
        <v>3</v>
      </c>
      <c r="L586" s="17">
        <v>1</v>
      </c>
      <c r="O586" s="54" t="s">
        <v>1057</v>
      </c>
      <c r="P586">
        <v>36.1</v>
      </c>
      <c r="Q586">
        <v>1</v>
      </c>
      <c r="R586">
        <v>1</v>
      </c>
    </row>
    <row r="587" spans="8:18">
      <c r="H587" s="16">
        <v>44801</v>
      </c>
      <c r="I587" s="17" t="s">
        <v>602</v>
      </c>
      <c r="J587" s="17">
        <v>293.8</v>
      </c>
      <c r="K587" s="17">
        <v>4</v>
      </c>
      <c r="L587" s="17">
        <v>1</v>
      </c>
      <c r="O587" s="54" t="s">
        <v>1058</v>
      </c>
      <c r="P587">
        <v>32.92</v>
      </c>
      <c r="Q587">
        <v>3</v>
      </c>
      <c r="R587">
        <v>3</v>
      </c>
    </row>
    <row r="588" spans="8:18">
      <c r="H588" s="16">
        <v>44801</v>
      </c>
      <c r="I588" s="17" t="s">
        <v>746</v>
      </c>
      <c r="J588" s="17">
        <v>289.9</v>
      </c>
      <c r="K588" s="17">
        <v>3</v>
      </c>
      <c r="L588" s="17">
        <v>1</v>
      </c>
      <c r="O588" s="54" t="s">
        <v>1059</v>
      </c>
      <c r="P588">
        <v>31.8</v>
      </c>
      <c r="Q588">
        <v>4</v>
      </c>
      <c r="R588">
        <v>2</v>
      </c>
    </row>
    <row r="589" spans="8:18">
      <c r="H589" s="16">
        <v>44801</v>
      </c>
      <c r="I589" s="17" t="s">
        <v>762</v>
      </c>
      <c r="J589" s="17">
        <v>273.8</v>
      </c>
      <c r="K589" s="17">
        <v>4</v>
      </c>
      <c r="L589" s="17">
        <v>1</v>
      </c>
      <c r="O589" s="54" t="s">
        <v>1060</v>
      </c>
      <c r="P589">
        <v>30.8</v>
      </c>
      <c r="Q589">
        <v>3</v>
      </c>
      <c r="R589">
        <v>2</v>
      </c>
    </row>
    <row r="590" spans="8:18">
      <c r="H590" s="16">
        <v>44801</v>
      </c>
      <c r="I590" s="17" t="s">
        <v>781</v>
      </c>
      <c r="J590" s="17">
        <v>268.9</v>
      </c>
      <c r="K590" s="17">
        <v>3</v>
      </c>
      <c r="L590" s="17">
        <v>1</v>
      </c>
      <c r="O590" s="54" t="s">
        <v>1061</v>
      </c>
      <c r="P590">
        <v>30.8</v>
      </c>
      <c r="Q590">
        <v>3</v>
      </c>
      <c r="R590">
        <v>1</v>
      </c>
    </row>
    <row r="591" spans="8:18">
      <c r="H591" s="16">
        <v>44801</v>
      </c>
      <c r="I591" s="17" t="s">
        <v>780</v>
      </c>
      <c r="J591" s="17">
        <v>268.9</v>
      </c>
      <c r="K591" s="17">
        <v>2</v>
      </c>
      <c r="L591" s="17">
        <v>1</v>
      </c>
      <c r="O591" s="54" t="s">
        <v>1062</v>
      </c>
      <c r="P591">
        <v>30.8</v>
      </c>
      <c r="Q591">
        <v>3</v>
      </c>
      <c r="R591">
        <v>2</v>
      </c>
    </row>
    <row r="592" spans="8:18">
      <c r="H592" s="16">
        <v>44801</v>
      </c>
      <c r="I592" s="17" t="s">
        <v>760</v>
      </c>
      <c r="J592" s="17">
        <v>268.9</v>
      </c>
      <c r="K592" s="17">
        <v>2</v>
      </c>
      <c r="L592" s="17">
        <v>1</v>
      </c>
      <c r="O592" s="54" t="s">
        <v>1049</v>
      </c>
      <c r="P592">
        <v>30.8</v>
      </c>
      <c r="Q592">
        <v>3</v>
      </c>
      <c r="R592">
        <v>2</v>
      </c>
    </row>
    <row r="593" spans="8:18">
      <c r="H593" s="16">
        <v>44801</v>
      </c>
      <c r="I593" s="17" t="s">
        <v>403</v>
      </c>
      <c r="J593" s="17">
        <v>267.9</v>
      </c>
      <c r="K593" s="17">
        <v>2</v>
      </c>
      <c r="L593" s="17">
        <v>1</v>
      </c>
      <c r="O593" s="54" t="s">
        <v>1011</v>
      </c>
      <c r="P593">
        <v>30.8</v>
      </c>
      <c r="Q593">
        <v>3</v>
      </c>
      <c r="R593">
        <v>1</v>
      </c>
    </row>
    <row r="594" spans="8:18">
      <c r="H594" s="16">
        <v>44801</v>
      </c>
      <c r="I594" s="17" t="s">
        <v>514</v>
      </c>
      <c r="J594" s="17">
        <v>266.9</v>
      </c>
      <c r="K594" s="17">
        <v>2</v>
      </c>
      <c r="L594" s="17">
        <v>1</v>
      </c>
      <c r="O594" s="54" t="s">
        <v>604</v>
      </c>
      <c r="P594">
        <v>30.8</v>
      </c>
      <c r="Q594">
        <v>3</v>
      </c>
      <c r="R594">
        <v>2</v>
      </c>
    </row>
    <row r="595" spans="8:18">
      <c r="H595" s="16">
        <v>44801</v>
      </c>
      <c r="I595" s="17" t="s">
        <v>796</v>
      </c>
      <c r="J595" s="17">
        <v>259.9</v>
      </c>
      <c r="K595" s="17">
        <v>3</v>
      </c>
      <c r="L595" s="17">
        <v>1</v>
      </c>
      <c r="O595" s="54" t="s">
        <v>1063</v>
      </c>
      <c r="P595">
        <v>29.9</v>
      </c>
      <c r="Q595">
        <v>3</v>
      </c>
      <c r="R595">
        <v>1</v>
      </c>
    </row>
    <row r="596" spans="8:18">
      <c r="H596" s="16">
        <v>44801</v>
      </c>
      <c r="I596" s="17" t="s">
        <v>794</v>
      </c>
      <c r="J596" s="17">
        <v>259.9</v>
      </c>
      <c r="K596" s="17">
        <v>3</v>
      </c>
      <c r="L596" s="17">
        <v>1</v>
      </c>
      <c r="O596" s="54" t="s">
        <v>685</v>
      </c>
      <c r="P596">
        <v>29.9</v>
      </c>
      <c r="Q596">
        <v>1</v>
      </c>
      <c r="R596">
        <v>1</v>
      </c>
    </row>
    <row r="597" spans="8:18">
      <c r="H597" s="16">
        <v>44801</v>
      </c>
      <c r="I597" s="17" t="s">
        <v>792</v>
      </c>
      <c r="J597" s="17">
        <v>259.9</v>
      </c>
      <c r="K597" s="17">
        <v>3</v>
      </c>
      <c r="L597" s="17">
        <v>1</v>
      </c>
      <c r="O597" s="54" t="s">
        <v>1064</v>
      </c>
      <c r="P597">
        <v>29.8</v>
      </c>
      <c r="Q597">
        <v>2</v>
      </c>
      <c r="R597">
        <v>1</v>
      </c>
    </row>
    <row r="598" spans="8:18">
      <c r="H598" s="16">
        <v>44801</v>
      </c>
      <c r="I598" s="17" t="s">
        <v>816</v>
      </c>
      <c r="J598" s="17">
        <v>250</v>
      </c>
      <c r="K598" s="17">
        <v>2</v>
      </c>
      <c r="L598" s="17">
        <v>1</v>
      </c>
      <c r="O598" s="54" t="s">
        <v>1065</v>
      </c>
      <c r="P598">
        <v>29.8</v>
      </c>
      <c r="Q598">
        <v>2</v>
      </c>
      <c r="R598">
        <v>1</v>
      </c>
    </row>
    <row r="599" spans="8:18">
      <c r="H599" s="16">
        <v>44801</v>
      </c>
      <c r="I599" s="17" t="s">
        <v>468</v>
      </c>
      <c r="J599" s="17">
        <v>249.6</v>
      </c>
      <c r="K599" s="17">
        <v>6</v>
      </c>
      <c r="L599" s="17">
        <v>1</v>
      </c>
      <c r="O599" s="54" t="s">
        <v>1066</v>
      </c>
      <c r="P599">
        <v>29.8</v>
      </c>
      <c r="Q599">
        <v>2</v>
      </c>
      <c r="R599">
        <v>1</v>
      </c>
    </row>
    <row r="600" spans="8:18">
      <c r="H600" s="16">
        <v>44801</v>
      </c>
      <c r="I600" s="17" t="s">
        <v>821</v>
      </c>
      <c r="J600" s="17">
        <v>249</v>
      </c>
      <c r="K600" s="17">
        <v>1</v>
      </c>
      <c r="L600" s="17">
        <v>1</v>
      </c>
      <c r="O600" s="54" t="s">
        <v>1067</v>
      </c>
      <c r="P600">
        <v>29.8</v>
      </c>
      <c r="Q600">
        <v>2</v>
      </c>
      <c r="R600">
        <v>1</v>
      </c>
    </row>
    <row r="601" spans="8:18">
      <c r="H601" s="16">
        <v>44801</v>
      </c>
      <c r="I601" s="17" t="s">
        <v>820</v>
      </c>
      <c r="J601" s="17">
        <v>249</v>
      </c>
      <c r="K601" s="17">
        <v>1</v>
      </c>
      <c r="L601" s="17">
        <v>1</v>
      </c>
      <c r="O601" s="54" t="s">
        <v>1036</v>
      </c>
      <c r="P601">
        <v>29.8</v>
      </c>
      <c r="Q601">
        <v>2</v>
      </c>
      <c r="R601">
        <v>2</v>
      </c>
    </row>
    <row r="602" spans="8:18">
      <c r="H602" s="16">
        <v>44801</v>
      </c>
      <c r="I602" s="17" t="s">
        <v>817</v>
      </c>
      <c r="J602" s="17">
        <v>249</v>
      </c>
      <c r="K602" s="17">
        <v>1</v>
      </c>
      <c r="L602" s="17">
        <v>1</v>
      </c>
      <c r="O602" s="54" t="s">
        <v>1068</v>
      </c>
      <c r="P602">
        <v>29.68</v>
      </c>
      <c r="Q602">
        <v>3</v>
      </c>
      <c r="R602">
        <v>2</v>
      </c>
    </row>
    <row r="603" spans="8:18">
      <c r="H603" s="16">
        <v>44801</v>
      </c>
      <c r="I603" s="17" t="s">
        <v>854</v>
      </c>
      <c r="J603" s="17">
        <v>245</v>
      </c>
      <c r="K603" s="17">
        <v>1</v>
      </c>
      <c r="L603" s="17">
        <v>1</v>
      </c>
      <c r="O603" s="54" t="s">
        <v>951</v>
      </c>
      <c r="P603">
        <v>27.9</v>
      </c>
      <c r="Q603">
        <v>1</v>
      </c>
      <c r="R603">
        <v>1</v>
      </c>
    </row>
    <row r="604" spans="8:18">
      <c r="H604" s="16">
        <v>44801</v>
      </c>
      <c r="I604" s="17" t="s">
        <v>686</v>
      </c>
      <c r="J604" s="17">
        <v>216</v>
      </c>
      <c r="K604" s="17">
        <v>1</v>
      </c>
      <c r="L604" s="17">
        <v>1</v>
      </c>
      <c r="O604" s="54" t="s">
        <v>1069</v>
      </c>
      <c r="P604">
        <v>22.9</v>
      </c>
      <c r="Q604">
        <v>4</v>
      </c>
      <c r="R604">
        <v>4</v>
      </c>
    </row>
    <row r="605" spans="8:18">
      <c r="H605" s="16">
        <v>44801</v>
      </c>
      <c r="I605" s="17" t="s">
        <v>881</v>
      </c>
      <c r="J605" s="17">
        <v>210</v>
      </c>
      <c r="K605" s="17">
        <v>2</v>
      </c>
      <c r="L605" s="17">
        <v>1</v>
      </c>
      <c r="O605" s="54" t="s">
        <v>1070</v>
      </c>
      <c r="P605">
        <v>22.8</v>
      </c>
      <c r="Q605">
        <v>5</v>
      </c>
      <c r="R605">
        <v>4</v>
      </c>
    </row>
    <row r="606" spans="8:18">
      <c r="H606" s="16">
        <v>44801</v>
      </c>
      <c r="I606" s="17" t="s">
        <v>707</v>
      </c>
      <c r="J606" s="17">
        <v>173.8</v>
      </c>
      <c r="K606" s="17">
        <v>4</v>
      </c>
      <c r="L606" s="17">
        <v>1</v>
      </c>
      <c r="O606" s="54" t="s">
        <v>1071</v>
      </c>
      <c r="P606">
        <v>21.9</v>
      </c>
      <c r="Q606">
        <v>3</v>
      </c>
      <c r="R606">
        <v>3</v>
      </c>
    </row>
    <row r="607" spans="8:18">
      <c r="H607" s="16">
        <v>44801</v>
      </c>
      <c r="I607" s="17" t="s">
        <v>431</v>
      </c>
      <c r="J607" s="17">
        <v>148.8</v>
      </c>
      <c r="K607" s="17">
        <v>4</v>
      </c>
      <c r="L607" s="17">
        <v>1</v>
      </c>
      <c r="O607" s="54" t="s">
        <v>808</v>
      </c>
      <c r="P607">
        <v>21.9</v>
      </c>
      <c r="Q607">
        <v>3</v>
      </c>
      <c r="R607">
        <v>3</v>
      </c>
    </row>
    <row r="608" spans="8:18">
      <c r="H608" s="16">
        <v>44801</v>
      </c>
      <c r="I608" s="17" t="s">
        <v>382</v>
      </c>
      <c r="J608" s="17">
        <v>138</v>
      </c>
      <c r="K608" s="17">
        <v>1</v>
      </c>
      <c r="L608" s="17">
        <v>1</v>
      </c>
      <c r="O608" s="54" t="s">
        <v>1072</v>
      </c>
      <c r="P608">
        <v>20.9</v>
      </c>
      <c r="Q608">
        <v>2</v>
      </c>
      <c r="R608">
        <v>2</v>
      </c>
    </row>
    <row r="609" spans="8:18">
      <c r="H609" s="16">
        <v>44801</v>
      </c>
      <c r="I609" s="17" t="s">
        <v>545</v>
      </c>
      <c r="J609" s="17">
        <v>135</v>
      </c>
      <c r="K609" s="17">
        <v>2</v>
      </c>
      <c r="L609" s="17">
        <v>1</v>
      </c>
      <c r="O609" s="54" t="s">
        <v>1073</v>
      </c>
      <c r="P609">
        <v>20.9</v>
      </c>
      <c r="Q609">
        <v>2</v>
      </c>
      <c r="R609">
        <v>1</v>
      </c>
    </row>
    <row r="610" spans="8:18">
      <c r="H610" s="16">
        <v>44801</v>
      </c>
      <c r="I610" s="17" t="s">
        <v>934</v>
      </c>
      <c r="J610" s="17">
        <v>109.6</v>
      </c>
      <c r="K610" s="17">
        <v>4</v>
      </c>
      <c r="L610" s="17">
        <v>1</v>
      </c>
      <c r="O610" s="54" t="s">
        <v>1074</v>
      </c>
      <c r="P610">
        <v>20.9</v>
      </c>
      <c r="Q610">
        <v>2</v>
      </c>
      <c r="R610">
        <v>1</v>
      </c>
    </row>
    <row r="611" spans="8:18">
      <c r="H611" s="16">
        <v>44801</v>
      </c>
      <c r="I611" s="17" t="s">
        <v>940</v>
      </c>
      <c r="J611" s="17">
        <v>100</v>
      </c>
      <c r="K611" s="17">
        <v>2</v>
      </c>
      <c r="L611" s="17">
        <v>1</v>
      </c>
      <c r="O611" s="54" t="s">
        <v>1075</v>
      </c>
      <c r="P611">
        <v>20.9</v>
      </c>
      <c r="Q611">
        <v>2</v>
      </c>
      <c r="R611">
        <v>2</v>
      </c>
    </row>
    <row r="612" spans="8:18">
      <c r="H612" s="16">
        <v>44801</v>
      </c>
      <c r="I612" s="17" t="s">
        <v>945</v>
      </c>
      <c r="J612" s="17">
        <v>96</v>
      </c>
      <c r="K612" s="17">
        <v>1</v>
      </c>
      <c r="L612" s="17">
        <v>1</v>
      </c>
      <c r="O612" s="54" t="s">
        <v>1076</v>
      </c>
      <c r="P612">
        <v>20.9</v>
      </c>
      <c r="Q612">
        <v>2</v>
      </c>
      <c r="R612">
        <v>1</v>
      </c>
    </row>
    <row r="613" spans="8:18">
      <c r="H613" s="16">
        <v>44801</v>
      </c>
      <c r="I613" s="17" t="s">
        <v>402</v>
      </c>
      <c r="J613" s="17">
        <v>95</v>
      </c>
      <c r="K613" s="17">
        <v>2</v>
      </c>
      <c r="L613" s="17">
        <v>1</v>
      </c>
      <c r="O613" s="54" t="s">
        <v>1077</v>
      </c>
      <c r="P613">
        <v>20.9</v>
      </c>
      <c r="Q613">
        <v>2</v>
      </c>
      <c r="R613">
        <v>1</v>
      </c>
    </row>
    <row r="614" spans="8:18">
      <c r="H614" s="16">
        <v>44801</v>
      </c>
      <c r="I614" s="17" t="s">
        <v>629</v>
      </c>
      <c r="J614" s="17">
        <v>93</v>
      </c>
      <c r="K614" s="17">
        <v>1</v>
      </c>
      <c r="L614" s="17">
        <v>1</v>
      </c>
      <c r="O614" s="54" t="s">
        <v>1051</v>
      </c>
      <c r="P614">
        <v>20.9</v>
      </c>
      <c r="Q614">
        <v>2</v>
      </c>
      <c r="R614">
        <v>2</v>
      </c>
    </row>
    <row r="615" spans="8:18">
      <c r="H615" s="16">
        <v>44801</v>
      </c>
      <c r="I615" s="17" t="s">
        <v>855</v>
      </c>
      <c r="J615" s="17">
        <v>88.6</v>
      </c>
      <c r="K615" s="17">
        <v>5</v>
      </c>
      <c r="L615" s="17">
        <v>1</v>
      </c>
      <c r="O615" s="54" t="s">
        <v>872</v>
      </c>
      <c r="P615">
        <v>20.9</v>
      </c>
      <c r="Q615">
        <v>2</v>
      </c>
      <c r="R615">
        <v>2</v>
      </c>
    </row>
    <row r="616" spans="8:18">
      <c r="H616" s="16">
        <v>44801</v>
      </c>
      <c r="I616" s="17" t="s">
        <v>547</v>
      </c>
      <c r="J616" s="17">
        <v>77.8</v>
      </c>
      <c r="K616" s="17">
        <v>2</v>
      </c>
      <c r="L616" s="17">
        <v>1</v>
      </c>
      <c r="O616" s="54" t="s">
        <v>752</v>
      </c>
      <c r="P616">
        <v>20.9</v>
      </c>
      <c r="Q616">
        <v>2</v>
      </c>
      <c r="R616">
        <v>2</v>
      </c>
    </row>
    <row r="617" spans="8:18">
      <c r="H617" s="16">
        <v>44801</v>
      </c>
      <c r="I617" s="17" t="s">
        <v>731</v>
      </c>
      <c r="J617" s="17">
        <v>69.7</v>
      </c>
      <c r="K617" s="17">
        <v>3</v>
      </c>
      <c r="L617" s="17">
        <v>1</v>
      </c>
      <c r="O617" s="54" t="s">
        <v>1078</v>
      </c>
      <c r="P617">
        <v>19.9</v>
      </c>
      <c r="Q617">
        <v>1</v>
      </c>
      <c r="R617">
        <v>1</v>
      </c>
    </row>
    <row r="618" spans="8:18">
      <c r="H618" s="16">
        <v>44801</v>
      </c>
      <c r="I618" s="17" t="s">
        <v>979</v>
      </c>
      <c r="J618" s="17">
        <v>67.7</v>
      </c>
      <c r="K618" s="17">
        <v>4</v>
      </c>
      <c r="L618" s="17">
        <v>1</v>
      </c>
      <c r="O618" s="54" t="s">
        <v>1079</v>
      </c>
      <c r="P618">
        <v>19.9</v>
      </c>
      <c r="Q618">
        <v>1</v>
      </c>
      <c r="R618">
        <v>1</v>
      </c>
    </row>
    <row r="619" spans="8:18">
      <c r="H619" s="16">
        <v>44801</v>
      </c>
      <c r="I619" s="17" t="s">
        <v>720</v>
      </c>
      <c r="J619" s="17">
        <v>60.8</v>
      </c>
      <c r="K619" s="17">
        <v>3</v>
      </c>
      <c r="L619" s="17">
        <v>1</v>
      </c>
      <c r="O619" s="54" t="s">
        <v>1080</v>
      </c>
      <c r="P619">
        <v>19.9</v>
      </c>
      <c r="Q619">
        <v>1</v>
      </c>
      <c r="R619">
        <v>1</v>
      </c>
    </row>
    <row r="620" spans="8:18">
      <c r="H620" s="16">
        <v>44801</v>
      </c>
      <c r="I620" s="17" t="s">
        <v>709</v>
      </c>
      <c r="J620" s="17">
        <v>50.8</v>
      </c>
      <c r="K620" s="17">
        <v>3</v>
      </c>
      <c r="L620" s="17">
        <v>1</v>
      </c>
      <c r="O620" s="54" t="s">
        <v>1081</v>
      </c>
      <c r="P620">
        <v>19.9</v>
      </c>
      <c r="Q620">
        <v>1</v>
      </c>
      <c r="R620">
        <v>1</v>
      </c>
    </row>
    <row r="621" spans="8:18">
      <c r="H621" s="16">
        <v>44801</v>
      </c>
      <c r="I621" s="17" t="s">
        <v>520</v>
      </c>
      <c r="J621" s="17">
        <v>50.8</v>
      </c>
      <c r="K621" s="17">
        <v>3</v>
      </c>
      <c r="L621" s="17">
        <v>1</v>
      </c>
      <c r="O621" s="54" t="s">
        <v>1082</v>
      </c>
      <c r="P621">
        <v>19.9</v>
      </c>
      <c r="Q621">
        <v>1</v>
      </c>
      <c r="R621">
        <v>1</v>
      </c>
    </row>
    <row r="622" spans="8:18">
      <c r="H622" s="16">
        <v>44801</v>
      </c>
      <c r="I622" s="17" t="s">
        <v>513</v>
      </c>
      <c r="J622" s="17">
        <v>48.8</v>
      </c>
      <c r="K622" s="17">
        <v>3</v>
      </c>
      <c r="L622" s="17">
        <v>1</v>
      </c>
      <c r="O622" s="54" t="s">
        <v>1083</v>
      </c>
      <c r="P622">
        <v>19.9</v>
      </c>
      <c r="Q622">
        <v>1</v>
      </c>
      <c r="R622">
        <v>1</v>
      </c>
    </row>
    <row r="623" spans="8:18">
      <c r="H623" s="16">
        <v>44801</v>
      </c>
      <c r="I623" s="17" t="s">
        <v>1007</v>
      </c>
      <c r="J623" s="17">
        <v>46.8</v>
      </c>
      <c r="K623" s="17">
        <v>2</v>
      </c>
      <c r="L623" s="17">
        <v>1</v>
      </c>
      <c r="O623" s="54" t="s">
        <v>1084</v>
      </c>
      <c r="P623">
        <v>19.9</v>
      </c>
      <c r="Q623">
        <v>1</v>
      </c>
      <c r="R623">
        <v>1</v>
      </c>
    </row>
    <row r="624" spans="8:18">
      <c r="H624" s="16">
        <v>44801</v>
      </c>
      <c r="I624" s="17" t="s">
        <v>1015</v>
      </c>
      <c r="J624" s="17">
        <v>40.9</v>
      </c>
      <c r="K624" s="17">
        <v>2</v>
      </c>
      <c r="L624" s="17">
        <v>1</v>
      </c>
      <c r="O624" s="54" t="s">
        <v>1085</v>
      </c>
      <c r="P624">
        <v>19.9</v>
      </c>
      <c r="Q624">
        <v>1</v>
      </c>
      <c r="R624">
        <v>1</v>
      </c>
    </row>
    <row r="625" spans="8:18">
      <c r="H625" s="16">
        <v>44801</v>
      </c>
      <c r="I625" s="17" t="s">
        <v>1014</v>
      </c>
      <c r="J625" s="17">
        <v>40.9</v>
      </c>
      <c r="K625" s="17">
        <v>2</v>
      </c>
      <c r="L625" s="17">
        <v>1</v>
      </c>
      <c r="O625" s="54" t="s">
        <v>1086</v>
      </c>
      <c r="P625">
        <v>19.9</v>
      </c>
      <c r="Q625">
        <v>1</v>
      </c>
      <c r="R625">
        <v>1</v>
      </c>
    </row>
    <row r="626" spans="8:18">
      <c r="H626" s="16">
        <v>44801</v>
      </c>
      <c r="I626" s="17" t="s">
        <v>1013</v>
      </c>
      <c r="J626" s="17">
        <v>40.9</v>
      </c>
      <c r="K626" s="17">
        <v>2</v>
      </c>
      <c r="L626" s="17">
        <v>1</v>
      </c>
      <c r="O626" s="54" t="s">
        <v>1087</v>
      </c>
      <c r="P626">
        <v>19.9</v>
      </c>
      <c r="Q626">
        <v>1</v>
      </c>
      <c r="R626">
        <v>1</v>
      </c>
    </row>
    <row r="627" spans="8:18">
      <c r="H627" s="16">
        <v>44801</v>
      </c>
      <c r="I627" s="17" t="s">
        <v>931</v>
      </c>
      <c r="J627" s="17">
        <v>40.9</v>
      </c>
      <c r="K627" s="17">
        <v>2</v>
      </c>
      <c r="L627" s="17">
        <v>1</v>
      </c>
      <c r="O627" s="54" t="s">
        <v>1088</v>
      </c>
      <c r="P627">
        <v>19.9</v>
      </c>
      <c r="Q627">
        <v>1</v>
      </c>
      <c r="R627">
        <v>1</v>
      </c>
    </row>
    <row r="628" spans="8:18">
      <c r="H628" s="16">
        <v>44801</v>
      </c>
      <c r="I628" s="17" t="s">
        <v>483</v>
      </c>
      <c r="J628" s="17">
        <v>40.9</v>
      </c>
      <c r="K628" s="17">
        <v>2</v>
      </c>
      <c r="L628" s="17">
        <v>1</v>
      </c>
      <c r="O628" s="54" t="s">
        <v>1089</v>
      </c>
      <c r="P628">
        <v>19.9</v>
      </c>
      <c r="Q628">
        <v>1</v>
      </c>
      <c r="R628">
        <v>1</v>
      </c>
    </row>
    <row r="629" spans="8:18">
      <c r="H629" s="16">
        <v>44801</v>
      </c>
      <c r="I629" s="17" t="s">
        <v>1008</v>
      </c>
      <c r="J629" s="17">
        <v>40.9</v>
      </c>
      <c r="K629" s="17">
        <v>2</v>
      </c>
      <c r="L629" s="17">
        <v>1</v>
      </c>
      <c r="O629" s="54" t="s">
        <v>1090</v>
      </c>
      <c r="P629">
        <v>19.9</v>
      </c>
      <c r="Q629">
        <v>1</v>
      </c>
      <c r="R629">
        <v>1</v>
      </c>
    </row>
    <row r="630" spans="8:18">
      <c r="H630" s="16">
        <v>44801</v>
      </c>
      <c r="I630" s="17" t="s">
        <v>1016</v>
      </c>
      <c r="J630" s="17">
        <v>40.8</v>
      </c>
      <c r="K630" s="17">
        <v>3</v>
      </c>
      <c r="L630" s="17">
        <v>1</v>
      </c>
      <c r="O630" s="54" t="s">
        <v>1091</v>
      </c>
      <c r="P630">
        <v>19.9</v>
      </c>
      <c r="Q630">
        <v>1</v>
      </c>
      <c r="R630">
        <v>1</v>
      </c>
    </row>
    <row r="631" spans="8:18">
      <c r="H631" s="16">
        <v>44801</v>
      </c>
      <c r="I631" s="17" t="s">
        <v>759</v>
      </c>
      <c r="J631" s="17">
        <v>39.9</v>
      </c>
      <c r="K631" s="17">
        <v>1</v>
      </c>
      <c r="L631" s="17">
        <v>1</v>
      </c>
      <c r="O631" s="54" t="s">
        <v>1092</v>
      </c>
      <c r="P631">
        <v>19.9</v>
      </c>
      <c r="Q631">
        <v>1</v>
      </c>
      <c r="R631">
        <v>1</v>
      </c>
    </row>
    <row r="632" spans="8:18">
      <c r="H632" s="16">
        <v>44801</v>
      </c>
      <c r="I632" s="17" t="s">
        <v>613</v>
      </c>
      <c r="J632" s="17">
        <v>39.9</v>
      </c>
      <c r="K632" s="17">
        <v>1</v>
      </c>
      <c r="L632" s="17">
        <v>1</v>
      </c>
      <c r="O632" s="54" t="s">
        <v>1093</v>
      </c>
      <c r="P632">
        <v>19.9</v>
      </c>
      <c r="Q632">
        <v>1</v>
      </c>
      <c r="R632">
        <v>1</v>
      </c>
    </row>
    <row r="633" spans="8:18">
      <c r="H633" s="16">
        <v>44801</v>
      </c>
      <c r="I633" s="17" t="s">
        <v>742</v>
      </c>
      <c r="J633" s="17">
        <v>39.9</v>
      </c>
      <c r="K633" s="17">
        <v>1</v>
      </c>
      <c r="L633" s="17">
        <v>1</v>
      </c>
      <c r="O633" s="54" t="s">
        <v>1094</v>
      </c>
      <c r="P633">
        <v>19.9</v>
      </c>
      <c r="Q633">
        <v>1</v>
      </c>
      <c r="R633">
        <v>1</v>
      </c>
    </row>
    <row r="634" spans="8:18">
      <c r="H634" s="16">
        <v>44801</v>
      </c>
      <c r="I634" s="17" t="s">
        <v>375</v>
      </c>
      <c r="J634" s="17">
        <v>39.9</v>
      </c>
      <c r="K634" s="17">
        <v>2</v>
      </c>
      <c r="L634" s="17">
        <v>1</v>
      </c>
      <c r="O634" s="54" t="s">
        <v>1095</v>
      </c>
      <c r="P634">
        <v>19.9</v>
      </c>
      <c r="Q634">
        <v>1</v>
      </c>
      <c r="R634">
        <v>1</v>
      </c>
    </row>
    <row r="635" spans="8:18">
      <c r="H635" s="16">
        <v>44801</v>
      </c>
      <c r="I635" s="17" t="s">
        <v>666</v>
      </c>
      <c r="J635" s="17">
        <v>39.9</v>
      </c>
      <c r="K635" s="17">
        <v>1</v>
      </c>
      <c r="L635" s="17">
        <v>1</v>
      </c>
      <c r="O635" s="54" t="s">
        <v>1096</v>
      </c>
      <c r="P635">
        <v>19.9</v>
      </c>
      <c r="Q635">
        <v>1</v>
      </c>
      <c r="R635">
        <v>1</v>
      </c>
    </row>
    <row r="636" spans="8:18">
      <c r="H636" s="16">
        <v>44801</v>
      </c>
      <c r="I636" s="17" t="s">
        <v>948</v>
      </c>
      <c r="J636" s="17">
        <v>39.9</v>
      </c>
      <c r="K636" s="17">
        <v>2</v>
      </c>
      <c r="L636" s="17">
        <v>1</v>
      </c>
      <c r="O636" s="54" t="s">
        <v>1097</v>
      </c>
      <c r="P636">
        <v>19.9</v>
      </c>
      <c r="Q636">
        <v>1</v>
      </c>
      <c r="R636">
        <v>1</v>
      </c>
    </row>
    <row r="637" spans="8:18">
      <c r="H637" s="16">
        <v>44801</v>
      </c>
      <c r="I637" s="17" t="s">
        <v>467</v>
      </c>
      <c r="J637" s="17">
        <v>39.9</v>
      </c>
      <c r="K637" s="17">
        <v>2</v>
      </c>
      <c r="L637" s="17">
        <v>1</v>
      </c>
      <c r="O637" s="54" t="s">
        <v>1098</v>
      </c>
      <c r="P637">
        <v>19.9</v>
      </c>
      <c r="Q637">
        <v>1</v>
      </c>
      <c r="R637">
        <v>1</v>
      </c>
    </row>
    <row r="638" spans="8:18">
      <c r="H638" s="16">
        <v>44801</v>
      </c>
      <c r="I638" s="17" t="s">
        <v>1045</v>
      </c>
      <c r="J638" s="17">
        <v>39.8</v>
      </c>
      <c r="K638" s="17">
        <v>2</v>
      </c>
      <c r="L638" s="17">
        <v>1</v>
      </c>
      <c r="O638" s="54" t="s">
        <v>1099</v>
      </c>
      <c r="P638">
        <v>19.9</v>
      </c>
      <c r="Q638">
        <v>1</v>
      </c>
      <c r="R638">
        <v>1</v>
      </c>
    </row>
    <row r="639" spans="8:18">
      <c r="H639" s="16">
        <v>44801</v>
      </c>
      <c r="I639" s="17" t="s">
        <v>1047</v>
      </c>
      <c r="J639" s="17">
        <v>38.9</v>
      </c>
      <c r="K639" s="17">
        <v>1</v>
      </c>
      <c r="L639" s="17">
        <v>1</v>
      </c>
      <c r="O639" s="54" t="s">
        <v>1100</v>
      </c>
      <c r="P639">
        <v>19.9</v>
      </c>
      <c r="Q639">
        <v>1</v>
      </c>
      <c r="R639">
        <v>1</v>
      </c>
    </row>
    <row r="640" spans="8:18">
      <c r="H640" s="16">
        <v>44801</v>
      </c>
      <c r="I640" s="17" t="s">
        <v>751</v>
      </c>
      <c r="J640" s="17">
        <v>38.9</v>
      </c>
      <c r="K640" s="17">
        <v>2</v>
      </c>
      <c r="L640" s="17">
        <v>1</v>
      </c>
      <c r="O640" s="54" t="s">
        <v>1101</v>
      </c>
      <c r="P640">
        <v>19.9</v>
      </c>
      <c r="Q640">
        <v>1</v>
      </c>
      <c r="R640">
        <v>1</v>
      </c>
    </row>
    <row r="641" spans="8:18">
      <c r="H641" s="16">
        <v>44801</v>
      </c>
      <c r="I641" s="17" t="s">
        <v>549</v>
      </c>
      <c r="J641" s="17">
        <v>38.9</v>
      </c>
      <c r="K641" s="17">
        <v>2</v>
      </c>
      <c r="L641" s="17">
        <v>1</v>
      </c>
      <c r="O641" s="54" t="s">
        <v>1102</v>
      </c>
      <c r="P641">
        <v>19.9</v>
      </c>
      <c r="Q641">
        <v>1</v>
      </c>
      <c r="R641">
        <v>1</v>
      </c>
    </row>
    <row r="642" spans="8:18">
      <c r="H642" s="16">
        <v>44801</v>
      </c>
      <c r="I642" s="17" t="s">
        <v>384</v>
      </c>
      <c r="J642" s="17">
        <v>37.9</v>
      </c>
      <c r="K642" s="17">
        <v>1</v>
      </c>
      <c r="L642" s="17">
        <v>1</v>
      </c>
      <c r="O642" s="54" t="s">
        <v>1103</v>
      </c>
      <c r="P642">
        <v>19.9</v>
      </c>
      <c r="Q642">
        <v>1</v>
      </c>
      <c r="R642">
        <v>1</v>
      </c>
    </row>
    <row r="643" spans="8:18">
      <c r="H643" s="16">
        <v>44801</v>
      </c>
      <c r="I643" s="17" t="s">
        <v>587</v>
      </c>
      <c r="J643" s="17">
        <v>36.9</v>
      </c>
      <c r="K643" s="17">
        <v>1</v>
      </c>
      <c r="L643" s="17">
        <v>1</v>
      </c>
      <c r="O643" s="54" t="s">
        <v>922</v>
      </c>
      <c r="P643">
        <v>19.9</v>
      </c>
      <c r="Q643">
        <v>1</v>
      </c>
      <c r="R643">
        <v>1</v>
      </c>
    </row>
    <row r="644" spans="8:18">
      <c r="H644" s="16">
        <v>44801</v>
      </c>
      <c r="I644" s="17" t="s">
        <v>1077</v>
      </c>
      <c r="J644" s="17">
        <v>20.9</v>
      </c>
      <c r="K644" s="17">
        <v>2</v>
      </c>
      <c r="L644" s="17">
        <v>1</v>
      </c>
      <c r="O644" s="54" t="s">
        <v>898</v>
      </c>
      <c r="P644">
        <v>19.9</v>
      </c>
      <c r="Q644">
        <v>1</v>
      </c>
      <c r="R644">
        <v>1</v>
      </c>
    </row>
    <row r="645" spans="8:18">
      <c r="H645" s="16">
        <v>44801</v>
      </c>
      <c r="I645" s="17" t="s">
        <v>1076</v>
      </c>
      <c r="J645" s="17">
        <v>20.9</v>
      </c>
      <c r="K645" s="17">
        <v>2</v>
      </c>
      <c r="L645" s="17">
        <v>1</v>
      </c>
      <c r="O645" s="54" t="s">
        <v>702</v>
      </c>
      <c r="P645">
        <v>19.9</v>
      </c>
      <c r="Q645">
        <v>1</v>
      </c>
      <c r="R645">
        <v>1</v>
      </c>
    </row>
    <row r="646" spans="8:18">
      <c r="H646" s="16">
        <v>44801</v>
      </c>
      <c r="I646" s="17" t="s">
        <v>1059</v>
      </c>
      <c r="J646" s="17">
        <v>20.9</v>
      </c>
      <c r="K646" s="17">
        <v>2</v>
      </c>
      <c r="L646" s="17">
        <v>1</v>
      </c>
      <c r="O646" s="54" t="s">
        <v>601</v>
      </c>
      <c r="P646">
        <v>19.9</v>
      </c>
      <c r="Q646">
        <v>1</v>
      </c>
      <c r="R646">
        <v>1</v>
      </c>
    </row>
    <row r="647" spans="8:18">
      <c r="H647" s="16">
        <v>44801</v>
      </c>
      <c r="I647" s="17" t="s">
        <v>518</v>
      </c>
      <c r="J647" s="17">
        <v>20.9</v>
      </c>
      <c r="K647" s="17">
        <v>2</v>
      </c>
      <c r="L647" s="17">
        <v>1</v>
      </c>
      <c r="O647" s="54" t="s">
        <v>635</v>
      </c>
      <c r="P647">
        <v>19.9</v>
      </c>
      <c r="Q647">
        <v>1</v>
      </c>
      <c r="R647">
        <v>1</v>
      </c>
    </row>
    <row r="648" spans="8:18">
      <c r="H648" s="16">
        <v>44801</v>
      </c>
      <c r="I648" s="17" t="s">
        <v>782</v>
      </c>
      <c r="J648" s="17">
        <v>19.9</v>
      </c>
      <c r="K648" s="17">
        <v>1</v>
      </c>
      <c r="L648" s="17">
        <v>1</v>
      </c>
      <c r="O648" s="54" t="s">
        <v>597</v>
      </c>
      <c r="P648">
        <v>19.9</v>
      </c>
      <c r="Q648">
        <v>1</v>
      </c>
      <c r="R648">
        <v>1</v>
      </c>
    </row>
    <row r="649" spans="8:18">
      <c r="H649" s="16">
        <v>44801</v>
      </c>
      <c r="I649" s="17" t="s">
        <v>1103</v>
      </c>
      <c r="J649" s="17">
        <v>19.9</v>
      </c>
      <c r="K649" s="17">
        <v>1</v>
      </c>
      <c r="L649" s="17">
        <v>1</v>
      </c>
      <c r="O649" s="54" t="s">
        <v>627</v>
      </c>
      <c r="P649">
        <v>19.9</v>
      </c>
      <c r="Q649">
        <v>1</v>
      </c>
      <c r="R649">
        <v>1</v>
      </c>
    </row>
    <row r="650" spans="8:18">
      <c r="H650" s="16">
        <v>44801</v>
      </c>
      <c r="I650" s="17" t="s">
        <v>1102</v>
      </c>
      <c r="J650" s="17">
        <v>19.9</v>
      </c>
      <c r="K650" s="17">
        <v>1</v>
      </c>
      <c r="L650" s="17">
        <v>1</v>
      </c>
      <c r="O650" s="54" t="s">
        <v>580</v>
      </c>
      <c r="P650">
        <v>19.9</v>
      </c>
      <c r="Q650">
        <v>1</v>
      </c>
      <c r="R650">
        <v>1</v>
      </c>
    </row>
    <row r="651" spans="8:18">
      <c r="H651" s="16">
        <v>44801</v>
      </c>
      <c r="I651" s="17" t="s">
        <v>1101</v>
      </c>
      <c r="J651" s="17">
        <v>19.9</v>
      </c>
      <c r="K651" s="17">
        <v>1</v>
      </c>
      <c r="L651" s="17">
        <v>1</v>
      </c>
      <c r="O651" s="54" t="s">
        <v>594</v>
      </c>
      <c r="P651">
        <v>19.9</v>
      </c>
      <c r="Q651">
        <v>1</v>
      </c>
      <c r="R651">
        <v>1</v>
      </c>
    </row>
    <row r="652" spans="8:18">
      <c r="H652" s="16">
        <v>44801</v>
      </c>
      <c r="I652" s="17" t="s">
        <v>1100</v>
      </c>
      <c r="J652" s="17">
        <v>19.9</v>
      </c>
      <c r="K652" s="17">
        <v>1</v>
      </c>
      <c r="L652" s="17">
        <v>1</v>
      </c>
      <c r="O652" s="54" t="s">
        <v>620</v>
      </c>
      <c r="P652">
        <v>19.9</v>
      </c>
      <c r="Q652">
        <v>1</v>
      </c>
      <c r="R652">
        <v>1</v>
      </c>
    </row>
    <row r="653" spans="8:18">
      <c r="H653" s="16">
        <v>44801</v>
      </c>
      <c r="I653" s="17" t="s">
        <v>1099</v>
      </c>
      <c r="J653" s="17">
        <v>19.9</v>
      </c>
      <c r="K653" s="17">
        <v>1</v>
      </c>
      <c r="L653" s="17">
        <v>1</v>
      </c>
      <c r="O653" s="54" t="s">
        <v>569</v>
      </c>
      <c r="P653">
        <v>19.9</v>
      </c>
      <c r="Q653">
        <v>1</v>
      </c>
      <c r="R653">
        <v>1</v>
      </c>
    </row>
    <row r="654" spans="8:18">
      <c r="H654" s="16">
        <v>44801</v>
      </c>
      <c r="I654" s="17" t="s">
        <v>490</v>
      </c>
      <c r="J654" s="17">
        <v>19.9</v>
      </c>
      <c r="K654" s="17">
        <v>1</v>
      </c>
      <c r="L654" s="17">
        <v>1</v>
      </c>
      <c r="O654" s="54" t="s">
        <v>754</v>
      </c>
      <c r="P654">
        <v>19.9</v>
      </c>
      <c r="Q654">
        <v>1</v>
      </c>
      <c r="R654">
        <v>1</v>
      </c>
    </row>
    <row r="655" spans="8:18">
      <c r="H655" s="16">
        <v>44801</v>
      </c>
      <c r="I655" s="17" t="s">
        <v>1098</v>
      </c>
      <c r="J655" s="17">
        <v>19.9</v>
      </c>
      <c r="K655" s="17">
        <v>1</v>
      </c>
      <c r="L655" s="17">
        <v>1</v>
      </c>
      <c r="O655" s="54" t="s">
        <v>615</v>
      </c>
      <c r="P655">
        <v>19.9</v>
      </c>
      <c r="Q655">
        <v>1</v>
      </c>
      <c r="R655">
        <v>1</v>
      </c>
    </row>
    <row r="656" spans="8:18">
      <c r="H656" s="16">
        <v>44801</v>
      </c>
      <c r="I656" s="17" t="s">
        <v>1036</v>
      </c>
      <c r="J656" s="17">
        <v>19.9</v>
      </c>
      <c r="K656" s="17">
        <v>1</v>
      </c>
      <c r="L656" s="17">
        <v>1</v>
      </c>
      <c r="O656" s="54" t="s">
        <v>576</v>
      </c>
      <c r="P656">
        <v>19.9</v>
      </c>
      <c r="Q656">
        <v>1</v>
      </c>
      <c r="R656">
        <v>1</v>
      </c>
    </row>
    <row r="657" spans="8:18">
      <c r="H657" s="16">
        <v>44801</v>
      </c>
      <c r="I657" s="17" t="s">
        <v>1097</v>
      </c>
      <c r="J657" s="17">
        <v>19.9</v>
      </c>
      <c r="K657" s="17">
        <v>1</v>
      </c>
      <c r="L657" s="17">
        <v>1</v>
      </c>
      <c r="O657" s="54" t="s">
        <v>637</v>
      </c>
      <c r="P657">
        <v>19.9</v>
      </c>
      <c r="Q657">
        <v>1</v>
      </c>
      <c r="R657">
        <v>1</v>
      </c>
    </row>
    <row r="658" spans="8:18">
      <c r="H658" s="16">
        <v>44801</v>
      </c>
      <c r="I658" s="17" t="s">
        <v>1096</v>
      </c>
      <c r="J658" s="17">
        <v>19.9</v>
      </c>
      <c r="K658" s="17">
        <v>1</v>
      </c>
      <c r="L658" s="17">
        <v>1</v>
      </c>
      <c r="O658" s="54" t="s">
        <v>874</v>
      </c>
      <c r="P658">
        <v>19.9</v>
      </c>
      <c r="Q658">
        <v>1</v>
      </c>
      <c r="R658">
        <v>1</v>
      </c>
    </row>
    <row r="659" spans="8:18">
      <c r="H659" s="16">
        <v>44801</v>
      </c>
      <c r="I659" s="17" t="s">
        <v>462</v>
      </c>
      <c r="J659" s="17">
        <v>19.9</v>
      </c>
      <c r="K659" s="17">
        <v>1</v>
      </c>
      <c r="L659" s="17">
        <v>1</v>
      </c>
      <c r="O659" s="54" t="s">
        <v>708</v>
      </c>
      <c r="P659">
        <v>19.9</v>
      </c>
      <c r="Q659">
        <v>1</v>
      </c>
      <c r="R659">
        <v>1</v>
      </c>
    </row>
    <row r="660" spans="8:18">
      <c r="H660" s="16">
        <v>44801</v>
      </c>
      <c r="I660" s="17" t="s">
        <v>393</v>
      </c>
      <c r="J660" s="17">
        <v>19.9</v>
      </c>
      <c r="K660" s="17">
        <v>1</v>
      </c>
      <c r="L660" s="17">
        <v>1</v>
      </c>
      <c r="O660" s="54" t="s">
        <v>704</v>
      </c>
      <c r="P660">
        <v>19.9</v>
      </c>
      <c r="Q660">
        <v>1</v>
      </c>
      <c r="R660">
        <v>1</v>
      </c>
    </row>
    <row r="661" spans="8:18">
      <c r="H661" s="16">
        <v>44801</v>
      </c>
      <c r="I661" s="17" t="s">
        <v>1095</v>
      </c>
      <c r="J661" s="17">
        <v>19.9</v>
      </c>
      <c r="K661" s="17">
        <v>1</v>
      </c>
      <c r="L661" s="17">
        <v>1</v>
      </c>
      <c r="O661" s="54" t="s">
        <v>582</v>
      </c>
      <c r="P661">
        <v>19.9</v>
      </c>
      <c r="Q661">
        <v>1</v>
      </c>
      <c r="R661">
        <v>1</v>
      </c>
    </row>
    <row r="662" spans="8:18">
      <c r="H662" s="16">
        <v>44801</v>
      </c>
      <c r="I662" s="17" t="s">
        <v>929</v>
      </c>
      <c r="J662" s="17">
        <v>19.9</v>
      </c>
      <c r="K662" s="17">
        <v>1</v>
      </c>
      <c r="L662" s="17">
        <v>1</v>
      </c>
      <c r="O662" s="54" t="s">
        <v>811</v>
      </c>
      <c r="P662">
        <v>19.9</v>
      </c>
      <c r="Q662">
        <v>1</v>
      </c>
      <c r="R662">
        <v>1</v>
      </c>
    </row>
    <row r="663" spans="8:18">
      <c r="H663" s="16">
        <v>44801</v>
      </c>
      <c r="I663" s="17" t="s">
        <v>812</v>
      </c>
      <c r="J663" s="17">
        <v>19.9</v>
      </c>
      <c r="K663" s="17">
        <v>1</v>
      </c>
      <c r="L663" s="17">
        <v>1</v>
      </c>
      <c r="O663" s="54" t="s">
        <v>639</v>
      </c>
      <c r="P663">
        <v>19.9</v>
      </c>
      <c r="Q663">
        <v>1</v>
      </c>
      <c r="R663">
        <v>1</v>
      </c>
    </row>
    <row r="664" spans="8:18">
      <c r="H664" s="16">
        <v>44801</v>
      </c>
      <c r="I664" s="17" t="s">
        <v>1069</v>
      </c>
      <c r="J664" s="17">
        <v>19.9</v>
      </c>
      <c r="K664" s="17">
        <v>1</v>
      </c>
      <c r="L664" s="17">
        <v>1</v>
      </c>
      <c r="O664" s="54" t="s">
        <v>631</v>
      </c>
      <c r="P664">
        <v>19.9</v>
      </c>
      <c r="Q664">
        <v>1</v>
      </c>
      <c r="R664">
        <v>1</v>
      </c>
    </row>
    <row r="665" spans="8:18">
      <c r="H665" s="16">
        <v>44801</v>
      </c>
      <c r="I665" s="17" t="s">
        <v>955</v>
      </c>
      <c r="J665" s="17">
        <v>19.9</v>
      </c>
      <c r="K665" s="17">
        <v>1</v>
      </c>
      <c r="L665" s="17">
        <v>1</v>
      </c>
      <c r="O665" s="54" t="s">
        <v>591</v>
      </c>
      <c r="P665">
        <v>19.9</v>
      </c>
      <c r="Q665">
        <v>1</v>
      </c>
      <c r="R665">
        <v>1</v>
      </c>
    </row>
    <row r="666" spans="8:18">
      <c r="H666" s="16">
        <v>44801</v>
      </c>
      <c r="I666" s="17" t="s">
        <v>1104</v>
      </c>
      <c r="J666" s="17">
        <v>10.9</v>
      </c>
      <c r="K666" s="17">
        <v>2</v>
      </c>
      <c r="L666" s="17">
        <v>1</v>
      </c>
      <c r="O666" s="54" t="s">
        <v>869</v>
      </c>
      <c r="P666">
        <v>19.9</v>
      </c>
      <c r="Q666">
        <v>1</v>
      </c>
      <c r="R666">
        <v>1</v>
      </c>
    </row>
    <row r="667" spans="8:18">
      <c r="H667" s="16">
        <v>44801</v>
      </c>
      <c r="I667" s="17" t="s">
        <v>1105</v>
      </c>
      <c r="J667" s="17">
        <v>10.9</v>
      </c>
      <c r="K667" s="17">
        <v>2</v>
      </c>
      <c r="L667" s="17">
        <v>1</v>
      </c>
      <c r="O667" s="54" t="s">
        <v>810</v>
      </c>
      <c r="P667">
        <v>19.9</v>
      </c>
      <c r="Q667">
        <v>1</v>
      </c>
      <c r="R667">
        <v>1</v>
      </c>
    </row>
    <row r="668" spans="8:18">
      <c r="H668" s="16">
        <v>44801</v>
      </c>
      <c r="I668" s="17" t="s">
        <v>1106</v>
      </c>
      <c r="J668" s="17">
        <v>10.9</v>
      </c>
      <c r="K668" s="17">
        <v>2</v>
      </c>
      <c r="L668" s="17">
        <v>1</v>
      </c>
      <c r="O668" s="54" t="s">
        <v>856</v>
      </c>
      <c r="P668">
        <v>19.9</v>
      </c>
      <c r="Q668">
        <v>1</v>
      </c>
      <c r="R668">
        <v>1</v>
      </c>
    </row>
    <row r="669" spans="8:18">
      <c r="H669" s="16">
        <v>44801</v>
      </c>
      <c r="I669" s="17" t="s">
        <v>1107</v>
      </c>
      <c r="J669" s="17">
        <v>10.9</v>
      </c>
      <c r="K669" s="17">
        <v>2</v>
      </c>
      <c r="L669" s="17">
        <v>1</v>
      </c>
      <c r="O669" s="54" t="s">
        <v>596</v>
      </c>
      <c r="P669">
        <v>19.9</v>
      </c>
      <c r="Q669">
        <v>1</v>
      </c>
      <c r="R669">
        <v>1</v>
      </c>
    </row>
    <row r="670" spans="8:18">
      <c r="H670" s="16">
        <v>44801</v>
      </c>
      <c r="I670" s="17" t="s">
        <v>1108</v>
      </c>
      <c r="J670" s="17">
        <v>10.9</v>
      </c>
      <c r="K670" s="17">
        <v>2</v>
      </c>
      <c r="L670" s="17">
        <v>1</v>
      </c>
      <c r="O670" s="54" t="s">
        <v>641</v>
      </c>
      <c r="P670">
        <v>19.9</v>
      </c>
      <c r="Q670">
        <v>1</v>
      </c>
      <c r="R670">
        <v>1</v>
      </c>
    </row>
    <row r="671" spans="8:18">
      <c r="H671" s="16">
        <v>44801</v>
      </c>
      <c r="I671" s="17" t="s">
        <v>603</v>
      </c>
      <c r="J671" s="17">
        <v>10.9</v>
      </c>
      <c r="K671" s="17">
        <v>2</v>
      </c>
      <c r="L671" s="17">
        <v>1</v>
      </c>
      <c r="O671" s="54" t="s">
        <v>606</v>
      </c>
      <c r="P671">
        <v>19.9</v>
      </c>
      <c r="Q671">
        <v>1</v>
      </c>
      <c r="R671">
        <v>1</v>
      </c>
    </row>
    <row r="672" spans="8:18">
      <c r="H672" s="16">
        <v>44801</v>
      </c>
      <c r="I672" s="17" t="s">
        <v>1062</v>
      </c>
      <c r="J672" s="17">
        <v>10.9</v>
      </c>
      <c r="K672" s="17">
        <v>2</v>
      </c>
      <c r="L672" s="17">
        <v>1</v>
      </c>
      <c r="O672" s="54" t="s">
        <v>700</v>
      </c>
      <c r="P672">
        <v>19.9</v>
      </c>
      <c r="Q672">
        <v>1</v>
      </c>
      <c r="R672">
        <v>1</v>
      </c>
    </row>
    <row r="673" spans="8:18">
      <c r="H673" s="16">
        <v>44801</v>
      </c>
      <c r="I673" s="17" t="s">
        <v>1109</v>
      </c>
      <c r="J673" s="17">
        <v>9.9</v>
      </c>
      <c r="K673" s="17">
        <v>1</v>
      </c>
      <c r="L673" s="17">
        <v>1</v>
      </c>
      <c r="O673" s="54" t="s">
        <v>865</v>
      </c>
      <c r="P673">
        <v>19.9</v>
      </c>
      <c r="Q673">
        <v>1</v>
      </c>
      <c r="R673">
        <v>1</v>
      </c>
    </row>
    <row r="674" spans="8:18">
      <c r="H674" s="16">
        <v>44801</v>
      </c>
      <c r="I674" s="17" t="s">
        <v>1110</v>
      </c>
      <c r="J674" s="17">
        <v>9.9</v>
      </c>
      <c r="K674" s="17">
        <v>1</v>
      </c>
      <c r="L674" s="17">
        <v>1</v>
      </c>
      <c r="O674" s="54" t="s">
        <v>599</v>
      </c>
      <c r="P674">
        <v>19.9</v>
      </c>
      <c r="Q674">
        <v>1</v>
      </c>
      <c r="R674">
        <v>1</v>
      </c>
    </row>
    <row r="675" spans="8:18">
      <c r="H675" s="16">
        <v>44801</v>
      </c>
      <c r="I675" s="17" t="s">
        <v>469</v>
      </c>
      <c r="J675" s="17">
        <v>9.9</v>
      </c>
      <c r="K675" s="17">
        <v>1</v>
      </c>
      <c r="L675" s="17">
        <v>1</v>
      </c>
      <c r="O675" s="54" t="s">
        <v>695</v>
      </c>
      <c r="P675">
        <v>19.9</v>
      </c>
      <c r="Q675">
        <v>1</v>
      </c>
      <c r="R675">
        <v>1</v>
      </c>
    </row>
    <row r="676" spans="8:18">
      <c r="H676" s="16">
        <v>44801</v>
      </c>
      <c r="I676" s="17" t="s">
        <v>1111</v>
      </c>
      <c r="J676" s="17">
        <v>9.9</v>
      </c>
      <c r="K676" s="17">
        <v>1</v>
      </c>
      <c r="L676" s="17">
        <v>1</v>
      </c>
      <c r="O676" s="54" t="s">
        <v>571</v>
      </c>
      <c r="P676">
        <v>19.9</v>
      </c>
      <c r="Q676">
        <v>1</v>
      </c>
      <c r="R676">
        <v>1</v>
      </c>
    </row>
    <row r="677" spans="8:18">
      <c r="H677" s="16">
        <v>44801</v>
      </c>
      <c r="I677" s="17" t="s">
        <v>1112</v>
      </c>
      <c r="J677" s="17">
        <v>9.9</v>
      </c>
      <c r="K677" s="17">
        <v>1</v>
      </c>
      <c r="L677" s="17">
        <v>1</v>
      </c>
      <c r="O677" s="54" t="s">
        <v>633</v>
      </c>
      <c r="P677">
        <v>19.9</v>
      </c>
      <c r="Q677">
        <v>1</v>
      </c>
      <c r="R677">
        <v>1</v>
      </c>
    </row>
    <row r="678" spans="8:18">
      <c r="H678" s="16">
        <v>44801</v>
      </c>
      <c r="I678" s="17" t="s">
        <v>1113</v>
      </c>
      <c r="J678" s="17">
        <v>9.9</v>
      </c>
      <c r="K678" s="17">
        <v>1</v>
      </c>
      <c r="L678" s="17">
        <v>1</v>
      </c>
      <c r="O678" s="54" t="s">
        <v>815</v>
      </c>
      <c r="P678">
        <v>19.9</v>
      </c>
      <c r="Q678">
        <v>1</v>
      </c>
      <c r="R678">
        <v>1</v>
      </c>
    </row>
    <row r="679" spans="8:18">
      <c r="H679" s="16">
        <v>44801</v>
      </c>
      <c r="I679" s="17" t="s">
        <v>1114</v>
      </c>
      <c r="J679" s="17">
        <v>9.9</v>
      </c>
      <c r="K679" s="17">
        <v>1</v>
      </c>
      <c r="L679" s="17">
        <v>1</v>
      </c>
      <c r="O679" s="54" t="s">
        <v>609</v>
      </c>
      <c r="P679">
        <v>19.9</v>
      </c>
      <c r="Q679">
        <v>1</v>
      </c>
      <c r="R679">
        <v>1</v>
      </c>
    </row>
    <row r="680" spans="8:18">
      <c r="H680" s="16">
        <v>44801</v>
      </c>
      <c r="I680" s="17" t="s">
        <v>1115</v>
      </c>
      <c r="J680" s="17">
        <v>9.9</v>
      </c>
      <c r="K680" s="17">
        <v>1</v>
      </c>
      <c r="L680" s="17">
        <v>1</v>
      </c>
      <c r="O680" s="54" t="s">
        <v>755</v>
      </c>
      <c r="P680">
        <v>19.9</v>
      </c>
      <c r="Q680">
        <v>1</v>
      </c>
      <c r="R680">
        <v>1</v>
      </c>
    </row>
    <row r="681" spans="8:18">
      <c r="H681" s="16">
        <v>44801</v>
      </c>
      <c r="I681" s="17" t="s">
        <v>936</v>
      </c>
      <c r="J681" s="17">
        <v>9.9</v>
      </c>
      <c r="K681" s="17">
        <v>1</v>
      </c>
      <c r="L681" s="17">
        <v>1</v>
      </c>
      <c r="O681" s="54" t="s">
        <v>861</v>
      </c>
      <c r="P681">
        <v>19.9</v>
      </c>
      <c r="Q681">
        <v>1</v>
      </c>
      <c r="R681">
        <v>1</v>
      </c>
    </row>
    <row r="682" spans="8:18">
      <c r="H682" s="16">
        <v>44801</v>
      </c>
      <c r="I682" s="17" t="s">
        <v>1116</v>
      </c>
      <c r="J682" s="17">
        <v>9.9</v>
      </c>
      <c r="K682" s="17">
        <v>1</v>
      </c>
      <c r="L682" s="17">
        <v>1</v>
      </c>
      <c r="O682" s="54" t="s">
        <v>689</v>
      </c>
      <c r="P682">
        <v>19.9</v>
      </c>
      <c r="Q682">
        <v>1</v>
      </c>
      <c r="R682">
        <v>1</v>
      </c>
    </row>
    <row r="683" spans="8:18">
      <c r="H683" s="16">
        <v>44801</v>
      </c>
      <c r="I683" s="17" t="s">
        <v>1117</v>
      </c>
      <c r="J683" s="17">
        <v>1</v>
      </c>
      <c r="K683" s="17">
        <v>1</v>
      </c>
      <c r="L683" s="17">
        <v>1</v>
      </c>
      <c r="O683" s="54" t="s">
        <v>616</v>
      </c>
      <c r="P683">
        <v>19.9</v>
      </c>
      <c r="Q683">
        <v>1</v>
      </c>
      <c r="R683">
        <v>1</v>
      </c>
    </row>
    <row r="684" spans="8:18">
      <c r="H684" s="16">
        <v>44801</v>
      </c>
      <c r="I684" s="17" t="s">
        <v>1034</v>
      </c>
      <c r="J684" s="17">
        <v>1</v>
      </c>
      <c r="K684" s="17">
        <v>1</v>
      </c>
      <c r="L684" s="17">
        <v>1</v>
      </c>
      <c r="O684" s="54" t="s">
        <v>611</v>
      </c>
      <c r="P684">
        <v>19.9</v>
      </c>
      <c r="Q684">
        <v>1</v>
      </c>
      <c r="R684">
        <v>1</v>
      </c>
    </row>
    <row r="685" spans="8:18">
      <c r="H685" s="16">
        <v>44801</v>
      </c>
      <c r="I685" s="17" t="s">
        <v>1118</v>
      </c>
      <c r="J685" s="17">
        <v>1</v>
      </c>
      <c r="K685" s="17">
        <v>1</v>
      </c>
      <c r="L685" s="17">
        <v>1</v>
      </c>
      <c r="O685" s="54" t="s">
        <v>626</v>
      </c>
      <c r="P685">
        <v>19.9</v>
      </c>
      <c r="Q685">
        <v>1</v>
      </c>
      <c r="R685">
        <v>1</v>
      </c>
    </row>
    <row r="686" spans="8:18">
      <c r="H686" s="16">
        <v>44801</v>
      </c>
      <c r="I686" s="17" t="s">
        <v>818</v>
      </c>
      <c r="J686" s="17">
        <v>1</v>
      </c>
      <c r="K686" s="17">
        <v>1</v>
      </c>
      <c r="L686" s="17">
        <v>1</v>
      </c>
      <c r="O686" s="54" t="s">
        <v>867</v>
      </c>
      <c r="P686">
        <v>19.9</v>
      </c>
      <c r="Q686">
        <v>1</v>
      </c>
      <c r="R686">
        <v>1</v>
      </c>
    </row>
    <row r="687" spans="8:18">
      <c r="H687" s="16">
        <v>44801</v>
      </c>
      <c r="I687" s="17" t="s">
        <v>1119</v>
      </c>
      <c r="J687" s="17">
        <v>1</v>
      </c>
      <c r="K687" s="17">
        <v>1</v>
      </c>
      <c r="L687" s="17">
        <v>1</v>
      </c>
      <c r="O687" s="54" t="s">
        <v>617</v>
      </c>
      <c r="P687">
        <v>19.9</v>
      </c>
      <c r="Q687">
        <v>1</v>
      </c>
      <c r="R687">
        <v>1</v>
      </c>
    </row>
    <row r="688" spans="8:18">
      <c r="H688" s="16">
        <v>44801</v>
      </c>
      <c r="I688" s="17" t="s">
        <v>1120</v>
      </c>
      <c r="J688" s="17">
        <v>1</v>
      </c>
      <c r="K688" s="17">
        <v>1</v>
      </c>
      <c r="L688" s="17">
        <v>1</v>
      </c>
      <c r="O688" s="54" t="s">
        <v>858</v>
      </c>
      <c r="P688">
        <v>19.9</v>
      </c>
      <c r="Q688">
        <v>1</v>
      </c>
      <c r="R688">
        <v>1</v>
      </c>
    </row>
    <row r="689" spans="8:18">
      <c r="H689" s="16">
        <v>44801</v>
      </c>
      <c r="I689" s="17" t="s">
        <v>1121</v>
      </c>
      <c r="J689" s="17">
        <v>1</v>
      </c>
      <c r="K689" s="17">
        <v>1</v>
      </c>
      <c r="L689" s="17">
        <v>1</v>
      </c>
      <c r="O689" s="54" t="s">
        <v>713</v>
      </c>
      <c r="P689">
        <v>19.9</v>
      </c>
      <c r="Q689">
        <v>1</v>
      </c>
      <c r="R689">
        <v>1</v>
      </c>
    </row>
    <row r="690" spans="8:18">
      <c r="H690" s="16">
        <v>44801</v>
      </c>
      <c r="I690" s="17" t="s">
        <v>1122</v>
      </c>
      <c r="J690" s="17">
        <v>1</v>
      </c>
      <c r="K690" s="17">
        <v>1</v>
      </c>
      <c r="L690" s="17">
        <v>1</v>
      </c>
      <c r="O690" s="54" t="s">
        <v>578</v>
      </c>
      <c r="P690">
        <v>19.9</v>
      </c>
      <c r="Q690">
        <v>1</v>
      </c>
      <c r="R690">
        <v>1</v>
      </c>
    </row>
    <row r="691" spans="8:18">
      <c r="H691" s="16">
        <v>44801</v>
      </c>
      <c r="I691" s="17" t="s">
        <v>1123</v>
      </c>
      <c r="J691" s="17">
        <v>1</v>
      </c>
      <c r="K691" s="17">
        <v>1</v>
      </c>
      <c r="L691" s="17">
        <v>1</v>
      </c>
      <c r="O691" s="54" t="s">
        <v>690</v>
      </c>
      <c r="P691">
        <v>19.9</v>
      </c>
      <c r="Q691">
        <v>1</v>
      </c>
      <c r="R691">
        <v>1</v>
      </c>
    </row>
    <row r="692" spans="8:18">
      <c r="H692" s="16">
        <v>44801</v>
      </c>
      <c r="I692" s="17" t="s">
        <v>1124</v>
      </c>
      <c r="J692" s="17">
        <v>1</v>
      </c>
      <c r="K692" s="17">
        <v>1</v>
      </c>
      <c r="L692" s="17">
        <v>1</v>
      </c>
      <c r="O692" s="54" t="s">
        <v>586</v>
      </c>
      <c r="P692">
        <v>19.9</v>
      </c>
      <c r="Q692">
        <v>1</v>
      </c>
      <c r="R692">
        <v>1</v>
      </c>
    </row>
    <row r="693" spans="8:18">
      <c r="H693" s="16">
        <v>44801</v>
      </c>
      <c r="I693" s="17" t="s">
        <v>1125</v>
      </c>
      <c r="J693" s="17">
        <v>1</v>
      </c>
      <c r="K693" s="17">
        <v>1</v>
      </c>
      <c r="L693" s="17">
        <v>1</v>
      </c>
      <c r="O693" s="54" t="s">
        <v>584</v>
      </c>
      <c r="P693">
        <v>19.9</v>
      </c>
      <c r="Q693">
        <v>1</v>
      </c>
      <c r="R693">
        <v>1</v>
      </c>
    </row>
    <row r="694" spans="8:18">
      <c r="H694" s="16">
        <v>44801</v>
      </c>
      <c r="I694" s="17" t="s">
        <v>1126</v>
      </c>
      <c r="J694" s="17">
        <v>1</v>
      </c>
      <c r="K694" s="17">
        <v>1</v>
      </c>
      <c r="L694" s="17">
        <v>1</v>
      </c>
      <c r="O694" s="54" t="s">
        <v>1127</v>
      </c>
      <c r="P694">
        <v>19.8</v>
      </c>
      <c r="Q694">
        <v>2</v>
      </c>
      <c r="R694">
        <v>1</v>
      </c>
    </row>
    <row r="695" spans="8:18">
      <c r="H695" s="16">
        <v>44801</v>
      </c>
      <c r="I695" s="17" t="s">
        <v>1128</v>
      </c>
      <c r="J695" s="17">
        <v>1</v>
      </c>
      <c r="K695" s="17">
        <v>1</v>
      </c>
      <c r="L695" s="17">
        <v>1</v>
      </c>
      <c r="O695" s="54" t="s">
        <v>1129</v>
      </c>
      <c r="P695">
        <v>19.78</v>
      </c>
      <c r="Q695">
        <v>3</v>
      </c>
      <c r="R695">
        <v>2</v>
      </c>
    </row>
    <row r="696" spans="8:18">
      <c r="H696" s="16">
        <v>44801</v>
      </c>
      <c r="I696" s="17" t="s">
        <v>1130</v>
      </c>
      <c r="J696" s="17">
        <v>1</v>
      </c>
      <c r="K696" s="17">
        <v>1</v>
      </c>
      <c r="L696" s="17">
        <v>1</v>
      </c>
      <c r="O696" s="54" t="s">
        <v>963</v>
      </c>
      <c r="P696">
        <v>18.7</v>
      </c>
      <c r="Q696">
        <v>2</v>
      </c>
      <c r="R696">
        <v>2</v>
      </c>
    </row>
    <row r="697" spans="8:18">
      <c r="H697" s="16">
        <v>44801</v>
      </c>
      <c r="I697" s="17" t="s">
        <v>563</v>
      </c>
      <c r="J697" s="17">
        <v>1</v>
      </c>
      <c r="K697" s="17">
        <v>1</v>
      </c>
      <c r="L697" s="17">
        <v>1</v>
      </c>
      <c r="O697" s="54" t="s">
        <v>1131</v>
      </c>
      <c r="P697">
        <v>12.9</v>
      </c>
      <c r="Q697">
        <v>4</v>
      </c>
      <c r="R697">
        <v>3</v>
      </c>
    </row>
    <row r="698" spans="8:18">
      <c r="H698" s="16">
        <v>44801</v>
      </c>
      <c r="I698" s="17" t="s">
        <v>1132</v>
      </c>
      <c r="J698" s="17">
        <v>1</v>
      </c>
      <c r="K698" s="17">
        <v>1</v>
      </c>
      <c r="L698" s="17">
        <v>1</v>
      </c>
      <c r="O698" s="54" t="s">
        <v>1133</v>
      </c>
      <c r="P698">
        <v>12.9</v>
      </c>
      <c r="Q698">
        <v>4</v>
      </c>
      <c r="R698">
        <v>3</v>
      </c>
    </row>
    <row r="699" spans="8:18">
      <c r="H699" s="16">
        <v>44801</v>
      </c>
      <c r="I699" s="17" t="s">
        <v>1134</v>
      </c>
      <c r="J699" s="17">
        <v>1</v>
      </c>
      <c r="K699" s="17">
        <v>1</v>
      </c>
      <c r="L699" s="17">
        <v>1</v>
      </c>
      <c r="O699" s="54" t="s">
        <v>1135</v>
      </c>
      <c r="P699">
        <v>12.9</v>
      </c>
      <c r="Q699">
        <v>4</v>
      </c>
      <c r="R699">
        <v>1</v>
      </c>
    </row>
    <row r="700" spans="8:18">
      <c r="H700" s="16">
        <v>44801</v>
      </c>
      <c r="I700" s="17" t="s">
        <v>1136</v>
      </c>
      <c r="J700" s="17">
        <v>1</v>
      </c>
      <c r="K700" s="17">
        <v>1</v>
      </c>
      <c r="L700" s="17">
        <v>1</v>
      </c>
      <c r="O700" s="54" t="s">
        <v>1137</v>
      </c>
      <c r="P700">
        <v>12.9</v>
      </c>
      <c r="Q700">
        <v>4</v>
      </c>
      <c r="R700">
        <v>4</v>
      </c>
    </row>
    <row r="701" spans="8:18">
      <c r="H701" s="16">
        <v>44801</v>
      </c>
      <c r="I701" s="17" t="s">
        <v>1138</v>
      </c>
      <c r="J701" s="17">
        <v>1</v>
      </c>
      <c r="K701" s="17">
        <v>1</v>
      </c>
      <c r="L701" s="17">
        <v>1</v>
      </c>
      <c r="O701" s="54" t="s">
        <v>1139</v>
      </c>
      <c r="P701">
        <v>11.9</v>
      </c>
      <c r="Q701">
        <v>3</v>
      </c>
      <c r="R701">
        <v>2</v>
      </c>
    </row>
    <row r="702" spans="8:18">
      <c r="H702" s="16">
        <v>44801</v>
      </c>
      <c r="I702" s="17" t="s">
        <v>1140</v>
      </c>
      <c r="J702" s="17">
        <v>1</v>
      </c>
      <c r="K702" s="17">
        <v>1</v>
      </c>
      <c r="L702" s="17">
        <v>1</v>
      </c>
      <c r="O702" s="54" t="s">
        <v>959</v>
      </c>
      <c r="P702">
        <v>11.9</v>
      </c>
      <c r="Q702">
        <v>3</v>
      </c>
      <c r="R702">
        <v>3</v>
      </c>
    </row>
    <row r="703" spans="8:18">
      <c r="H703" s="16">
        <v>44801</v>
      </c>
      <c r="I703" s="17" t="s">
        <v>1141</v>
      </c>
      <c r="J703" s="17">
        <v>1</v>
      </c>
      <c r="K703" s="17">
        <v>1</v>
      </c>
      <c r="L703" s="17">
        <v>1</v>
      </c>
      <c r="O703" s="54" t="s">
        <v>1142</v>
      </c>
      <c r="P703">
        <v>11</v>
      </c>
      <c r="Q703">
        <v>1</v>
      </c>
      <c r="R703">
        <v>1</v>
      </c>
    </row>
    <row r="704" spans="8:18">
      <c r="H704" s="16">
        <v>44801</v>
      </c>
      <c r="I704" s="17" t="s">
        <v>1143</v>
      </c>
      <c r="J704" s="17">
        <v>1</v>
      </c>
      <c r="K704" s="17">
        <v>1</v>
      </c>
      <c r="L704" s="17">
        <v>1</v>
      </c>
      <c r="O704" s="54" t="s">
        <v>1144</v>
      </c>
      <c r="P704">
        <v>10.9</v>
      </c>
      <c r="Q704">
        <v>2</v>
      </c>
      <c r="R704">
        <v>1</v>
      </c>
    </row>
    <row r="705" spans="8:18">
      <c r="H705" s="16">
        <v>44801</v>
      </c>
      <c r="I705" s="17" t="s">
        <v>808</v>
      </c>
      <c r="J705" s="17">
        <v>1</v>
      </c>
      <c r="K705" s="17">
        <v>1</v>
      </c>
      <c r="L705" s="17">
        <v>1</v>
      </c>
      <c r="O705" s="54" t="s">
        <v>1145</v>
      </c>
      <c r="P705">
        <v>10.9</v>
      </c>
      <c r="Q705">
        <v>2</v>
      </c>
      <c r="R705">
        <v>1</v>
      </c>
    </row>
    <row r="706" spans="8:18">
      <c r="H706" s="16">
        <v>44801</v>
      </c>
      <c r="I706" s="17" t="s">
        <v>1146</v>
      </c>
      <c r="J706" s="17">
        <v>1</v>
      </c>
      <c r="K706" s="17">
        <v>1</v>
      </c>
      <c r="L706" s="17">
        <v>1</v>
      </c>
      <c r="O706" s="54" t="s">
        <v>1147</v>
      </c>
      <c r="P706">
        <v>10.9</v>
      </c>
      <c r="Q706">
        <v>2</v>
      </c>
      <c r="R706">
        <v>2</v>
      </c>
    </row>
    <row r="707" spans="8:18">
      <c r="H707" s="16">
        <v>44801</v>
      </c>
      <c r="I707" s="17" t="s">
        <v>1148</v>
      </c>
      <c r="J707" s="17">
        <v>1</v>
      </c>
      <c r="K707" s="17">
        <v>1</v>
      </c>
      <c r="L707" s="17">
        <v>1</v>
      </c>
      <c r="O707" s="54" t="s">
        <v>1149</v>
      </c>
      <c r="P707">
        <v>10.9</v>
      </c>
      <c r="Q707">
        <v>2</v>
      </c>
      <c r="R707">
        <v>1</v>
      </c>
    </row>
    <row r="708" spans="8:18">
      <c r="H708" s="16">
        <v>44801</v>
      </c>
      <c r="I708" s="17" t="s">
        <v>1150</v>
      </c>
      <c r="J708" s="17">
        <v>1</v>
      </c>
      <c r="K708" s="17">
        <v>1</v>
      </c>
      <c r="L708" s="17">
        <v>1</v>
      </c>
      <c r="O708" s="54" t="s">
        <v>1151</v>
      </c>
      <c r="P708">
        <v>10.9</v>
      </c>
      <c r="Q708">
        <v>2</v>
      </c>
      <c r="R708">
        <v>1</v>
      </c>
    </row>
    <row r="709" spans="8:18">
      <c r="H709" s="16">
        <v>44801</v>
      </c>
      <c r="I709" s="17" t="s">
        <v>1152</v>
      </c>
      <c r="J709" s="17">
        <v>1</v>
      </c>
      <c r="K709" s="17">
        <v>1</v>
      </c>
      <c r="L709" s="17">
        <v>1</v>
      </c>
      <c r="O709" s="54" t="s">
        <v>1153</v>
      </c>
      <c r="P709">
        <v>10.9</v>
      </c>
      <c r="Q709">
        <v>2</v>
      </c>
      <c r="R709">
        <v>1</v>
      </c>
    </row>
    <row r="710" spans="8:18">
      <c r="H710" s="16">
        <v>44801</v>
      </c>
      <c r="I710" s="17" t="s">
        <v>1154</v>
      </c>
      <c r="J710" s="17">
        <v>1</v>
      </c>
      <c r="K710" s="17">
        <v>1</v>
      </c>
      <c r="L710" s="17">
        <v>1</v>
      </c>
      <c r="O710" s="54" t="s">
        <v>1155</v>
      </c>
      <c r="P710">
        <v>10.9</v>
      </c>
      <c r="Q710">
        <v>2</v>
      </c>
      <c r="R710">
        <v>1</v>
      </c>
    </row>
    <row r="711" spans="8:18">
      <c r="H711" s="16">
        <v>44801</v>
      </c>
      <c r="I711" s="17" t="s">
        <v>1156</v>
      </c>
      <c r="J711" s="17">
        <v>1</v>
      </c>
      <c r="K711" s="17">
        <v>1</v>
      </c>
      <c r="L711" s="17">
        <v>1</v>
      </c>
      <c r="O711" s="54" t="s">
        <v>1157</v>
      </c>
      <c r="P711">
        <v>10.9</v>
      </c>
      <c r="Q711">
        <v>2</v>
      </c>
      <c r="R711">
        <v>1</v>
      </c>
    </row>
    <row r="712" spans="8:18">
      <c r="H712" s="16">
        <v>44801</v>
      </c>
      <c r="I712" s="17" t="s">
        <v>464</v>
      </c>
      <c r="J712" s="17">
        <v>1</v>
      </c>
      <c r="K712" s="17">
        <v>1</v>
      </c>
      <c r="L712" s="17">
        <v>1</v>
      </c>
      <c r="O712" s="54" t="s">
        <v>1158</v>
      </c>
      <c r="P712">
        <v>10.9</v>
      </c>
      <c r="Q712">
        <v>2</v>
      </c>
      <c r="R712">
        <v>1</v>
      </c>
    </row>
    <row r="713" spans="8:18">
      <c r="H713" s="16">
        <v>44801</v>
      </c>
      <c r="I713" s="17" t="s">
        <v>647</v>
      </c>
      <c r="J713" s="17">
        <v>1</v>
      </c>
      <c r="K713" s="17">
        <v>1</v>
      </c>
      <c r="L713" s="17">
        <v>1</v>
      </c>
      <c r="O713" s="54" t="s">
        <v>1159</v>
      </c>
      <c r="P713">
        <v>10.9</v>
      </c>
      <c r="Q713">
        <v>2</v>
      </c>
      <c r="R713">
        <v>1</v>
      </c>
    </row>
    <row r="714" spans="8:18">
      <c r="H714" s="16">
        <v>44801</v>
      </c>
      <c r="I714" s="17" t="s">
        <v>1137</v>
      </c>
      <c r="J714" s="17">
        <v>1</v>
      </c>
      <c r="K714" s="17">
        <v>1</v>
      </c>
      <c r="L714" s="17">
        <v>1</v>
      </c>
      <c r="O714" s="54" t="s">
        <v>1160</v>
      </c>
      <c r="P714">
        <v>10.9</v>
      </c>
      <c r="Q714">
        <v>2</v>
      </c>
      <c r="R714">
        <v>1</v>
      </c>
    </row>
    <row r="715" spans="8:18">
      <c r="H715" s="16">
        <v>44801</v>
      </c>
      <c r="I715" s="17" t="s">
        <v>1161</v>
      </c>
      <c r="J715" s="17">
        <v>1</v>
      </c>
      <c r="K715" s="17">
        <v>1</v>
      </c>
      <c r="L715" s="17">
        <v>1</v>
      </c>
      <c r="O715" s="54" t="s">
        <v>1162</v>
      </c>
      <c r="P715">
        <v>10.9</v>
      </c>
      <c r="Q715">
        <v>2</v>
      </c>
      <c r="R715">
        <v>1</v>
      </c>
    </row>
    <row r="716" spans="8:18">
      <c r="H716" s="16">
        <v>44801</v>
      </c>
      <c r="I716" s="17" t="s">
        <v>1163</v>
      </c>
      <c r="J716" s="17">
        <v>1</v>
      </c>
      <c r="K716" s="17">
        <v>1</v>
      </c>
      <c r="L716" s="17">
        <v>1</v>
      </c>
      <c r="O716" s="54" t="s">
        <v>1164</v>
      </c>
      <c r="P716">
        <v>10.9</v>
      </c>
      <c r="Q716">
        <v>2</v>
      </c>
      <c r="R716">
        <v>1</v>
      </c>
    </row>
    <row r="717" spans="8:18">
      <c r="H717" s="16">
        <v>44801</v>
      </c>
      <c r="I717" s="17" t="s">
        <v>1075</v>
      </c>
      <c r="J717" s="17">
        <v>1</v>
      </c>
      <c r="K717" s="17">
        <v>1</v>
      </c>
      <c r="L717" s="17">
        <v>1</v>
      </c>
      <c r="O717" s="54" t="s">
        <v>1165</v>
      </c>
      <c r="P717">
        <v>10.9</v>
      </c>
      <c r="Q717">
        <v>2</v>
      </c>
      <c r="R717">
        <v>1</v>
      </c>
    </row>
    <row r="718" spans="8:18">
      <c r="H718" s="16">
        <v>44801</v>
      </c>
      <c r="I718" s="17" t="s">
        <v>489</v>
      </c>
      <c r="J718" s="17">
        <v>1</v>
      </c>
      <c r="K718" s="17">
        <v>1</v>
      </c>
      <c r="L718" s="17">
        <v>1</v>
      </c>
      <c r="O718" s="54" t="s">
        <v>1166</v>
      </c>
      <c r="P718">
        <v>10.9</v>
      </c>
      <c r="Q718">
        <v>2</v>
      </c>
      <c r="R718">
        <v>1</v>
      </c>
    </row>
    <row r="719" spans="8:18">
      <c r="H719" s="16">
        <v>44801</v>
      </c>
      <c r="I719" s="17" t="s">
        <v>456</v>
      </c>
      <c r="J719" s="17">
        <v>1</v>
      </c>
      <c r="K719" s="17">
        <v>1</v>
      </c>
      <c r="L719" s="17">
        <v>1</v>
      </c>
      <c r="O719" s="54" t="s">
        <v>1167</v>
      </c>
      <c r="P719">
        <v>10.9</v>
      </c>
      <c r="Q719">
        <v>2</v>
      </c>
      <c r="R719">
        <v>1</v>
      </c>
    </row>
    <row r="720" spans="8:18">
      <c r="H720" s="16">
        <v>44801</v>
      </c>
      <c r="I720" s="17" t="s">
        <v>923</v>
      </c>
      <c r="J720" s="17">
        <v>1</v>
      </c>
      <c r="K720" s="17">
        <v>1</v>
      </c>
      <c r="L720" s="17">
        <v>1</v>
      </c>
      <c r="O720" s="54" t="s">
        <v>1168</v>
      </c>
      <c r="P720">
        <v>10.9</v>
      </c>
      <c r="Q720">
        <v>2</v>
      </c>
      <c r="R720">
        <v>1</v>
      </c>
    </row>
    <row r="721" spans="8:18">
      <c r="H721" s="16">
        <v>44801</v>
      </c>
      <c r="I721" s="17" t="s">
        <v>1169</v>
      </c>
      <c r="J721" s="17">
        <v>1</v>
      </c>
      <c r="K721" s="17">
        <v>1</v>
      </c>
      <c r="L721" s="17">
        <v>1</v>
      </c>
      <c r="O721" s="54" t="s">
        <v>1170</v>
      </c>
      <c r="P721">
        <v>10.9</v>
      </c>
      <c r="Q721">
        <v>2</v>
      </c>
      <c r="R721">
        <v>1</v>
      </c>
    </row>
    <row r="722" spans="8:18">
      <c r="H722" s="16">
        <v>44801</v>
      </c>
      <c r="I722" s="17" t="s">
        <v>959</v>
      </c>
      <c r="J722" s="17">
        <v>1</v>
      </c>
      <c r="K722" s="17">
        <v>1</v>
      </c>
      <c r="L722" s="17">
        <v>1</v>
      </c>
      <c r="O722" s="54" t="s">
        <v>1171</v>
      </c>
      <c r="P722">
        <v>10.9</v>
      </c>
      <c r="Q722">
        <v>2</v>
      </c>
      <c r="R722">
        <v>1</v>
      </c>
    </row>
    <row r="723" spans="8:18">
      <c r="H723" s="16">
        <v>44801</v>
      </c>
      <c r="I723" s="17" t="s">
        <v>405</v>
      </c>
      <c r="J723" s="17">
        <v>1</v>
      </c>
      <c r="K723" s="17">
        <v>1</v>
      </c>
      <c r="L723" s="17">
        <v>1</v>
      </c>
      <c r="O723" s="54" t="s">
        <v>1172</v>
      </c>
      <c r="P723">
        <v>10.9</v>
      </c>
      <c r="Q723">
        <v>2</v>
      </c>
      <c r="R723">
        <v>1</v>
      </c>
    </row>
    <row r="724" spans="8:18">
      <c r="H724" s="16">
        <v>44801</v>
      </c>
      <c r="I724" s="17" t="s">
        <v>536</v>
      </c>
      <c r="J724" s="17">
        <v>1</v>
      </c>
      <c r="K724" s="17">
        <v>1</v>
      </c>
      <c r="L724" s="17">
        <v>1</v>
      </c>
      <c r="O724" s="54" t="s">
        <v>1173</v>
      </c>
      <c r="P724">
        <v>10.9</v>
      </c>
      <c r="Q724">
        <v>2</v>
      </c>
      <c r="R724">
        <v>1</v>
      </c>
    </row>
    <row r="725" spans="8:18">
      <c r="H725" s="16">
        <v>44801</v>
      </c>
      <c r="I725" s="17" t="s">
        <v>1046</v>
      </c>
      <c r="J725" s="17">
        <v>1</v>
      </c>
      <c r="K725" s="17">
        <v>1</v>
      </c>
      <c r="L725" s="17">
        <v>1</v>
      </c>
      <c r="O725" s="54" t="s">
        <v>1174</v>
      </c>
      <c r="P725">
        <v>10.9</v>
      </c>
      <c r="Q725">
        <v>2</v>
      </c>
      <c r="R725">
        <v>1</v>
      </c>
    </row>
    <row r="726" spans="8:18">
      <c r="H726" s="16">
        <v>44801</v>
      </c>
      <c r="I726" s="17" t="s">
        <v>879</v>
      </c>
      <c r="J726" s="17">
        <v>1</v>
      </c>
      <c r="K726" s="17">
        <v>1</v>
      </c>
      <c r="L726" s="17">
        <v>1</v>
      </c>
      <c r="O726" s="54" t="s">
        <v>1175</v>
      </c>
      <c r="P726">
        <v>10.9</v>
      </c>
      <c r="Q726">
        <v>2</v>
      </c>
      <c r="R726">
        <v>2</v>
      </c>
    </row>
    <row r="727" spans="8:18">
      <c r="H727" s="16">
        <v>44801</v>
      </c>
      <c r="I727" s="17" t="s">
        <v>453</v>
      </c>
      <c r="J727" s="17">
        <v>1</v>
      </c>
      <c r="K727" s="17">
        <v>1</v>
      </c>
      <c r="L727" s="17">
        <v>1</v>
      </c>
      <c r="O727" s="54" t="s">
        <v>1176</v>
      </c>
      <c r="P727">
        <v>10.9</v>
      </c>
      <c r="Q727">
        <v>2</v>
      </c>
      <c r="R727">
        <v>1</v>
      </c>
    </row>
    <row r="728" spans="8:18">
      <c r="H728" s="16">
        <v>44801</v>
      </c>
      <c r="I728" s="17" t="s">
        <v>748</v>
      </c>
      <c r="J728" s="17">
        <v>1</v>
      </c>
      <c r="K728" s="17">
        <v>1</v>
      </c>
      <c r="L728" s="17">
        <v>1</v>
      </c>
      <c r="O728" s="54" t="s">
        <v>1177</v>
      </c>
      <c r="P728">
        <v>10.9</v>
      </c>
      <c r="Q728">
        <v>2</v>
      </c>
      <c r="R728">
        <v>2</v>
      </c>
    </row>
    <row r="729" spans="8:18">
      <c r="H729" s="16">
        <v>44801</v>
      </c>
      <c r="I729" s="17" t="s">
        <v>1178</v>
      </c>
      <c r="J729" s="17">
        <v>1</v>
      </c>
      <c r="K729" s="17">
        <v>1</v>
      </c>
      <c r="L729" s="17">
        <v>1</v>
      </c>
      <c r="O729" s="54" t="s">
        <v>1179</v>
      </c>
      <c r="P729">
        <v>10.9</v>
      </c>
      <c r="Q729">
        <v>2</v>
      </c>
      <c r="R729">
        <v>1</v>
      </c>
    </row>
    <row r="730" spans="8:18">
      <c r="H730" s="16">
        <v>44801</v>
      </c>
      <c r="I730" s="17" t="s">
        <v>679</v>
      </c>
      <c r="J730" s="17">
        <v>1</v>
      </c>
      <c r="K730" s="17">
        <v>1</v>
      </c>
      <c r="L730" s="17">
        <v>1</v>
      </c>
      <c r="O730" s="54" t="s">
        <v>1180</v>
      </c>
      <c r="P730">
        <v>10.9</v>
      </c>
      <c r="Q730">
        <v>2</v>
      </c>
      <c r="R730">
        <v>1</v>
      </c>
    </row>
    <row r="731" spans="8:18">
      <c r="H731" s="16">
        <v>44801</v>
      </c>
      <c r="I731" s="17" t="s">
        <v>573</v>
      </c>
      <c r="J731" s="17">
        <v>1</v>
      </c>
      <c r="K731" s="17">
        <v>1</v>
      </c>
      <c r="L731" s="17">
        <v>1</v>
      </c>
      <c r="O731" s="54" t="s">
        <v>1181</v>
      </c>
      <c r="P731">
        <v>10.9</v>
      </c>
      <c r="Q731">
        <v>2</v>
      </c>
      <c r="R731">
        <v>2</v>
      </c>
    </row>
    <row r="732" spans="8:18">
      <c r="H732" s="16">
        <v>44801</v>
      </c>
      <c r="I732" s="17" t="s">
        <v>1182</v>
      </c>
      <c r="J732" s="17">
        <v>1</v>
      </c>
      <c r="K732" s="17">
        <v>1</v>
      </c>
      <c r="L732" s="17">
        <v>1</v>
      </c>
      <c r="O732" s="54" t="s">
        <v>1183</v>
      </c>
      <c r="P732">
        <v>10.9</v>
      </c>
      <c r="Q732">
        <v>2</v>
      </c>
      <c r="R732">
        <v>1</v>
      </c>
    </row>
    <row r="733" spans="8:18">
      <c r="H733" s="16">
        <v>44801</v>
      </c>
      <c r="I733" s="17" t="s">
        <v>486</v>
      </c>
      <c r="J733" s="17">
        <v>1</v>
      </c>
      <c r="K733" s="17">
        <v>1</v>
      </c>
      <c r="L733" s="17">
        <v>1</v>
      </c>
      <c r="O733" s="54" t="s">
        <v>1184</v>
      </c>
      <c r="P733">
        <v>10.9</v>
      </c>
      <c r="Q733">
        <v>2</v>
      </c>
      <c r="R733">
        <v>1</v>
      </c>
    </row>
    <row r="734" spans="8:18">
      <c r="H734" s="16">
        <v>44801</v>
      </c>
      <c r="I734" s="17" t="s">
        <v>1070</v>
      </c>
      <c r="J734" s="17">
        <v>1</v>
      </c>
      <c r="K734" s="17">
        <v>1</v>
      </c>
      <c r="L734" s="17">
        <v>1</v>
      </c>
      <c r="O734" s="54" t="s">
        <v>1185</v>
      </c>
      <c r="P734">
        <v>10.9</v>
      </c>
      <c r="Q734">
        <v>2</v>
      </c>
      <c r="R734">
        <v>1</v>
      </c>
    </row>
    <row r="735" spans="8:18">
      <c r="H735" s="16">
        <v>44801</v>
      </c>
      <c r="I735" s="17" t="s">
        <v>925</v>
      </c>
      <c r="J735" s="17">
        <v>1</v>
      </c>
      <c r="K735" s="17">
        <v>1</v>
      </c>
      <c r="L735" s="17">
        <v>1</v>
      </c>
      <c r="O735" s="54" t="s">
        <v>1108</v>
      </c>
      <c r="P735">
        <v>10.9</v>
      </c>
      <c r="Q735">
        <v>2</v>
      </c>
      <c r="R735">
        <v>1</v>
      </c>
    </row>
    <row r="736" spans="8:18">
      <c r="H736" s="16">
        <v>44801</v>
      </c>
      <c r="I736" s="17" t="s">
        <v>655</v>
      </c>
      <c r="J736" s="17">
        <v>1</v>
      </c>
      <c r="K736" s="17">
        <v>1</v>
      </c>
      <c r="L736" s="17">
        <v>1</v>
      </c>
      <c r="O736" s="54" t="s">
        <v>1107</v>
      </c>
      <c r="P736">
        <v>10.9</v>
      </c>
      <c r="Q736">
        <v>2</v>
      </c>
      <c r="R736">
        <v>1</v>
      </c>
    </row>
    <row r="737" spans="8:18">
      <c r="H737" s="16">
        <v>44801</v>
      </c>
      <c r="I737" s="17" t="s">
        <v>814</v>
      </c>
      <c r="J737" s="17">
        <v>1</v>
      </c>
      <c r="K737" s="17">
        <v>1</v>
      </c>
      <c r="L737" s="17">
        <v>1</v>
      </c>
      <c r="O737" s="54" t="s">
        <v>1106</v>
      </c>
      <c r="P737">
        <v>10.9</v>
      </c>
      <c r="Q737">
        <v>2</v>
      </c>
      <c r="R737">
        <v>1</v>
      </c>
    </row>
    <row r="738" spans="8:18">
      <c r="H738" s="16">
        <v>44801</v>
      </c>
      <c r="I738" s="17" t="s">
        <v>593</v>
      </c>
      <c r="J738" s="17">
        <v>1</v>
      </c>
      <c r="K738" s="17">
        <v>1</v>
      </c>
      <c r="L738" s="17">
        <v>1</v>
      </c>
      <c r="O738" s="54" t="s">
        <v>1105</v>
      </c>
      <c r="P738">
        <v>10.9</v>
      </c>
      <c r="Q738">
        <v>2</v>
      </c>
      <c r="R738">
        <v>1</v>
      </c>
    </row>
    <row r="739" spans="8:18">
      <c r="H739" s="16">
        <v>44800</v>
      </c>
      <c r="I739" s="17" t="s">
        <v>464</v>
      </c>
      <c r="J739" s="17">
        <v>662.9</v>
      </c>
      <c r="K739" s="17">
        <v>5</v>
      </c>
      <c r="L739" s="17">
        <v>1</v>
      </c>
      <c r="O739" s="54" t="s">
        <v>1104</v>
      </c>
      <c r="P739">
        <v>10.9</v>
      </c>
      <c r="Q739">
        <v>2</v>
      </c>
      <c r="R739">
        <v>1</v>
      </c>
    </row>
    <row r="740" spans="8:18">
      <c r="H740" s="16">
        <v>44800</v>
      </c>
      <c r="I740" s="17" t="s">
        <v>646</v>
      </c>
      <c r="J740" s="17">
        <v>443.9</v>
      </c>
      <c r="K740" s="17">
        <v>4</v>
      </c>
      <c r="L740" s="17">
        <v>1</v>
      </c>
      <c r="O740" s="54" t="s">
        <v>1048</v>
      </c>
      <c r="P740">
        <v>10.9</v>
      </c>
      <c r="Q740">
        <v>2</v>
      </c>
      <c r="R740">
        <v>2</v>
      </c>
    </row>
    <row r="741" spans="8:18">
      <c r="H741" s="16">
        <v>44800</v>
      </c>
      <c r="I741" s="17" t="s">
        <v>657</v>
      </c>
      <c r="J741" s="17">
        <v>410.9</v>
      </c>
      <c r="K741" s="17">
        <v>3</v>
      </c>
      <c r="L741" s="17">
        <v>1</v>
      </c>
      <c r="O741" s="54" t="s">
        <v>1020</v>
      </c>
      <c r="P741">
        <v>10.9</v>
      </c>
      <c r="Q741">
        <v>2</v>
      </c>
      <c r="R741">
        <v>1</v>
      </c>
    </row>
    <row r="742" spans="8:18">
      <c r="H742" s="16">
        <v>44800</v>
      </c>
      <c r="I742" s="17" t="s">
        <v>683</v>
      </c>
      <c r="J742" s="17">
        <v>346.9</v>
      </c>
      <c r="K742" s="17">
        <v>3</v>
      </c>
      <c r="L742" s="17">
        <v>1</v>
      </c>
      <c r="O742" s="54" t="s">
        <v>1018</v>
      </c>
      <c r="P742">
        <v>10.9</v>
      </c>
      <c r="Q742">
        <v>2</v>
      </c>
      <c r="R742">
        <v>1</v>
      </c>
    </row>
    <row r="743" spans="8:18">
      <c r="H743" s="16">
        <v>44800</v>
      </c>
      <c r="I743" s="17" t="s">
        <v>525</v>
      </c>
      <c r="J743" s="17">
        <v>338.9</v>
      </c>
      <c r="K743" s="17">
        <v>2</v>
      </c>
      <c r="L743" s="17">
        <v>1</v>
      </c>
      <c r="O743" s="54" t="s">
        <v>1017</v>
      </c>
      <c r="P743">
        <v>10.9</v>
      </c>
      <c r="Q743">
        <v>2</v>
      </c>
      <c r="R743">
        <v>1</v>
      </c>
    </row>
    <row r="744" spans="8:18">
      <c r="H744" s="16">
        <v>44800</v>
      </c>
      <c r="I744" s="17" t="s">
        <v>468</v>
      </c>
      <c r="J744" s="17">
        <v>308</v>
      </c>
      <c r="K744" s="17">
        <v>1</v>
      </c>
      <c r="L744" s="17">
        <v>1</v>
      </c>
      <c r="O744" s="54" t="s">
        <v>956</v>
      </c>
      <c r="P744">
        <v>10.9</v>
      </c>
      <c r="Q744">
        <v>2</v>
      </c>
      <c r="R744">
        <v>1</v>
      </c>
    </row>
    <row r="745" spans="8:18">
      <c r="H745" s="16">
        <v>44800</v>
      </c>
      <c r="I745" s="17" t="s">
        <v>728</v>
      </c>
      <c r="J745" s="17">
        <v>307</v>
      </c>
      <c r="K745" s="17">
        <v>2</v>
      </c>
      <c r="L745" s="17">
        <v>1</v>
      </c>
      <c r="O745" s="54" t="s">
        <v>1186</v>
      </c>
      <c r="P745">
        <v>9.9</v>
      </c>
      <c r="Q745">
        <v>1</v>
      </c>
      <c r="R745">
        <v>1</v>
      </c>
    </row>
    <row r="746" spans="8:18">
      <c r="H746" s="16">
        <v>44800</v>
      </c>
      <c r="I746" s="17" t="s">
        <v>402</v>
      </c>
      <c r="J746" s="17">
        <v>298.8</v>
      </c>
      <c r="K746" s="17">
        <v>3</v>
      </c>
      <c r="L746" s="17">
        <v>1</v>
      </c>
      <c r="O746" s="54" t="s">
        <v>1187</v>
      </c>
      <c r="P746">
        <v>9.9</v>
      </c>
      <c r="Q746">
        <v>1</v>
      </c>
      <c r="R746">
        <v>1</v>
      </c>
    </row>
    <row r="747" spans="8:18">
      <c r="H747" s="16">
        <v>44800</v>
      </c>
      <c r="I747" s="17" t="s">
        <v>598</v>
      </c>
      <c r="J747" s="17">
        <v>260</v>
      </c>
      <c r="K747" s="17">
        <v>2</v>
      </c>
      <c r="L747" s="17">
        <v>1</v>
      </c>
      <c r="O747" s="54" t="s">
        <v>1188</v>
      </c>
      <c r="P747">
        <v>9.9</v>
      </c>
      <c r="Q747">
        <v>1</v>
      </c>
      <c r="R747">
        <v>1</v>
      </c>
    </row>
    <row r="748" spans="8:18">
      <c r="H748" s="16">
        <v>44800</v>
      </c>
      <c r="I748" s="17" t="s">
        <v>806</v>
      </c>
      <c r="J748" s="17">
        <v>258.9</v>
      </c>
      <c r="K748" s="17">
        <v>2</v>
      </c>
      <c r="L748" s="17">
        <v>1</v>
      </c>
      <c r="O748" s="54" t="s">
        <v>1189</v>
      </c>
      <c r="P748">
        <v>9.9</v>
      </c>
      <c r="Q748">
        <v>1</v>
      </c>
      <c r="R748">
        <v>1</v>
      </c>
    </row>
    <row r="749" spans="8:18">
      <c r="H749" s="16">
        <v>44800</v>
      </c>
      <c r="I749" s="17" t="s">
        <v>545</v>
      </c>
      <c r="J749" s="17">
        <v>247</v>
      </c>
      <c r="K749" s="17">
        <v>1</v>
      </c>
      <c r="L749" s="17">
        <v>1</v>
      </c>
      <c r="O749" s="54" t="s">
        <v>1190</v>
      </c>
      <c r="P749">
        <v>9.9</v>
      </c>
      <c r="Q749">
        <v>1</v>
      </c>
      <c r="R749">
        <v>1</v>
      </c>
    </row>
    <row r="750" spans="8:18">
      <c r="H750" s="16">
        <v>44800</v>
      </c>
      <c r="I750" s="17" t="s">
        <v>905</v>
      </c>
      <c r="J750" s="17">
        <v>159</v>
      </c>
      <c r="K750" s="17">
        <v>1</v>
      </c>
      <c r="L750" s="17">
        <v>1</v>
      </c>
      <c r="O750" s="54" t="s">
        <v>1191</v>
      </c>
      <c r="P750">
        <v>9.9</v>
      </c>
      <c r="Q750">
        <v>1</v>
      </c>
      <c r="R750">
        <v>1</v>
      </c>
    </row>
    <row r="751" spans="8:18">
      <c r="H751" s="16">
        <v>44800</v>
      </c>
      <c r="I751" s="17" t="s">
        <v>456</v>
      </c>
      <c r="J751" s="17">
        <v>157</v>
      </c>
      <c r="K751" s="17">
        <v>1</v>
      </c>
      <c r="L751" s="17">
        <v>1</v>
      </c>
      <c r="O751" s="54" t="s">
        <v>1192</v>
      </c>
      <c r="P751">
        <v>9.9</v>
      </c>
      <c r="Q751">
        <v>1</v>
      </c>
      <c r="R751">
        <v>1</v>
      </c>
    </row>
    <row r="752" spans="8:18">
      <c r="H752" s="16">
        <v>44800</v>
      </c>
      <c r="I752" s="17" t="s">
        <v>587</v>
      </c>
      <c r="J752" s="17">
        <v>154</v>
      </c>
      <c r="K752" s="17">
        <v>1</v>
      </c>
      <c r="L752" s="17">
        <v>1</v>
      </c>
      <c r="O752" s="54" t="s">
        <v>1193</v>
      </c>
      <c r="P752">
        <v>9.9</v>
      </c>
      <c r="Q752">
        <v>1</v>
      </c>
      <c r="R752">
        <v>1</v>
      </c>
    </row>
    <row r="753" spans="8:18">
      <c r="H753" s="16">
        <v>44800</v>
      </c>
      <c r="I753" s="17" t="s">
        <v>926</v>
      </c>
      <c r="J753" s="17">
        <v>129.4</v>
      </c>
      <c r="K753" s="17">
        <v>5</v>
      </c>
      <c r="L753" s="17">
        <v>1</v>
      </c>
      <c r="O753" s="54" t="s">
        <v>1194</v>
      </c>
      <c r="P753">
        <v>9.9</v>
      </c>
      <c r="Q753">
        <v>1</v>
      </c>
      <c r="R753">
        <v>1</v>
      </c>
    </row>
    <row r="754" spans="8:18">
      <c r="H754" s="16">
        <v>44800</v>
      </c>
      <c r="I754" s="17" t="s">
        <v>910</v>
      </c>
      <c r="J754" s="17">
        <v>99</v>
      </c>
      <c r="K754" s="17">
        <v>1</v>
      </c>
      <c r="L754" s="17">
        <v>1</v>
      </c>
      <c r="O754" s="54" t="s">
        <v>1195</v>
      </c>
      <c r="P754">
        <v>9.9</v>
      </c>
      <c r="Q754">
        <v>1</v>
      </c>
      <c r="R754">
        <v>1</v>
      </c>
    </row>
    <row r="755" spans="8:18">
      <c r="H755" s="16">
        <v>44800</v>
      </c>
      <c r="I755" s="17" t="s">
        <v>543</v>
      </c>
      <c r="J755" s="17">
        <v>97</v>
      </c>
      <c r="K755" s="17">
        <v>1</v>
      </c>
      <c r="L755" s="17">
        <v>1</v>
      </c>
      <c r="O755" s="54" t="s">
        <v>1196</v>
      </c>
      <c r="P755">
        <v>9.9</v>
      </c>
      <c r="Q755">
        <v>1</v>
      </c>
      <c r="R755">
        <v>1</v>
      </c>
    </row>
    <row r="756" spans="8:18">
      <c r="H756" s="16">
        <v>44800</v>
      </c>
      <c r="I756" s="17" t="s">
        <v>743</v>
      </c>
      <c r="J756" s="17">
        <v>97</v>
      </c>
      <c r="K756" s="17">
        <v>1</v>
      </c>
      <c r="L756" s="17">
        <v>1</v>
      </c>
      <c r="O756" s="54" t="s">
        <v>1197</v>
      </c>
      <c r="P756">
        <v>9.9</v>
      </c>
      <c r="Q756">
        <v>1</v>
      </c>
      <c r="R756">
        <v>1</v>
      </c>
    </row>
    <row r="757" spans="8:18">
      <c r="H757" s="16">
        <v>44800</v>
      </c>
      <c r="I757" s="17" t="s">
        <v>636</v>
      </c>
      <c r="J757" s="17">
        <v>89</v>
      </c>
      <c r="K757" s="17">
        <v>1</v>
      </c>
      <c r="L757" s="17">
        <v>1</v>
      </c>
      <c r="O757" s="54" t="s">
        <v>1198</v>
      </c>
      <c r="P757">
        <v>9.9</v>
      </c>
      <c r="Q757">
        <v>1</v>
      </c>
      <c r="R757">
        <v>1</v>
      </c>
    </row>
    <row r="758" spans="8:18">
      <c r="H758" s="16">
        <v>44800</v>
      </c>
      <c r="I758" s="17" t="s">
        <v>603</v>
      </c>
      <c r="J758" s="17">
        <v>89</v>
      </c>
      <c r="K758" s="17">
        <v>1</v>
      </c>
      <c r="L758" s="17">
        <v>1</v>
      </c>
      <c r="O758" s="54" t="s">
        <v>1199</v>
      </c>
      <c r="P758">
        <v>9.9</v>
      </c>
      <c r="Q758">
        <v>1</v>
      </c>
      <c r="R758">
        <v>1</v>
      </c>
    </row>
    <row r="759" spans="8:18">
      <c r="H759" s="16">
        <v>44800</v>
      </c>
      <c r="I759" s="17" t="s">
        <v>382</v>
      </c>
      <c r="J759" s="17">
        <v>87</v>
      </c>
      <c r="K759" s="17">
        <v>1</v>
      </c>
      <c r="L759" s="17">
        <v>1</v>
      </c>
      <c r="O759" s="54" t="s">
        <v>1200</v>
      </c>
      <c r="P759">
        <v>9.9</v>
      </c>
      <c r="Q759">
        <v>1</v>
      </c>
      <c r="R759">
        <v>1</v>
      </c>
    </row>
    <row r="760" spans="8:18">
      <c r="H760" s="16">
        <v>44800</v>
      </c>
      <c r="I760" s="17" t="s">
        <v>997</v>
      </c>
      <c r="J760" s="17">
        <v>49.8</v>
      </c>
      <c r="K760" s="17">
        <v>3</v>
      </c>
      <c r="L760" s="17">
        <v>1</v>
      </c>
      <c r="O760" s="54" t="s">
        <v>1201</v>
      </c>
      <c r="P760">
        <v>9.9</v>
      </c>
      <c r="Q760">
        <v>1</v>
      </c>
      <c r="R760">
        <v>1</v>
      </c>
    </row>
    <row r="761" spans="8:18">
      <c r="H761" s="16">
        <v>44800</v>
      </c>
      <c r="I761" s="17" t="s">
        <v>528</v>
      </c>
      <c r="J761" s="17">
        <v>49.8</v>
      </c>
      <c r="K761" s="17">
        <v>2</v>
      </c>
      <c r="L761" s="17">
        <v>1</v>
      </c>
      <c r="O761" s="54" t="s">
        <v>1202</v>
      </c>
      <c r="P761">
        <v>9.9</v>
      </c>
      <c r="Q761">
        <v>1</v>
      </c>
      <c r="R761">
        <v>1</v>
      </c>
    </row>
    <row r="762" spans="8:18">
      <c r="H762" s="16">
        <v>44800</v>
      </c>
      <c r="I762" s="17" t="s">
        <v>999</v>
      </c>
      <c r="J762" s="17">
        <v>48.8</v>
      </c>
      <c r="K762" s="17">
        <v>2</v>
      </c>
      <c r="L762" s="17">
        <v>1</v>
      </c>
      <c r="O762" s="54" t="s">
        <v>1203</v>
      </c>
      <c r="P762">
        <v>9.9</v>
      </c>
      <c r="Q762">
        <v>1</v>
      </c>
      <c r="R762">
        <v>1</v>
      </c>
    </row>
    <row r="763" spans="8:18">
      <c r="H763" s="16">
        <v>44800</v>
      </c>
      <c r="I763" s="17" t="s">
        <v>1006</v>
      </c>
      <c r="J763" s="17">
        <v>46.8</v>
      </c>
      <c r="K763" s="17">
        <v>2</v>
      </c>
      <c r="L763" s="17">
        <v>1</v>
      </c>
      <c r="O763" s="54" t="s">
        <v>1204</v>
      </c>
      <c r="P763">
        <v>9.9</v>
      </c>
      <c r="Q763">
        <v>1</v>
      </c>
      <c r="R763">
        <v>1</v>
      </c>
    </row>
    <row r="764" spans="8:18">
      <c r="H764" s="16">
        <v>44800</v>
      </c>
      <c r="I764" s="17" t="s">
        <v>795</v>
      </c>
      <c r="J764" s="17">
        <v>39.9</v>
      </c>
      <c r="K764" s="17">
        <v>1</v>
      </c>
      <c r="L764" s="17">
        <v>1</v>
      </c>
      <c r="O764" s="54" t="s">
        <v>1205</v>
      </c>
      <c r="P764">
        <v>9.9</v>
      </c>
      <c r="Q764">
        <v>1</v>
      </c>
      <c r="R764">
        <v>1</v>
      </c>
    </row>
    <row r="765" spans="8:18">
      <c r="H765" s="16">
        <v>44800</v>
      </c>
      <c r="I765" s="17" t="s">
        <v>1053</v>
      </c>
      <c r="J765" s="17">
        <v>37.9</v>
      </c>
      <c r="K765" s="17">
        <v>2</v>
      </c>
      <c r="L765" s="17">
        <v>1</v>
      </c>
      <c r="O765" s="54" t="s">
        <v>1206</v>
      </c>
      <c r="P765">
        <v>9.9</v>
      </c>
      <c r="Q765">
        <v>1</v>
      </c>
      <c r="R765">
        <v>1</v>
      </c>
    </row>
    <row r="766" spans="8:18">
      <c r="H766" s="16">
        <v>44800</v>
      </c>
      <c r="I766" s="17" t="s">
        <v>393</v>
      </c>
      <c r="J766" s="17">
        <v>36.9</v>
      </c>
      <c r="K766" s="17">
        <v>1</v>
      </c>
      <c r="L766" s="17">
        <v>1</v>
      </c>
      <c r="O766" s="54" t="s">
        <v>1207</v>
      </c>
      <c r="P766">
        <v>9.9</v>
      </c>
      <c r="Q766">
        <v>1</v>
      </c>
      <c r="R766">
        <v>1</v>
      </c>
    </row>
    <row r="767" spans="8:18">
      <c r="H767" s="16">
        <v>44800</v>
      </c>
      <c r="I767" s="17" t="s">
        <v>1067</v>
      </c>
      <c r="J767" s="17">
        <v>29.8</v>
      </c>
      <c r="K767" s="17">
        <v>2</v>
      </c>
      <c r="L767" s="17">
        <v>1</v>
      </c>
      <c r="O767" s="54" t="s">
        <v>1208</v>
      </c>
      <c r="P767">
        <v>9.9</v>
      </c>
      <c r="Q767">
        <v>1</v>
      </c>
      <c r="R767">
        <v>1</v>
      </c>
    </row>
    <row r="768" spans="8:18">
      <c r="H768" s="16">
        <v>44800</v>
      </c>
      <c r="I768" s="17" t="s">
        <v>953</v>
      </c>
      <c r="J768" s="17">
        <v>20.9</v>
      </c>
      <c r="K768" s="17">
        <v>2</v>
      </c>
      <c r="L768" s="17">
        <v>1</v>
      </c>
      <c r="O768" s="54" t="s">
        <v>1209</v>
      </c>
      <c r="P768">
        <v>9.9</v>
      </c>
      <c r="Q768">
        <v>1</v>
      </c>
      <c r="R768">
        <v>1</v>
      </c>
    </row>
    <row r="769" spans="8:18">
      <c r="H769" s="16">
        <v>44800</v>
      </c>
      <c r="I769" s="17" t="s">
        <v>667</v>
      </c>
      <c r="J769" s="17">
        <v>19.9</v>
      </c>
      <c r="K769" s="17">
        <v>1</v>
      </c>
      <c r="L769" s="17">
        <v>1</v>
      </c>
      <c r="O769" s="54" t="s">
        <v>1210</v>
      </c>
      <c r="P769">
        <v>9.9</v>
      </c>
      <c r="Q769">
        <v>1</v>
      </c>
      <c r="R769">
        <v>1</v>
      </c>
    </row>
    <row r="770" spans="8:18">
      <c r="H770" s="16">
        <v>44800</v>
      </c>
      <c r="I770" s="17" t="s">
        <v>608</v>
      </c>
      <c r="J770" s="17">
        <v>19.9</v>
      </c>
      <c r="K770" s="17">
        <v>1</v>
      </c>
      <c r="L770" s="17">
        <v>1</v>
      </c>
      <c r="O770" s="54" t="s">
        <v>1211</v>
      </c>
      <c r="P770">
        <v>9.9</v>
      </c>
      <c r="Q770">
        <v>1</v>
      </c>
      <c r="R770">
        <v>1</v>
      </c>
    </row>
    <row r="771" spans="8:18">
      <c r="H771" s="16">
        <v>44800</v>
      </c>
      <c r="I771" s="17" t="s">
        <v>1129</v>
      </c>
      <c r="J771" s="17">
        <v>18.78</v>
      </c>
      <c r="K771" s="17">
        <v>2</v>
      </c>
      <c r="L771" s="17">
        <v>1</v>
      </c>
      <c r="O771" s="54" t="s">
        <v>1212</v>
      </c>
      <c r="P771">
        <v>9.9</v>
      </c>
      <c r="Q771">
        <v>1</v>
      </c>
      <c r="R771">
        <v>1</v>
      </c>
    </row>
    <row r="772" spans="8:18">
      <c r="H772" s="16">
        <v>44800</v>
      </c>
      <c r="I772" s="17" t="s">
        <v>604</v>
      </c>
      <c r="J772" s="17">
        <v>10.9</v>
      </c>
      <c r="K772" s="17">
        <v>2</v>
      </c>
      <c r="L772" s="17">
        <v>1</v>
      </c>
      <c r="O772" s="54" t="s">
        <v>1213</v>
      </c>
      <c r="P772">
        <v>9.9</v>
      </c>
      <c r="Q772">
        <v>1</v>
      </c>
      <c r="R772">
        <v>1</v>
      </c>
    </row>
    <row r="773" spans="8:18">
      <c r="H773" s="16">
        <v>44800</v>
      </c>
      <c r="I773" s="17" t="s">
        <v>1185</v>
      </c>
      <c r="J773" s="17">
        <v>10.9</v>
      </c>
      <c r="K773" s="17">
        <v>2</v>
      </c>
      <c r="L773" s="17">
        <v>1</v>
      </c>
      <c r="O773" s="54" t="s">
        <v>1214</v>
      </c>
      <c r="P773">
        <v>9.9</v>
      </c>
      <c r="Q773">
        <v>1</v>
      </c>
      <c r="R773">
        <v>1</v>
      </c>
    </row>
    <row r="774" spans="8:18">
      <c r="H774" s="16">
        <v>44800</v>
      </c>
      <c r="I774" s="17" t="s">
        <v>948</v>
      </c>
      <c r="J774" s="17">
        <v>10.9</v>
      </c>
      <c r="K774" s="17">
        <v>2</v>
      </c>
      <c r="L774" s="17">
        <v>1</v>
      </c>
      <c r="O774" s="54" t="s">
        <v>1215</v>
      </c>
      <c r="P774">
        <v>9.9</v>
      </c>
      <c r="Q774">
        <v>1</v>
      </c>
      <c r="R774">
        <v>1</v>
      </c>
    </row>
    <row r="775" spans="8:18">
      <c r="H775" s="16">
        <v>44800</v>
      </c>
      <c r="I775" s="17" t="s">
        <v>1216</v>
      </c>
      <c r="J775" s="17">
        <v>9.9</v>
      </c>
      <c r="K775" s="17">
        <v>1</v>
      </c>
      <c r="L775" s="17">
        <v>1</v>
      </c>
      <c r="O775" s="54" t="s">
        <v>1217</v>
      </c>
      <c r="P775">
        <v>9.9</v>
      </c>
      <c r="Q775">
        <v>1</v>
      </c>
      <c r="R775">
        <v>1</v>
      </c>
    </row>
    <row r="776" spans="8:18">
      <c r="H776" s="16">
        <v>44800</v>
      </c>
      <c r="I776" s="17" t="s">
        <v>1218</v>
      </c>
      <c r="J776" s="17">
        <v>9.9</v>
      </c>
      <c r="K776" s="17">
        <v>1</v>
      </c>
      <c r="L776" s="17">
        <v>1</v>
      </c>
      <c r="O776" s="54" t="s">
        <v>1219</v>
      </c>
      <c r="P776">
        <v>9.9</v>
      </c>
      <c r="Q776">
        <v>1</v>
      </c>
      <c r="R776">
        <v>1</v>
      </c>
    </row>
    <row r="777" spans="8:18">
      <c r="H777" s="16">
        <v>44800</v>
      </c>
      <c r="I777" s="17" t="s">
        <v>1220</v>
      </c>
      <c r="J777" s="17">
        <v>9.9</v>
      </c>
      <c r="K777" s="17">
        <v>1</v>
      </c>
      <c r="L777" s="17">
        <v>1</v>
      </c>
      <c r="O777" s="54" t="s">
        <v>1221</v>
      </c>
      <c r="P777">
        <v>9.9</v>
      </c>
      <c r="Q777">
        <v>1</v>
      </c>
      <c r="R777">
        <v>1</v>
      </c>
    </row>
    <row r="778" spans="8:18">
      <c r="H778" s="16">
        <v>44800</v>
      </c>
      <c r="I778" s="17" t="s">
        <v>448</v>
      </c>
      <c r="J778" s="17">
        <v>9.9</v>
      </c>
      <c r="K778" s="17">
        <v>1</v>
      </c>
      <c r="L778" s="17">
        <v>1</v>
      </c>
      <c r="O778" s="54" t="s">
        <v>1222</v>
      </c>
      <c r="P778">
        <v>9.9</v>
      </c>
      <c r="Q778">
        <v>1</v>
      </c>
      <c r="R778">
        <v>1</v>
      </c>
    </row>
    <row r="779" spans="8:18">
      <c r="H779" s="16">
        <v>44800</v>
      </c>
      <c r="I779" s="17" t="s">
        <v>760</v>
      </c>
      <c r="J779" s="17">
        <v>9.9</v>
      </c>
      <c r="K779" s="17">
        <v>1</v>
      </c>
      <c r="L779" s="17">
        <v>1</v>
      </c>
      <c r="O779" s="54" t="s">
        <v>1223</v>
      </c>
      <c r="P779">
        <v>9.9</v>
      </c>
      <c r="Q779">
        <v>1</v>
      </c>
      <c r="R779">
        <v>1</v>
      </c>
    </row>
    <row r="780" spans="8:18">
      <c r="H780" s="16">
        <v>44800</v>
      </c>
      <c r="I780" s="17" t="s">
        <v>726</v>
      </c>
      <c r="J780" s="17">
        <v>9.9</v>
      </c>
      <c r="K780" s="17">
        <v>1</v>
      </c>
      <c r="L780" s="17">
        <v>1</v>
      </c>
      <c r="O780" s="54" t="s">
        <v>1224</v>
      </c>
      <c r="P780">
        <v>9.9</v>
      </c>
      <c r="Q780">
        <v>1</v>
      </c>
      <c r="R780">
        <v>1</v>
      </c>
    </row>
    <row r="781" spans="8:18">
      <c r="H781" s="16">
        <v>44800</v>
      </c>
      <c r="I781" s="17" t="s">
        <v>805</v>
      </c>
      <c r="J781" s="17">
        <v>9.9</v>
      </c>
      <c r="K781" s="17">
        <v>1</v>
      </c>
      <c r="L781" s="17">
        <v>1</v>
      </c>
      <c r="O781" s="54" t="s">
        <v>1225</v>
      </c>
      <c r="P781">
        <v>9.9</v>
      </c>
      <c r="Q781">
        <v>1</v>
      </c>
      <c r="R781">
        <v>1</v>
      </c>
    </row>
    <row r="782" spans="8:18">
      <c r="H782" s="16">
        <v>44800</v>
      </c>
      <c r="I782" s="17" t="s">
        <v>1226</v>
      </c>
      <c r="J782" s="17">
        <v>1</v>
      </c>
      <c r="K782" s="17">
        <v>1</v>
      </c>
      <c r="L782" s="17">
        <v>1</v>
      </c>
      <c r="O782" s="54" t="s">
        <v>1227</v>
      </c>
      <c r="P782">
        <v>9.9</v>
      </c>
      <c r="Q782">
        <v>1</v>
      </c>
      <c r="R782">
        <v>1</v>
      </c>
    </row>
    <row r="783" spans="8:18">
      <c r="H783" s="16">
        <v>44800</v>
      </c>
      <c r="I783" s="17" t="s">
        <v>682</v>
      </c>
      <c r="J783" s="17">
        <v>1</v>
      </c>
      <c r="K783" s="17">
        <v>1</v>
      </c>
      <c r="L783" s="17">
        <v>1</v>
      </c>
      <c r="O783" s="54" t="s">
        <v>1228</v>
      </c>
      <c r="P783">
        <v>9.9</v>
      </c>
      <c r="Q783">
        <v>1</v>
      </c>
      <c r="R783">
        <v>1</v>
      </c>
    </row>
    <row r="784" spans="8:18">
      <c r="H784" s="16">
        <v>44800</v>
      </c>
      <c r="I784" s="17" t="s">
        <v>653</v>
      </c>
      <c r="J784" s="17">
        <v>1</v>
      </c>
      <c r="K784" s="17">
        <v>1</v>
      </c>
      <c r="L784" s="17">
        <v>1</v>
      </c>
      <c r="O784" s="54" t="s">
        <v>1229</v>
      </c>
      <c r="P784">
        <v>9.9</v>
      </c>
      <c r="Q784">
        <v>1</v>
      </c>
      <c r="R784">
        <v>1</v>
      </c>
    </row>
    <row r="785" spans="8:18">
      <c r="H785" s="16">
        <v>44800</v>
      </c>
      <c r="I785" s="17" t="s">
        <v>1230</v>
      </c>
      <c r="J785" s="17">
        <v>1</v>
      </c>
      <c r="K785" s="17">
        <v>1</v>
      </c>
      <c r="L785" s="17">
        <v>1</v>
      </c>
      <c r="O785" s="54" t="s">
        <v>1231</v>
      </c>
      <c r="P785">
        <v>9.9</v>
      </c>
      <c r="Q785">
        <v>1</v>
      </c>
      <c r="R785">
        <v>1</v>
      </c>
    </row>
    <row r="786" spans="8:18">
      <c r="H786" s="16">
        <v>44800</v>
      </c>
      <c r="I786" s="17" t="s">
        <v>1052</v>
      </c>
      <c r="J786" s="17">
        <v>1</v>
      </c>
      <c r="K786" s="17">
        <v>1</v>
      </c>
      <c r="L786" s="17">
        <v>1</v>
      </c>
      <c r="O786" s="54" t="s">
        <v>1232</v>
      </c>
      <c r="P786">
        <v>9.9</v>
      </c>
      <c r="Q786">
        <v>1</v>
      </c>
      <c r="R786">
        <v>1</v>
      </c>
    </row>
    <row r="787" spans="8:18">
      <c r="H787" s="16">
        <v>44800</v>
      </c>
      <c r="I787" s="17" t="s">
        <v>1233</v>
      </c>
      <c r="J787" s="17">
        <v>1</v>
      </c>
      <c r="K787" s="17">
        <v>1</v>
      </c>
      <c r="L787" s="17">
        <v>1</v>
      </c>
      <c r="O787" s="54" t="s">
        <v>1234</v>
      </c>
      <c r="P787">
        <v>9.9</v>
      </c>
      <c r="Q787">
        <v>1</v>
      </c>
      <c r="R787">
        <v>1</v>
      </c>
    </row>
    <row r="788" spans="8:18">
      <c r="H788" s="16">
        <v>44800</v>
      </c>
      <c r="I788" s="17" t="s">
        <v>1235</v>
      </c>
      <c r="J788" s="17">
        <v>1</v>
      </c>
      <c r="K788" s="17">
        <v>1</v>
      </c>
      <c r="L788" s="17">
        <v>1</v>
      </c>
      <c r="O788" s="54" t="s">
        <v>1236</v>
      </c>
      <c r="P788">
        <v>9.9</v>
      </c>
      <c r="Q788">
        <v>1</v>
      </c>
      <c r="R788">
        <v>1</v>
      </c>
    </row>
    <row r="789" spans="8:18">
      <c r="H789" s="16">
        <v>44800</v>
      </c>
      <c r="I789" s="17" t="s">
        <v>1237</v>
      </c>
      <c r="J789" s="17">
        <v>1</v>
      </c>
      <c r="K789" s="17">
        <v>1</v>
      </c>
      <c r="L789" s="17">
        <v>1</v>
      </c>
      <c r="O789" s="54" t="s">
        <v>1238</v>
      </c>
      <c r="P789">
        <v>9.9</v>
      </c>
      <c r="Q789">
        <v>1</v>
      </c>
      <c r="R789">
        <v>1</v>
      </c>
    </row>
    <row r="790" spans="8:18">
      <c r="H790" s="16">
        <v>44800</v>
      </c>
      <c r="I790" s="17" t="s">
        <v>1239</v>
      </c>
      <c r="J790" s="17">
        <v>1</v>
      </c>
      <c r="K790" s="17">
        <v>1</v>
      </c>
      <c r="L790" s="17">
        <v>1</v>
      </c>
      <c r="O790" s="54" t="s">
        <v>1240</v>
      </c>
      <c r="P790">
        <v>9.9</v>
      </c>
      <c r="Q790">
        <v>1</v>
      </c>
      <c r="R790">
        <v>1</v>
      </c>
    </row>
    <row r="791" spans="8:18">
      <c r="H791" s="16">
        <v>44800</v>
      </c>
      <c r="I791" s="17" t="s">
        <v>1241</v>
      </c>
      <c r="J791" s="17">
        <v>1</v>
      </c>
      <c r="K791" s="17">
        <v>1</v>
      </c>
      <c r="L791" s="17">
        <v>1</v>
      </c>
      <c r="O791" s="54" t="s">
        <v>1242</v>
      </c>
      <c r="P791">
        <v>9.9</v>
      </c>
      <c r="Q791">
        <v>1</v>
      </c>
      <c r="R791">
        <v>1</v>
      </c>
    </row>
    <row r="792" spans="8:18">
      <c r="H792" s="16">
        <v>44800</v>
      </c>
      <c r="I792" s="17" t="s">
        <v>1243</v>
      </c>
      <c r="J792" s="17">
        <v>1</v>
      </c>
      <c r="K792" s="17">
        <v>1</v>
      </c>
      <c r="L792" s="17">
        <v>1</v>
      </c>
      <c r="O792" s="54" t="s">
        <v>1244</v>
      </c>
      <c r="P792">
        <v>9.9</v>
      </c>
      <c r="Q792">
        <v>1</v>
      </c>
      <c r="R792">
        <v>1</v>
      </c>
    </row>
    <row r="793" spans="8:18">
      <c r="H793" s="16">
        <v>44799</v>
      </c>
      <c r="I793" s="17" t="s">
        <v>373</v>
      </c>
      <c r="J793" s="17">
        <v>454.95</v>
      </c>
      <c r="K793" s="17">
        <v>6</v>
      </c>
      <c r="L793" s="17">
        <v>1</v>
      </c>
      <c r="O793" s="54" t="s">
        <v>1245</v>
      </c>
      <c r="P793">
        <v>9.9</v>
      </c>
      <c r="Q793">
        <v>1</v>
      </c>
      <c r="R793">
        <v>1</v>
      </c>
    </row>
    <row r="794" spans="8:18">
      <c r="H794" s="16">
        <v>44799</v>
      </c>
      <c r="I794" s="17" t="s">
        <v>470</v>
      </c>
      <c r="J794" s="17">
        <v>371</v>
      </c>
      <c r="K794" s="17">
        <v>3</v>
      </c>
      <c r="L794" s="17">
        <v>1</v>
      </c>
      <c r="O794" s="54" t="s">
        <v>1246</v>
      </c>
      <c r="P794">
        <v>9.9</v>
      </c>
      <c r="Q794">
        <v>1</v>
      </c>
      <c r="R794">
        <v>1</v>
      </c>
    </row>
    <row r="795" spans="8:18">
      <c r="H795" s="16">
        <v>44799</v>
      </c>
      <c r="I795" s="17" t="s">
        <v>494</v>
      </c>
      <c r="J795" s="17">
        <v>352.91</v>
      </c>
      <c r="K795" s="17">
        <v>3</v>
      </c>
      <c r="L795" s="17">
        <v>1</v>
      </c>
      <c r="O795" s="54" t="s">
        <v>1247</v>
      </c>
      <c r="P795">
        <v>9.9</v>
      </c>
      <c r="Q795">
        <v>1</v>
      </c>
      <c r="R795">
        <v>1</v>
      </c>
    </row>
    <row r="796" spans="8:18">
      <c r="H796" s="16">
        <v>44799</v>
      </c>
      <c r="I796" s="17" t="s">
        <v>688</v>
      </c>
      <c r="J796" s="17">
        <v>343.9</v>
      </c>
      <c r="K796" s="17">
        <v>3</v>
      </c>
      <c r="L796" s="17">
        <v>1</v>
      </c>
      <c r="O796" s="54" t="s">
        <v>1248</v>
      </c>
      <c r="P796">
        <v>9.9</v>
      </c>
      <c r="Q796">
        <v>1</v>
      </c>
      <c r="R796">
        <v>1</v>
      </c>
    </row>
    <row r="797" spans="8:18">
      <c r="H797" s="16">
        <v>44799</v>
      </c>
      <c r="I797" s="17" t="s">
        <v>715</v>
      </c>
      <c r="J797" s="17">
        <v>329</v>
      </c>
      <c r="K797" s="17">
        <v>1</v>
      </c>
      <c r="L797" s="17">
        <v>1</v>
      </c>
      <c r="O797" s="54" t="s">
        <v>1249</v>
      </c>
      <c r="P797">
        <v>9.9</v>
      </c>
      <c r="Q797">
        <v>1</v>
      </c>
      <c r="R797">
        <v>1</v>
      </c>
    </row>
    <row r="798" spans="8:18">
      <c r="H798" s="16">
        <v>44799</v>
      </c>
      <c r="I798" s="17" t="s">
        <v>491</v>
      </c>
      <c r="J798" s="17">
        <v>304.8</v>
      </c>
      <c r="K798" s="17">
        <v>3</v>
      </c>
      <c r="L798" s="17">
        <v>1</v>
      </c>
      <c r="O798" s="54" t="s">
        <v>1250</v>
      </c>
      <c r="P798">
        <v>9.9</v>
      </c>
      <c r="Q798">
        <v>1</v>
      </c>
      <c r="R798">
        <v>1</v>
      </c>
    </row>
    <row r="799" spans="8:18">
      <c r="H799" s="16">
        <v>44799</v>
      </c>
      <c r="I799" s="17" t="s">
        <v>495</v>
      </c>
      <c r="J799" s="17">
        <v>272</v>
      </c>
      <c r="K799" s="17">
        <v>2</v>
      </c>
      <c r="L799" s="17">
        <v>1</v>
      </c>
      <c r="O799" s="54" t="s">
        <v>1251</v>
      </c>
      <c r="P799">
        <v>9.9</v>
      </c>
      <c r="Q799">
        <v>1</v>
      </c>
      <c r="R799">
        <v>1</v>
      </c>
    </row>
    <row r="800" spans="8:18">
      <c r="H800" s="16">
        <v>44799</v>
      </c>
      <c r="I800" s="17" t="s">
        <v>614</v>
      </c>
      <c r="J800" s="17">
        <v>263.9</v>
      </c>
      <c r="K800" s="17">
        <v>2</v>
      </c>
      <c r="L800" s="17">
        <v>1</v>
      </c>
      <c r="O800" s="54" t="s">
        <v>1220</v>
      </c>
      <c r="P800">
        <v>9.9</v>
      </c>
      <c r="Q800">
        <v>1</v>
      </c>
      <c r="R800">
        <v>1</v>
      </c>
    </row>
    <row r="801" spans="8:18">
      <c r="H801" s="16">
        <v>44799</v>
      </c>
      <c r="I801" s="17" t="s">
        <v>805</v>
      </c>
      <c r="J801" s="17">
        <v>249</v>
      </c>
      <c r="K801" s="17">
        <v>1</v>
      </c>
      <c r="L801" s="17">
        <v>1</v>
      </c>
      <c r="O801" s="54" t="s">
        <v>1218</v>
      </c>
      <c r="P801">
        <v>9.9</v>
      </c>
      <c r="Q801">
        <v>1</v>
      </c>
      <c r="R801">
        <v>1</v>
      </c>
    </row>
    <row r="802" spans="8:18">
      <c r="H802" s="16">
        <v>44799</v>
      </c>
      <c r="I802" s="17" t="s">
        <v>512</v>
      </c>
      <c r="J802" s="17">
        <v>243</v>
      </c>
      <c r="K802" s="17">
        <v>2</v>
      </c>
      <c r="L802" s="17">
        <v>1</v>
      </c>
      <c r="O802" s="54" t="s">
        <v>1216</v>
      </c>
      <c r="P802">
        <v>9.9</v>
      </c>
      <c r="Q802">
        <v>1</v>
      </c>
      <c r="R802">
        <v>1</v>
      </c>
    </row>
    <row r="803" spans="8:18">
      <c r="H803" s="16">
        <v>44799</v>
      </c>
      <c r="I803" s="17" t="s">
        <v>393</v>
      </c>
      <c r="J803" s="17">
        <v>233.9</v>
      </c>
      <c r="K803" s="17">
        <v>3</v>
      </c>
      <c r="L803" s="17">
        <v>1</v>
      </c>
      <c r="O803" s="54" t="s">
        <v>1116</v>
      </c>
      <c r="P803">
        <v>9.9</v>
      </c>
      <c r="Q803">
        <v>1</v>
      </c>
      <c r="R803">
        <v>1</v>
      </c>
    </row>
    <row r="804" spans="8:18">
      <c r="H804" s="16">
        <v>44799</v>
      </c>
      <c r="I804" s="17" t="s">
        <v>543</v>
      </c>
      <c r="J804" s="17">
        <v>206.6</v>
      </c>
      <c r="K804" s="17">
        <v>6</v>
      </c>
      <c r="L804" s="17">
        <v>1</v>
      </c>
      <c r="O804" s="54" t="s">
        <v>1115</v>
      </c>
      <c r="P804">
        <v>9.9</v>
      </c>
      <c r="Q804">
        <v>1</v>
      </c>
      <c r="R804">
        <v>1</v>
      </c>
    </row>
    <row r="805" spans="8:18">
      <c r="H805" s="16">
        <v>44799</v>
      </c>
      <c r="I805" s="17" t="s">
        <v>890</v>
      </c>
      <c r="J805" s="17">
        <v>187.6</v>
      </c>
      <c r="K805" s="17">
        <v>6</v>
      </c>
      <c r="L805" s="17">
        <v>1</v>
      </c>
      <c r="O805" s="54" t="s">
        <v>1114</v>
      </c>
      <c r="P805">
        <v>9.9</v>
      </c>
      <c r="Q805">
        <v>1</v>
      </c>
      <c r="R805">
        <v>1</v>
      </c>
    </row>
    <row r="806" spans="8:18">
      <c r="H806" s="16">
        <v>44799</v>
      </c>
      <c r="I806" s="17" t="s">
        <v>518</v>
      </c>
      <c r="J806" s="17">
        <v>175.9</v>
      </c>
      <c r="K806" s="17">
        <v>2</v>
      </c>
      <c r="L806" s="17">
        <v>1</v>
      </c>
      <c r="O806" s="54" t="s">
        <v>1113</v>
      </c>
      <c r="P806">
        <v>9.9</v>
      </c>
      <c r="Q806">
        <v>1</v>
      </c>
      <c r="R806">
        <v>1</v>
      </c>
    </row>
    <row r="807" spans="8:18">
      <c r="H807" s="16">
        <v>44799</v>
      </c>
      <c r="I807" s="17" t="s">
        <v>397</v>
      </c>
      <c r="J807" s="17">
        <v>172</v>
      </c>
      <c r="K807" s="17">
        <v>2</v>
      </c>
      <c r="L807" s="17">
        <v>1</v>
      </c>
      <c r="O807" s="54" t="s">
        <v>1112</v>
      </c>
      <c r="P807">
        <v>9.9</v>
      </c>
      <c r="Q807">
        <v>1</v>
      </c>
      <c r="R807">
        <v>1</v>
      </c>
    </row>
    <row r="808" spans="8:18">
      <c r="H808" s="16">
        <v>44799</v>
      </c>
      <c r="I808" s="17" t="s">
        <v>652</v>
      </c>
      <c r="J808" s="17">
        <v>167</v>
      </c>
      <c r="K808" s="17">
        <v>1</v>
      </c>
      <c r="L808" s="17">
        <v>1</v>
      </c>
      <c r="O808" s="54" t="s">
        <v>1111</v>
      </c>
      <c r="P808">
        <v>9.9</v>
      </c>
      <c r="Q808">
        <v>1</v>
      </c>
      <c r="R808">
        <v>1</v>
      </c>
    </row>
    <row r="809" spans="8:18">
      <c r="H809" s="16">
        <v>44799</v>
      </c>
      <c r="I809" s="17" t="s">
        <v>590</v>
      </c>
      <c r="J809" s="17">
        <v>163.8</v>
      </c>
      <c r="K809" s="17">
        <v>4</v>
      </c>
      <c r="L809" s="17">
        <v>1</v>
      </c>
      <c r="O809" s="54" t="s">
        <v>1110</v>
      </c>
      <c r="P809">
        <v>9.9</v>
      </c>
      <c r="Q809">
        <v>1</v>
      </c>
      <c r="R809">
        <v>1</v>
      </c>
    </row>
    <row r="810" spans="8:18">
      <c r="H810" s="16">
        <v>44799</v>
      </c>
      <c r="I810" s="17" t="s">
        <v>384</v>
      </c>
      <c r="J810" s="17">
        <v>146.8</v>
      </c>
      <c r="K810" s="17">
        <v>3</v>
      </c>
      <c r="L810" s="17">
        <v>1</v>
      </c>
      <c r="O810" s="54" t="s">
        <v>1109</v>
      </c>
      <c r="P810">
        <v>9.9</v>
      </c>
      <c r="Q810">
        <v>1</v>
      </c>
      <c r="R810">
        <v>1</v>
      </c>
    </row>
    <row r="811" spans="8:18">
      <c r="H811" s="16">
        <v>44799</v>
      </c>
      <c r="I811" s="17" t="s">
        <v>634</v>
      </c>
      <c r="J811" s="17">
        <v>137.8</v>
      </c>
      <c r="K811" s="17">
        <v>3</v>
      </c>
      <c r="L811" s="17">
        <v>1</v>
      </c>
      <c r="O811" s="54" t="s">
        <v>1035</v>
      </c>
      <c r="P811">
        <v>9.9</v>
      </c>
      <c r="Q811">
        <v>1</v>
      </c>
      <c r="R811">
        <v>1</v>
      </c>
    </row>
    <row r="812" spans="8:18">
      <c r="H812" s="16">
        <v>44799</v>
      </c>
      <c r="I812" s="17" t="s">
        <v>462</v>
      </c>
      <c r="J812" s="17">
        <v>136.8</v>
      </c>
      <c r="K812" s="17">
        <v>3</v>
      </c>
      <c r="L812" s="17">
        <v>1</v>
      </c>
      <c r="O812" s="54" t="s">
        <v>1033</v>
      </c>
      <c r="P812">
        <v>9.9</v>
      </c>
      <c r="Q812">
        <v>1</v>
      </c>
      <c r="R812">
        <v>1</v>
      </c>
    </row>
    <row r="813" spans="8:18">
      <c r="H813" s="16">
        <v>44799</v>
      </c>
      <c r="I813" s="17" t="s">
        <v>686</v>
      </c>
      <c r="J813" s="17">
        <v>128</v>
      </c>
      <c r="K813" s="17">
        <v>1</v>
      </c>
      <c r="L813" s="17">
        <v>1</v>
      </c>
      <c r="O813" s="54" t="s">
        <v>1031</v>
      </c>
      <c r="P813">
        <v>9.9</v>
      </c>
      <c r="Q813">
        <v>1</v>
      </c>
      <c r="R813">
        <v>1</v>
      </c>
    </row>
    <row r="814" spans="8:18">
      <c r="H814" s="16">
        <v>44799</v>
      </c>
      <c r="I814" s="17" t="s">
        <v>472</v>
      </c>
      <c r="J814" s="17">
        <v>125.9</v>
      </c>
      <c r="K814" s="17">
        <v>2</v>
      </c>
      <c r="L814" s="17">
        <v>1</v>
      </c>
      <c r="O814" s="54" t="s">
        <v>1029</v>
      </c>
      <c r="P814">
        <v>9.9</v>
      </c>
      <c r="Q814">
        <v>1</v>
      </c>
      <c r="R814">
        <v>1</v>
      </c>
    </row>
    <row r="815" spans="8:18">
      <c r="H815" s="16">
        <v>44799</v>
      </c>
      <c r="I815" s="17" t="s">
        <v>375</v>
      </c>
      <c r="J815" s="17">
        <v>118.6</v>
      </c>
      <c r="K815" s="17">
        <v>4</v>
      </c>
      <c r="L815" s="17">
        <v>1</v>
      </c>
      <c r="O815" s="54" t="s">
        <v>1027</v>
      </c>
      <c r="P815">
        <v>9.9</v>
      </c>
      <c r="Q815">
        <v>1</v>
      </c>
      <c r="R815">
        <v>1</v>
      </c>
    </row>
    <row r="816" spans="8:18">
      <c r="H816" s="16">
        <v>44799</v>
      </c>
      <c r="I816" s="17" t="s">
        <v>404</v>
      </c>
      <c r="J816" s="17">
        <v>96.9</v>
      </c>
      <c r="K816" s="17">
        <v>2</v>
      </c>
      <c r="L816" s="17">
        <v>1</v>
      </c>
      <c r="O816" s="54" t="s">
        <v>1025</v>
      </c>
      <c r="P816">
        <v>9.9</v>
      </c>
      <c r="Q816">
        <v>1</v>
      </c>
      <c r="R816">
        <v>1</v>
      </c>
    </row>
    <row r="817" spans="8:18">
      <c r="H817" s="16">
        <v>44799</v>
      </c>
      <c r="I817" s="17" t="s">
        <v>763</v>
      </c>
      <c r="J817" s="17">
        <v>96.9</v>
      </c>
      <c r="K817" s="17">
        <v>2</v>
      </c>
      <c r="L817" s="17">
        <v>1</v>
      </c>
      <c r="O817" s="54" t="s">
        <v>1023</v>
      </c>
      <c r="P817">
        <v>9.9</v>
      </c>
      <c r="Q817">
        <v>1</v>
      </c>
      <c r="R817">
        <v>1</v>
      </c>
    </row>
    <row r="818" spans="8:18">
      <c r="H818" s="16">
        <v>44799</v>
      </c>
      <c r="I818" s="17" t="s">
        <v>458</v>
      </c>
      <c r="J818" s="17">
        <v>96.01</v>
      </c>
      <c r="K818" s="17">
        <v>1</v>
      </c>
      <c r="L818" s="17">
        <v>1</v>
      </c>
      <c r="O818" s="54" t="s">
        <v>958</v>
      </c>
      <c r="P818">
        <v>9.9</v>
      </c>
      <c r="Q818">
        <v>1</v>
      </c>
      <c r="R818">
        <v>1</v>
      </c>
    </row>
    <row r="819" spans="8:18">
      <c r="H819" s="16">
        <v>44799</v>
      </c>
      <c r="I819" s="17" t="s">
        <v>514</v>
      </c>
      <c r="J819" s="17">
        <v>87</v>
      </c>
      <c r="K819" s="17">
        <v>1</v>
      </c>
      <c r="L819" s="17">
        <v>1</v>
      </c>
      <c r="O819" s="54" t="s">
        <v>1252</v>
      </c>
      <c r="P819">
        <v>8.88</v>
      </c>
      <c r="Q819">
        <v>1</v>
      </c>
      <c r="R819">
        <v>1</v>
      </c>
    </row>
    <row r="820" spans="8:18">
      <c r="H820" s="16">
        <v>44799</v>
      </c>
      <c r="I820" s="17" t="s">
        <v>485</v>
      </c>
      <c r="J820" s="17">
        <v>87</v>
      </c>
      <c r="K820" s="17">
        <v>2</v>
      </c>
      <c r="L820" s="17">
        <v>1</v>
      </c>
      <c r="O820" s="54" t="s">
        <v>1253</v>
      </c>
      <c r="P820">
        <v>8.88</v>
      </c>
      <c r="Q820">
        <v>1</v>
      </c>
      <c r="R820">
        <v>1</v>
      </c>
    </row>
    <row r="821" spans="8:18">
      <c r="H821" s="16">
        <v>44799</v>
      </c>
      <c r="I821" s="17" t="s">
        <v>509</v>
      </c>
      <c r="J821" s="17">
        <v>86</v>
      </c>
      <c r="K821" s="17">
        <v>1</v>
      </c>
      <c r="L821" s="17">
        <v>1</v>
      </c>
      <c r="O821" s="54" t="s">
        <v>961</v>
      </c>
      <c r="P821">
        <v>8.8</v>
      </c>
      <c r="Q821">
        <v>1</v>
      </c>
      <c r="R821">
        <v>1</v>
      </c>
    </row>
    <row r="822" spans="8:18">
      <c r="H822" s="16">
        <v>44799</v>
      </c>
      <c r="I822" s="17" t="s">
        <v>467</v>
      </c>
      <c r="J822" s="17">
        <v>86</v>
      </c>
      <c r="K822" s="17">
        <v>1</v>
      </c>
      <c r="L822" s="17">
        <v>1</v>
      </c>
      <c r="O822" s="54" t="s">
        <v>966</v>
      </c>
      <c r="P822">
        <v>2.98</v>
      </c>
      <c r="Q822">
        <v>2</v>
      </c>
      <c r="R822">
        <v>2</v>
      </c>
    </row>
    <row r="823" spans="8:18">
      <c r="H823" s="16">
        <v>44799</v>
      </c>
      <c r="I823" s="17" t="s">
        <v>507</v>
      </c>
      <c r="J823" s="17">
        <v>84</v>
      </c>
      <c r="K823" s="17">
        <v>1</v>
      </c>
      <c r="L823" s="17">
        <v>1</v>
      </c>
      <c r="O823" s="54" t="s">
        <v>1254</v>
      </c>
      <c r="P823">
        <v>2</v>
      </c>
      <c r="Q823">
        <v>2</v>
      </c>
      <c r="R823">
        <v>2</v>
      </c>
    </row>
    <row r="824" spans="8:18">
      <c r="H824" s="16">
        <v>44799</v>
      </c>
      <c r="I824" s="17" t="s">
        <v>964</v>
      </c>
      <c r="J824" s="17">
        <v>81</v>
      </c>
      <c r="K824" s="17">
        <v>1</v>
      </c>
      <c r="L824" s="17">
        <v>1</v>
      </c>
      <c r="O824" s="54" t="s">
        <v>1255</v>
      </c>
      <c r="P824">
        <v>2</v>
      </c>
      <c r="Q824">
        <v>2</v>
      </c>
      <c r="R824">
        <v>1</v>
      </c>
    </row>
    <row r="825" spans="8:18">
      <c r="H825" s="16">
        <v>44799</v>
      </c>
      <c r="I825" s="17" t="s">
        <v>570</v>
      </c>
      <c r="J825" s="17">
        <v>81</v>
      </c>
      <c r="K825" s="17">
        <v>1</v>
      </c>
      <c r="L825" s="17">
        <v>1</v>
      </c>
      <c r="O825" s="54" t="s">
        <v>1256</v>
      </c>
      <c r="P825">
        <v>2</v>
      </c>
      <c r="Q825">
        <v>2</v>
      </c>
      <c r="R825">
        <v>1</v>
      </c>
    </row>
    <row r="826" spans="8:18">
      <c r="H826" s="16">
        <v>44799</v>
      </c>
      <c r="I826" s="17" t="s">
        <v>967</v>
      </c>
      <c r="J826" s="17">
        <v>79</v>
      </c>
      <c r="K826" s="17">
        <v>1</v>
      </c>
      <c r="L826" s="17">
        <v>1</v>
      </c>
      <c r="O826" s="54" t="s">
        <v>1257</v>
      </c>
      <c r="P826">
        <v>2</v>
      </c>
      <c r="Q826">
        <v>2</v>
      </c>
      <c r="R826">
        <v>2</v>
      </c>
    </row>
    <row r="827" spans="8:18">
      <c r="H827" s="16">
        <v>44799</v>
      </c>
      <c r="I827" s="17" t="s">
        <v>400</v>
      </c>
      <c r="J827" s="17">
        <v>66.7</v>
      </c>
      <c r="K827" s="17">
        <v>3</v>
      </c>
      <c r="L827" s="17">
        <v>1</v>
      </c>
      <c r="O827" s="54" t="s">
        <v>1258</v>
      </c>
      <c r="P827">
        <v>2</v>
      </c>
      <c r="Q827">
        <v>2</v>
      </c>
      <c r="R827">
        <v>2</v>
      </c>
    </row>
    <row r="828" spans="8:18">
      <c r="H828" s="16">
        <v>44799</v>
      </c>
      <c r="I828" s="17" t="s">
        <v>750</v>
      </c>
      <c r="J828" s="17">
        <v>57.8</v>
      </c>
      <c r="K828" s="17">
        <v>3</v>
      </c>
      <c r="L828" s="17">
        <v>1</v>
      </c>
      <c r="O828" s="54" t="s">
        <v>1259</v>
      </c>
      <c r="P828">
        <v>2</v>
      </c>
      <c r="Q828">
        <v>2</v>
      </c>
      <c r="R828">
        <v>2</v>
      </c>
    </row>
    <row r="829" spans="8:18">
      <c r="H829" s="16">
        <v>44799</v>
      </c>
      <c r="I829" s="17" t="s">
        <v>1004</v>
      </c>
      <c r="J829" s="17">
        <v>46.8</v>
      </c>
      <c r="K829" s="17">
        <v>2</v>
      </c>
      <c r="L829" s="17">
        <v>1</v>
      </c>
      <c r="O829" s="54" t="s">
        <v>1182</v>
      </c>
      <c r="P829">
        <v>2</v>
      </c>
      <c r="Q829">
        <v>2</v>
      </c>
      <c r="R829">
        <v>2</v>
      </c>
    </row>
    <row r="830" spans="8:18">
      <c r="H830" s="16">
        <v>44799</v>
      </c>
      <c r="I830" s="17" t="s">
        <v>390</v>
      </c>
      <c r="J830" s="17">
        <v>46.8</v>
      </c>
      <c r="K830" s="17">
        <v>2</v>
      </c>
      <c r="L830" s="17">
        <v>1</v>
      </c>
      <c r="O830" s="54" t="s">
        <v>1178</v>
      </c>
      <c r="P830">
        <v>2</v>
      </c>
      <c r="Q830">
        <v>2</v>
      </c>
      <c r="R830">
        <v>2</v>
      </c>
    </row>
    <row r="831" spans="8:18">
      <c r="H831" s="16">
        <v>44799</v>
      </c>
      <c r="I831" s="17" t="s">
        <v>741</v>
      </c>
      <c r="J831" s="17">
        <v>46.8</v>
      </c>
      <c r="K831" s="17">
        <v>2</v>
      </c>
      <c r="L831" s="17">
        <v>1</v>
      </c>
      <c r="O831" s="54" t="s">
        <v>1163</v>
      </c>
      <c r="P831">
        <v>2</v>
      </c>
      <c r="Q831">
        <v>2</v>
      </c>
      <c r="R831">
        <v>2</v>
      </c>
    </row>
    <row r="832" spans="8:18">
      <c r="H832" s="16">
        <v>44799</v>
      </c>
      <c r="I832" s="17" t="s">
        <v>536</v>
      </c>
      <c r="J832" s="17">
        <v>39.9</v>
      </c>
      <c r="K832" s="17">
        <v>1</v>
      </c>
      <c r="L832" s="17">
        <v>1</v>
      </c>
      <c r="O832" s="54" t="s">
        <v>985</v>
      </c>
      <c r="P832">
        <v>2</v>
      </c>
      <c r="Q832">
        <v>2</v>
      </c>
      <c r="R832">
        <v>2</v>
      </c>
    </row>
    <row r="833" spans="8:18">
      <c r="H833" s="16">
        <v>44799</v>
      </c>
      <c r="I833" s="17" t="s">
        <v>1032</v>
      </c>
      <c r="J833" s="17">
        <v>39.9</v>
      </c>
      <c r="K833" s="17">
        <v>1</v>
      </c>
      <c r="L833" s="17">
        <v>1</v>
      </c>
      <c r="O833" s="54" t="s">
        <v>965</v>
      </c>
      <c r="P833">
        <v>1.98</v>
      </c>
      <c r="Q833">
        <v>1</v>
      </c>
      <c r="R833">
        <v>1</v>
      </c>
    </row>
    <row r="834" spans="8:18">
      <c r="H834" s="16">
        <v>44799</v>
      </c>
      <c r="I834" s="17" t="s">
        <v>1050</v>
      </c>
      <c r="J834" s="17">
        <v>37.9</v>
      </c>
      <c r="K834" s="17">
        <v>2</v>
      </c>
      <c r="L834" s="17">
        <v>1</v>
      </c>
      <c r="O834" s="54" t="s">
        <v>1260</v>
      </c>
      <c r="P834">
        <v>1</v>
      </c>
      <c r="Q834">
        <v>1</v>
      </c>
      <c r="R834">
        <v>1</v>
      </c>
    </row>
    <row r="835" spans="8:18">
      <c r="H835" s="16">
        <v>44799</v>
      </c>
      <c r="I835" s="17" t="s">
        <v>692</v>
      </c>
      <c r="J835" s="17">
        <v>37.9</v>
      </c>
      <c r="K835" s="17">
        <v>1</v>
      </c>
      <c r="L835" s="17">
        <v>1</v>
      </c>
      <c r="O835" s="54" t="s">
        <v>1261</v>
      </c>
      <c r="P835">
        <v>1</v>
      </c>
      <c r="Q835">
        <v>1</v>
      </c>
      <c r="R835">
        <v>1</v>
      </c>
    </row>
    <row r="836" spans="8:18">
      <c r="H836" s="16">
        <v>44799</v>
      </c>
      <c r="I836" s="17" t="s">
        <v>603</v>
      </c>
      <c r="J836" s="17">
        <v>37.9</v>
      </c>
      <c r="K836" s="17">
        <v>1</v>
      </c>
      <c r="L836" s="17">
        <v>1</v>
      </c>
      <c r="O836" s="54" t="s">
        <v>1262</v>
      </c>
      <c r="P836">
        <v>1</v>
      </c>
      <c r="Q836">
        <v>1</v>
      </c>
      <c r="R836">
        <v>1</v>
      </c>
    </row>
    <row r="837" spans="8:18">
      <c r="H837" s="16">
        <v>44799</v>
      </c>
      <c r="I837" s="17" t="s">
        <v>880</v>
      </c>
      <c r="J837" s="17">
        <v>36.9</v>
      </c>
      <c r="K837" s="17">
        <v>1</v>
      </c>
      <c r="L837" s="17">
        <v>1</v>
      </c>
      <c r="O837" s="54" t="s">
        <v>1263</v>
      </c>
      <c r="P837">
        <v>1</v>
      </c>
      <c r="Q837">
        <v>1</v>
      </c>
      <c r="R837">
        <v>1</v>
      </c>
    </row>
    <row r="838" spans="8:18">
      <c r="H838" s="16">
        <v>44799</v>
      </c>
      <c r="I838" s="17" t="s">
        <v>944</v>
      </c>
      <c r="J838" s="17">
        <v>36.9</v>
      </c>
      <c r="K838" s="17">
        <v>1</v>
      </c>
      <c r="L838" s="17">
        <v>1</v>
      </c>
      <c r="O838" s="54" t="s">
        <v>1264</v>
      </c>
      <c r="P838">
        <v>1</v>
      </c>
      <c r="Q838">
        <v>1</v>
      </c>
      <c r="R838">
        <v>1</v>
      </c>
    </row>
    <row r="839" spans="8:18">
      <c r="H839" s="16">
        <v>44799</v>
      </c>
      <c r="I839" s="17" t="s">
        <v>706</v>
      </c>
      <c r="J839" s="17">
        <v>30.8</v>
      </c>
      <c r="K839" s="17">
        <v>3</v>
      </c>
      <c r="L839" s="17">
        <v>1</v>
      </c>
      <c r="O839" s="54" t="s">
        <v>1265</v>
      </c>
      <c r="P839">
        <v>1</v>
      </c>
      <c r="Q839">
        <v>1</v>
      </c>
      <c r="R839">
        <v>1</v>
      </c>
    </row>
    <row r="840" spans="8:18">
      <c r="H840" s="16">
        <v>44799</v>
      </c>
      <c r="I840" s="17" t="s">
        <v>743</v>
      </c>
      <c r="J840" s="17">
        <v>29.9</v>
      </c>
      <c r="K840" s="17">
        <v>1</v>
      </c>
      <c r="L840" s="17">
        <v>1</v>
      </c>
      <c r="O840" s="54" t="s">
        <v>1266</v>
      </c>
      <c r="P840">
        <v>1</v>
      </c>
      <c r="Q840">
        <v>1</v>
      </c>
      <c r="R840">
        <v>1</v>
      </c>
    </row>
    <row r="841" spans="8:18">
      <c r="H841" s="16">
        <v>44799</v>
      </c>
      <c r="I841" s="17" t="s">
        <v>647</v>
      </c>
      <c r="J841" s="17">
        <v>19.9</v>
      </c>
      <c r="K841" s="17">
        <v>1</v>
      </c>
      <c r="L841" s="17">
        <v>1</v>
      </c>
      <c r="O841" s="54" t="s">
        <v>1267</v>
      </c>
      <c r="P841">
        <v>1</v>
      </c>
      <c r="Q841">
        <v>1</v>
      </c>
      <c r="R841">
        <v>1</v>
      </c>
    </row>
    <row r="842" spans="8:18">
      <c r="H842" s="16">
        <v>44799</v>
      </c>
      <c r="I842" s="17" t="s">
        <v>579</v>
      </c>
      <c r="J842" s="17">
        <v>19.9</v>
      </c>
      <c r="K842" s="17">
        <v>1</v>
      </c>
      <c r="L842" s="17">
        <v>1</v>
      </c>
      <c r="O842" s="54" t="s">
        <v>1268</v>
      </c>
      <c r="P842">
        <v>1</v>
      </c>
      <c r="Q842">
        <v>1</v>
      </c>
      <c r="R842">
        <v>1</v>
      </c>
    </row>
    <row r="843" spans="8:18">
      <c r="H843" s="16">
        <v>44799</v>
      </c>
      <c r="I843" s="17" t="s">
        <v>1094</v>
      </c>
      <c r="J843" s="17">
        <v>19.9</v>
      </c>
      <c r="K843" s="17">
        <v>1</v>
      </c>
      <c r="L843" s="17">
        <v>1</v>
      </c>
      <c r="O843" s="54" t="s">
        <v>1269</v>
      </c>
      <c r="P843">
        <v>1</v>
      </c>
      <c r="Q843">
        <v>1</v>
      </c>
      <c r="R843">
        <v>1</v>
      </c>
    </row>
    <row r="844" spans="8:18">
      <c r="H844" s="16">
        <v>44799</v>
      </c>
      <c r="I844" s="17" t="s">
        <v>551</v>
      </c>
      <c r="J844" s="17">
        <v>19.9</v>
      </c>
      <c r="K844" s="17">
        <v>1</v>
      </c>
      <c r="L844" s="17">
        <v>1</v>
      </c>
      <c r="O844" s="54" t="s">
        <v>1270</v>
      </c>
      <c r="P844">
        <v>1</v>
      </c>
      <c r="Q844">
        <v>1</v>
      </c>
      <c r="R844">
        <v>1</v>
      </c>
    </row>
    <row r="845" spans="8:18">
      <c r="H845" s="16">
        <v>44799</v>
      </c>
      <c r="I845" s="17" t="s">
        <v>1075</v>
      </c>
      <c r="J845" s="17">
        <v>19.9</v>
      </c>
      <c r="K845" s="17">
        <v>1</v>
      </c>
      <c r="L845" s="17">
        <v>1</v>
      </c>
      <c r="O845" s="54" t="s">
        <v>1271</v>
      </c>
      <c r="P845">
        <v>1</v>
      </c>
      <c r="Q845">
        <v>1</v>
      </c>
      <c r="R845">
        <v>1</v>
      </c>
    </row>
    <row r="846" spans="8:18">
      <c r="H846" s="16">
        <v>44799</v>
      </c>
      <c r="I846" s="17" t="s">
        <v>456</v>
      </c>
      <c r="J846" s="17">
        <v>19.9</v>
      </c>
      <c r="K846" s="17">
        <v>1</v>
      </c>
      <c r="L846" s="17">
        <v>1</v>
      </c>
      <c r="O846" s="54" t="s">
        <v>1272</v>
      </c>
      <c r="P846">
        <v>1</v>
      </c>
      <c r="Q846">
        <v>1</v>
      </c>
      <c r="R846">
        <v>1</v>
      </c>
    </row>
    <row r="847" spans="8:18">
      <c r="H847" s="16">
        <v>44799</v>
      </c>
      <c r="I847" s="17" t="s">
        <v>911</v>
      </c>
      <c r="J847" s="17">
        <v>19.9</v>
      </c>
      <c r="K847" s="17">
        <v>1</v>
      </c>
      <c r="L847" s="17">
        <v>1</v>
      </c>
      <c r="O847" s="54" t="s">
        <v>1273</v>
      </c>
      <c r="P847">
        <v>1</v>
      </c>
      <c r="Q847">
        <v>1</v>
      </c>
      <c r="R847">
        <v>1</v>
      </c>
    </row>
    <row r="848" spans="8:18">
      <c r="H848" s="16">
        <v>44799</v>
      </c>
      <c r="I848" s="17" t="s">
        <v>764</v>
      </c>
      <c r="J848" s="17">
        <v>19.9</v>
      </c>
      <c r="K848" s="17">
        <v>1</v>
      </c>
      <c r="L848" s="17">
        <v>1</v>
      </c>
      <c r="O848" s="54" t="s">
        <v>1274</v>
      </c>
      <c r="P848">
        <v>1</v>
      </c>
      <c r="Q848">
        <v>1</v>
      </c>
      <c r="R848">
        <v>1</v>
      </c>
    </row>
    <row r="849" spans="8:18">
      <c r="H849" s="16">
        <v>44799</v>
      </c>
      <c r="I849" s="17" t="s">
        <v>483</v>
      </c>
      <c r="J849" s="17">
        <v>19.9</v>
      </c>
      <c r="K849" s="17">
        <v>1</v>
      </c>
      <c r="L849" s="17">
        <v>1</v>
      </c>
      <c r="O849" s="54" t="s">
        <v>1275</v>
      </c>
      <c r="P849">
        <v>1</v>
      </c>
      <c r="Q849">
        <v>1</v>
      </c>
      <c r="R849">
        <v>1</v>
      </c>
    </row>
    <row r="850" spans="8:18">
      <c r="H850" s="16">
        <v>44799</v>
      </c>
      <c r="I850" s="17" t="s">
        <v>573</v>
      </c>
      <c r="J850" s="17">
        <v>19.9</v>
      </c>
      <c r="K850" s="17">
        <v>1</v>
      </c>
      <c r="L850" s="17">
        <v>1</v>
      </c>
      <c r="O850" s="54" t="s">
        <v>1276</v>
      </c>
      <c r="P850">
        <v>1</v>
      </c>
      <c r="Q850">
        <v>1</v>
      </c>
      <c r="R850">
        <v>1</v>
      </c>
    </row>
    <row r="851" spans="8:18">
      <c r="H851" s="16">
        <v>44799</v>
      </c>
      <c r="I851" s="17" t="s">
        <v>804</v>
      </c>
      <c r="J851" s="17">
        <v>19.9</v>
      </c>
      <c r="K851" s="17">
        <v>1</v>
      </c>
      <c r="L851" s="17">
        <v>1</v>
      </c>
      <c r="O851" s="54" t="s">
        <v>1277</v>
      </c>
      <c r="P851">
        <v>1</v>
      </c>
      <c r="Q851">
        <v>1</v>
      </c>
      <c r="R851">
        <v>1</v>
      </c>
    </row>
    <row r="852" spans="8:18">
      <c r="H852" s="16">
        <v>44799</v>
      </c>
      <c r="I852" s="17" t="s">
        <v>1093</v>
      </c>
      <c r="J852" s="17">
        <v>19.9</v>
      </c>
      <c r="K852" s="17">
        <v>1</v>
      </c>
      <c r="L852" s="17">
        <v>1</v>
      </c>
      <c r="O852" s="54" t="s">
        <v>1278</v>
      </c>
      <c r="P852">
        <v>1</v>
      </c>
      <c r="Q852">
        <v>1</v>
      </c>
      <c r="R852">
        <v>1</v>
      </c>
    </row>
    <row r="853" spans="8:18">
      <c r="H853" s="16">
        <v>44799</v>
      </c>
      <c r="I853" s="17" t="s">
        <v>1092</v>
      </c>
      <c r="J853" s="17">
        <v>19.9</v>
      </c>
      <c r="K853" s="17">
        <v>1</v>
      </c>
      <c r="L853" s="17">
        <v>1</v>
      </c>
      <c r="O853" s="54" t="s">
        <v>1279</v>
      </c>
      <c r="P853">
        <v>1</v>
      </c>
      <c r="Q853">
        <v>1</v>
      </c>
      <c r="R853">
        <v>1</v>
      </c>
    </row>
    <row r="854" spans="8:18">
      <c r="H854" s="16">
        <v>44799</v>
      </c>
      <c r="I854" s="17" t="s">
        <v>853</v>
      </c>
      <c r="J854" s="17">
        <v>10.9</v>
      </c>
      <c r="K854" s="17">
        <v>2</v>
      </c>
      <c r="L854" s="17">
        <v>1</v>
      </c>
      <c r="O854" s="54" t="s">
        <v>1280</v>
      </c>
      <c r="P854">
        <v>1</v>
      </c>
      <c r="Q854">
        <v>1</v>
      </c>
      <c r="R854">
        <v>1</v>
      </c>
    </row>
    <row r="855" spans="8:18">
      <c r="H855" s="16">
        <v>44799</v>
      </c>
      <c r="I855" s="17" t="s">
        <v>1184</v>
      </c>
      <c r="J855" s="17">
        <v>10.9</v>
      </c>
      <c r="K855" s="17">
        <v>2</v>
      </c>
      <c r="L855" s="17">
        <v>1</v>
      </c>
      <c r="O855" s="54" t="s">
        <v>1281</v>
      </c>
      <c r="P855">
        <v>1</v>
      </c>
      <c r="Q855">
        <v>1</v>
      </c>
      <c r="R855">
        <v>1</v>
      </c>
    </row>
    <row r="856" spans="8:18">
      <c r="H856" s="16">
        <v>44799</v>
      </c>
      <c r="I856" s="17" t="s">
        <v>545</v>
      </c>
      <c r="J856" s="17">
        <v>10.9</v>
      </c>
      <c r="K856" s="17">
        <v>2</v>
      </c>
      <c r="L856" s="17">
        <v>1</v>
      </c>
      <c r="O856" s="54" t="s">
        <v>1282</v>
      </c>
      <c r="P856">
        <v>1</v>
      </c>
      <c r="Q856">
        <v>1</v>
      </c>
      <c r="R856">
        <v>1</v>
      </c>
    </row>
    <row r="857" spans="8:18">
      <c r="H857" s="16">
        <v>44799</v>
      </c>
      <c r="I857" s="17" t="s">
        <v>1183</v>
      </c>
      <c r="J857" s="17">
        <v>10.9</v>
      </c>
      <c r="K857" s="17">
        <v>2</v>
      </c>
      <c r="L857" s="17">
        <v>1</v>
      </c>
      <c r="O857" s="54" t="s">
        <v>1283</v>
      </c>
      <c r="P857">
        <v>1</v>
      </c>
      <c r="Q857">
        <v>1</v>
      </c>
      <c r="R857">
        <v>1</v>
      </c>
    </row>
    <row r="858" spans="8:18">
      <c r="H858" s="16">
        <v>44799</v>
      </c>
      <c r="I858" s="17" t="s">
        <v>795</v>
      </c>
      <c r="J858" s="17">
        <v>9.9</v>
      </c>
      <c r="K858" s="17">
        <v>1</v>
      </c>
      <c r="L858" s="17">
        <v>1</v>
      </c>
      <c r="O858" s="54" t="s">
        <v>1284</v>
      </c>
      <c r="P858">
        <v>1</v>
      </c>
      <c r="Q858">
        <v>1</v>
      </c>
      <c r="R858">
        <v>1</v>
      </c>
    </row>
    <row r="859" spans="8:18">
      <c r="H859" s="16">
        <v>44799</v>
      </c>
      <c r="I859" s="17" t="s">
        <v>761</v>
      </c>
      <c r="J859" s="17">
        <v>9.9</v>
      </c>
      <c r="K859" s="17">
        <v>1</v>
      </c>
      <c r="L859" s="17">
        <v>1</v>
      </c>
      <c r="O859" s="54" t="s">
        <v>1285</v>
      </c>
      <c r="P859">
        <v>1</v>
      </c>
      <c r="Q859">
        <v>1</v>
      </c>
      <c r="R859">
        <v>1</v>
      </c>
    </row>
    <row r="860" spans="8:18">
      <c r="H860" s="16">
        <v>44799</v>
      </c>
      <c r="I860" s="17" t="s">
        <v>1000</v>
      </c>
      <c r="J860" s="17">
        <v>9.9</v>
      </c>
      <c r="K860" s="17">
        <v>1</v>
      </c>
      <c r="L860" s="17">
        <v>1</v>
      </c>
      <c r="O860" s="54" t="s">
        <v>1286</v>
      </c>
      <c r="P860">
        <v>1</v>
      </c>
      <c r="Q860">
        <v>1</v>
      </c>
      <c r="R860">
        <v>1</v>
      </c>
    </row>
    <row r="861" spans="8:18">
      <c r="H861" s="16">
        <v>44799</v>
      </c>
      <c r="I861" s="17" t="s">
        <v>1181</v>
      </c>
      <c r="J861" s="17">
        <v>9.9</v>
      </c>
      <c r="K861" s="17">
        <v>1</v>
      </c>
      <c r="L861" s="17">
        <v>1</v>
      </c>
      <c r="O861" s="54" t="s">
        <v>1287</v>
      </c>
      <c r="P861">
        <v>1</v>
      </c>
      <c r="Q861">
        <v>1</v>
      </c>
      <c r="R861">
        <v>1</v>
      </c>
    </row>
    <row r="862" spans="8:18">
      <c r="H862" s="16">
        <v>44799</v>
      </c>
      <c r="I862" s="17" t="s">
        <v>1288</v>
      </c>
      <c r="J862" s="17">
        <v>1</v>
      </c>
      <c r="K862" s="17">
        <v>1</v>
      </c>
      <c r="L862" s="17">
        <v>1</v>
      </c>
      <c r="O862" s="54" t="s">
        <v>1289</v>
      </c>
      <c r="P862">
        <v>1</v>
      </c>
      <c r="Q862">
        <v>1</v>
      </c>
      <c r="R862">
        <v>1</v>
      </c>
    </row>
    <row r="863" spans="8:18">
      <c r="H863" s="16">
        <v>44799</v>
      </c>
      <c r="I863" s="17" t="s">
        <v>1290</v>
      </c>
      <c r="J863" s="17">
        <v>1</v>
      </c>
      <c r="K863" s="17">
        <v>1</v>
      </c>
      <c r="L863" s="17">
        <v>1</v>
      </c>
      <c r="O863" s="54" t="s">
        <v>1291</v>
      </c>
      <c r="P863">
        <v>1</v>
      </c>
      <c r="Q863">
        <v>1</v>
      </c>
      <c r="R863">
        <v>1</v>
      </c>
    </row>
    <row r="864" spans="8:18">
      <c r="H864" s="16">
        <v>44799</v>
      </c>
      <c r="I864" s="17" t="s">
        <v>1292</v>
      </c>
      <c r="J864" s="17">
        <v>1</v>
      </c>
      <c r="K864" s="17">
        <v>1</v>
      </c>
      <c r="L864" s="17">
        <v>1</v>
      </c>
      <c r="O864" s="54" t="s">
        <v>1293</v>
      </c>
      <c r="P864">
        <v>1</v>
      </c>
      <c r="Q864">
        <v>1</v>
      </c>
      <c r="R864">
        <v>1</v>
      </c>
    </row>
    <row r="865" spans="8:18">
      <c r="H865" s="16">
        <v>44799</v>
      </c>
      <c r="I865" s="17" t="s">
        <v>1129</v>
      </c>
      <c r="J865" s="17">
        <v>1</v>
      </c>
      <c r="K865" s="17">
        <v>1</v>
      </c>
      <c r="L865" s="17">
        <v>1</v>
      </c>
      <c r="O865" s="54" t="s">
        <v>1294</v>
      </c>
      <c r="P865">
        <v>1</v>
      </c>
      <c r="Q865">
        <v>1</v>
      </c>
      <c r="R865">
        <v>1</v>
      </c>
    </row>
    <row r="866" spans="8:18">
      <c r="H866" s="16">
        <v>44799</v>
      </c>
      <c r="I866" s="17" t="s">
        <v>1295</v>
      </c>
      <c r="J866" s="17">
        <v>1</v>
      </c>
      <c r="K866" s="17">
        <v>1</v>
      </c>
      <c r="L866" s="17">
        <v>1</v>
      </c>
      <c r="O866" s="54" t="s">
        <v>1296</v>
      </c>
      <c r="P866">
        <v>1</v>
      </c>
      <c r="Q866">
        <v>1</v>
      </c>
      <c r="R866">
        <v>1</v>
      </c>
    </row>
    <row r="867" spans="8:18">
      <c r="H867" s="16">
        <v>44799</v>
      </c>
      <c r="I867" s="17" t="s">
        <v>1297</v>
      </c>
      <c r="J867" s="17">
        <v>1</v>
      </c>
      <c r="K867" s="17">
        <v>1</v>
      </c>
      <c r="L867" s="17">
        <v>1</v>
      </c>
      <c r="O867" s="54" t="s">
        <v>1298</v>
      </c>
      <c r="P867">
        <v>1</v>
      </c>
      <c r="Q867">
        <v>1</v>
      </c>
      <c r="R867">
        <v>1</v>
      </c>
    </row>
    <row r="868" spans="8:18">
      <c r="H868" s="16">
        <v>44799</v>
      </c>
      <c r="I868" s="17" t="s">
        <v>1178</v>
      </c>
      <c r="J868" s="17">
        <v>1</v>
      </c>
      <c r="K868" s="17">
        <v>1</v>
      </c>
      <c r="L868" s="17">
        <v>1</v>
      </c>
      <c r="O868" s="54" t="s">
        <v>1299</v>
      </c>
      <c r="P868">
        <v>1</v>
      </c>
      <c r="Q868">
        <v>1</v>
      </c>
      <c r="R868">
        <v>1</v>
      </c>
    </row>
    <row r="869" spans="8:18">
      <c r="H869" s="16">
        <v>44799</v>
      </c>
      <c r="I869" s="17" t="s">
        <v>561</v>
      </c>
      <c r="J869" s="17">
        <v>1</v>
      </c>
      <c r="K869" s="17">
        <v>1</v>
      </c>
      <c r="L869" s="17">
        <v>1</v>
      </c>
      <c r="O869" s="54" t="s">
        <v>1300</v>
      </c>
      <c r="P869">
        <v>1</v>
      </c>
      <c r="Q869">
        <v>1</v>
      </c>
      <c r="R869">
        <v>1</v>
      </c>
    </row>
    <row r="870" spans="8:18">
      <c r="H870" s="16">
        <v>44799</v>
      </c>
      <c r="I870" s="17" t="s">
        <v>1182</v>
      </c>
      <c r="J870" s="17">
        <v>1</v>
      </c>
      <c r="K870" s="17">
        <v>1</v>
      </c>
      <c r="L870" s="17">
        <v>1</v>
      </c>
      <c r="O870" s="54" t="s">
        <v>1301</v>
      </c>
      <c r="P870">
        <v>1</v>
      </c>
      <c r="Q870">
        <v>1</v>
      </c>
      <c r="R870">
        <v>1</v>
      </c>
    </row>
    <row r="871" spans="8:18">
      <c r="H871" s="16">
        <v>44799</v>
      </c>
      <c r="I871" s="17" t="s">
        <v>1302</v>
      </c>
      <c r="J871" s="17">
        <v>1</v>
      </c>
      <c r="K871" s="17">
        <v>1</v>
      </c>
      <c r="L871" s="17">
        <v>1</v>
      </c>
      <c r="O871" s="54" t="s">
        <v>1303</v>
      </c>
      <c r="P871">
        <v>1</v>
      </c>
      <c r="Q871">
        <v>1</v>
      </c>
      <c r="R871">
        <v>1</v>
      </c>
    </row>
    <row r="872" spans="8:18">
      <c r="H872" s="16">
        <v>44799</v>
      </c>
      <c r="I872" s="17" t="s">
        <v>718</v>
      </c>
      <c r="J872" s="17">
        <v>0</v>
      </c>
      <c r="K872" s="17">
        <v>1</v>
      </c>
      <c r="L872" s="17">
        <v>1</v>
      </c>
      <c r="O872" s="54" t="s">
        <v>1304</v>
      </c>
      <c r="P872">
        <v>1</v>
      </c>
      <c r="Q872">
        <v>1</v>
      </c>
      <c r="R872">
        <v>1</v>
      </c>
    </row>
    <row r="873" spans="8:18">
      <c r="H873" s="16">
        <v>44798</v>
      </c>
      <c r="I873" s="17" t="s">
        <v>373</v>
      </c>
      <c r="J873" s="17">
        <v>730</v>
      </c>
      <c r="K873" s="17">
        <v>5</v>
      </c>
      <c r="L873" s="17">
        <v>1</v>
      </c>
      <c r="O873" s="54" t="s">
        <v>1305</v>
      </c>
      <c r="P873">
        <v>1</v>
      </c>
      <c r="Q873">
        <v>1</v>
      </c>
      <c r="R873">
        <v>1</v>
      </c>
    </row>
    <row r="874" spans="8:18">
      <c r="H874" s="16">
        <v>44798</v>
      </c>
      <c r="I874" s="17" t="s">
        <v>398</v>
      </c>
      <c r="J874" s="17">
        <v>461.81</v>
      </c>
      <c r="K874" s="17">
        <v>5</v>
      </c>
      <c r="L874" s="17">
        <v>1</v>
      </c>
      <c r="O874" s="54" t="s">
        <v>1306</v>
      </c>
      <c r="P874">
        <v>1</v>
      </c>
      <c r="Q874">
        <v>1</v>
      </c>
      <c r="R874">
        <v>1</v>
      </c>
    </row>
    <row r="875" spans="8:18">
      <c r="H875" s="16">
        <v>44798</v>
      </c>
      <c r="I875" s="17" t="s">
        <v>462</v>
      </c>
      <c r="J875" s="17">
        <v>291.9</v>
      </c>
      <c r="K875" s="17">
        <v>3</v>
      </c>
      <c r="L875" s="17">
        <v>1</v>
      </c>
      <c r="O875" s="54" t="s">
        <v>1307</v>
      </c>
      <c r="P875">
        <v>1</v>
      </c>
      <c r="Q875">
        <v>1</v>
      </c>
      <c r="R875">
        <v>1</v>
      </c>
    </row>
    <row r="876" spans="8:18">
      <c r="H876" s="16">
        <v>44798</v>
      </c>
      <c r="I876" s="17" t="s">
        <v>382</v>
      </c>
      <c r="J876" s="17">
        <v>282</v>
      </c>
      <c r="K876" s="17">
        <v>2</v>
      </c>
      <c r="L876" s="17">
        <v>1</v>
      </c>
      <c r="O876" s="54" t="s">
        <v>1308</v>
      </c>
      <c r="P876">
        <v>1</v>
      </c>
      <c r="Q876">
        <v>1</v>
      </c>
      <c r="R876">
        <v>1</v>
      </c>
    </row>
    <row r="877" spans="8:18">
      <c r="H877" s="16">
        <v>44798</v>
      </c>
      <c r="I877" s="17" t="s">
        <v>587</v>
      </c>
      <c r="J877" s="17">
        <v>259.9</v>
      </c>
      <c r="K877" s="17">
        <v>3</v>
      </c>
      <c r="L877" s="17">
        <v>1</v>
      </c>
      <c r="O877" s="54" t="s">
        <v>1309</v>
      </c>
      <c r="P877">
        <v>1</v>
      </c>
      <c r="Q877">
        <v>1</v>
      </c>
      <c r="R877">
        <v>1</v>
      </c>
    </row>
    <row r="878" spans="8:18">
      <c r="H878" s="16">
        <v>44798</v>
      </c>
      <c r="I878" s="17" t="s">
        <v>598</v>
      </c>
      <c r="J878" s="17">
        <v>258.9</v>
      </c>
      <c r="K878" s="17">
        <v>3</v>
      </c>
      <c r="L878" s="17">
        <v>1</v>
      </c>
      <c r="O878" s="54" t="s">
        <v>1310</v>
      </c>
      <c r="P878">
        <v>1</v>
      </c>
      <c r="Q878">
        <v>1</v>
      </c>
      <c r="R878">
        <v>1</v>
      </c>
    </row>
    <row r="879" spans="8:18">
      <c r="H879" s="16">
        <v>44798</v>
      </c>
      <c r="I879" s="17" t="s">
        <v>397</v>
      </c>
      <c r="J879" s="17">
        <v>255.9</v>
      </c>
      <c r="K879" s="17">
        <v>2</v>
      </c>
      <c r="L879" s="17">
        <v>1</v>
      </c>
      <c r="O879" s="54" t="s">
        <v>1311</v>
      </c>
      <c r="P879">
        <v>1</v>
      </c>
      <c r="Q879">
        <v>1</v>
      </c>
      <c r="R879">
        <v>1</v>
      </c>
    </row>
    <row r="880" spans="8:18">
      <c r="H880" s="16">
        <v>44798</v>
      </c>
      <c r="I880" s="17" t="s">
        <v>485</v>
      </c>
      <c r="J880" s="17">
        <v>254.9</v>
      </c>
      <c r="K880" s="17">
        <v>2</v>
      </c>
      <c r="L880" s="17">
        <v>1</v>
      </c>
      <c r="O880" s="54" t="s">
        <v>1312</v>
      </c>
      <c r="P880">
        <v>1</v>
      </c>
      <c r="Q880">
        <v>1</v>
      </c>
      <c r="R880">
        <v>1</v>
      </c>
    </row>
    <row r="881" spans="8:18">
      <c r="H881" s="16">
        <v>44798</v>
      </c>
      <c r="I881" s="17" t="s">
        <v>507</v>
      </c>
      <c r="J881" s="17">
        <v>249</v>
      </c>
      <c r="K881" s="17">
        <v>1</v>
      </c>
      <c r="L881" s="17">
        <v>1</v>
      </c>
      <c r="O881" s="54" t="s">
        <v>1313</v>
      </c>
      <c r="P881">
        <v>1</v>
      </c>
      <c r="Q881">
        <v>1</v>
      </c>
      <c r="R881">
        <v>1</v>
      </c>
    </row>
    <row r="882" spans="8:18">
      <c r="H882" s="16">
        <v>44798</v>
      </c>
      <c r="I882" s="17" t="s">
        <v>378</v>
      </c>
      <c r="J882" s="17">
        <v>248</v>
      </c>
      <c r="K882" s="17">
        <v>1</v>
      </c>
      <c r="L882" s="17">
        <v>1</v>
      </c>
      <c r="O882" s="54" t="s">
        <v>1314</v>
      </c>
      <c r="P882">
        <v>1</v>
      </c>
      <c r="Q882">
        <v>1</v>
      </c>
      <c r="R882">
        <v>1</v>
      </c>
    </row>
    <row r="883" spans="8:18">
      <c r="H883" s="16">
        <v>44798</v>
      </c>
      <c r="I883" s="17" t="s">
        <v>880</v>
      </c>
      <c r="J883" s="17">
        <v>197</v>
      </c>
      <c r="K883" s="17">
        <v>1</v>
      </c>
      <c r="L883" s="17">
        <v>1</v>
      </c>
      <c r="O883" s="54" t="s">
        <v>1315</v>
      </c>
      <c r="P883">
        <v>1</v>
      </c>
      <c r="Q883">
        <v>1</v>
      </c>
      <c r="R883">
        <v>1</v>
      </c>
    </row>
    <row r="884" spans="8:18">
      <c r="H884" s="16">
        <v>44798</v>
      </c>
      <c r="I884" s="17" t="s">
        <v>399</v>
      </c>
      <c r="J884" s="17">
        <v>197</v>
      </c>
      <c r="K884" s="17">
        <v>1</v>
      </c>
      <c r="L884" s="17">
        <v>1</v>
      </c>
      <c r="O884" s="54" t="s">
        <v>1316</v>
      </c>
      <c r="P884">
        <v>1</v>
      </c>
      <c r="Q884">
        <v>1</v>
      </c>
      <c r="R884">
        <v>1</v>
      </c>
    </row>
    <row r="885" spans="8:18">
      <c r="H885" s="16">
        <v>44798</v>
      </c>
      <c r="I885" s="17" t="s">
        <v>393</v>
      </c>
      <c r="J885" s="17">
        <v>193</v>
      </c>
      <c r="K885" s="17">
        <v>1</v>
      </c>
      <c r="L885" s="17">
        <v>1</v>
      </c>
      <c r="O885" s="54" t="s">
        <v>1302</v>
      </c>
      <c r="P885">
        <v>1</v>
      </c>
      <c r="Q885">
        <v>1</v>
      </c>
      <c r="R885">
        <v>1</v>
      </c>
    </row>
    <row r="886" spans="8:18">
      <c r="H886" s="16">
        <v>44798</v>
      </c>
      <c r="I886" s="17" t="s">
        <v>928</v>
      </c>
      <c r="J886" s="17">
        <v>119.9</v>
      </c>
      <c r="K886" s="17">
        <v>3</v>
      </c>
      <c r="L886" s="17">
        <v>1</v>
      </c>
      <c r="O886" s="54" t="s">
        <v>1297</v>
      </c>
      <c r="P886">
        <v>1</v>
      </c>
      <c r="Q886">
        <v>1</v>
      </c>
      <c r="R886">
        <v>1</v>
      </c>
    </row>
    <row r="887" spans="8:18">
      <c r="H887" s="16">
        <v>44798</v>
      </c>
      <c r="I887" s="17" t="s">
        <v>900</v>
      </c>
      <c r="J887" s="17">
        <v>115.5</v>
      </c>
      <c r="K887" s="17">
        <v>3</v>
      </c>
      <c r="L887" s="17">
        <v>1</v>
      </c>
      <c r="O887" s="54" t="s">
        <v>1295</v>
      </c>
      <c r="P887">
        <v>1</v>
      </c>
      <c r="Q887">
        <v>1</v>
      </c>
      <c r="R887">
        <v>1</v>
      </c>
    </row>
    <row r="888" spans="8:18">
      <c r="H888" s="16">
        <v>44798</v>
      </c>
      <c r="I888" s="17" t="s">
        <v>937</v>
      </c>
      <c r="J888" s="17">
        <v>107.9</v>
      </c>
      <c r="K888" s="17">
        <v>3</v>
      </c>
      <c r="L888" s="17">
        <v>1</v>
      </c>
      <c r="O888" s="54" t="s">
        <v>1292</v>
      </c>
      <c r="P888">
        <v>1</v>
      </c>
      <c r="Q888">
        <v>1</v>
      </c>
      <c r="R888">
        <v>1</v>
      </c>
    </row>
    <row r="889" spans="8:18">
      <c r="H889" s="16">
        <v>44798</v>
      </c>
      <c r="I889" s="17" t="s">
        <v>743</v>
      </c>
      <c r="J889" s="17">
        <v>98</v>
      </c>
      <c r="K889" s="17">
        <v>1</v>
      </c>
      <c r="L889" s="17">
        <v>1</v>
      </c>
      <c r="O889" s="54" t="s">
        <v>1290</v>
      </c>
      <c r="P889">
        <v>1</v>
      </c>
      <c r="Q889">
        <v>1</v>
      </c>
      <c r="R889">
        <v>1</v>
      </c>
    </row>
    <row r="890" spans="8:18">
      <c r="H890" s="16">
        <v>44798</v>
      </c>
      <c r="I890" s="17" t="s">
        <v>946</v>
      </c>
      <c r="J890" s="17">
        <v>91.9</v>
      </c>
      <c r="K890" s="17">
        <v>2</v>
      </c>
      <c r="L890" s="17">
        <v>1</v>
      </c>
      <c r="O890" s="54" t="s">
        <v>1288</v>
      </c>
      <c r="P890">
        <v>1</v>
      </c>
      <c r="Q890">
        <v>1</v>
      </c>
      <c r="R890">
        <v>1</v>
      </c>
    </row>
    <row r="891" spans="8:18">
      <c r="H891" s="16">
        <v>44798</v>
      </c>
      <c r="I891" s="17" t="s">
        <v>954</v>
      </c>
      <c r="J891" s="17">
        <v>87</v>
      </c>
      <c r="K891" s="17">
        <v>1</v>
      </c>
      <c r="L891" s="17">
        <v>1</v>
      </c>
      <c r="O891" s="54" t="s">
        <v>1243</v>
      </c>
      <c r="P891">
        <v>1</v>
      </c>
      <c r="Q891">
        <v>1</v>
      </c>
      <c r="R891">
        <v>1</v>
      </c>
    </row>
    <row r="892" spans="8:18">
      <c r="H892" s="16">
        <v>44798</v>
      </c>
      <c r="I892" s="17" t="s">
        <v>472</v>
      </c>
      <c r="J892" s="17">
        <v>85</v>
      </c>
      <c r="K892" s="17">
        <v>1</v>
      </c>
      <c r="L892" s="17">
        <v>1</v>
      </c>
      <c r="O892" s="54" t="s">
        <v>1241</v>
      </c>
      <c r="P892">
        <v>1</v>
      </c>
      <c r="Q892">
        <v>1</v>
      </c>
      <c r="R892">
        <v>1</v>
      </c>
    </row>
    <row r="893" spans="8:18">
      <c r="H893" s="16">
        <v>44798</v>
      </c>
      <c r="I893" s="17" t="s">
        <v>608</v>
      </c>
      <c r="J893" s="17">
        <v>77</v>
      </c>
      <c r="K893" s="17">
        <v>1</v>
      </c>
      <c r="L893" s="17">
        <v>1</v>
      </c>
      <c r="O893" s="54" t="s">
        <v>1239</v>
      </c>
      <c r="P893">
        <v>1</v>
      </c>
      <c r="Q893">
        <v>1</v>
      </c>
      <c r="R893">
        <v>1</v>
      </c>
    </row>
    <row r="894" spans="8:18">
      <c r="H894" s="16">
        <v>44798</v>
      </c>
      <c r="I894" s="17" t="s">
        <v>536</v>
      </c>
      <c r="J894" s="17">
        <v>77</v>
      </c>
      <c r="K894" s="17">
        <v>1</v>
      </c>
      <c r="L894" s="17">
        <v>1</v>
      </c>
      <c r="O894" s="54" t="s">
        <v>1237</v>
      </c>
      <c r="P894">
        <v>1</v>
      </c>
      <c r="Q894">
        <v>1</v>
      </c>
      <c r="R894">
        <v>1</v>
      </c>
    </row>
    <row r="895" spans="8:18">
      <c r="H895" s="16">
        <v>44798</v>
      </c>
      <c r="I895" s="17" t="s">
        <v>593</v>
      </c>
      <c r="J895" s="17">
        <v>77</v>
      </c>
      <c r="K895" s="17">
        <v>1</v>
      </c>
      <c r="L895" s="17">
        <v>1</v>
      </c>
      <c r="O895" s="54" t="s">
        <v>1235</v>
      </c>
      <c r="P895">
        <v>1</v>
      </c>
      <c r="Q895">
        <v>1</v>
      </c>
      <c r="R895">
        <v>1</v>
      </c>
    </row>
    <row r="896" spans="8:18">
      <c r="H896" s="16">
        <v>44798</v>
      </c>
      <c r="I896" s="17" t="s">
        <v>948</v>
      </c>
      <c r="J896" s="17">
        <v>39.9</v>
      </c>
      <c r="K896" s="17">
        <v>1</v>
      </c>
      <c r="L896" s="17">
        <v>1</v>
      </c>
      <c r="O896" s="54" t="s">
        <v>1233</v>
      </c>
      <c r="P896">
        <v>1</v>
      </c>
      <c r="Q896">
        <v>1</v>
      </c>
      <c r="R896">
        <v>1</v>
      </c>
    </row>
    <row r="897" spans="8:18">
      <c r="H897" s="16">
        <v>44798</v>
      </c>
      <c r="I897" s="17" t="s">
        <v>1044</v>
      </c>
      <c r="J897" s="17">
        <v>39.8</v>
      </c>
      <c r="K897" s="17">
        <v>2</v>
      </c>
      <c r="L897" s="17">
        <v>1</v>
      </c>
      <c r="O897" s="54" t="s">
        <v>1230</v>
      </c>
      <c r="P897">
        <v>1</v>
      </c>
      <c r="Q897">
        <v>1</v>
      </c>
      <c r="R897">
        <v>1</v>
      </c>
    </row>
    <row r="898" spans="8:18">
      <c r="H898" s="16">
        <v>44798</v>
      </c>
      <c r="I898" s="17" t="s">
        <v>645</v>
      </c>
      <c r="J898" s="17">
        <v>37.9</v>
      </c>
      <c r="K898" s="17">
        <v>1</v>
      </c>
      <c r="L898" s="17">
        <v>1</v>
      </c>
      <c r="O898" s="54" t="s">
        <v>1226</v>
      </c>
      <c r="P898">
        <v>1</v>
      </c>
      <c r="Q898">
        <v>1</v>
      </c>
      <c r="R898">
        <v>1</v>
      </c>
    </row>
    <row r="899" spans="8:18">
      <c r="H899" s="16">
        <v>44798</v>
      </c>
      <c r="I899" s="17" t="s">
        <v>1055</v>
      </c>
      <c r="J899" s="17">
        <v>37.1</v>
      </c>
      <c r="K899" s="17">
        <v>1</v>
      </c>
      <c r="L899" s="17">
        <v>1</v>
      </c>
      <c r="O899" s="54" t="s">
        <v>1169</v>
      </c>
      <c r="P899">
        <v>1</v>
      </c>
      <c r="Q899">
        <v>1</v>
      </c>
      <c r="R899">
        <v>1</v>
      </c>
    </row>
    <row r="900" spans="8:18">
      <c r="H900" s="16">
        <v>44798</v>
      </c>
      <c r="I900" s="17" t="s">
        <v>643</v>
      </c>
      <c r="J900" s="17">
        <v>36.3</v>
      </c>
      <c r="K900" s="17">
        <v>1</v>
      </c>
      <c r="L900" s="17">
        <v>1</v>
      </c>
      <c r="O900" s="54" t="s">
        <v>1161</v>
      </c>
      <c r="P900">
        <v>1</v>
      </c>
      <c r="Q900">
        <v>1</v>
      </c>
      <c r="R900">
        <v>1</v>
      </c>
    </row>
    <row r="901" spans="8:18">
      <c r="H901" s="16">
        <v>44798</v>
      </c>
      <c r="I901" s="17" t="s">
        <v>920</v>
      </c>
      <c r="J901" s="17">
        <v>34.91</v>
      </c>
      <c r="K901" s="17">
        <v>1</v>
      </c>
      <c r="L901" s="17">
        <v>1</v>
      </c>
      <c r="O901" s="54" t="s">
        <v>1156</v>
      </c>
      <c r="P901">
        <v>1</v>
      </c>
      <c r="Q901">
        <v>1</v>
      </c>
      <c r="R901">
        <v>1</v>
      </c>
    </row>
    <row r="902" spans="8:18">
      <c r="H902" s="16">
        <v>44798</v>
      </c>
      <c r="I902" s="17" t="s">
        <v>1058</v>
      </c>
      <c r="J902" s="17">
        <v>30.92</v>
      </c>
      <c r="K902" s="17">
        <v>1</v>
      </c>
      <c r="L902" s="17">
        <v>1</v>
      </c>
      <c r="O902" s="54" t="s">
        <v>1154</v>
      </c>
      <c r="P902">
        <v>1</v>
      </c>
      <c r="Q902">
        <v>1</v>
      </c>
      <c r="R902">
        <v>1</v>
      </c>
    </row>
    <row r="903" spans="8:18">
      <c r="H903" s="16">
        <v>44798</v>
      </c>
      <c r="I903" s="17" t="s">
        <v>1066</v>
      </c>
      <c r="J903" s="17">
        <v>29.8</v>
      </c>
      <c r="K903" s="17">
        <v>2</v>
      </c>
      <c r="L903" s="17">
        <v>1</v>
      </c>
      <c r="O903" s="54" t="s">
        <v>1152</v>
      </c>
      <c r="P903">
        <v>1</v>
      </c>
      <c r="Q903">
        <v>1</v>
      </c>
      <c r="R903">
        <v>1</v>
      </c>
    </row>
    <row r="904" spans="8:18">
      <c r="H904" s="16">
        <v>44798</v>
      </c>
      <c r="I904" s="17" t="s">
        <v>1074</v>
      </c>
      <c r="J904" s="17">
        <v>20.9</v>
      </c>
      <c r="K904" s="17">
        <v>2</v>
      </c>
      <c r="L904" s="17">
        <v>1</v>
      </c>
      <c r="O904" s="54" t="s">
        <v>1150</v>
      </c>
      <c r="P904">
        <v>1</v>
      </c>
      <c r="Q904">
        <v>1</v>
      </c>
      <c r="R904">
        <v>1</v>
      </c>
    </row>
    <row r="905" spans="8:18">
      <c r="H905" s="16">
        <v>44798</v>
      </c>
      <c r="I905" s="17" t="s">
        <v>1073</v>
      </c>
      <c r="J905" s="17">
        <v>20.9</v>
      </c>
      <c r="K905" s="17">
        <v>2</v>
      </c>
      <c r="L905" s="17">
        <v>1</v>
      </c>
      <c r="O905" s="54" t="s">
        <v>1148</v>
      </c>
      <c r="P905">
        <v>1</v>
      </c>
      <c r="Q905">
        <v>1</v>
      </c>
      <c r="R905">
        <v>1</v>
      </c>
    </row>
    <row r="906" spans="8:18">
      <c r="H906" s="16">
        <v>44798</v>
      </c>
      <c r="I906" s="17" t="s">
        <v>636</v>
      </c>
      <c r="J906" s="17">
        <v>19.9</v>
      </c>
      <c r="K906" s="17">
        <v>1</v>
      </c>
      <c r="L906" s="17">
        <v>1</v>
      </c>
      <c r="O906" s="54" t="s">
        <v>1146</v>
      </c>
      <c r="P906">
        <v>1</v>
      </c>
      <c r="Q906">
        <v>1</v>
      </c>
      <c r="R906">
        <v>1</v>
      </c>
    </row>
    <row r="907" spans="8:18">
      <c r="H907" s="16">
        <v>44798</v>
      </c>
      <c r="I907" s="17" t="s">
        <v>1091</v>
      </c>
      <c r="J907" s="17">
        <v>19.9</v>
      </c>
      <c r="K907" s="17">
        <v>1</v>
      </c>
      <c r="L907" s="17">
        <v>1</v>
      </c>
      <c r="O907" s="54" t="s">
        <v>1143</v>
      </c>
      <c r="P907">
        <v>1</v>
      </c>
      <c r="Q907">
        <v>1</v>
      </c>
      <c r="R907">
        <v>1</v>
      </c>
    </row>
    <row r="908" spans="8:18">
      <c r="H908" s="16">
        <v>44798</v>
      </c>
      <c r="I908" s="17" t="s">
        <v>1090</v>
      </c>
      <c r="J908" s="17">
        <v>19.9</v>
      </c>
      <c r="K908" s="17">
        <v>1</v>
      </c>
      <c r="L908" s="17">
        <v>1</v>
      </c>
      <c r="O908" s="54" t="s">
        <v>1141</v>
      </c>
      <c r="P908">
        <v>1</v>
      </c>
      <c r="Q908">
        <v>1</v>
      </c>
      <c r="R908">
        <v>1</v>
      </c>
    </row>
    <row r="909" spans="8:18">
      <c r="H909" s="16">
        <v>44798</v>
      </c>
      <c r="I909" s="17" t="s">
        <v>1089</v>
      </c>
      <c r="J909" s="17">
        <v>19.9</v>
      </c>
      <c r="K909" s="17">
        <v>1</v>
      </c>
      <c r="L909" s="17">
        <v>1</v>
      </c>
      <c r="O909" s="54" t="s">
        <v>1140</v>
      </c>
      <c r="P909">
        <v>1</v>
      </c>
      <c r="Q909">
        <v>1</v>
      </c>
      <c r="R909">
        <v>1</v>
      </c>
    </row>
    <row r="910" spans="8:18">
      <c r="H910" s="16">
        <v>44798</v>
      </c>
      <c r="I910" s="17" t="s">
        <v>988</v>
      </c>
      <c r="J910" s="17">
        <v>19.9</v>
      </c>
      <c r="K910" s="17">
        <v>1</v>
      </c>
      <c r="L910" s="17">
        <v>1</v>
      </c>
      <c r="O910" s="54" t="s">
        <v>1138</v>
      </c>
      <c r="P910">
        <v>1</v>
      </c>
      <c r="Q910">
        <v>1</v>
      </c>
      <c r="R910">
        <v>1</v>
      </c>
    </row>
    <row r="911" spans="8:18">
      <c r="H911" s="16">
        <v>44798</v>
      </c>
      <c r="I911" s="17" t="s">
        <v>909</v>
      </c>
      <c r="J911" s="17">
        <v>19.9</v>
      </c>
      <c r="K911" s="17">
        <v>1</v>
      </c>
      <c r="L911" s="17">
        <v>1</v>
      </c>
      <c r="O911" s="54" t="s">
        <v>1136</v>
      </c>
      <c r="P911">
        <v>1</v>
      </c>
      <c r="Q911">
        <v>1</v>
      </c>
      <c r="R911">
        <v>1</v>
      </c>
    </row>
    <row r="912" spans="8:18">
      <c r="H912" s="16">
        <v>44798</v>
      </c>
      <c r="I912" s="17" t="s">
        <v>863</v>
      </c>
      <c r="J912" s="17">
        <v>19.9</v>
      </c>
      <c r="K912" s="17">
        <v>1</v>
      </c>
      <c r="L912" s="17">
        <v>1</v>
      </c>
      <c r="O912" s="54" t="s">
        <v>1134</v>
      </c>
      <c r="P912">
        <v>1</v>
      </c>
      <c r="Q912">
        <v>1</v>
      </c>
      <c r="R912">
        <v>1</v>
      </c>
    </row>
    <row r="913" spans="8:18">
      <c r="H913" s="16">
        <v>44798</v>
      </c>
      <c r="I913" s="17" t="s">
        <v>405</v>
      </c>
      <c r="J913" s="17">
        <v>19.8</v>
      </c>
      <c r="K913" s="17">
        <v>2</v>
      </c>
      <c r="L913" s="17">
        <v>1</v>
      </c>
      <c r="O913" s="54" t="s">
        <v>1132</v>
      </c>
      <c r="P913">
        <v>1</v>
      </c>
      <c r="Q913">
        <v>1</v>
      </c>
      <c r="R913">
        <v>1</v>
      </c>
    </row>
    <row r="914" spans="8:18">
      <c r="H914" s="16">
        <v>44798</v>
      </c>
      <c r="I914" s="17" t="s">
        <v>1180</v>
      </c>
      <c r="J914" s="17">
        <v>10.9</v>
      </c>
      <c r="K914" s="17">
        <v>2</v>
      </c>
      <c r="L914" s="17">
        <v>1</v>
      </c>
      <c r="O914" s="54" t="s">
        <v>1130</v>
      </c>
      <c r="P914">
        <v>1</v>
      </c>
      <c r="Q914">
        <v>1</v>
      </c>
      <c r="R914">
        <v>1</v>
      </c>
    </row>
    <row r="915" spans="8:18">
      <c r="H915" s="16">
        <v>44798</v>
      </c>
      <c r="I915" s="17" t="s">
        <v>1179</v>
      </c>
      <c r="J915" s="17">
        <v>10.9</v>
      </c>
      <c r="K915" s="17">
        <v>2</v>
      </c>
      <c r="L915" s="17">
        <v>1</v>
      </c>
      <c r="O915" s="54" t="s">
        <v>1128</v>
      </c>
      <c r="P915">
        <v>1</v>
      </c>
      <c r="Q915">
        <v>1</v>
      </c>
      <c r="R915">
        <v>1</v>
      </c>
    </row>
    <row r="916" spans="8:18">
      <c r="H916" s="16">
        <v>44798</v>
      </c>
      <c r="I916" s="17" t="s">
        <v>797</v>
      </c>
      <c r="J916" s="17">
        <v>10.9</v>
      </c>
      <c r="K916" s="17">
        <v>2</v>
      </c>
      <c r="L916" s="17">
        <v>1</v>
      </c>
      <c r="O916" s="54" t="s">
        <v>1126</v>
      </c>
      <c r="P916">
        <v>1</v>
      </c>
      <c r="Q916">
        <v>1</v>
      </c>
      <c r="R916">
        <v>1</v>
      </c>
    </row>
    <row r="917" spans="8:18">
      <c r="H917" s="16">
        <v>44798</v>
      </c>
      <c r="I917" s="17" t="s">
        <v>720</v>
      </c>
      <c r="J917" s="17">
        <v>9.9</v>
      </c>
      <c r="K917" s="17">
        <v>1</v>
      </c>
      <c r="L917" s="17">
        <v>1</v>
      </c>
      <c r="O917" s="54" t="s">
        <v>1125</v>
      </c>
      <c r="P917">
        <v>1</v>
      </c>
      <c r="Q917">
        <v>1</v>
      </c>
      <c r="R917">
        <v>1</v>
      </c>
    </row>
    <row r="918" spans="8:18">
      <c r="H918" s="16">
        <v>44798</v>
      </c>
      <c r="I918" s="17" t="s">
        <v>384</v>
      </c>
      <c r="J918" s="17">
        <v>9.9</v>
      </c>
      <c r="K918" s="17">
        <v>1</v>
      </c>
      <c r="L918" s="17">
        <v>1</v>
      </c>
      <c r="O918" s="54" t="s">
        <v>1124</v>
      </c>
      <c r="P918">
        <v>1</v>
      </c>
      <c r="Q918">
        <v>1</v>
      </c>
      <c r="R918">
        <v>1</v>
      </c>
    </row>
    <row r="919" spans="8:18">
      <c r="H919" s="16">
        <v>44798</v>
      </c>
      <c r="I919" s="17" t="s">
        <v>981</v>
      </c>
      <c r="J919" s="17">
        <v>9.9</v>
      </c>
      <c r="K919" s="17">
        <v>1</v>
      </c>
      <c r="L919" s="17">
        <v>1</v>
      </c>
      <c r="O919" s="54" t="s">
        <v>1123</v>
      </c>
      <c r="P919">
        <v>1</v>
      </c>
      <c r="Q919">
        <v>1</v>
      </c>
      <c r="R919">
        <v>1</v>
      </c>
    </row>
    <row r="920" spans="8:18">
      <c r="H920" s="16">
        <v>44798</v>
      </c>
      <c r="I920" s="17" t="s">
        <v>1251</v>
      </c>
      <c r="J920" s="17">
        <v>9.9</v>
      </c>
      <c r="K920" s="17">
        <v>1</v>
      </c>
      <c r="L920" s="17">
        <v>1</v>
      </c>
      <c r="O920" s="54" t="s">
        <v>1122</v>
      </c>
      <c r="P920">
        <v>1</v>
      </c>
      <c r="Q920">
        <v>1</v>
      </c>
      <c r="R920">
        <v>1</v>
      </c>
    </row>
    <row r="921" spans="8:18">
      <c r="H921" s="16">
        <v>44798</v>
      </c>
      <c r="I921" s="17" t="s">
        <v>1054</v>
      </c>
      <c r="J921" s="17">
        <v>9.9</v>
      </c>
      <c r="K921" s="17">
        <v>1</v>
      </c>
      <c r="L921" s="17">
        <v>1</v>
      </c>
      <c r="O921" s="54" t="s">
        <v>1121</v>
      </c>
      <c r="P921">
        <v>1</v>
      </c>
      <c r="Q921">
        <v>1</v>
      </c>
      <c r="R921">
        <v>1</v>
      </c>
    </row>
    <row r="922" spans="8:18">
      <c r="H922" s="16">
        <v>44798</v>
      </c>
      <c r="I922" s="17" t="s">
        <v>1250</v>
      </c>
      <c r="J922" s="17">
        <v>9.9</v>
      </c>
      <c r="K922" s="17">
        <v>1</v>
      </c>
      <c r="L922" s="17">
        <v>1</v>
      </c>
      <c r="O922" s="54" t="s">
        <v>1120</v>
      </c>
      <c r="P922">
        <v>1</v>
      </c>
      <c r="Q922">
        <v>1</v>
      </c>
      <c r="R922">
        <v>1</v>
      </c>
    </row>
    <row r="923" spans="8:18">
      <c r="H923" s="16">
        <v>44798</v>
      </c>
      <c r="I923" s="17" t="s">
        <v>963</v>
      </c>
      <c r="J923" s="17">
        <v>9.9</v>
      </c>
      <c r="K923" s="17">
        <v>1</v>
      </c>
      <c r="L923" s="17">
        <v>1</v>
      </c>
      <c r="O923" s="54" t="s">
        <v>1119</v>
      </c>
      <c r="P923">
        <v>1</v>
      </c>
      <c r="Q923">
        <v>1</v>
      </c>
      <c r="R923">
        <v>1</v>
      </c>
    </row>
    <row r="924" spans="8:18">
      <c r="H924" s="16">
        <v>44798</v>
      </c>
      <c r="I924" s="17" t="s">
        <v>813</v>
      </c>
      <c r="J924" s="17">
        <v>9.9</v>
      </c>
      <c r="K924" s="17">
        <v>1</v>
      </c>
      <c r="L924" s="17">
        <v>1</v>
      </c>
      <c r="O924" s="54" t="s">
        <v>1118</v>
      </c>
      <c r="P924">
        <v>1</v>
      </c>
      <c r="Q924">
        <v>1</v>
      </c>
      <c r="R924">
        <v>1</v>
      </c>
    </row>
    <row r="925" spans="8:18">
      <c r="H925" s="16">
        <v>44798</v>
      </c>
      <c r="I925" s="17" t="s">
        <v>1249</v>
      </c>
      <c r="J925" s="17">
        <v>9.9</v>
      </c>
      <c r="K925" s="17">
        <v>1</v>
      </c>
      <c r="L925" s="17">
        <v>1</v>
      </c>
      <c r="O925" s="54" t="s">
        <v>1117</v>
      </c>
      <c r="P925">
        <v>1</v>
      </c>
      <c r="Q925">
        <v>1</v>
      </c>
      <c r="R925">
        <v>1</v>
      </c>
    </row>
    <row r="926" spans="8:18">
      <c r="H926" s="16">
        <v>44798</v>
      </c>
      <c r="I926" s="17" t="s">
        <v>1259</v>
      </c>
      <c r="J926" s="17">
        <v>1</v>
      </c>
      <c r="K926" s="17">
        <v>1</v>
      </c>
      <c r="L926" s="17">
        <v>1</v>
      </c>
      <c r="O926" s="54" t="s">
        <v>1043</v>
      </c>
      <c r="P926">
        <v>1</v>
      </c>
      <c r="Q926">
        <v>1</v>
      </c>
      <c r="R926">
        <v>1</v>
      </c>
    </row>
    <row r="927" spans="8:18">
      <c r="H927" s="16">
        <v>44798</v>
      </c>
      <c r="I927" s="17" t="s">
        <v>1258</v>
      </c>
      <c r="J927" s="17">
        <v>1</v>
      </c>
      <c r="K927" s="17">
        <v>1</v>
      </c>
      <c r="L927" s="17">
        <v>1</v>
      </c>
      <c r="O927" s="54" t="s">
        <v>1042</v>
      </c>
      <c r="P927">
        <v>1</v>
      </c>
      <c r="Q927">
        <v>1</v>
      </c>
      <c r="R927">
        <v>1</v>
      </c>
    </row>
    <row r="928" spans="8:18">
      <c r="H928" s="16">
        <v>44798</v>
      </c>
      <c r="I928" s="17" t="s">
        <v>1316</v>
      </c>
      <c r="J928" s="17">
        <v>1</v>
      </c>
      <c r="K928" s="17">
        <v>1</v>
      </c>
      <c r="L928" s="17">
        <v>1</v>
      </c>
      <c r="O928" s="54" t="s">
        <v>1041</v>
      </c>
      <c r="P928">
        <v>1</v>
      </c>
      <c r="Q928">
        <v>1</v>
      </c>
      <c r="R928">
        <v>1</v>
      </c>
    </row>
    <row r="929" spans="8:18">
      <c r="H929" s="16">
        <v>44798</v>
      </c>
      <c r="I929" s="17" t="s">
        <v>1315</v>
      </c>
      <c r="J929" s="17">
        <v>1</v>
      </c>
      <c r="K929" s="17">
        <v>1</v>
      </c>
      <c r="L929" s="17">
        <v>1</v>
      </c>
      <c r="O929" s="54" t="s">
        <v>1040</v>
      </c>
      <c r="P929">
        <v>1</v>
      </c>
      <c r="Q929">
        <v>1</v>
      </c>
      <c r="R929">
        <v>1</v>
      </c>
    </row>
    <row r="930" spans="8:18">
      <c r="H930" s="16">
        <v>44798</v>
      </c>
      <c r="I930" s="17" t="s">
        <v>1314</v>
      </c>
      <c r="J930" s="17">
        <v>1</v>
      </c>
      <c r="K930" s="17">
        <v>1</v>
      </c>
      <c r="L930" s="17">
        <v>1</v>
      </c>
      <c r="O930" s="54" t="s">
        <v>1039</v>
      </c>
      <c r="P930">
        <v>1</v>
      </c>
      <c r="Q930">
        <v>1</v>
      </c>
      <c r="R930">
        <v>1</v>
      </c>
    </row>
    <row r="931" spans="8:18">
      <c r="H931" s="16">
        <v>44798</v>
      </c>
      <c r="I931" s="17" t="s">
        <v>675</v>
      </c>
      <c r="J931" s="17">
        <v>1</v>
      </c>
      <c r="K931" s="17">
        <v>1</v>
      </c>
      <c r="L931" s="17">
        <v>1</v>
      </c>
      <c r="O931" s="54" t="s">
        <v>1038</v>
      </c>
      <c r="P931">
        <v>1</v>
      </c>
      <c r="Q931">
        <v>1</v>
      </c>
      <c r="R931">
        <v>1</v>
      </c>
    </row>
    <row r="932" spans="8:18">
      <c r="H932" s="16">
        <v>44798</v>
      </c>
      <c r="I932" s="17" t="s">
        <v>1313</v>
      </c>
      <c r="J932" s="17">
        <v>1</v>
      </c>
      <c r="K932" s="17">
        <v>1</v>
      </c>
      <c r="L932" s="17">
        <v>1</v>
      </c>
      <c r="O932" s="54" t="s">
        <v>1037</v>
      </c>
      <c r="P932">
        <v>1</v>
      </c>
      <c r="Q932">
        <v>1</v>
      </c>
      <c r="R932">
        <v>1</v>
      </c>
    </row>
    <row r="933" spans="8:18">
      <c r="H933" s="16">
        <v>44798</v>
      </c>
      <c r="I933" s="17" t="s">
        <v>1312</v>
      </c>
      <c r="J933" s="17">
        <v>1</v>
      </c>
      <c r="K933" s="17">
        <v>1</v>
      </c>
      <c r="L933" s="17">
        <v>1</v>
      </c>
      <c r="O933" s="54" t="s">
        <v>982</v>
      </c>
      <c r="P933">
        <v>1</v>
      </c>
      <c r="Q933">
        <v>1</v>
      </c>
      <c r="R933">
        <v>1</v>
      </c>
    </row>
    <row r="934" spans="8:18">
      <c r="H934" s="16">
        <v>44798</v>
      </c>
      <c r="I934" s="17" t="s">
        <v>1311</v>
      </c>
      <c r="J934" s="17">
        <v>1</v>
      </c>
      <c r="K934" s="17">
        <v>1</v>
      </c>
      <c r="L934" s="17">
        <v>1</v>
      </c>
      <c r="O934" s="54" t="s">
        <v>976</v>
      </c>
      <c r="P934">
        <v>1</v>
      </c>
      <c r="Q934">
        <v>1</v>
      </c>
      <c r="R934">
        <v>1</v>
      </c>
    </row>
    <row r="935" spans="8:18">
      <c r="H935" s="16">
        <v>44798</v>
      </c>
      <c r="I935" s="17" t="s">
        <v>1310</v>
      </c>
      <c r="J935" s="17">
        <v>1</v>
      </c>
      <c r="K935" s="17">
        <v>1</v>
      </c>
      <c r="L935" s="17">
        <v>1</v>
      </c>
      <c r="O935" s="54" t="s">
        <v>974</v>
      </c>
      <c r="P935">
        <v>1</v>
      </c>
      <c r="Q935">
        <v>1</v>
      </c>
      <c r="R935">
        <v>1</v>
      </c>
    </row>
    <row r="936" spans="8:18">
      <c r="H936" s="16">
        <v>44798</v>
      </c>
      <c r="I936" s="17" t="s">
        <v>1309</v>
      </c>
      <c r="J936" s="17">
        <v>1</v>
      </c>
      <c r="K936" s="17">
        <v>1</v>
      </c>
      <c r="L936" s="17">
        <v>1</v>
      </c>
      <c r="O936" s="54" t="s">
        <v>973</v>
      </c>
      <c r="P936">
        <v>1</v>
      </c>
      <c r="Q936">
        <v>1</v>
      </c>
      <c r="R936">
        <v>1</v>
      </c>
    </row>
    <row r="937" spans="8:18">
      <c r="H937" s="16">
        <v>44798</v>
      </c>
      <c r="I937" s="17" t="s">
        <v>1257</v>
      </c>
      <c r="J937" s="17">
        <v>1</v>
      </c>
      <c r="K937" s="17">
        <v>1</v>
      </c>
      <c r="L937" s="17">
        <v>1</v>
      </c>
      <c r="O937" s="54" t="s">
        <v>971</v>
      </c>
      <c r="P937">
        <v>1</v>
      </c>
      <c r="Q937">
        <v>1</v>
      </c>
      <c r="R937">
        <v>1</v>
      </c>
    </row>
    <row r="938" spans="8:18">
      <c r="H938" s="16">
        <v>44798</v>
      </c>
      <c r="I938" s="17" t="s">
        <v>748</v>
      </c>
      <c r="J938" s="17">
        <v>1</v>
      </c>
      <c r="K938" s="17">
        <v>1</v>
      </c>
      <c r="L938" s="17">
        <v>1</v>
      </c>
      <c r="O938" s="54" t="s">
        <v>970</v>
      </c>
      <c r="P938">
        <v>1</v>
      </c>
      <c r="Q938">
        <v>1</v>
      </c>
      <c r="R938">
        <v>1</v>
      </c>
    </row>
    <row r="939" spans="8:18">
      <c r="H939" s="16">
        <v>44798</v>
      </c>
      <c r="I939" s="17" t="s">
        <v>1308</v>
      </c>
      <c r="J939" s="17">
        <v>1</v>
      </c>
      <c r="K939" s="17">
        <v>1</v>
      </c>
      <c r="L939" s="17">
        <v>1</v>
      </c>
      <c r="O939" s="54" t="s">
        <v>88</v>
      </c>
      <c r="P939">
        <v>207672.019999998</v>
      </c>
      <c r="Q939">
        <v>2839</v>
      </c>
      <c r="R939">
        <v>1661</v>
      </c>
    </row>
    <row r="940" spans="8:12">
      <c r="H940" s="16">
        <v>44798</v>
      </c>
      <c r="I940" s="17" t="s">
        <v>1307</v>
      </c>
      <c r="J940" s="17">
        <v>1</v>
      </c>
      <c r="K940" s="17">
        <v>1</v>
      </c>
      <c r="L940" s="17">
        <v>1</v>
      </c>
    </row>
    <row r="941" spans="8:12">
      <c r="H941" s="16">
        <v>44798</v>
      </c>
      <c r="I941" s="17" t="s">
        <v>1181</v>
      </c>
      <c r="J941" s="17">
        <v>1</v>
      </c>
      <c r="K941" s="17">
        <v>1</v>
      </c>
      <c r="L941" s="17">
        <v>1</v>
      </c>
    </row>
    <row r="942" spans="8:12">
      <c r="H942" s="16">
        <v>44798</v>
      </c>
      <c r="I942" s="17" t="s">
        <v>1306</v>
      </c>
      <c r="J942" s="17">
        <v>1</v>
      </c>
      <c r="K942" s="17">
        <v>1</v>
      </c>
      <c r="L942" s="17">
        <v>1</v>
      </c>
    </row>
    <row r="943" spans="8:12">
      <c r="H943" s="16">
        <v>44798</v>
      </c>
      <c r="I943" s="17" t="s">
        <v>1177</v>
      </c>
      <c r="J943" s="17">
        <v>1</v>
      </c>
      <c r="K943" s="17">
        <v>1</v>
      </c>
      <c r="L943" s="17">
        <v>1</v>
      </c>
    </row>
    <row r="944" spans="8:12">
      <c r="H944" s="16">
        <v>44797</v>
      </c>
      <c r="I944" s="17" t="s">
        <v>459</v>
      </c>
      <c r="J944" s="17">
        <v>944.38</v>
      </c>
      <c r="K944" s="17">
        <v>15</v>
      </c>
      <c r="L944" s="17">
        <v>1</v>
      </c>
    </row>
    <row r="945" spans="8:12">
      <c r="H945" s="16">
        <v>44797</v>
      </c>
      <c r="I945" s="17" t="s">
        <v>382</v>
      </c>
      <c r="J945" s="17">
        <v>893.54</v>
      </c>
      <c r="K945" s="17">
        <v>21</v>
      </c>
      <c r="L945" s="17">
        <v>1</v>
      </c>
    </row>
    <row r="946" spans="8:12">
      <c r="H946" s="16">
        <v>44797</v>
      </c>
      <c r="I946" s="17" t="s">
        <v>393</v>
      </c>
      <c r="J946" s="17">
        <v>787.64</v>
      </c>
      <c r="K946" s="17">
        <v>13</v>
      </c>
      <c r="L946" s="17">
        <v>1</v>
      </c>
    </row>
    <row r="947" spans="8:12">
      <c r="H947" s="16">
        <v>44797</v>
      </c>
      <c r="I947" s="17" t="s">
        <v>399</v>
      </c>
      <c r="J947" s="17">
        <v>509.4</v>
      </c>
      <c r="K947" s="17">
        <v>10</v>
      </c>
      <c r="L947" s="17">
        <v>1</v>
      </c>
    </row>
    <row r="948" spans="8:12">
      <c r="H948" s="16">
        <v>44797</v>
      </c>
      <c r="I948" s="17" t="s">
        <v>532</v>
      </c>
      <c r="J948" s="17">
        <v>331.76</v>
      </c>
      <c r="K948" s="17">
        <v>8</v>
      </c>
      <c r="L948" s="17">
        <v>1</v>
      </c>
    </row>
    <row r="949" spans="8:12">
      <c r="H949" s="16">
        <v>44797</v>
      </c>
      <c r="I949" s="17" t="s">
        <v>373</v>
      </c>
      <c r="J949" s="17">
        <v>328.4</v>
      </c>
      <c r="K949" s="17">
        <v>7</v>
      </c>
      <c r="L949" s="17">
        <v>1</v>
      </c>
    </row>
    <row r="950" spans="8:12">
      <c r="H950" s="16">
        <v>44797</v>
      </c>
      <c r="I950" s="17" t="s">
        <v>462</v>
      </c>
      <c r="J950" s="17">
        <v>317.1</v>
      </c>
      <c r="K950" s="17">
        <v>6</v>
      </c>
      <c r="L950" s="17">
        <v>1</v>
      </c>
    </row>
    <row r="951" spans="8:12">
      <c r="H951" s="16">
        <v>44797</v>
      </c>
      <c r="I951" s="17" t="s">
        <v>636</v>
      </c>
      <c r="J951" s="17">
        <v>244.78</v>
      </c>
      <c r="K951" s="17">
        <v>9</v>
      </c>
      <c r="L951" s="17">
        <v>1</v>
      </c>
    </row>
    <row r="952" spans="8:12">
      <c r="H952" s="16">
        <v>44797</v>
      </c>
      <c r="I952" s="17" t="s">
        <v>512</v>
      </c>
      <c r="J952" s="17">
        <v>242.5</v>
      </c>
      <c r="K952" s="17">
        <v>5</v>
      </c>
      <c r="L952" s="17">
        <v>1</v>
      </c>
    </row>
    <row r="953" spans="8:12">
      <c r="H953" s="16">
        <v>44797</v>
      </c>
      <c r="I953" s="17" t="s">
        <v>491</v>
      </c>
      <c r="J953" s="17">
        <v>225.4</v>
      </c>
      <c r="K953" s="17">
        <v>2</v>
      </c>
      <c r="L953" s="17">
        <v>1</v>
      </c>
    </row>
    <row r="954" spans="8:12">
      <c r="H954" s="16">
        <v>44797</v>
      </c>
      <c r="I954" s="17" t="s">
        <v>891</v>
      </c>
      <c r="J954" s="17">
        <v>180.5</v>
      </c>
      <c r="K954" s="17">
        <v>6</v>
      </c>
      <c r="L954" s="17">
        <v>1</v>
      </c>
    </row>
    <row r="955" spans="8:12">
      <c r="H955" s="16">
        <v>44797</v>
      </c>
      <c r="I955" s="17" t="s">
        <v>893</v>
      </c>
      <c r="J955" s="17">
        <v>173.3</v>
      </c>
      <c r="K955" s="17">
        <v>5</v>
      </c>
      <c r="L955" s="17">
        <v>1</v>
      </c>
    </row>
    <row r="956" spans="8:12">
      <c r="H956" s="16">
        <v>44797</v>
      </c>
      <c r="I956" s="17" t="s">
        <v>384</v>
      </c>
      <c r="J956" s="17">
        <v>161.06</v>
      </c>
      <c r="K956" s="17">
        <v>5</v>
      </c>
      <c r="L956" s="17">
        <v>1</v>
      </c>
    </row>
    <row r="957" spans="8:12">
      <c r="H957" s="16">
        <v>44797</v>
      </c>
      <c r="I957" s="17" t="s">
        <v>652</v>
      </c>
      <c r="J957" s="17">
        <v>157.4</v>
      </c>
      <c r="K957" s="17">
        <v>6</v>
      </c>
      <c r="L957" s="17">
        <v>1</v>
      </c>
    </row>
    <row r="958" spans="8:12">
      <c r="H958" s="16">
        <v>44797</v>
      </c>
      <c r="I958" s="17" t="s">
        <v>397</v>
      </c>
      <c r="J958" s="17">
        <v>148.6</v>
      </c>
      <c r="K958" s="17">
        <v>4</v>
      </c>
      <c r="L958" s="17">
        <v>1</v>
      </c>
    </row>
    <row r="959" spans="8:12">
      <c r="H959" s="16">
        <v>44797</v>
      </c>
      <c r="I959" s="17" t="s">
        <v>787</v>
      </c>
      <c r="J959" s="17">
        <v>147.16</v>
      </c>
      <c r="K959" s="17">
        <v>2</v>
      </c>
      <c r="L959" s="17">
        <v>1</v>
      </c>
    </row>
    <row r="960" spans="8:12">
      <c r="H960" s="16">
        <v>44797</v>
      </c>
      <c r="I960" s="17" t="s">
        <v>474</v>
      </c>
      <c r="J960" s="17">
        <v>144.3</v>
      </c>
      <c r="K960" s="17">
        <v>8</v>
      </c>
      <c r="L960" s="17">
        <v>1</v>
      </c>
    </row>
    <row r="961" spans="8:12">
      <c r="H961" s="16">
        <v>44797</v>
      </c>
      <c r="I961" s="17" t="s">
        <v>917</v>
      </c>
      <c r="J961" s="17">
        <v>138.8</v>
      </c>
      <c r="K961" s="17">
        <v>5</v>
      </c>
      <c r="L961" s="17">
        <v>1</v>
      </c>
    </row>
    <row r="962" spans="8:12">
      <c r="H962" s="16">
        <v>44797</v>
      </c>
      <c r="I962" s="17" t="s">
        <v>763</v>
      </c>
      <c r="J962" s="17">
        <v>136.64</v>
      </c>
      <c r="K962" s="17">
        <v>4</v>
      </c>
      <c r="L962" s="17">
        <v>1</v>
      </c>
    </row>
    <row r="963" spans="8:12">
      <c r="H963" s="16">
        <v>44797</v>
      </c>
      <c r="I963" s="17" t="s">
        <v>909</v>
      </c>
      <c r="J963" s="17">
        <v>131.4</v>
      </c>
      <c r="K963" s="17">
        <v>1</v>
      </c>
      <c r="L963" s="17">
        <v>1</v>
      </c>
    </row>
    <row r="964" spans="8:12">
      <c r="H964" s="16">
        <v>44797</v>
      </c>
      <c r="I964" s="17" t="s">
        <v>894</v>
      </c>
      <c r="J964" s="17">
        <v>126.4</v>
      </c>
      <c r="K964" s="17">
        <v>1</v>
      </c>
      <c r="L964" s="17">
        <v>1</v>
      </c>
    </row>
    <row r="965" spans="8:12">
      <c r="H965" s="16">
        <v>44797</v>
      </c>
      <c r="I965" s="17" t="s">
        <v>897</v>
      </c>
      <c r="J965" s="17">
        <v>119.7</v>
      </c>
      <c r="K965" s="17">
        <v>4</v>
      </c>
      <c r="L965" s="17">
        <v>1</v>
      </c>
    </row>
    <row r="966" spans="8:12">
      <c r="H966" s="16">
        <v>44797</v>
      </c>
      <c r="I966" s="17" t="s">
        <v>932</v>
      </c>
      <c r="J966" s="17">
        <v>115.8</v>
      </c>
      <c r="K966" s="17">
        <v>3</v>
      </c>
      <c r="L966" s="17">
        <v>1</v>
      </c>
    </row>
    <row r="967" spans="8:12">
      <c r="H967" s="16">
        <v>44797</v>
      </c>
      <c r="I967" s="17" t="s">
        <v>788</v>
      </c>
      <c r="J967" s="17">
        <v>111.5</v>
      </c>
      <c r="K967" s="17">
        <v>6</v>
      </c>
      <c r="L967" s="17">
        <v>1</v>
      </c>
    </row>
    <row r="968" spans="8:12">
      <c r="H968" s="16">
        <v>44797</v>
      </c>
      <c r="I968" s="17" t="s">
        <v>761</v>
      </c>
      <c r="J968" s="17">
        <v>110.9</v>
      </c>
      <c r="K968" s="17">
        <v>4</v>
      </c>
      <c r="L968" s="17">
        <v>1</v>
      </c>
    </row>
    <row r="969" spans="8:12">
      <c r="H969" s="16">
        <v>44797</v>
      </c>
      <c r="I969" s="17" t="s">
        <v>889</v>
      </c>
      <c r="J969" s="17">
        <v>109.9</v>
      </c>
      <c r="K969" s="17">
        <v>3</v>
      </c>
      <c r="L969" s="17">
        <v>1</v>
      </c>
    </row>
    <row r="970" spans="8:12">
      <c r="H970" s="16">
        <v>44797</v>
      </c>
      <c r="I970" s="17" t="s">
        <v>482</v>
      </c>
      <c r="J970" s="17">
        <v>104.9</v>
      </c>
      <c r="K970" s="17">
        <v>2</v>
      </c>
      <c r="L970" s="17">
        <v>1</v>
      </c>
    </row>
    <row r="971" spans="8:12">
      <c r="H971" s="16">
        <v>44797</v>
      </c>
      <c r="I971" s="17" t="s">
        <v>949</v>
      </c>
      <c r="J971" s="17">
        <v>89.7</v>
      </c>
      <c r="K971" s="17">
        <v>2</v>
      </c>
      <c r="L971" s="17">
        <v>1</v>
      </c>
    </row>
    <row r="972" spans="8:12">
      <c r="H972" s="16">
        <v>44797</v>
      </c>
      <c r="I972" s="17" t="s">
        <v>579</v>
      </c>
      <c r="J972" s="17">
        <v>88.58</v>
      </c>
      <c r="K972" s="17">
        <v>4</v>
      </c>
      <c r="L972" s="17">
        <v>1</v>
      </c>
    </row>
    <row r="973" spans="8:12">
      <c r="H973" s="16">
        <v>44797</v>
      </c>
      <c r="I973" s="17" t="s">
        <v>456</v>
      </c>
      <c r="J973" s="17">
        <v>77.58</v>
      </c>
      <c r="K973" s="17">
        <v>3</v>
      </c>
      <c r="L973" s="17">
        <v>1</v>
      </c>
    </row>
    <row r="974" spans="8:12">
      <c r="H974" s="16">
        <v>44797</v>
      </c>
      <c r="I974" s="17" t="s">
        <v>814</v>
      </c>
      <c r="J974" s="17">
        <v>69.9</v>
      </c>
      <c r="K974" s="17">
        <v>1</v>
      </c>
      <c r="L974" s="17">
        <v>1</v>
      </c>
    </row>
    <row r="975" spans="8:12">
      <c r="H975" s="16">
        <v>44797</v>
      </c>
      <c r="I975" s="17" t="s">
        <v>655</v>
      </c>
      <c r="J975" s="17">
        <v>66.8</v>
      </c>
      <c r="K975" s="17">
        <v>3</v>
      </c>
      <c r="L975" s="17">
        <v>1</v>
      </c>
    </row>
    <row r="976" spans="8:12">
      <c r="H976" s="16">
        <v>44797</v>
      </c>
      <c r="I976" s="17" t="s">
        <v>405</v>
      </c>
      <c r="J976" s="17">
        <v>66.7</v>
      </c>
      <c r="K976" s="17">
        <v>2</v>
      </c>
      <c r="L976" s="17">
        <v>1</v>
      </c>
    </row>
    <row r="977" spans="8:12">
      <c r="H977" s="16">
        <v>44797</v>
      </c>
      <c r="I977" s="17" t="s">
        <v>378</v>
      </c>
      <c r="J977" s="17">
        <v>59.9</v>
      </c>
      <c r="K977" s="17">
        <v>1</v>
      </c>
      <c r="L977" s="17">
        <v>1</v>
      </c>
    </row>
    <row r="978" spans="8:12">
      <c r="H978" s="16">
        <v>44797</v>
      </c>
      <c r="I978" s="17" t="s">
        <v>813</v>
      </c>
      <c r="J978" s="17">
        <v>58.68</v>
      </c>
      <c r="K978" s="17">
        <v>5</v>
      </c>
      <c r="L978" s="17">
        <v>1</v>
      </c>
    </row>
    <row r="979" spans="8:12">
      <c r="H979" s="16">
        <v>44797</v>
      </c>
      <c r="I979" s="17" t="s">
        <v>995</v>
      </c>
      <c r="J979" s="17">
        <v>49.9</v>
      </c>
      <c r="K979" s="17">
        <v>1</v>
      </c>
      <c r="L979" s="17">
        <v>1</v>
      </c>
    </row>
    <row r="980" spans="8:12">
      <c r="H980" s="16">
        <v>44797</v>
      </c>
      <c r="I980" s="17" t="s">
        <v>404</v>
      </c>
      <c r="J980" s="17">
        <v>49.9</v>
      </c>
      <c r="K980" s="17">
        <v>1</v>
      </c>
      <c r="L980" s="17">
        <v>1</v>
      </c>
    </row>
    <row r="981" spans="8:12">
      <c r="H981" s="16">
        <v>44797</v>
      </c>
      <c r="I981" s="17" t="s">
        <v>628</v>
      </c>
      <c r="J981" s="17">
        <v>47.9</v>
      </c>
      <c r="K981" s="17">
        <v>2</v>
      </c>
      <c r="L981" s="17">
        <v>1</v>
      </c>
    </row>
    <row r="982" spans="8:12">
      <c r="H982" s="16">
        <v>44797</v>
      </c>
      <c r="I982" s="17" t="s">
        <v>719</v>
      </c>
      <c r="J982" s="17">
        <v>39.8</v>
      </c>
      <c r="K982" s="17">
        <v>4</v>
      </c>
      <c r="L982" s="17">
        <v>1</v>
      </c>
    </row>
    <row r="983" spans="8:12">
      <c r="H983" s="16">
        <v>44797</v>
      </c>
      <c r="I983" s="17" t="s">
        <v>667</v>
      </c>
      <c r="J983" s="17">
        <v>38.8</v>
      </c>
      <c r="K983" s="17">
        <v>2</v>
      </c>
      <c r="L983" s="17">
        <v>1</v>
      </c>
    </row>
    <row r="984" spans="8:12">
      <c r="H984" s="16">
        <v>44797</v>
      </c>
      <c r="I984" s="17" t="s">
        <v>472</v>
      </c>
      <c r="J984" s="17">
        <v>37.9</v>
      </c>
      <c r="K984" s="17">
        <v>2</v>
      </c>
      <c r="L984" s="17">
        <v>1</v>
      </c>
    </row>
    <row r="985" spans="8:12">
      <c r="H985" s="16">
        <v>44797</v>
      </c>
      <c r="I985" s="17" t="s">
        <v>1063</v>
      </c>
      <c r="J985" s="17">
        <v>29.9</v>
      </c>
      <c r="K985" s="17">
        <v>3</v>
      </c>
      <c r="L985" s="17">
        <v>1</v>
      </c>
    </row>
    <row r="986" spans="8:12">
      <c r="H986" s="16">
        <v>44797</v>
      </c>
      <c r="I986" s="17" t="s">
        <v>647</v>
      </c>
      <c r="J986" s="17">
        <v>29.7</v>
      </c>
      <c r="K986" s="17">
        <v>3</v>
      </c>
      <c r="L986" s="17">
        <v>1</v>
      </c>
    </row>
    <row r="987" spans="8:12">
      <c r="H987" s="16">
        <v>44797</v>
      </c>
      <c r="I987" s="17" t="s">
        <v>1068</v>
      </c>
      <c r="J987" s="17">
        <v>28.68</v>
      </c>
      <c r="K987" s="17">
        <v>2</v>
      </c>
      <c r="L987" s="17">
        <v>1</v>
      </c>
    </row>
    <row r="988" spans="8:12">
      <c r="H988" s="16">
        <v>44797</v>
      </c>
      <c r="I988" s="17" t="s">
        <v>1054</v>
      </c>
      <c r="J988" s="17">
        <v>27.9</v>
      </c>
      <c r="K988" s="17">
        <v>1</v>
      </c>
      <c r="L988" s="17">
        <v>1</v>
      </c>
    </row>
    <row r="989" spans="8:12">
      <c r="H989" s="16">
        <v>44797</v>
      </c>
      <c r="I989" s="17" t="s">
        <v>1135</v>
      </c>
      <c r="J989" s="17">
        <v>12.9</v>
      </c>
      <c r="K989" s="17">
        <v>4</v>
      </c>
      <c r="L989" s="17">
        <v>1</v>
      </c>
    </row>
    <row r="990" spans="8:12">
      <c r="H990" s="16">
        <v>44797</v>
      </c>
      <c r="I990" s="17" t="s">
        <v>645</v>
      </c>
      <c r="J990" s="17">
        <v>12.9</v>
      </c>
      <c r="K990" s="17">
        <v>4</v>
      </c>
      <c r="L990" s="17">
        <v>1</v>
      </c>
    </row>
    <row r="991" spans="8:12">
      <c r="H991" s="16">
        <v>44797</v>
      </c>
      <c r="I991" s="17" t="s">
        <v>1176</v>
      </c>
      <c r="J991" s="17">
        <v>10.9</v>
      </c>
      <c r="K991" s="17">
        <v>2</v>
      </c>
      <c r="L991" s="17">
        <v>1</v>
      </c>
    </row>
    <row r="992" spans="8:12">
      <c r="H992" s="16">
        <v>44797</v>
      </c>
      <c r="I992" s="17" t="s">
        <v>573</v>
      </c>
      <c r="J992" s="17">
        <v>10.9</v>
      </c>
      <c r="K992" s="17">
        <v>2</v>
      </c>
      <c r="L992" s="17">
        <v>1</v>
      </c>
    </row>
    <row r="993" spans="8:12">
      <c r="H993" s="16">
        <v>44797</v>
      </c>
      <c r="I993" s="17" t="s">
        <v>467</v>
      </c>
      <c r="J993" s="17">
        <v>10.9</v>
      </c>
      <c r="K993" s="17">
        <v>2</v>
      </c>
      <c r="L993" s="17">
        <v>1</v>
      </c>
    </row>
    <row r="994" spans="8:12">
      <c r="H994" s="16">
        <v>44797</v>
      </c>
      <c r="I994" s="17" t="s">
        <v>634</v>
      </c>
      <c r="J994" s="17">
        <v>10.9</v>
      </c>
      <c r="K994" s="17">
        <v>2</v>
      </c>
      <c r="L994" s="17">
        <v>1</v>
      </c>
    </row>
    <row r="995" spans="8:12">
      <c r="H995" s="16">
        <v>44797</v>
      </c>
      <c r="I995" s="17" t="s">
        <v>485</v>
      </c>
      <c r="J995" s="17">
        <v>10.8</v>
      </c>
      <c r="K995" s="17">
        <v>3</v>
      </c>
      <c r="L995" s="17">
        <v>1</v>
      </c>
    </row>
    <row r="996" spans="8:12">
      <c r="H996" s="16">
        <v>44797</v>
      </c>
      <c r="I996" s="17" t="s">
        <v>1248</v>
      </c>
      <c r="J996" s="17">
        <v>9.9</v>
      </c>
      <c r="K996" s="17">
        <v>1</v>
      </c>
      <c r="L996" s="17">
        <v>1</v>
      </c>
    </row>
    <row r="997" spans="8:12">
      <c r="H997" s="16">
        <v>44797</v>
      </c>
      <c r="I997" s="17" t="s">
        <v>1070</v>
      </c>
      <c r="J997" s="17">
        <v>9.9</v>
      </c>
      <c r="K997" s="17">
        <v>1</v>
      </c>
      <c r="L997" s="17">
        <v>1</v>
      </c>
    </row>
    <row r="998" spans="8:12">
      <c r="H998" s="16">
        <v>44797</v>
      </c>
      <c r="I998" s="17" t="s">
        <v>1253</v>
      </c>
      <c r="J998" s="17">
        <v>8.88</v>
      </c>
      <c r="K998" s="17">
        <v>1</v>
      </c>
      <c r="L998" s="17">
        <v>1</v>
      </c>
    </row>
    <row r="999" spans="8:12">
      <c r="H999" s="16">
        <v>44797</v>
      </c>
      <c r="I999" s="17" t="s">
        <v>1252</v>
      </c>
      <c r="J999" s="17">
        <v>8.88</v>
      </c>
      <c r="K999" s="17">
        <v>1</v>
      </c>
      <c r="L999" s="17">
        <v>1</v>
      </c>
    </row>
    <row r="1000" spans="8:12">
      <c r="H1000" s="16">
        <v>44797</v>
      </c>
      <c r="I1000" s="17" t="s">
        <v>863</v>
      </c>
      <c r="J1000" s="17">
        <v>8.88</v>
      </c>
      <c r="K1000" s="17">
        <v>1</v>
      </c>
      <c r="L1000" s="17">
        <v>1</v>
      </c>
    </row>
    <row r="1001" spans="8:12">
      <c r="H1001" s="16">
        <v>44797</v>
      </c>
      <c r="I1001" s="17" t="s">
        <v>518</v>
      </c>
      <c r="J1001" s="17">
        <v>8.88</v>
      </c>
      <c r="K1001" s="17">
        <v>1</v>
      </c>
      <c r="L1001" s="17">
        <v>1</v>
      </c>
    </row>
    <row r="1002" spans="8:12">
      <c r="H1002" s="16">
        <v>44797</v>
      </c>
      <c r="I1002" s="17" t="s">
        <v>733</v>
      </c>
      <c r="J1002" s="17">
        <v>3</v>
      </c>
      <c r="K1002" s="17">
        <v>3</v>
      </c>
      <c r="L1002" s="17">
        <v>1</v>
      </c>
    </row>
    <row r="1003" spans="8:12">
      <c r="H1003" s="16">
        <v>44797</v>
      </c>
      <c r="I1003" s="17" t="s">
        <v>1256</v>
      </c>
      <c r="J1003" s="17">
        <v>2</v>
      </c>
      <c r="K1003" s="17">
        <v>2</v>
      </c>
      <c r="L1003" s="17">
        <v>1</v>
      </c>
    </row>
    <row r="1004" spans="8:12">
      <c r="H1004" s="16">
        <v>44797</v>
      </c>
      <c r="I1004" s="17" t="s">
        <v>711</v>
      </c>
      <c r="J1004" s="17">
        <v>2</v>
      </c>
      <c r="K1004" s="17">
        <v>2</v>
      </c>
      <c r="L1004" s="17">
        <v>1</v>
      </c>
    </row>
    <row r="1005" spans="8:12">
      <c r="H1005" s="16">
        <v>44797</v>
      </c>
      <c r="I1005" s="17" t="s">
        <v>989</v>
      </c>
      <c r="J1005" s="17">
        <v>2</v>
      </c>
      <c r="K1005" s="17">
        <v>2</v>
      </c>
      <c r="L1005" s="17">
        <v>1</v>
      </c>
    </row>
    <row r="1006" spans="8:12">
      <c r="H1006" s="16">
        <v>44797</v>
      </c>
      <c r="I1006" s="17" t="s">
        <v>1139</v>
      </c>
      <c r="J1006" s="17">
        <v>2</v>
      </c>
      <c r="K1006" s="17">
        <v>2</v>
      </c>
      <c r="L1006" s="17">
        <v>1</v>
      </c>
    </row>
    <row r="1007" spans="8:12">
      <c r="H1007" s="16">
        <v>44797</v>
      </c>
      <c r="I1007" s="17" t="s">
        <v>1255</v>
      </c>
      <c r="J1007" s="17">
        <v>2</v>
      </c>
      <c r="K1007" s="17">
        <v>2</v>
      </c>
      <c r="L1007" s="17">
        <v>1</v>
      </c>
    </row>
    <row r="1008" spans="8:12">
      <c r="H1008" s="16">
        <v>44797</v>
      </c>
      <c r="I1008" s="17" t="s">
        <v>896</v>
      </c>
      <c r="J1008" s="17">
        <v>1</v>
      </c>
      <c r="K1008" s="17">
        <v>1</v>
      </c>
      <c r="L1008" s="17">
        <v>1</v>
      </c>
    </row>
    <row r="1009" spans="8:12">
      <c r="H1009" s="16">
        <v>44797</v>
      </c>
      <c r="I1009" s="17" t="s">
        <v>549</v>
      </c>
      <c r="J1009" s="17">
        <v>1</v>
      </c>
      <c r="K1009" s="17">
        <v>1</v>
      </c>
      <c r="L1009" s="17">
        <v>1</v>
      </c>
    </row>
    <row r="1010" spans="8:12">
      <c r="H1010" s="16">
        <v>44797</v>
      </c>
      <c r="I1010" s="17" t="s">
        <v>687</v>
      </c>
      <c r="J1010" s="17">
        <v>1</v>
      </c>
      <c r="K1010" s="17">
        <v>1</v>
      </c>
      <c r="L1010" s="17">
        <v>1</v>
      </c>
    </row>
    <row r="1011" spans="8:12">
      <c r="H1011" s="16">
        <v>44797</v>
      </c>
      <c r="I1011" s="17" t="s">
        <v>1133</v>
      </c>
      <c r="J1011" s="17">
        <v>1</v>
      </c>
      <c r="K1011" s="17">
        <v>1</v>
      </c>
      <c r="L1011" s="17">
        <v>1</v>
      </c>
    </row>
    <row r="1012" spans="8:12">
      <c r="H1012" s="16">
        <v>44797</v>
      </c>
      <c r="I1012" s="17" t="s">
        <v>1305</v>
      </c>
      <c r="J1012" s="17">
        <v>1</v>
      </c>
      <c r="K1012" s="17">
        <v>1</v>
      </c>
      <c r="L1012" s="17">
        <v>1</v>
      </c>
    </row>
    <row r="1013" spans="8:12">
      <c r="H1013" s="16">
        <v>44797</v>
      </c>
      <c r="I1013" s="17" t="s">
        <v>1304</v>
      </c>
      <c r="J1013" s="17">
        <v>1</v>
      </c>
      <c r="K1013" s="17">
        <v>1</v>
      </c>
      <c r="L1013" s="17">
        <v>1</v>
      </c>
    </row>
    <row r="1014" spans="8:12">
      <c r="H1014" s="16">
        <v>44797</v>
      </c>
      <c r="I1014" s="17" t="s">
        <v>1303</v>
      </c>
      <c r="J1014" s="17">
        <v>1</v>
      </c>
      <c r="K1014" s="17">
        <v>1</v>
      </c>
      <c r="L1014" s="17">
        <v>1</v>
      </c>
    </row>
    <row r="1015" spans="8:12">
      <c r="H1015" s="16">
        <v>44797</v>
      </c>
      <c r="I1015" s="17" t="s">
        <v>1000</v>
      </c>
      <c r="J1015" s="17">
        <v>1</v>
      </c>
      <c r="K1015" s="17">
        <v>1</v>
      </c>
      <c r="L1015" s="17">
        <v>1</v>
      </c>
    </row>
    <row r="1016" spans="8:12">
      <c r="H1016" s="16">
        <v>44797</v>
      </c>
      <c r="I1016" s="17" t="s">
        <v>1301</v>
      </c>
      <c r="J1016" s="17">
        <v>1</v>
      </c>
      <c r="K1016" s="17">
        <v>1</v>
      </c>
      <c r="L1016" s="17">
        <v>1</v>
      </c>
    </row>
    <row r="1017" spans="8:12">
      <c r="H1017" s="16">
        <v>44797</v>
      </c>
      <c r="I1017" s="17" t="s">
        <v>1300</v>
      </c>
      <c r="J1017" s="17">
        <v>1</v>
      </c>
      <c r="K1017" s="17">
        <v>1</v>
      </c>
      <c r="L1017" s="17">
        <v>1</v>
      </c>
    </row>
    <row r="1018" spans="8:12">
      <c r="H1018" s="16">
        <v>44797</v>
      </c>
      <c r="I1018" s="17" t="s">
        <v>1175</v>
      </c>
      <c r="J1018" s="17">
        <v>1</v>
      </c>
      <c r="K1018" s="17">
        <v>1</v>
      </c>
      <c r="L1018" s="17">
        <v>1</v>
      </c>
    </row>
    <row r="1019" spans="8:12">
      <c r="H1019" s="16">
        <v>44797</v>
      </c>
      <c r="I1019" s="17" t="s">
        <v>622</v>
      </c>
      <c r="J1019" s="17">
        <v>1</v>
      </c>
      <c r="K1019" s="17">
        <v>1</v>
      </c>
      <c r="L1019" s="17">
        <v>1</v>
      </c>
    </row>
    <row r="1020" spans="8:12">
      <c r="H1020" s="16">
        <v>44797</v>
      </c>
      <c r="I1020" s="17" t="s">
        <v>471</v>
      </c>
      <c r="J1020" s="17">
        <v>1</v>
      </c>
      <c r="K1020" s="17">
        <v>1</v>
      </c>
      <c r="L1020" s="17">
        <v>1</v>
      </c>
    </row>
    <row r="1021" spans="8:12">
      <c r="H1021" s="16">
        <v>44797</v>
      </c>
      <c r="I1021" s="17" t="s">
        <v>536</v>
      </c>
      <c r="J1021" s="17">
        <v>1</v>
      </c>
      <c r="K1021" s="17">
        <v>1</v>
      </c>
      <c r="L1021" s="17">
        <v>1</v>
      </c>
    </row>
    <row r="1022" spans="8:12">
      <c r="H1022" s="16">
        <v>44797</v>
      </c>
      <c r="I1022" s="17" t="s">
        <v>790</v>
      </c>
      <c r="J1022" s="17">
        <v>1</v>
      </c>
      <c r="K1022" s="17">
        <v>1</v>
      </c>
      <c r="L1022" s="17">
        <v>1</v>
      </c>
    </row>
    <row r="1023" spans="8:12">
      <c r="H1023" s="16">
        <v>44797</v>
      </c>
      <c r="I1023" s="17" t="s">
        <v>1257</v>
      </c>
      <c r="J1023" s="17">
        <v>1</v>
      </c>
      <c r="K1023" s="17">
        <v>1</v>
      </c>
      <c r="L1023" s="17">
        <v>1</v>
      </c>
    </row>
    <row r="1024" spans="8:12">
      <c r="H1024" s="16">
        <v>44797</v>
      </c>
      <c r="I1024" s="17" t="s">
        <v>1299</v>
      </c>
      <c r="J1024" s="17">
        <v>1</v>
      </c>
      <c r="K1024" s="17">
        <v>1</v>
      </c>
      <c r="L1024" s="17">
        <v>1</v>
      </c>
    </row>
    <row r="1025" spans="8:12">
      <c r="H1025" s="16">
        <v>44797</v>
      </c>
      <c r="I1025" s="17" t="s">
        <v>1298</v>
      </c>
      <c r="J1025" s="17">
        <v>1</v>
      </c>
      <c r="K1025" s="17">
        <v>1</v>
      </c>
      <c r="L1025" s="17">
        <v>1</v>
      </c>
    </row>
    <row r="1026" spans="8:12">
      <c r="H1026" s="16">
        <v>44797</v>
      </c>
      <c r="I1026" s="17" t="s">
        <v>848</v>
      </c>
      <c r="J1026" s="17">
        <v>1</v>
      </c>
      <c r="K1026" s="17">
        <v>1</v>
      </c>
      <c r="L1026" s="17">
        <v>1</v>
      </c>
    </row>
    <row r="1027" spans="8:12">
      <c r="H1027" s="16">
        <v>44797</v>
      </c>
      <c r="I1027" s="17" t="s">
        <v>1069</v>
      </c>
      <c r="J1027" s="17">
        <v>1</v>
      </c>
      <c r="K1027" s="17">
        <v>1</v>
      </c>
      <c r="L1027" s="17">
        <v>1</v>
      </c>
    </row>
    <row r="1028" spans="8:12">
      <c r="H1028" s="16">
        <v>44797</v>
      </c>
      <c r="I1028" s="17" t="s">
        <v>1008</v>
      </c>
      <c r="J1028" s="17">
        <v>1</v>
      </c>
      <c r="K1028" s="17">
        <v>1</v>
      </c>
      <c r="L1028" s="17">
        <v>1</v>
      </c>
    </row>
    <row r="1029" spans="8:12">
      <c r="H1029" s="16">
        <v>44797</v>
      </c>
      <c r="I1029" s="17" t="s">
        <v>985</v>
      </c>
      <c r="J1029" s="17">
        <v>1</v>
      </c>
      <c r="K1029" s="17">
        <v>1</v>
      </c>
      <c r="L1029" s="17">
        <v>1</v>
      </c>
    </row>
    <row r="1030" spans="8:12">
      <c r="H1030" s="16">
        <v>44797</v>
      </c>
      <c r="I1030" s="17" t="s">
        <v>449</v>
      </c>
      <c r="J1030" s="17">
        <v>1</v>
      </c>
      <c r="K1030" s="17">
        <v>1</v>
      </c>
      <c r="L1030" s="17">
        <v>1</v>
      </c>
    </row>
    <row r="1031" spans="8:12">
      <c r="H1031" s="16">
        <v>44797</v>
      </c>
      <c r="I1031" s="17" t="s">
        <v>1296</v>
      </c>
      <c r="J1031" s="17">
        <v>1</v>
      </c>
      <c r="K1031" s="17">
        <v>1</v>
      </c>
      <c r="L1031" s="17">
        <v>1</v>
      </c>
    </row>
    <row r="1032" spans="8:12">
      <c r="H1032" s="16">
        <v>44797</v>
      </c>
      <c r="I1032" s="17" t="s">
        <v>603</v>
      </c>
      <c r="J1032" s="17">
        <v>1</v>
      </c>
      <c r="K1032" s="17">
        <v>1</v>
      </c>
      <c r="L1032" s="17">
        <v>1</v>
      </c>
    </row>
    <row r="1033" spans="8:12">
      <c r="H1033" s="16">
        <v>44797</v>
      </c>
      <c r="I1033" s="17" t="s">
        <v>1294</v>
      </c>
      <c r="J1033" s="17">
        <v>1</v>
      </c>
      <c r="K1033" s="17">
        <v>1</v>
      </c>
      <c r="L1033" s="17">
        <v>1</v>
      </c>
    </row>
    <row r="1034" spans="8:12">
      <c r="H1034" s="16">
        <v>44795</v>
      </c>
      <c r="I1034" s="17" t="s">
        <v>384</v>
      </c>
      <c r="J1034" s="17">
        <v>910.57</v>
      </c>
      <c r="K1034" s="17">
        <v>9</v>
      </c>
      <c r="L1034" s="17">
        <v>1</v>
      </c>
    </row>
    <row r="1035" spans="8:12">
      <c r="H1035" s="16">
        <v>44795</v>
      </c>
      <c r="I1035" s="17" t="s">
        <v>538</v>
      </c>
      <c r="J1035" s="17">
        <v>610.8</v>
      </c>
      <c r="K1035" s="17">
        <v>6</v>
      </c>
      <c r="L1035" s="17">
        <v>1</v>
      </c>
    </row>
    <row r="1036" spans="8:12">
      <c r="H1036" s="16">
        <v>44795</v>
      </c>
      <c r="I1036" s="17" t="s">
        <v>399</v>
      </c>
      <c r="J1036" s="17">
        <v>468.9</v>
      </c>
      <c r="K1036" s="17">
        <v>6</v>
      </c>
      <c r="L1036" s="17">
        <v>1</v>
      </c>
    </row>
    <row r="1037" spans="8:12">
      <c r="H1037" s="16">
        <v>44795</v>
      </c>
      <c r="I1037" s="17" t="s">
        <v>373</v>
      </c>
      <c r="J1037" s="17">
        <v>448.01</v>
      </c>
      <c r="K1037" s="17">
        <v>3</v>
      </c>
      <c r="L1037" s="17">
        <v>1</v>
      </c>
    </row>
    <row r="1038" spans="8:12">
      <c r="H1038" s="16">
        <v>44795</v>
      </c>
      <c r="I1038" s="17" t="s">
        <v>474</v>
      </c>
      <c r="J1038" s="17">
        <v>432.9</v>
      </c>
      <c r="K1038" s="17">
        <v>3</v>
      </c>
      <c r="L1038" s="17">
        <v>1</v>
      </c>
    </row>
    <row r="1039" spans="8:12">
      <c r="H1039" s="16">
        <v>44795</v>
      </c>
      <c r="I1039" s="17" t="s">
        <v>648</v>
      </c>
      <c r="J1039" s="17">
        <v>432.8</v>
      </c>
      <c r="K1039" s="17">
        <v>5</v>
      </c>
      <c r="L1039" s="17">
        <v>1</v>
      </c>
    </row>
    <row r="1040" spans="8:12">
      <c r="H1040" s="16">
        <v>44795</v>
      </c>
      <c r="I1040" s="17" t="s">
        <v>509</v>
      </c>
      <c r="J1040" s="17">
        <v>421.45</v>
      </c>
      <c r="K1040" s="17">
        <v>5</v>
      </c>
      <c r="L1040" s="17">
        <v>1</v>
      </c>
    </row>
    <row r="1041" spans="8:12">
      <c r="H1041" s="16">
        <v>44795</v>
      </c>
      <c r="I1041" s="17" t="s">
        <v>628</v>
      </c>
      <c r="J1041" s="17">
        <v>383.8</v>
      </c>
      <c r="K1041" s="17">
        <v>6</v>
      </c>
      <c r="L1041" s="17">
        <v>1</v>
      </c>
    </row>
    <row r="1042" spans="8:12">
      <c r="H1042" s="16">
        <v>44795</v>
      </c>
      <c r="I1042" s="17" t="s">
        <v>724</v>
      </c>
      <c r="J1042" s="17">
        <v>318</v>
      </c>
      <c r="K1042" s="17">
        <v>2</v>
      </c>
      <c r="L1042" s="17">
        <v>1</v>
      </c>
    </row>
    <row r="1043" spans="8:12">
      <c r="H1043" s="16">
        <v>44795</v>
      </c>
      <c r="I1043" s="17" t="s">
        <v>387</v>
      </c>
      <c r="J1043" s="17">
        <v>283.9</v>
      </c>
      <c r="K1043" s="17">
        <v>4</v>
      </c>
      <c r="L1043" s="17">
        <v>1</v>
      </c>
    </row>
    <row r="1044" spans="8:12">
      <c r="H1044" s="16">
        <v>44795</v>
      </c>
      <c r="I1044" s="17" t="s">
        <v>719</v>
      </c>
      <c r="J1044" s="17">
        <v>280.01</v>
      </c>
      <c r="K1044" s="17">
        <v>3</v>
      </c>
      <c r="L1044" s="17">
        <v>1</v>
      </c>
    </row>
    <row r="1045" spans="8:12">
      <c r="H1045" s="16">
        <v>44795</v>
      </c>
      <c r="I1045" s="17" t="s">
        <v>614</v>
      </c>
      <c r="J1045" s="17">
        <v>249.9</v>
      </c>
      <c r="K1045" s="17">
        <v>3</v>
      </c>
      <c r="L1045" s="17">
        <v>1</v>
      </c>
    </row>
    <row r="1046" spans="8:12">
      <c r="H1046" s="16">
        <v>44795</v>
      </c>
      <c r="I1046" s="17" t="s">
        <v>882</v>
      </c>
      <c r="J1046" s="17">
        <v>199</v>
      </c>
      <c r="K1046" s="17">
        <v>1</v>
      </c>
      <c r="L1046" s="17">
        <v>1</v>
      </c>
    </row>
    <row r="1047" spans="8:12">
      <c r="H1047" s="16">
        <v>44795</v>
      </c>
      <c r="I1047" s="17" t="s">
        <v>885</v>
      </c>
      <c r="J1047" s="17">
        <v>192.03</v>
      </c>
      <c r="K1047" s="17">
        <v>1</v>
      </c>
      <c r="L1047" s="17">
        <v>1</v>
      </c>
    </row>
    <row r="1048" spans="8:12">
      <c r="H1048" s="16">
        <v>44795</v>
      </c>
      <c r="I1048" s="17" t="s">
        <v>495</v>
      </c>
      <c r="J1048" s="17">
        <v>170.55</v>
      </c>
      <c r="K1048" s="17">
        <v>2</v>
      </c>
      <c r="L1048" s="17">
        <v>1</v>
      </c>
    </row>
    <row r="1049" spans="8:12">
      <c r="H1049" s="16">
        <v>44795</v>
      </c>
      <c r="I1049" s="17" t="s">
        <v>888</v>
      </c>
      <c r="J1049" s="17">
        <v>146</v>
      </c>
      <c r="K1049" s="17">
        <v>1</v>
      </c>
      <c r="L1049" s="17">
        <v>1</v>
      </c>
    </row>
    <row r="1050" spans="8:12">
      <c r="H1050" s="16">
        <v>44795</v>
      </c>
      <c r="I1050" s="17" t="s">
        <v>378</v>
      </c>
      <c r="J1050" s="17">
        <v>132.91</v>
      </c>
      <c r="K1050" s="17">
        <v>2</v>
      </c>
      <c r="L1050" s="17">
        <v>1</v>
      </c>
    </row>
    <row r="1051" spans="8:12">
      <c r="H1051" s="16">
        <v>44795</v>
      </c>
      <c r="I1051" s="17" t="s">
        <v>393</v>
      </c>
      <c r="J1051" s="17">
        <v>123.91</v>
      </c>
      <c r="K1051" s="17">
        <v>3</v>
      </c>
      <c r="L1051" s="17">
        <v>1</v>
      </c>
    </row>
    <row r="1052" spans="8:12">
      <c r="H1052" s="16">
        <v>44795</v>
      </c>
      <c r="I1052" s="17" t="s">
        <v>549</v>
      </c>
      <c r="J1052" s="17">
        <v>98</v>
      </c>
      <c r="K1052" s="17">
        <v>1</v>
      </c>
      <c r="L1052" s="17">
        <v>1</v>
      </c>
    </row>
    <row r="1053" spans="8:12">
      <c r="H1053" s="16">
        <v>44795</v>
      </c>
      <c r="I1053" s="17" t="s">
        <v>857</v>
      </c>
      <c r="J1053" s="17">
        <v>95</v>
      </c>
      <c r="K1053" s="17">
        <v>1</v>
      </c>
      <c r="L1053" s="17">
        <v>1</v>
      </c>
    </row>
    <row r="1054" spans="8:12">
      <c r="H1054" s="16">
        <v>44795</v>
      </c>
      <c r="I1054" s="17" t="s">
        <v>788</v>
      </c>
      <c r="J1054" s="17">
        <v>94</v>
      </c>
      <c r="K1054" s="17">
        <v>1</v>
      </c>
      <c r="L1054" s="17">
        <v>1</v>
      </c>
    </row>
    <row r="1055" spans="8:12">
      <c r="H1055" s="16">
        <v>44795</v>
      </c>
      <c r="I1055" s="17" t="s">
        <v>952</v>
      </c>
      <c r="J1055" s="17">
        <v>89</v>
      </c>
      <c r="K1055" s="17">
        <v>1</v>
      </c>
      <c r="L1055" s="17">
        <v>1</v>
      </c>
    </row>
    <row r="1056" spans="8:12">
      <c r="H1056" s="16">
        <v>44795</v>
      </c>
      <c r="I1056" s="17" t="s">
        <v>927</v>
      </c>
      <c r="J1056" s="17">
        <v>88</v>
      </c>
      <c r="K1056" s="17">
        <v>1</v>
      </c>
      <c r="L1056" s="17">
        <v>1</v>
      </c>
    </row>
    <row r="1057" spans="8:12">
      <c r="H1057" s="16">
        <v>44795</v>
      </c>
      <c r="I1057" s="17" t="s">
        <v>887</v>
      </c>
      <c r="J1057" s="17">
        <v>87</v>
      </c>
      <c r="K1057" s="17">
        <v>1</v>
      </c>
      <c r="L1057" s="17">
        <v>1</v>
      </c>
    </row>
    <row r="1058" spans="8:12">
      <c r="H1058" s="16">
        <v>44795</v>
      </c>
      <c r="I1058" s="17" t="s">
        <v>761</v>
      </c>
      <c r="J1058" s="17">
        <v>86</v>
      </c>
      <c r="K1058" s="17">
        <v>2</v>
      </c>
      <c r="L1058" s="17">
        <v>1</v>
      </c>
    </row>
    <row r="1059" spans="8:12">
      <c r="H1059" s="16">
        <v>44795</v>
      </c>
      <c r="I1059" s="17" t="s">
        <v>667</v>
      </c>
      <c r="J1059" s="17">
        <v>80</v>
      </c>
      <c r="K1059" s="17">
        <v>2</v>
      </c>
      <c r="L1059" s="17">
        <v>1</v>
      </c>
    </row>
    <row r="1060" spans="8:12">
      <c r="H1060" s="16">
        <v>44795</v>
      </c>
      <c r="I1060" s="17" t="s">
        <v>634</v>
      </c>
      <c r="J1060" s="17">
        <v>78</v>
      </c>
      <c r="K1060" s="17">
        <v>2</v>
      </c>
      <c r="L1060" s="17">
        <v>1</v>
      </c>
    </row>
    <row r="1061" spans="8:12">
      <c r="H1061" s="16">
        <v>44795</v>
      </c>
      <c r="I1061" s="17" t="s">
        <v>579</v>
      </c>
      <c r="J1061" s="17">
        <v>77</v>
      </c>
      <c r="K1061" s="17">
        <v>1</v>
      </c>
      <c r="L1061" s="17">
        <v>1</v>
      </c>
    </row>
    <row r="1062" spans="8:12">
      <c r="H1062" s="16">
        <v>44795</v>
      </c>
      <c r="I1062" s="17" t="s">
        <v>957</v>
      </c>
      <c r="J1062" s="17">
        <v>75</v>
      </c>
      <c r="K1062" s="17">
        <v>1</v>
      </c>
      <c r="L1062" s="17">
        <v>1</v>
      </c>
    </row>
    <row r="1063" spans="8:12">
      <c r="H1063" s="16">
        <v>44795</v>
      </c>
      <c r="I1063" s="17" t="s">
        <v>375</v>
      </c>
      <c r="J1063" s="17">
        <v>75</v>
      </c>
      <c r="K1063" s="17">
        <v>1</v>
      </c>
      <c r="L1063" s="17">
        <v>1</v>
      </c>
    </row>
    <row r="1064" spans="8:12">
      <c r="H1064" s="16">
        <v>44795</v>
      </c>
      <c r="I1064" s="17" t="s">
        <v>975</v>
      </c>
      <c r="J1064" s="17">
        <v>73</v>
      </c>
      <c r="K1064" s="17">
        <v>1</v>
      </c>
      <c r="L1064" s="17">
        <v>1</v>
      </c>
    </row>
    <row r="1065" spans="8:12">
      <c r="H1065" s="16">
        <v>44795</v>
      </c>
      <c r="I1065" s="17" t="s">
        <v>977</v>
      </c>
      <c r="J1065" s="17">
        <v>69.7</v>
      </c>
      <c r="K1065" s="17">
        <v>3</v>
      </c>
      <c r="L1065" s="17">
        <v>1</v>
      </c>
    </row>
    <row r="1066" spans="8:12">
      <c r="H1066" s="16">
        <v>44795</v>
      </c>
      <c r="I1066" s="17" t="s">
        <v>814</v>
      </c>
      <c r="J1066" s="17">
        <v>69.2</v>
      </c>
      <c r="K1066" s="17">
        <v>1</v>
      </c>
      <c r="L1066" s="17">
        <v>1</v>
      </c>
    </row>
    <row r="1067" spans="8:12">
      <c r="H1067" s="16">
        <v>44795</v>
      </c>
      <c r="I1067" s="17" t="s">
        <v>647</v>
      </c>
      <c r="J1067" s="17">
        <v>54.81</v>
      </c>
      <c r="K1067" s="17">
        <v>2</v>
      </c>
      <c r="L1067" s="17">
        <v>1</v>
      </c>
    </row>
    <row r="1068" spans="8:12">
      <c r="H1068" s="16">
        <v>44795</v>
      </c>
      <c r="I1068" s="17" t="s">
        <v>462</v>
      </c>
      <c r="J1068" s="17">
        <v>45.81</v>
      </c>
      <c r="K1068" s="17">
        <v>2</v>
      </c>
      <c r="L1068" s="17">
        <v>1</v>
      </c>
    </row>
    <row r="1069" spans="8:12">
      <c r="H1069" s="16">
        <v>44795</v>
      </c>
      <c r="I1069" s="17" t="s">
        <v>1030</v>
      </c>
      <c r="J1069" s="17">
        <v>39.9</v>
      </c>
      <c r="K1069" s="17">
        <v>1</v>
      </c>
      <c r="L1069" s="17">
        <v>1</v>
      </c>
    </row>
    <row r="1070" spans="8:12">
      <c r="H1070" s="16">
        <v>44795</v>
      </c>
      <c r="I1070" s="17" t="s">
        <v>450</v>
      </c>
      <c r="J1070" s="17">
        <v>38.9</v>
      </c>
      <c r="K1070" s="17">
        <v>2</v>
      </c>
      <c r="L1070" s="17">
        <v>1</v>
      </c>
    </row>
    <row r="1071" spans="8:12">
      <c r="H1071" s="16">
        <v>44795</v>
      </c>
      <c r="I1071" s="17" t="s">
        <v>507</v>
      </c>
      <c r="J1071" s="17">
        <v>37.9</v>
      </c>
      <c r="K1071" s="17">
        <v>1</v>
      </c>
      <c r="L1071" s="17">
        <v>1</v>
      </c>
    </row>
    <row r="1072" spans="8:12">
      <c r="H1072" s="16">
        <v>44795</v>
      </c>
      <c r="I1072" s="17" t="s">
        <v>593</v>
      </c>
      <c r="J1072" s="17">
        <v>36.9</v>
      </c>
      <c r="K1072" s="17">
        <v>1</v>
      </c>
      <c r="L1072" s="17">
        <v>1</v>
      </c>
    </row>
    <row r="1073" spans="8:12">
      <c r="H1073" s="16">
        <v>44795</v>
      </c>
      <c r="I1073" s="17" t="s">
        <v>1057</v>
      </c>
      <c r="J1073" s="17">
        <v>36.1</v>
      </c>
      <c r="K1073" s="17">
        <v>1</v>
      </c>
      <c r="L1073" s="17">
        <v>1</v>
      </c>
    </row>
    <row r="1074" spans="8:12">
      <c r="H1074" s="16">
        <v>44795</v>
      </c>
      <c r="I1074" s="17" t="s">
        <v>812</v>
      </c>
      <c r="J1074" s="17">
        <v>30.8</v>
      </c>
      <c r="K1074" s="17">
        <v>3</v>
      </c>
      <c r="L1074" s="17">
        <v>1</v>
      </c>
    </row>
    <row r="1075" spans="8:12">
      <c r="H1075" s="16">
        <v>44795</v>
      </c>
      <c r="I1075" s="17" t="s">
        <v>1088</v>
      </c>
      <c r="J1075" s="17">
        <v>19.9</v>
      </c>
      <c r="K1075" s="17">
        <v>1</v>
      </c>
      <c r="L1075" s="17">
        <v>1</v>
      </c>
    </row>
    <row r="1076" spans="8:12">
      <c r="H1076" s="16">
        <v>44795</v>
      </c>
      <c r="I1076" s="17" t="s">
        <v>1087</v>
      </c>
      <c r="J1076" s="17">
        <v>19.9</v>
      </c>
      <c r="K1076" s="17">
        <v>1</v>
      </c>
      <c r="L1076" s="17">
        <v>1</v>
      </c>
    </row>
    <row r="1077" spans="8:12">
      <c r="H1077" s="16">
        <v>44795</v>
      </c>
      <c r="I1077" s="17" t="s">
        <v>711</v>
      </c>
      <c r="J1077" s="17">
        <v>19.9</v>
      </c>
      <c r="K1077" s="17">
        <v>1</v>
      </c>
      <c r="L1077" s="17">
        <v>1</v>
      </c>
    </row>
    <row r="1078" spans="8:12">
      <c r="H1078" s="16">
        <v>44795</v>
      </c>
      <c r="I1078" s="17" t="s">
        <v>1086</v>
      </c>
      <c r="J1078" s="17">
        <v>19.9</v>
      </c>
      <c r="K1078" s="17">
        <v>1</v>
      </c>
      <c r="L1078" s="17">
        <v>1</v>
      </c>
    </row>
    <row r="1079" spans="8:12">
      <c r="H1079" s="16">
        <v>44795</v>
      </c>
      <c r="I1079" s="17" t="s">
        <v>476</v>
      </c>
      <c r="J1079" s="17">
        <v>19.9</v>
      </c>
      <c r="K1079" s="17">
        <v>1</v>
      </c>
      <c r="L1079" s="17">
        <v>1</v>
      </c>
    </row>
    <row r="1080" spans="8:12">
      <c r="H1080" s="16">
        <v>44795</v>
      </c>
      <c r="I1080" s="17" t="s">
        <v>645</v>
      </c>
      <c r="J1080" s="17">
        <v>19.9</v>
      </c>
      <c r="K1080" s="17">
        <v>1</v>
      </c>
      <c r="L1080" s="17">
        <v>1</v>
      </c>
    </row>
    <row r="1081" spans="8:12">
      <c r="H1081" s="16">
        <v>44795</v>
      </c>
      <c r="I1081" s="17" t="s">
        <v>1059</v>
      </c>
      <c r="J1081" s="17">
        <v>10.9</v>
      </c>
      <c r="K1081" s="17">
        <v>2</v>
      </c>
      <c r="L1081" s="17">
        <v>1</v>
      </c>
    </row>
    <row r="1082" spans="8:12">
      <c r="H1082" s="16">
        <v>44795</v>
      </c>
      <c r="I1082" s="17" t="s">
        <v>1174</v>
      </c>
      <c r="J1082" s="17">
        <v>10.9</v>
      </c>
      <c r="K1082" s="17">
        <v>2</v>
      </c>
      <c r="L1082" s="17">
        <v>1</v>
      </c>
    </row>
    <row r="1083" spans="8:12">
      <c r="H1083" s="16">
        <v>44795</v>
      </c>
      <c r="I1083" s="17" t="s">
        <v>1173</v>
      </c>
      <c r="J1083" s="17">
        <v>10.9</v>
      </c>
      <c r="K1083" s="17">
        <v>2</v>
      </c>
      <c r="L1083" s="17">
        <v>1</v>
      </c>
    </row>
    <row r="1084" spans="8:12">
      <c r="H1084" s="16">
        <v>44795</v>
      </c>
      <c r="I1084" s="17" t="s">
        <v>1172</v>
      </c>
      <c r="J1084" s="17">
        <v>10.9</v>
      </c>
      <c r="K1084" s="17">
        <v>2</v>
      </c>
      <c r="L1084" s="17">
        <v>1</v>
      </c>
    </row>
    <row r="1085" spans="8:12">
      <c r="H1085" s="16">
        <v>44795</v>
      </c>
      <c r="I1085" s="17" t="s">
        <v>482</v>
      </c>
      <c r="J1085" s="17">
        <v>10.9</v>
      </c>
      <c r="K1085" s="17">
        <v>2</v>
      </c>
      <c r="L1085" s="17">
        <v>1</v>
      </c>
    </row>
    <row r="1086" spans="8:12">
      <c r="H1086" s="16">
        <v>44795</v>
      </c>
      <c r="I1086" s="17" t="s">
        <v>968</v>
      </c>
      <c r="J1086" s="17">
        <v>9.9</v>
      </c>
      <c r="K1086" s="17">
        <v>1</v>
      </c>
      <c r="L1086" s="17">
        <v>1</v>
      </c>
    </row>
    <row r="1087" spans="8:12">
      <c r="H1087" s="16">
        <v>44795</v>
      </c>
      <c r="I1087" s="17" t="s">
        <v>1247</v>
      </c>
      <c r="J1087" s="17">
        <v>9.9</v>
      </c>
      <c r="K1087" s="17">
        <v>1</v>
      </c>
      <c r="L1087" s="17">
        <v>1</v>
      </c>
    </row>
    <row r="1088" spans="8:12">
      <c r="H1088" s="16">
        <v>44795</v>
      </c>
      <c r="I1088" s="17" t="s">
        <v>598</v>
      </c>
      <c r="J1088" s="17">
        <v>9.9</v>
      </c>
      <c r="K1088" s="17">
        <v>1</v>
      </c>
      <c r="L1088" s="17">
        <v>1</v>
      </c>
    </row>
    <row r="1089" spans="8:12">
      <c r="H1089" s="16">
        <v>44795</v>
      </c>
      <c r="I1089" s="17" t="s">
        <v>1246</v>
      </c>
      <c r="J1089" s="17">
        <v>9.9</v>
      </c>
      <c r="K1089" s="17">
        <v>1</v>
      </c>
      <c r="L1089" s="17">
        <v>1</v>
      </c>
    </row>
    <row r="1090" spans="8:12">
      <c r="H1090" s="16">
        <v>44795</v>
      </c>
      <c r="I1090" s="17" t="s">
        <v>1245</v>
      </c>
      <c r="J1090" s="17">
        <v>9.9</v>
      </c>
      <c r="K1090" s="17">
        <v>1</v>
      </c>
      <c r="L1090" s="17">
        <v>1</v>
      </c>
    </row>
    <row r="1091" spans="8:12">
      <c r="H1091" s="16">
        <v>44795</v>
      </c>
      <c r="I1091" s="17" t="s">
        <v>1244</v>
      </c>
      <c r="J1091" s="17">
        <v>9.9</v>
      </c>
      <c r="K1091" s="17">
        <v>1</v>
      </c>
      <c r="L1091" s="17">
        <v>1</v>
      </c>
    </row>
    <row r="1092" spans="8:12">
      <c r="H1092" s="16">
        <v>44795</v>
      </c>
      <c r="I1092" s="17" t="s">
        <v>1242</v>
      </c>
      <c r="J1092" s="17">
        <v>9.9</v>
      </c>
      <c r="K1092" s="17">
        <v>1</v>
      </c>
      <c r="L1092" s="17">
        <v>1</v>
      </c>
    </row>
    <row r="1093" spans="8:12">
      <c r="H1093" s="16">
        <v>44795</v>
      </c>
      <c r="I1093" s="17" t="s">
        <v>678</v>
      </c>
      <c r="J1093" s="17">
        <v>9.9</v>
      </c>
      <c r="K1093" s="17">
        <v>1</v>
      </c>
      <c r="L1093" s="17">
        <v>1</v>
      </c>
    </row>
    <row r="1094" spans="8:12">
      <c r="H1094" s="16">
        <v>44795</v>
      </c>
      <c r="I1094" s="17" t="s">
        <v>1177</v>
      </c>
      <c r="J1094" s="17">
        <v>9.9</v>
      </c>
      <c r="K1094" s="17">
        <v>1</v>
      </c>
      <c r="L1094" s="17">
        <v>1</v>
      </c>
    </row>
    <row r="1095" spans="8:12">
      <c r="H1095" s="16">
        <v>44795</v>
      </c>
      <c r="I1095" s="17" t="s">
        <v>1240</v>
      </c>
      <c r="J1095" s="17">
        <v>9.9</v>
      </c>
      <c r="K1095" s="17">
        <v>1</v>
      </c>
      <c r="L1095" s="17">
        <v>1</v>
      </c>
    </row>
    <row r="1096" spans="8:12">
      <c r="H1096" s="16">
        <v>44795</v>
      </c>
      <c r="I1096" s="17" t="s">
        <v>1293</v>
      </c>
      <c r="J1096" s="17">
        <v>1</v>
      </c>
      <c r="K1096" s="17">
        <v>1</v>
      </c>
      <c r="L1096" s="17">
        <v>1</v>
      </c>
    </row>
    <row r="1097" spans="8:12">
      <c r="H1097" s="16">
        <v>44795</v>
      </c>
      <c r="I1097" s="17" t="s">
        <v>643</v>
      </c>
      <c r="J1097" s="17">
        <v>1</v>
      </c>
      <c r="K1097" s="17">
        <v>1</v>
      </c>
      <c r="L1097" s="17">
        <v>1</v>
      </c>
    </row>
    <row r="1098" spans="8:12">
      <c r="H1098" s="16">
        <v>44795</v>
      </c>
      <c r="I1098" s="17" t="s">
        <v>665</v>
      </c>
      <c r="J1098" s="17">
        <v>1</v>
      </c>
      <c r="K1098" s="17">
        <v>1</v>
      </c>
      <c r="L1098" s="17">
        <v>1</v>
      </c>
    </row>
    <row r="1099" spans="8:12">
      <c r="H1099" s="16">
        <v>44795</v>
      </c>
      <c r="I1099" s="17" t="s">
        <v>1131</v>
      </c>
      <c r="J1099" s="17">
        <v>1</v>
      </c>
      <c r="K1099" s="17">
        <v>1</v>
      </c>
      <c r="L1099" s="17">
        <v>1</v>
      </c>
    </row>
    <row r="1100" spans="8:12">
      <c r="H1100" s="16">
        <v>44795</v>
      </c>
      <c r="I1100" s="17" t="s">
        <v>1291</v>
      </c>
      <c r="J1100" s="17">
        <v>1</v>
      </c>
      <c r="K1100" s="17">
        <v>1</v>
      </c>
      <c r="L1100" s="17">
        <v>1</v>
      </c>
    </row>
    <row r="1101" spans="8:12">
      <c r="H1101" s="16">
        <v>44795</v>
      </c>
      <c r="I1101" s="17" t="s">
        <v>1289</v>
      </c>
      <c r="J1101" s="17">
        <v>1</v>
      </c>
      <c r="K1101" s="17">
        <v>1</v>
      </c>
      <c r="L1101" s="17">
        <v>1</v>
      </c>
    </row>
    <row r="1102" spans="8:12">
      <c r="H1102" s="16">
        <v>44795</v>
      </c>
      <c r="I1102" s="17" t="s">
        <v>1069</v>
      </c>
      <c r="J1102" s="17">
        <v>1</v>
      </c>
      <c r="K1102" s="17">
        <v>1</v>
      </c>
      <c r="L1102" s="17">
        <v>1</v>
      </c>
    </row>
    <row r="1103" spans="8:12">
      <c r="H1103" s="16">
        <v>44795</v>
      </c>
      <c r="I1103" s="17" t="s">
        <v>573</v>
      </c>
      <c r="J1103" s="17">
        <v>1</v>
      </c>
      <c r="K1103" s="17">
        <v>1</v>
      </c>
      <c r="L1103" s="17">
        <v>1</v>
      </c>
    </row>
    <row r="1104" spans="8:12">
      <c r="H1104" s="16">
        <v>44795</v>
      </c>
      <c r="I1104" s="17" t="s">
        <v>1287</v>
      </c>
      <c r="J1104" s="17">
        <v>1</v>
      </c>
      <c r="K1104" s="17">
        <v>1</v>
      </c>
      <c r="L1104" s="17">
        <v>1</v>
      </c>
    </row>
    <row r="1105" spans="8:12">
      <c r="H1105" s="16">
        <v>44795</v>
      </c>
      <c r="I1105" s="17" t="s">
        <v>990</v>
      </c>
      <c r="J1105" s="17">
        <v>1</v>
      </c>
      <c r="K1105" s="17">
        <v>1</v>
      </c>
      <c r="L1105" s="17">
        <v>1</v>
      </c>
    </row>
    <row r="1106" spans="8:12">
      <c r="H1106" s="16">
        <v>44794</v>
      </c>
      <c r="I1106" s="17" t="s">
        <v>575</v>
      </c>
      <c r="J1106" s="17">
        <v>570.9</v>
      </c>
      <c r="K1106" s="17">
        <v>5</v>
      </c>
      <c r="L1106" s="17">
        <v>1</v>
      </c>
    </row>
    <row r="1107" spans="8:12">
      <c r="H1107" s="16">
        <v>44794</v>
      </c>
      <c r="I1107" s="17" t="s">
        <v>665</v>
      </c>
      <c r="J1107" s="17">
        <v>396.91</v>
      </c>
      <c r="K1107" s="17">
        <v>4</v>
      </c>
      <c r="L1107" s="17">
        <v>1</v>
      </c>
    </row>
    <row r="1108" spans="8:12">
      <c r="H1108" s="16">
        <v>44794</v>
      </c>
      <c r="I1108" s="17" t="s">
        <v>390</v>
      </c>
      <c r="J1108" s="17">
        <v>321.7</v>
      </c>
      <c r="K1108" s="17">
        <v>6</v>
      </c>
      <c r="L1108" s="17">
        <v>1</v>
      </c>
    </row>
    <row r="1109" spans="8:12">
      <c r="H1109" s="16">
        <v>44794</v>
      </c>
      <c r="I1109" s="17" t="s">
        <v>532</v>
      </c>
      <c r="J1109" s="17">
        <v>302.9</v>
      </c>
      <c r="K1109" s="17">
        <v>4</v>
      </c>
      <c r="L1109" s="17">
        <v>1</v>
      </c>
    </row>
    <row r="1110" spans="8:12">
      <c r="H1110" s="16">
        <v>44794</v>
      </c>
      <c r="I1110" s="17" t="s">
        <v>786</v>
      </c>
      <c r="J1110" s="17">
        <v>266.8</v>
      </c>
      <c r="K1110" s="17">
        <v>3</v>
      </c>
      <c r="L1110" s="17">
        <v>1</v>
      </c>
    </row>
    <row r="1111" spans="8:12">
      <c r="H1111" s="16">
        <v>44794</v>
      </c>
      <c r="I1111" s="17" t="s">
        <v>518</v>
      </c>
      <c r="J1111" s="17">
        <v>255.44</v>
      </c>
      <c r="K1111" s="17">
        <v>4</v>
      </c>
      <c r="L1111" s="17">
        <v>1</v>
      </c>
    </row>
    <row r="1112" spans="8:12">
      <c r="H1112" s="16">
        <v>44794</v>
      </c>
      <c r="I1112" s="17" t="s">
        <v>819</v>
      </c>
      <c r="J1112" s="17">
        <v>249</v>
      </c>
      <c r="K1112" s="17">
        <v>1</v>
      </c>
      <c r="L1112" s="17">
        <v>1</v>
      </c>
    </row>
    <row r="1113" spans="8:12">
      <c r="H1113" s="16">
        <v>44794</v>
      </c>
      <c r="I1113" s="17" t="s">
        <v>844</v>
      </c>
      <c r="J1113" s="17">
        <v>248.9</v>
      </c>
      <c r="K1113" s="17">
        <v>2</v>
      </c>
      <c r="L1113" s="17">
        <v>1</v>
      </c>
    </row>
    <row r="1114" spans="8:12">
      <c r="H1114" s="16">
        <v>44794</v>
      </c>
      <c r="I1114" s="17" t="s">
        <v>850</v>
      </c>
      <c r="J1114" s="17">
        <v>246.9</v>
      </c>
      <c r="K1114" s="17">
        <v>3</v>
      </c>
      <c r="L1114" s="17">
        <v>1</v>
      </c>
    </row>
    <row r="1115" spans="8:12">
      <c r="H1115" s="16">
        <v>44794</v>
      </c>
      <c r="I1115" s="17" t="s">
        <v>877</v>
      </c>
      <c r="J1115" s="17">
        <v>236</v>
      </c>
      <c r="K1115" s="17">
        <v>2</v>
      </c>
      <c r="L1115" s="17">
        <v>1</v>
      </c>
    </row>
    <row r="1116" spans="8:12">
      <c r="H1116" s="16">
        <v>44794</v>
      </c>
      <c r="I1116" s="17" t="s">
        <v>892</v>
      </c>
      <c r="J1116" s="17">
        <v>177</v>
      </c>
      <c r="K1116" s="17">
        <v>2</v>
      </c>
      <c r="L1116" s="17">
        <v>1</v>
      </c>
    </row>
    <row r="1117" spans="8:12">
      <c r="H1117" s="16">
        <v>44794</v>
      </c>
      <c r="I1117" s="17" t="s">
        <v>907</v>
      </c>
      <c r="J1117" s="17">
        <v>157.9</v>
      </c>
      <c r="K1117" s="17">
        <v>3</v>
      </c>
      <c r="L1117" s="17">
        <v>1</v>
      </c>
    </row>
    <row r="1118" spans="8:12">
      <c r="H1118" s="16">
        <v>44794</v>
      </c>
      <c r="I1118" s="17" t="s">
        <v>673</v>
      </c>
      <c r="J1118" s="17">
        <v>147</v>
      </c>
      <c r="K1118" s="17">
        <v>1</v>
      </c>
      <c r="L1118" s="17">
        <v>1</v>
      </c>
    </row>
    <row r="1119" spans="8:12">
      <c r="H1119" s="16">
        <v>44794</v>
      </c>
      <c r="I1119" s="17" t="s">
        <v>916</v>
      </c>
      <c r="J1119" s="17">
        <v>138.8</v>
      </c>
      <c r="K1119" s="17">
        <v>3</v>
      </c>
      <c r="L1119" s="17">
        <v>1</v>
      </c>
    </row>
    <row r="1120" spans="8:12">
      <c r="H1120" s="16">
        <v>44794</v>
      </c>
      <c r="I1120" s="17" t="s">
        <v>476</v>
      </c>
      <c r="J1120" s="17">
        <v>100</v>
      </c>
      <c r="K1120" s="17">
        <v>2</v>
      </c>
      <c r="L1120" s="17">
        <v>1</v>
      </c>
    </row>
    <row r="1121" spans="8:12">
      <c r="H1121" s="16">
        <v>44794</v>
      </c>
      <c r="I1121" s="17" t="s">
        <v>405</v>
      </c>
      <c r="J1121" s="17">
        <v>99.9</v>
      </c>
      <c r="K1121" s="17">
        <v>3</v>
      </c>
      <c r="L1121" s="17">
        <v>1</v>
      </c>
    </row>
    <row r="1122" spans="8:12">
      <c r="H1122" s="16">
        <v>44794</v>
      </c>
      <c r="I1122" s="17" t="s">
        <v>943</v>
      </c>
      <c r="J1122" s="17">
        <v>99</v>
      </c>
      <c r="K1122" s="17">
        <v>1</v>
      </c>
      <c r="L1122" s="17">
        <v>1</v>
      </c>
    </row>
    <row r="1123" spans="8:12">
      <c r="H1123" s="16">
        <v>44794</v>
      </c>
      <c r="I1123" s="17" t="s">
        <v>942</v>
      </c>
      <c r="J1123" s="17">
        <v>99</v>
      </c>
      <c r="K1123" s="17">
        <v>1</v>
      </c>
      <c r="L1123" s="17">
        <v>1</v>
      </c>
    </row>
    <row r="1124" spans="8:12">
      <c r="H1124" s="16">
        <v>44794</v>
      </c>
      <c r="I1124" s="17" t="s">
        <v>593</v>
      </c>
      <c r="J1124" s="17">
        <v>98.9</v>
      </c>
      <c r="K1124" s="17">
        <v>2</v>
      </c>
      <c r="L1124" s="17">
        <v>1</v>
      </c>
    </row>
    <row r="1125" spans="8:12">
      <c r="H1125" s="16">
        <v>44794</v>
      </c>
      <c r="I1125" s="17" t="s">
        <v>495</v>
      </c>
      <c r="J1125" s="17">
        <v>98</v>
      </c>
      <c r="K1125" s="17">
        <v>1</v>
      </c>
      <c r="L1125" s="17">
        <v>1</v>
      </c>
    </row>
    <row r="1126" spans="8:12">
      <c r="H1126" s="16">
        <v>44794</v>
      </c>
      <c r="I1126" s="17" t="s">
        <v>467</v>
      </c>
      <c r="J1126" s="17">
        <v>98</v>
      </c>
      <c r="K1126" s="17">
        <v>1</v>
      </c>
      <c r="L1126" s="17">
        <v>1</v>
      </c>
    </row>
    <row r="1127" spans="8:12">
      <c r="H1127" s="16">
        <v>44794</v>
      </c>
      <c r="I1127" s="17" t="s">
        <v>652</v>
      </c>
      <c r="J1127" s="17">
        <v>89</v>
      </c>
      <c r="K1127" s="17">
        <v>1</v>
      </c>
      <c r="L1127" s="17">
        <v>1</v>
      </c>
    </row>
    <row r="1128" spans="8:12">
      <c r="H1128" s="16">
        <v>44794</v>
      </c>
      <c r="I1128" s="17" t="s">
        <v>645</v>
      </c>
      <c r="J1128" s="17">
        <v>87</v>
      </c>
      <c r="K1128" s="17">
        <v>1</v>
      </c>
      <c r="L1128" s="17">
        <v>1</v>
      </c>
    </row>
    <row r="1129" spans="8:12">
      <c r="H1129" s="16">
        <v>44794</v>
      </c>
      <c r="I1129" s="17" t="s">
        <v>962</v>
      </c>
      <c r="J1129" s="17">
        <v>82</v>
      </c>
      <c r="K1129" s="17">
        <v>1</v>
      </c>
      <c r="L1129" s="17">
        <v>1</v>
      </c>
    </row>
    <row r="1130" spans="8:12">
      <c r="H1130" s="16">
        <v>44794</v>
      </c>
      <c r="I1130" s="17" t="s">
        <v>404</v>
      </c>
      <c r="J1130" s="17">
        <v>77.8</v>
      </c>
      <c r="K1130" s="17">
        <v>2</v>
      </c>
      <c r="L1130" s="17">
        <v>1</v>
      </c>
    </row>
    <row r="1131" spans="8:12">
      <c r="H1131" s="16">
        <v>44794</v>
      </c>
      <c r="I1131" s="17" t="s">
        <v>456</v>
      </c>
      <c r="J1131" s="17">
        <v>76.8</v>
      </c>
      <c r="K1131" s="17">
        <v>3</v>
      </c>
      <c r="L1131" s="17">
        <v>1</v>
      </c>
    </row>
    <row r="1132" spans="8:12">
      <c r="H1132" s="16">
        <v>44794</v>
      </c>
      <c r="I1132" s="17" t="s">
        <v>991</v>
      </c>
      <c r="J1132" s="17">
        <v>50.8</v>
      </c>
      <c r="K1132" s="17">
        <v>3</v>
      </c>
      <c r="L1132" s="17">
        <v>1</v>
      </c>
    </row>
    <row r="1133" spans="8:12">
      <c r="H1133" s="16">
        <v>44794</v>
      </c>
      <c r="I1133" s="17" t="s">
        <v>996</v>
      </c>
      <c r="J1133" s="17">
        <v>49.8</v>
      </c>
      <c r="K1133" s="17">
        <v>2</v>
      </c>
      <c r="L1133" s="17">
        <v>1</v>
      </c>
    </row>
    <row r="1134" spans="8:12">
      <c r="H1134" s="16">
        <v>44794</v>
      </c>
      <c r="I1134" s="17" t="s">
        <v>536</v>
      </c>
      <c r="J1134" s="17">
        <v>49.8</v>
      </c>
      <c r="K1134" s="17">
        <v>3</v>
      </c>
      <c r="L1134" s="17">
        <v>1</v>
      </c>
    </row>
    <row r="1135" spans="8:12">
      <c r="H1135" s="16">
        <v>44794</v>
      </c>
      <c r="I1135" s="17" t="s">
        <v>998</v>
      </c>
      <c r="J1135" s="17">
        <v>48.8</v>
      </c>
      <c r="K1135" s="17">
        <v>3</v>
      </c>
      <c r="L1135" s="17">
        <v>1</v>
      </c>
    </row>
    <row r="1136" spans="8:12">
      <c r="H1136" s="16">
        <v>44794</v>
      </c>
      <c r="I1136" s="17" t="s">
        <v>1012</v>
      </c>
      <c r="J1136" s="17">
        <v>40.9</v>
      </c>
      <c r="K1136" s="17">
        <v>2</v>
      </c>
      <c r="L1136" s="17">
        <v>1</v>
      </c>
    </row>
    <row r="1137" spans="8:12">
      <c r="H1137" s="16">
        <v>44794</v>
      </c>
      <c r="I1137" s="17" t="s">
        <v>514</v>
      </c>
      <c r="J1137" s="17">
        <v>40.9</v>
      </c>
      <c r="K1137" s="17">
        <v>2</v>
      </c>
      <c r="L1137" s="17">
        <v>1</v>
      </c>
    </row>
    <row r="1138" spans="8:12">
      <c r="H1138" s="16">
        <v>44794</v>
      </c>
      <c r="I1138" s="17" t="s">
        <v>1010</v>
      </c>
      <c r="J1138" s="17">
        <v>40.9</v>
      </c>
      <c r="K1138" s="17">
        <v>2</v>
      </c>
      <c r="L1138" s="17">
        <v>1</v>
      </c>
    </row>
    <row r="1139" spans="8:12">
      <c r="H1139" s="16">
        <v>44794</v>
      </c>
      <c r="I1139" s="17" t="s">
        <v>981</v>
      </c>
      <c r="J1139" s="17">
        <v>39.9</v>
      </c>
      <c r="K1139" s="17">
        <v>1</v>
      </c>
      <c r="L1139" s="17">
        <v>1</v>
      </c>
    </row>
    <row r="1140" spans="8:12">
      <c r="H1140" s="16">
        <v>44794</v>
      </c>
      <c r="I1140" s="17" t="s">
        <v>1028</v>
      </c>
      <c r="J1140" s="17">
        <v>39.9</v>
      </c>
      <c r="K1140" s="17">
        <v>1</v>
      </c>
      <c r="L1140" s="17">
        <v>1</v>
      </c>
    </row>
    <row r="1141" spans="8:12">
      <c r="H1141" s="16">
        <v>44794</v>
      </c>
      <c r="I1141" s="17" t="s">
        <v>603</v>
      </c>
      <c r="J1141" s="17">
        <v>39.9</v>
      </c>
      <c r="K1141" s="17">
        <v>2</v>
      </c>
      <c r="L1141" s="17">
        <v>1</v>
      </c>
    </row>
    <row r="1142" spans="8:12">
      <c r="H1142" s="16">
        <v>44794</v>
      </c>
      <c r="I1142" s="17" t="s">
        <v>927</v>
      </c>
      <c r="J1142" s="17">
        <v>38.9</v>
      </c>
      <c r="K1142" s="17">
        <v>1</v>
      </c>
      <c r="L1142" s="17">
        <v>1</v>
      </c>
    </row>
    <row r="1143" spans="8:12">
      <c r="H1143" s="16">
        <v>44794</v>
      </c>
      <c r="I1143" s="17" t="s">
        <v>649</v>
      </c>
      <c r="J1143" s="17">
        <v>36.9</v>
      </c>
      <c r="K1143" s="17">
        <v>1</v>
      </c>
      <c r="L1143" s="17">
        <v>1</v>
      </c>
    </row>
    <row r="1144" spans="8:12">
      <c r="H1144" s="16">
        <v>44794</v>
      </c>
      <c r="I1144" s="17" t="s">
        <v>1061</v>
      </c>
      <c r="J1144" s="17">
        <v>30.8</v>
      </c>
      <c r="K1144" s="17">
        <v>3</v>
      </c>
      <c r="L1144" s="17">
        <v>1</v>
      </c>
    </row>
    <row r="1145" spans="8:12">
      <c r="H1145" s="16">
        <v>44794</v>
      </c>
      <c r="I1145" s="17" t="s">
        <v>1065</v>
      </c>
      <c r="J1145" s="17">
        <v>29.8</v>
      </c>
      <c r="K1145" s="17">
        <v>2</v>
      </c>
      <c r="L1145" s="17">
        <v>1</v>
      </c>
    </row>
    <row r="1146" spans="8:12">
      <c r="H1146" s="16">
        <v>44794</v>
      </c>
      <c r="I1146" s="17" t="s">
        <v>581</v>
      </c>
      <c r="J1146" s="17">
        <v>29.8</v>
      </c>
      <c r="K1146" s="17">
        <v>2</v>
      </c>
      <c r="L1146" s="17">
        <v>1</v>
      </c>
    </row>
    <row r="1147" spans="8:12">
      <c r="H1147" s="16">
        <v>44794</v>
      </c>
      <c r="I1147" s="17" t="s">
        <v>1085</v>
      </c>
      <c r="J1147" s="17">
        <v>19.9</v>
      </c>
      <c r="K1147" s="17">
        <v>1</v>
      </c>
      <c r="L1147" s="17">
        <v>1</v>
      </c>
    </row>
    <row r="1148" spans="8:12">
      <c r="H1148" s="16">
        <v>44794</v>
      </c>
      <c r="I1148" s="17" t="s">
        <v>450</v>
      </c>
      <c r="J1148" s="17">
        <v>19.9</v>
      </c>
      <c r="K1148" s="17">
        <v>1</v>
      </c>
      <c r="L1148" s="17">
        <v>1</v>
      </c>
    </row>
    <row r="1149" spans="8:12">
      <c r="H1149" s="16">
        <v>44794</v>
      </c>
      <c r="I1149" s="17" t="s">
        <v>1171</v>
      </c>
      <c r="J1149" s="17">
        <v>10.9</v>
      </c>
      <c r="K1149" s="17">
        <v>2</v>
      </c>
      <c r="L1149" s="17">
        <v>1</v>
      </c>
    </row>
    <row r="1150" spans="8:12">
      <c r="H1150" s="16">
        <v>44794</v>
      </c>
      <c r="I1150" s="17" t="s">
        <v>607</v>
      </c>
      <c r="J1150" s="17">
        <v>10.9</v>
      </c>
      <c r="K1150" s="17">
        <v>2</v>
      </c>
      <c r="L1150" s="17">
        <v>1</v>
      </c>
    </row>
    <row r="1151" spans="8:12">
      <c r="H1151" s="16">
        <v>44794</v>
      </c>
      <c r="I1151" s="17" t="s">
        <v>1170</v>
      </c>
      <c r="J1151" s="17">
        <v>10.9</v>
      </c>
      <c r="K1151" s="17">
        <v>2</v>
      </c>
      <c r="L1151" s="17">
        <v>1</v>
      </c>
    </row>
    <row r="1152" spans="8:12">
      <c r="H1152" s="16">
        <v>44794</v>
      </c>
      <c r="I1152" s="17" t="s">
        <v>1168</v>
      </c>
      <c r="J1152" s="17">
        <v>10.9</v>
      </c>
      <c r="K1152" s="17">
        <v>2</v>
      </c>
      <c r="L1152" s="17">
        <v>1</v>
      </c>
    </row>
    <row r="1153" spans="8:12">
      <c r="H1153" s="16">
        <v>44794</v>
      </c>
      <c r="I1153" s="17" t="s">
        <v>1238</v>
      </c>
      <c r="J1153" s="17">
        <v>9.9</v>
      </c>
      <c r="K1153" s="17">
        <v>1</v>
      </c>
      <c r="L1153" s="17">
        <v>1</v>
      </c>
    </row>
    <row r="1154" spans="8:12">
      <c r="H1154" s="16">
        <v>44794</v>
      </c>
      <c r="I1154" s="17" t="s">
        <v>1236</v>
      </c>
      <c r="J1154" s="17">
        <v>9.9</v>
      </c>
      <c r="K1154" s="17">
        <v>1</v>
      </c>
      <c r="L1154" s="17">
        <v>1</v>
      </c>
    </row>
    <row r="1155" spans="8:12">
      <c r="H1155" s="16">
        <v>44794</v>
      </c>
      <c r="I1155" s="17" t="s">
        <v>1234</v>
      </c>
      <c r="J1155" s="17">
        <v>9.9</v>
      </c>
      <c r="K1155" s="17">
        <v>1</v>
      </c>
      <c r="L1155" s="17">
        <v>1</v>
      </c>
    </row>
    <row r="1156" spans="8:12">
      <c r="H1156" s="16">
        <v>44794</v>
      </c>
      <c r="I1156" s="17" t="s">
        <v>551</v>
      </c>
      <c r="J1156" s="17">
        <v>9.9</v>
      </c>
      <c r="K1156" s="17">
        <v>1</v>
      </c>
      <c r="L1156" s="17">
        <v>1</v>
      </c>
    </row>
    <row r="1157" spans="8:12">
      <c r="H1157" s="16">
        <v>44794</v>
      </c>
      <c r="I1157" s="17" t="s">
        <v>1232</v>
      </c>
      <c r="J1157" s="17">
        <v>9.9</v>
      </c>
      <c r="K1157" s="17">
        <v>1</v>
      </c>
      <c r="L1157" s="17">
        <v>1</v>
      </c>
    </row>
    <row r="1158" spans="8:12">
      <c r="H1158" s="16">
        <v>44794</v>
      </c>
      <c r="I1158" s="17" t="s">
        <v>622</v>
      </c>
      <c r="J1158" s="17">
        <v>9.9</v>
      </c>
      <c r="K1158" s="17">
        <v>1</v>
      </c>
      <c r="L1158" s="17">
        <v>1</v>
      </c>
    </row>
    <row r="1159" spans="8:12">
      <c r="H1159" s="16">
        <v>44794</v>
      </c>
      <c r="I1159" s="17" t="s">
        <v>1231</v>
      </c>
      <c r="J1159" s="17">
        <v>9.9</v>
      </c>
      <c r="K1159" s="17">
        <v>1</v>
      </c>
      <c r="L1159" s="17">
        <v>1</v>
      </c>
    </row>
    <row r="1160" spans="8:12">
      <c r="H1160" s="16">
        <v>44794</v>
      </c>
      <c r="I1160" s="17" t="s">
        <v>1229</v>
      </c>
      <c r="J1160" s="17">
        <v>9.9</v>
      </c>
      <c r="K1160" s="17">
        <v>1</v>
      </c>
      <c r="L1160" s="17">
        <v>1</v>
      </c>
    </row>
    <row r="1161" spans="8:12">
      <c r="H1161" s="16">
        <v>44794</v>
      </c>
      <c r="I1161" s="17" t="s">
        <v>1228</v>
      </c>
      <c r="J1161" s="17">
        <v>9.9</v>
      </c>
      <c r="K1161" s="17">
        <v>1</v>
      </c>
      <c r="L1161" s="17">
        <v>1</v>
      </c>
    </row>
    <row r="1162" spans="8:12">
      <c r="H1162" s="16">
        <v>44794</v>
      </c>
      <c r="I1162" s="17" t="s">
        <v>1227</v>
      </c>
      <c r="J1162" s="17">
        <v>9.9</v>
      </c>
      <c r="K1162" s="17">
        <v>1</v>
      </c>
      <c r="L1162" s="17">
        <v>1</v>
      </c>
    </row>
    <row r="1163" spans="8:12">
      <c r="H1163" s="16">
        <v>44794</v>
      </c>
      <c r="I1163" s="17" t="s">
        <v>1225</v>
      </c>
      <c r="J1163" s="17">
        <v>9.9</v>
      </c>
      <c r="K1163" s="17">
        <v>1</v>
      </c>
      <c r="L1163" s="17">
        <v>1</v>
      </c>
    </row>
    <row r="1164" spans="8:12">
      <c r="H1164" s="16">
        <v>44794</v>
      </c>
      <c r="I1164" s="17" t="s">
        <v>1224</v>
      </c>
      <c r="J1164" s="17">
        <v>9.9</v>
      </c>
      <c r="K1164" s="17">
        <v>1</v>
      </c>
      <c r="L1164" s="17">
        <v>1</v>
      </c>
    </row>
    <row r="1165" spans="8:12">
      <c r="H1165" s="16">
        <v>44794</v>
      </c>
      <c r="I1165" s="17" t="s">
        <v>647</v>
      </c>
      <c r="J1165" s="17">
        <v>1</v>
      </c>
      <c r="K1165" s="17">
        <v>1</v>
      </c>
      <c r="L1165" s="17">
        <v>1</v>
      </c>
    </row>
    <row r="1166" spans="8:12">
      <c r="H1166" s="16">
        <v>44794</v>
      </c>
      <c r="I1166" s="17" t="s">
        <v>860</v>
      </c>
      <c r="J1166" s="17">
        <v>1</v>
      </c>
      <c r="K1166" s="17">
        <v>1</v>
      </c>
      <c r="L1166" s="17">
        <v>1</v>
      </c>
    </row>
    <row r="1167" spans="8:12">
      <c r="H1167" s="16">
        <v>44794</v>
      </c>
      <c r="I1167" s="17" t="s">
        <v>1058</v>
      </c>
      <c r="J1167" s="17">
        <v>1</v>
      </c>
      <c r="K1167" s="17">
        <v>1</v>
      </c>
      <c r="L1167" s="17">
        <v>1</v>
      </c>
    </row>
    <row r="1168" spans="8:12">
      <c r="H1168" s="16">
        <v>44794</v>
      </c>
      <c r="I1168" s="17" t="s">
        <v>1072</v>
      </c>
      <c r="J1168" s="17">
        <v>1</v>
      </c>
      <c r="K1168" s="17">
        <v>1</v>
      </c>
      <c r="L1168" s="17">
        <v>1</v>
      </c>
    </row>
    <row r="1169" spans="8:12">
      <c r="H1169" s="16">
        <v>44794</v>
      </c>
      <c r="I1169" s="17" t="s">
        <v>373</v>
      </c>
      <c r="J1169" s="17">
        <v>1</v>
      </c>
      <c r="K1169" s="17">
        <v>1</v>
      </c>
      <c r="L1169" s="17">
        <v>1</v>
      </c>
    </row>
    <row r="1170" spans="8:12">
      <c r="H1170" s="16">
        <v>44794</v>
      </c>
      <c r="I1170" s="17" t="s">
        <v>1286</v>
      </c>
      <c r="J1170" s="17">
        <v>1</v>
      </c>
      <c r="K1170" s="17">
        <v>1</v>
      </c>
      <c r="L1170" s="17">
        <v>1</v>
      </c>
    </row>
    <row r="1171" spans="8:12">
      <c r="H1171" s="16">
        <v>44794</v>
      </c>
      <c r="I1171" s="17" t="s">
        <v>788</v>
      </c>
      <c r="J1171" s="17">
        <v>1</v>
      </c>
      <c r="K1171" s="17">
        <v>1</v>
      </c>
      <c r="L1171" s="17">
        <v>1</v>
      </c>
    </row>
    <row r="1172" spans="8:12">
      <c r="H1172" s="16">
        <v>44794</v>
      </c>
      <c r="I1172" s="17" t="s">
        <v>964</v>
      </c>
      <c r="J1172" s="17">
        <v>1</v>
      </c>
      <c r="K1172" s="17">
        <v>1</v>
      </c>
      <c r="L1172" s="17">
        <v>1</v>
      </c>
    </row>
    <row r="1173" spans="8:12">
      <c r="H1173" s="16">
        <v>44794</v>
      </c>
      <c r="I1173" s="17" t="s">
        <v>1133</v>
      </c>
      <c r="J1173" s="17">
        <v>1</v>
      </c>
      <c r="K1173" s="17">
        <v>1</v>
      </c>
      <c r="L1173" s="17">
        <v>1</v>
      </c>
    </row>
    <row r="1174" spans="8:12">
      <c r="H1174" s="16">
        <v>44794</v>
      </c>
      <c r="I1174" s="17" t="s">
        <v>1285</v>
      </c>
      <c r="J1174" s="17">
        <v>1</v>
      </c>
      <c r="K1174" s="17">
        <v>1</v>
      </c>
      <c r="L1174" s="17">
        <v>1</v>
      </c>
    </row>
    <row r="1175" spans="8:12">
      <c r="H1175" s="16">
        <v>44794</v>
      </c>
      <c r="I1175" s="17" t="s">
        <v>1284</v>
      </c>
      <c r="J1175" s="17">
        <v>1</v>
      </c>
      <c r="K1175" s="17">
        <v>1</v>
      </c>
      <c r="L1175" s="17">
        <v>1</v>
      </c>
    </row>
    <row r="1176" spans="8:12">
      <c r="H1176" s="16">
        <v>44794</v>
      </c>
      <c r="I1176" s="17" t="s">
        <v>1000</v>
      </c>
      <c r="J1176" s="17">
        <v>1</v>
      </c>
      <c r="K1176" s="17">
        <v>1</v>
      </c>
      <c r="L1176" s="17">
        <v>1</v>
      </c>
    </row>
    <row r="1177" spans="8:12">
      <c r="H1177" s="16">
        <v>44794</v>
      </c>
      <c r="I1177" s="17" t="s">
        <v>911</v>
      </c>
      <c r="J1177" s="17">
        <v>1</v>
      </c>
      <c r="K1177" s="17">
        <v>1</v>
      </c>
      <c r="L1177" s="17">
        <v>1</v>
      </c>
    </row>
    <row r="1178" spans="8:12">
      <c r="H1178" s="16">
        <v>44794</v>
      </c>
      <c r="I1178" s="17" t="s">
        <v>1283</v>
      </c>
      <c r="J1178" s="17">
        <v>1</v>
      </c>
      <c r="K1178" s="17">
        <v>1</v>
      </c>
      <c r="L1178" s="17">
        <v>1</v>
      </c>
    </row>
    <row r="1179" spans="8:12">
      <c r="H1179" s="16">
        <v>44794</v>
      </c>
      <c r="I1179" s="17" t="s">
        <v>1071</v>
      </c>
      <c r="J1179" s="17">
        <v>1</v>
      </c>
      <c r="K1179" s="17">
        <v>1</v>
      </c>
      <c r="L1179" s="17">
        <v>1</v>
      </c>
    </row>
    <row r="1180" spans="8:12">
      <c r="H1180" s="16">
        <v>44794</v>
      </c>
      <c r="I1180" s="17" t="s">
        <v>397</v>
      </c>
      <c r="J1180" s="17">
        <v>1</v>
      </c>
      <c r="K1180" s="17">
        <v>1</v>
      </c>
      <c r="L1180" s="17">
        <v>1</v>
      </c>
    </row>
    <row r="1181" spans="8:12">
      <c r="H1181" s="16">
        <v>44794</v>
      </c>
      <c r="I1181" s="17" t="s">
        <v>1282</v>
      </c>
      <c r="J1181" s="17">
        <v>1</v>
      </c>
      <c r="K1181" s="17">
        <v>1</v>
      </c>
      <c r="L1181" s="17">
        <v>1</v>
      </c>
    </row>
    <row r="1182" spans="8:12">
      <c r="H1182" s="16">
        <v>44794</v>
      </c>
      <c r="I1182" s="17" t="s">
        <v>719</v>
      </c>
      <c r="J1182" s="17">
        <v>1</v>
      </c>
      <c r="K1182" s="17">
        <v>1</v>
      </c>
      <c r="L1182" s="17">
        <v>1</v>
      </c>
    </row>
    <row r="1183" spans="8:12">
      <c r="H1183" s="16">
        <v>44794</v>
      </c>
      <c r="I1183" s="17" t="s">
        <v>1281</v>
      </c>
      <c r="J1183" s="17">
        <v>1</v>
      </c>
      <c r="K1183" s="17">
        <v>1</v>
      </c>
      <c r="L1183" s="17">
        <v>1</v>
      </c>
    </row>
    <row r="1184" spans="8:12">
      <c r="H1184" s="16">
        <v>44794</v>
      </c>
      <c r="I1184" s="17" t="s">
        <v>1280</v>
      </c>
      <c r="J1184" s="17">
        <v>1</v>
      </c>
      <c r="K1184" s="17">
        <v>1</v>
      </c>
      <c r="L1184" s="17">
        <v>1</v>
      </c>
    </row>
    <row r="1185" spans="8:12">
      <c r="H1185" s="16">
        <v>44794</v>
      </c>
      <c r="I1185" s="17" t="s">
        <v>509</v>
      </c>
      <c r="J1185" s="17">
        <v>1</v>
      </c>
      <c r="K1185" s="17">
        <v>1</v>
      </c>
      <c r="L1185" s="17">
        <v>1</v>
      </c>
    </row>
    <row r="1186" spans="8:12">
      <c r="H1186" s="16">
        <v>44794</v>
      </c>
      <c r="I1186" s="17" t="s">
        <v>668</v>
      </c>
      <c r="J1186" s="17">
        <v>1</v>
      </c>
      <c r="K1186" s="17">
        <v>1</v>
      </c>
      <c r="L1186" s="17">
        <v>1</v>
      </c>
    </row>
    <row r="1187" spans="8:12">
      <c r="H1187" s="16">
        <v>44794</v>
      </c>
      <c r="I1187" s="17" t="s">
        <v>396</v>
      </c>
      <c r="J1187" s="17">
        <v>1</v>
      </c>
      <c r="K1187" s="17">
        <v>1</v>
      </c>
      <c r="L1187" s="17">
        <v>1</v>
      </c>
    </row>
    <row r="1188" spans="8:12">
      <c r="H1188" s="16">
        <v>44794</v>
      </c>
      <c r="I1188" s="17" t="s">
        <v>1279</v>
      </c>
      <c r="J1188" s="17">
        <v>1</v>
      </c>
      <c r="K1188" s="17">
        <v>1</v>
      </c>
      <c r="L1188" s="17">
        <v>1</v>
      </c>
    </row>
    <row r="1189" spans="8:12">
      <c r="H1189" s="16">
        <v>44794</v>
      </c>
      <c r="I1189" s="17" t="s">
        <v>666</v>
      </c>
      <c r="J1189" s="17">
        <v>1</v>
      </c>
      <c r="K1189" s="17">
        <v>1</v>
      </c>
      <c r="L1189" s="17">
        <v>1</v>
      </c>
    </row>
    <row r="1190" spans="8:12">
      <c r="H1190" s="16">
        <v>44794</v>
      </c>
      <c r="I1190" s="17" t="s">
        <v>1278</v>
      </c>
      <c r="J1190" s="17">
        <v>1</v>
      </c>
      <c r="K1190" s="17">
        <v>1</v>
      </c>
      <c r="L1190" s="17">
        <v>1</v>
      </c>
    </row>
    <row r="1191" spans="8:12">
      <c r="H1191" s="16">
        <v>44794</v>
      </c>
      <c r="I1191" s="17" t="s">
        <v>382</v>
      </c>
      <c r="J1191" s="17">
        <v>1</v>
      </c>
      <c r="K1191" s="17">
        <v>1</v>
      </c>
      <c r="L1191" s="17">
        <v>1</v>
      </c>
    </row>
    <row r="1192" spans="8:12">
      <c r="H1192" s="16">
        <v>44794</v>
      </c>
      <c r="I1192" s="17" t="s">
        <v>1277</v>
      </c>
      <c r="J1192" s="17">
        <v>1</v>
      </c>
      <c r="K1192" s="17">
        <v>1</v>
      </c>
      <c r="L1192" s="17">
        <v>1</v>
      </c>
    </row>
    <row r="1193" spans="8:12">
      <c r="H1193" s="16">
        <v>44794</v>
      </c>
      <c r="I1193" s="17" t="s">
        <v>449</v>
      </c>
      <c r="J1193" s="17">
        <v>1</v>
      </c>
      <c r="K1193" s="17">
        <v>1</v>
      </c>
      <c r="L1193" s="17">
        <v>1</v>
      </c>
    </row>
    <row r="1194" spans="8:12">
      <c r="H1194" s="16">
        <v>44794</v>
      </c>
      <c r="I1194" s="17" t="s">
        <v>1070</v>
      </c>
      <c r="J1194" s="17">
        <v>1</v>
      </c>
      <c r="K1194" s="17">
        <v>1</v>
      </c>
      <c r="L1194" s="17">
        <v>1</v>
      </c>
    </row>
    <row r="1195" spans="8:12">
      <c r="H1195" s="16">
        <v>44794</v>
      </c>
      <c r="I1195" s="17" t="s">
        <v>1276</v>
      </c>
      <c r="J1195" s="17">
        <v>1</v>
      </c>
      <c r="K1195" s="17">
        <v>1</v>
      </c>
      <c r="L1195" s="17">
        <v>1</v>
      </c>
    </row>
    <row r="1196" spans="8:12">
      <c r="H1196" s="16">
        <v>44794</v>
      </c>
      <c r="I1196" s="17" t="s">
        <v>655</v>
      </c>
      <c r="J1196" s="17">
        <v>1</v>
      </c>
      <c r="K1196" s="17">
        <v>1</v>
      </c>
      <c r="L1196" s="17">
        <v>1</v>
      </c>
    </row>
    <row r="1197" spans="8:12">
      <c r="H1197" s="16">
        <v>44793</v>
      </c>
      <c r="I1197" s="17" t="s">
        <v>577</v>
      </c>
      <c r="J1197" s="17">
        <v>570.6</v>
      </c>
      <c r="K1197" s="17">
        <v>7</v>
      </c>
      <c r="L1197" s="17">
        <v>1</v>
      </c>
    </row>
    <row r="1198" spans="8:12">
      <c r="H1198" s="16">
        <v>44793</v>
      </c>
      <c r="I1198" s="17" t="s">
        <v>375</v>
      </c>
      <c r="J1198" s="17">
        <v>323.1</v>
      </c>
      <c r="K1198" s="17">
        <v>3</v>
      </c>
      <c r="L1198" s="17">
        <v>1</v>
      </c>
    </row>
    <row r="1199" spans="8:12">
      <c r="H1199" s="16">
        <v>44793</v>
      </c>
      <c r="I1199" s="17" t="s">
        <v>520</v>
      </c>
      <c r="J1199" s="17">
        <v>274.9</v>
      </c>
      <c r="K1199" s="17">
        <v>3</v>
      </c>
      <c r="L1199" s="17">
        <v>1</v>
      </c>
    </row>
    <row r="1200" spans="8:12">
      <c r="H1200" s="16">
        <v>44793</v>
      </c>
      <c r="I1200" s="17" t="s">
        <v>843</v>
      </c>
      <c r="J1200" s="17">
        <v>248.9</v>
      </c>
      <c r="K1200" s="17">
        <v>2</v>
      </c>
      <c r="L1200" s="17">
        <v>1</v>
      </c>
    </row>
    <row r="1201" spans="8:12">
      <c r="H1201" s="16">
        <v>44793</v>
      </c>
      <c r="I1201" s="17" t="s">
        <v>669</v>
      </c>
      <c r="J1201" s="17">
        <v>245.9</v>
      </c>
      <c r="K1201" s="17">
        <v>2</v>
      </c>
      <c r="L1201" s="17">
        <v>1</v>
      </c>
    </row>
    <row r="1202" spans="8:12">
      <c r="H1202" s="16">
        <v>44793</v>
      </c>
      <c r="I1202" s="17" t="s">
        <v>764</v>
      </c>
      <c r="J1202" s="17">
        <v>240</v>
      </c>
      <c r="K1202" s="17">
        <v>2</v>
      </c>
      <c r="L1202" s="17">
        <v>1</v>
      </c>
    </row>
    <row r="1203" spans="8:12">
      <c r="H1203" s="16">
        <v>44793</v>
      </c>
      <c r="I1203" s="17" t="s">
        <v>870</v>
      </c>
      <c r="J1203" s="17">
        <v>239</v>
      </c>
      <c r="K1203" s="17">
        <v>1</v>
      </c>
      <c r="L1203" s="17">
        <v>1</v>
      </c>
    </row>
    <row r="1204" spans="8:12">
      <c r="H1204" s="16">
        <v>44793</v>
      </c>
      <c r="I1204" s="17" t="s">
        <v>878</v>
      </c>
      <c r="J1204" s="17">
        <v>235</v>
      </c>
      <c r="K1204" s="17">
        <v>3</v>
      </c>
      <c r="L1204" s="17">
        <v>1</v>
      </c>
    </row>
    <row r="1205" spans="8:12">
      <c r="H1205" s="16">
        <v>44793</v>
      </c>
      <c r="I1205" s="17" t="s">
        <v>790</v>
      </c>
      <c r="J1205" s="17">
        <v>223.61</v>
      </c>
      <c r="K1205" s="17">
        <v>2</v>
      </c>
      <c r="L1205" s="17">
        <v>1</v>
      </c>
    </row>
    <row r="1206" spans="8:12">
      <c r="H1206" s="16">
        <v>44793</v>
      </c>
      <c r="I1206" s="17" t="s">
        <v>886</v>
      </c>
      <c r="J1206" s="17">
        <v>196.9</v>
      </c>
      <c r="K1206" s="17">
        <v>3</v>
      </c>
      <c r="L1206" s="17">
        <v>1</v>
      </c>
    </row>
    <row r="1207" spans="8:12">
      <c r="H1207" s="16">
        <v>44793</v>
      </c>
      <c r="I1207" s="17" t="s">
        <v>396</v>
      </c>
      <c r="J1207" s="17">
        <v>195.8</v>
      </c>
      <c r="K1207" s="17">
        <v>5</v>
      </c>
      <c r="L1207" s="17">
        <v>1</v>
      </c>
    </row>
    <row r="1208" spans="8:12">
      <c r="H1208" s="16">
        <v>44793</v>
      </c>
      <c r="I1208" s="17" t="s">
        <v>658</v>
      </c>
      <c r="J1208" s="17">
        <v>190.9</v>
      </c>
      <c r="K1208" s="17">
        <v>4</v>
      </c>
      <c r="L1208" s="17">
        <v>1</v>
      </c>
    </row>
    <row r="1209" spans="8:12">
      <c r="H1209" s="16">
        <v>44793</v>
      </c>
      <c r="I1209" s="17" t="s">
        <v>579</v>
      </c>
      <c r="J1209" s="17">
        <v>173.11</v>
      </c>
      <c r="K1209" s="17">
        <v>3</v>
      </c>
      <c r="L1209" s="17">
        <v>1</v>
      </c>
    </row>
    <row r="1210" spans="8:12">
      <c r="H1210" s="16">
        <v>44793</v>
      </c>
      <c r="I1210" s="17" t="s">
        <v>852</v>
      </c>
      <c r="J1210" s="17">
        <v>171.11</v>
      </c>
      <c r="K1210" s="17">
        <v>2</v>
      </c>
      <c r="L1210" s="17">
        <v>1</v>
      </c>
    </row>
    <row r="1211" spans="8:12">
      <c r="H1211" s="16">
        <v>44793</v>
      </c>
      <c r="I1211" s="17" t="s">
        <v>507</v>
      </c>
      <c r="J1211" s="17">
        <v>117.9</v>
      </c>
      <c r="K1211" s="17">
        <v>2</v>
      </c>
      <c r="L1211" s="17">
        <v>1</v>
      </c>
    </row>
    <row r="1212" spans="8:12">
      <c r="H1212" s="16">
        <v>44793</v>
      </c>
      <c r="I1212" s="17" t="s">
        <v>887</v>
      </c>
      <c r="J1212" s="17">
        <v>109.9</v>
      </c>
      <c r="K1212" s="17">
        <v>3</v>
      </c>
      <c r="L1212" s="17">
        <v>1</v>
      </c>
    </row>
    <row r="1213" spans="8:12">
      <c r="H1213" s="16">
        <v>44793</v>
      </c>
      <c r="I1213" s="17" t="s">
        <v>572</v>
      </c>
      <c r="J1213" s="17">
        <v>106.9</v>
      </c>
      <c r="K1213" s="17">
        <v>2</v>
      </c>
      <c r="L1213" s="17">
        <v>1</v>
      </c>
    </row>
    <row r="1214" spans="8:12">
      <c r="H1214" s="16">
        <v>44793</v>
      </c>
      <c r="I1214" s="17" t="s">
        <v>480</v>
      </c>
      <c r="J1214" s="17">
        <v>105.91</v>
      </c>
      <c r="K1214" s="17">
        <v>4</v>
      </c>
      <c r="L1214" s="17">
        <v>1</v>
      </c>
    </row>
    <row r="1215" spans="8:12">
      <c r="H1215" s="16">
        <v>44793</v>
      </c>
      <c r="I1215" s="17" t="s">
        <v>470</v>
      </c>
      <c r="J1215" s="17">
        <v>98</v>
      </c>
      <c r="K1215" s="17">
        <v>2</v>
      </c>
      <c r="L1215" s="17">
        <v>1</v>
      </c>
    </row>
    <row r="1216" spans="8:12">
      <c r="H1216" s="16">
        <v>44793</v>
      </c>
      <c r="I1216" s="17" t="s">
        <v>950</v>
      </c>
      <c r="J1216" s="17">
        <v>89</v>
      </c>
      <c r="K1216" s="17">
        <v>1</v>
      </c>
      <c r="L1216" s="17">
        <v>1</v>
      </c>
    </row>
    <row r="1217" spans="8:12">
      <c r="H1217" s="16">
        <v>44793</v>
      </c>
      <c r="I1217" s="17" t="s">
        <v>645</v>
      </c>
      <c r="J1217" s="17">
        <v>88</v>
      </c>
      <c r="K1217" s="17">
        <v>2</v>
      </c>
      <c r="L1217" s="17">
        <v>1</v>
      </c>
    </row>
    <row r="1218" spans="8:12">
      <c r="H1218" s="16">
        <v>44793</v>
      </c>
      <c r="I1218" s="17" t="s">
        <v>902</v>
      </c>
      <c r="J1218" s="17">
        <v>87.11</v>
      </c>
      <c r="K1218" s="17">
        <v>1</v>
      </c>
      <c r="L1218" s="17">
        <v>1</v>
      </c>
    </row>
    <row r="1219" spans="8:12">
      <c r="H1219" s="16">
        <v>44793</v>
      </c>
      <c r="I1219" s="17" t="s">
        <v>386</v>
      </c>
      <c r="J1219" s="17">
        <v>85</v>
      </c>
      <c r="K1219" s="17">
        <v>1</v>
      </c>
      <c r="L1219" s="17">
        <v>1</v>
      </c>
    </row>
    <row r="1220" spans="8:12">
      <c r="H1220" s="16">
        <v>44793</v>
      </c>
      <c r="I1220" s="17" t="s">
        <v>960</v>
      </c>
      <c r="J1220" s="17">
        <v>82</v>
      </c>
      <c r="K1220" s="17">
        <v>1</v>
      </c>
      <c r="L1220" s="17">
        <v>1</v>
      </c>
    </row>
    <row r="1221" spans="8:12">
      <c r="H1221" s="16">
        <v>44793</v>
      </c>
      <c r="I1221" s="17" t="s">
        <v>392</v>
      </c>
      <c r="J1221" s="17">
        <v>46.8</v>
      </c>
      <c r="K1221" s="17">
        <v>2</v>
      </c>
      <c r="L1221" s="17">
        <v>1</v>
      </c>
    </row>
    <row r="1222" spans="8:12">
      <c r="H1222" s="16">
        <v>44793</v>
      </c>
      <c r="I1222" s="17" t="s">
        <v>897</v>
      </c>
      <c r="J1222" s="17">
        <v>40.9</v>
      </c>
      <c r="K1222" s="17">
        <v>2</v>
      </c>
      <c r="L1222" s="17">
        <v>1</v>
      </c>
    </row>
    <row r="1223" spans="8:12">
      <c r="H1223" s="16">
        <v>44793</v>
      </c>
      <c r="I1223" s="17" t="s">
        <v>495</v>
      </c>
      <c r="J1223" s="17">
        <v>37.9</v>
      </c>
      <c r="K1223" s="17">
        <v>1</v>
      </c>
      <c r="L1223" s="17">
        <v>1</v>
      </c>
    </row>
    <row r="1224" spans="8:12">
      <c r="H1224" s="16">
        <v>44793</v>
      </c>
      <c r="I1224" s="17" t="s">
        <v>405</v>
      </c>
      <c r="J1224" s="17">
        <v>30.8</v>
      </c>
      <c r="K1224" s="17">
        <v>3</v>
      </c>
      <c r="L1224" s="17">
        <v>1</v>
      </c>
    </row>
    <row r="1225" spans="8:12">
      <c r="H1225" s="16">
        <v>44793</v>
      </c>
      <c r="I1225" s="17" t="s">
        <v>1049</v>
      </c>
      <c r="J1225" s="17">
        <v>29.8</v>
      </c>
      <c r="K1225" s="17">
        <v>2</v>
      </c>
      <c r="L1225" s="17">
        <v>1</v>
      </c>
    </row>
    <row r="1226" spans="8:12">
      <c r="H1226" s="16">
        <v>44793</v>
      </c>
      <c r="I1226" s="17" t="s">
        <v>761</v>
      </c>
      <c r="J1226" s="17">
        <v>20.9</v>
      </c>
      <c r="K1226" s="17">
        <v>2</v>
      </c>
      <c r="L1226" s="17">
        <v>1</v>
      </c>
    </row>
    <row r="1227" spans="8:12">
      <c r="H1227" s="16">
        <v>44793</v>
      </c>
      <c r="I1227" s="17" t="s">
        <v>1060</v>
      </c>
      <c r="J1227" s="17">
        <v>20.9</v>
      </c>
      <c r="K1227" s="17">
        <v>2</v>
      </c>
      <c r="L1227" s="17">
        <v>1</v>
      </c>
    </row>
    <row r="1228" spans="8:12">
      <c r="H1228" s="16">
        <v>44793</v>
      </c>
      <c r="I1228" s="17" t="s">
        <v>382</v>
      </c>
      <c r="J1228" s="17">
        <v>20.9</v>
      </c>
      <c r="K1228" s="17">
        <v>2</v>
      </c>
      <c r="L1228" s="17">
        <v>1</v>
      </c>
    </row>
    <row r="1229" spans="8:12">
      <c r="H1229" s="16">
        <v>44793</v>
      </c>
      <c r="I1229" s="17" t="s">
        <v>1084</v>
      </c>
      <c r="J1229" s="17">
        <v>19.9</v>
      </c>
      <c r="K1229" s="17">
        <v>1</v>
      </c>
      <c r="L1229" s="17">
        <v>1</v>
      </c>
    </row>
    <row r="1230" spans="8:12">
      <c r="H1230" s="16">
        <v>44793</v>
      </c>
      <c r="I1230" s="17" t="s">
        <v>1083</v>
      </c>
      <c r="J1230" s="17">
        <v>19.9</v>
      </c>
      <c r="K1230" s="17">
        <v>1</v>
      </c>
      <c r="L1230" s="17">
        <v>1</v>
      </c>
    </row>
    <row r="1231" spans="8:12">
      <c r="H1231" s="16">
        <v>44793</v>
      </c>
      <c r="I1231" s="17" t="s">
        <v>1082</v>
      </c>
      <c r="J1231" s="17">
        <v>19.9</v>
      </c>
      <c r="K1231" s="17">
        <v>1</v>
      </c>
      <c r="L1231" s="17">
        <v>1</v>
      </c>
    </row>
    <row r="1232" spans="8:12">
      <c r="H1232" s="16">
        <v>44793</v>
      </c>
      <c r="I1232" s="17" t="s">
        <v>1081</v>
      </c>
      <c r="J1232" s="17">
        <v>19.9</v>
      </c>
      <c r="K1232" s="17">
        <v>1</v>
      </c>
      <c r="L1232" s="17">
        <v>1</v>
      </c>
    </row>
    <row r="1233" spans="8:12">
      <c r="H1233" s="16">
        <v>44793</v>
      </c>
      <c r="I1233" s="17" t="s">
        <v>1062</v>
      </c>
      <c r="J1233" s="17">
        <v>19.9</v>
      </c>
      <c r="K1233" s="17">
        <v>1</v>
      </c>
      <c r="L1233" s="17">
        <v>1</v>
      </c>
    </row>
    <row r="1234" spans="8:12">
      <c r="H1234" s="16">
        <v>44793</v>
      </c>
      <c r="I1234" s="17" t="s">
        <v>644</v>
      </c>
      <c r="J1234" s="17">
        <v>10.9</v>
      </c>
      <c r="K1234" s="17">
        <v>2</v>
      </c>
      <c r="L1234" s="17">
        <v>1</v>
      </c>
    </row>
    <row r="1235" spans="8:12">
      <c r="H1235" s="16">
        <v>44793</v>
      </c>
      <c r="I1235" s="17" t="s">
        <v>896</v>
      </c>
      <c r="J1235" s="17">
        <v>10.9</v>
      </c>
      <c r="K1235" s="17">
        <v>2</v>
      </c>
      <c r="L1235" s="17">
        <v>1</v>
      </c>
    </row>
    <row r="1236" spans="8:12">
      <c r="H1236" s="16">
        <v>44793</v>
      </c>
      <c r="I1236" s="17" t="s">
        <v>957</v>
      </c>
      <c r="J1236" s="17">
        <v>10.9</v>
      </c>
      <c r="K1236" s="17">
        <v>2</v>
      </c>
      <c r="L1236" s="17">
        <v>1</v>
      </c>
    </row>
    <row r="1237" spans="8:12">
      <c r="H1237" s="16">
        <v>44793</v>
      </c>
      <c r="I1237" s="17" t="s">
        <v>1133</v>
      </c>
      <c r="J1237" s="17">
        <v>10.9</v>
      </c>
      <c r="K1237" s="17">
        <v>2</v>
      </c>
      <c r="L1237" s="17">
        <v>1</v>
      </c>
    </row>
    <row r="1238" spans="8:12">
      <c r="H1238" s="16">
        <v>44793</v>
      </c>
      <c r="I1238" s="17" t="s">
        <v>1167</v>
      </c>
      <c r="J1238" s="17">
        <v>10.9</v>
      </c>
      <c r="K1238" s="17">
        <v>2</v>
      </c>
      <c r="L1238" s="17">
        <v>1</v>
      </c>
    </row>
    <row r="1239" spans="8:12">
      <c r="H1239" s="16">
        <v>44793</v>
      </c>
      <c r="I1239" s="17" t="s">
        <v>1166</v>
      </c>
      <c r="J1239" s="17">
        <v>10.9</v>
      </c>
      <c r="K1239" s="17">
        <v>2</v>
      </c>
      <c r="L1239" s="17">
        <v>1</v>
      </c>
    </row>
    <row r="1240" spans="8:12">
      <c r="H1240" s="16">
        <v>44793</v>
      </c>
      <c r="I1240" s="17" t="s">
        <v>1165</v>
      </c>
      <c r="J1240" s="17">
        <v>10.9</v>
      </c>
      <c r="K1240" s="17">
        <v>2</v>
      </c>
      <c r="L1240" s="17">
        <v>1</v>
      </c>
    </row>
    <row r="1241" spans="8:12">
      <c r="H1241" s="16">
        <v>44793</v>
      </c>
      <c r="I1241" s="17" t="s">
        <v>1164</v>
      </c>
      <c r="J1241" s="17">
        <v>10.9</v>
      </c>
      <c r="K1241" s="17">
        <v>2</v>
      </c>
      <c r="L1241" s="17">
        <v>1</v>
      </c>
    </row>
    <row r="1242" spans="8:12">
      <c r="H1242" s="16">
        <v>44793</v>
      </c>
      <c r="I1242" s="17" t="s">
        <v>989</v>
      </c>
      <c r="J1242" s="17">
        <v>10.9</v>
      </c>
      <c r="K1242" s="17">
        <v>2</v>
      </c>
      <c r="L1242" s="17">
        <v>1</v>
      </c>
    </row>
    <row r="1243" spans="8:12">
      <c r="H1243" s="16">
        <v>44793</v>
      </c>
      <c r="I1243" s="17" t="s">
        <v>652</v>
      </c>
      <c r="J1243" s="17">
        <v>10.9</v>
      </c>
      <c r="K1243" s="17">
        <v>2</v>
      </c>
      <c r="L1243" s="17">
        <v>1</v>
      </c>
    </row>
    <row r="1244" spans="8:12">
      <c r="H1244" s="16">
        <v>44793</v>
      </c>
      <c r="I1244" s="17" t="s">
        <v>1162</v>
      </c>
      <c r="J1244" s="17">
        <v>10.9</v>
      </c>
      <c r="K1244" s="17">
        <v>2</v>
      </c>
      <c r="L1244" s="17">
        <v>1</v>
      </c>
    </row>
    <row r="1245" spans="8:12">
      <c r="H1245" s="16">
        <v>44793</v>
      </c>
      <c r="I1245" s="17" t="s">
        <v>1070</v>
      </c>
      <c r="J1245" s="17">
        <v>10.9</v>
      </c>
      <c r="K1245" s="17">
        <v>2</v>
      </c>
      <c r="L1245" s="17">
        <v>1</v>
      </c>
    </row>
    <row r="1246" spans="8:12">
      <c r="H1246" s="16">
        <v>44793</v>
      </c>
      <c r="I1246" s="17" t="s">
        <v>1160</v>
      </c>
      <c r="J1246" s="17">
        <v>10.9</v>
      </c>
      <c r="K1246" s="17">
        <v>2</v>
      </c>
      <c r="L1246" s="17">
        <v>1</v>
      </c>
    </row>
    <row r="1247" spans="8:12">
      <c r="H1247" s="16">
        <v>44793</v>
      </c>
      <c r="I1247" s="17" t="s">
        <v>670</v>
      </c>
      <c r="J1247" s="17">
        <v>9.9</v>
      </c>
      <c r="K1247" s="17">
        <v>1</v>
      </c>
      <c r="L1247" s="17">
        <v>1</v>
      </c>
    </row>
    <row r="1248" spans="8:12">
      <c r="H1248" s="16">
        <v>44793</v>
      </c>
      <c r="I1248" s="17" t="s">
        <v>1223</v>
      </c>
      <c r="J1248" s="17">
        <v>9.9</v>
      </c>
      <c r="K1248" s="17">
        <v>1</v>
      </c>
      <c r="L1248" s="17">
        <v>1</v>
      </c>
    </row>
    <row r="1249" spans="8:12">
      <c r="H1249" s="16">
        <v>44793</v>
      </c>
      <c r="I1249" s="17" t="s">
        <v>667</v>
      </c>
      <c r="J1249" s="17">
        <v>9.9</v>
      </c>
      <c r="K1249" s="17">
        <v>1</v>
      </c>
      <c r="L1249" s="17">
        <v>1</v>
      </c>
    </row>
    <row r="1250" spans="8:12">
      <c r="H1250" s="16">
        <v>44793</v>
      </c>
      <c r="I1250" s="17" t="s">
        <v>1222</v>
      </c>
      <c r="J1250" s="17">
        <v>9.9</v>
      </c>
      <c r="K1250" s="17">
        <v>1</v>
      </c>
      <c r="L1250" s="17">
        <v>1</v>
      </c>
    </row>
    <row r="1251" spans="8:12">
      <c r="H1251" s="16">
        <v>44793</v>
      </c>
      <c r="I1251" s="17" t="s">
        <v>1221</v>
      </c>
      <c r="J1251" s="17">
        <v>9.9</v>
      </c>
      <c r="K1251" s="17">
        <v>1</v>
      </c>
      <c r="L1251" s="17">
        <v>1</v>
      </c>
    </row>
    <row r="1252" spans="8:12">
      <c r="H1252" s="16">
        <v>44793</v>
      </c>
      <c r="I1252" s="17" t="s">
        <v>1219</v>
      </c>
      <c r="J1252" s="17">
        <v>9.9</v>
      </c>
      <c r="K1252" s="17">
        <v>1</v>
      </c>
      <c r="L1252" s="17">
        <v>1</v>
      </c>
    </row>
    <row r="1253" spans="8:12">
      <c r="H1253" s="16">
        <v>44793</v>
      </c>
      <c r="I1253" s="17" t="s">
        <v>1217</v>
      </c>
      <c r="J1253" s="17">
        <v>9.9</v>
      </c>
      <c r="K1253" s="17">
        <v>1</v>
      </c>
      <c r="L1253" s="17">
        <v>1</v>
      </c>
    </row>
    <row r="1254" spans="8:12">
      <c r="H1254" s="16">
        <v>44793</v>
      </c>
      <c r="I1254" s="17" t="s">
        <v>1215</v>
      </c>
      <c r="J1254" s="17">
        <v>9.9</v>
      </c>
      <c r="K1254" s="17">
        <v>1</v>
      </c>
      <c r="L1254" s="17">
        <v>1</v>
      </c>
    </row>
    <row r="1255" spans="8:12">
      <c r="H1255" s="16">
        <v>44793</v>
      </c>
      <c r="I1255" s="17" t="s">
        <v>1214</v>
      </c>
      <c r="J1255" s="17">
        <v>9.9</v>
      </c>
      <c r="K1255" s="17">
        <v>1</v>
      </c>
      <c r="L1255" s="17">
        <v>1</v>
      </c>
    </row>
    <row r="1256" spans="8:12">
      <c r="H1256" s="16">
        <v>44793</v>
      </c>
      <c r="I1256" s="17" t="s">
        <v>1213</v>
      </c>
      <c r="J1256" s="17">
        <v>9.9</v>
      </c>
      <c r="K1256" s="17">
        <v>1</v>
      </c>
      <c r="L1256" s="17">
        <v>1</v>
      </c>
    </row>
    <row r="1257" spans="8:12">
      <c r="H1257" s="16">
        <v>44793</v>
      </c>
      <c r="I1257" s="17" t="s">
        <v>1212</v>
      </c>
      <c r="J1257" s="17">
        <v>9.9</v>
      </c>
      <c r="K1257" s="17">
        <v>1</v>
      </c>
      <c r="L1257" s="17">
        <v>1</v>
      </c>
    </row>
    <row r="1258" spans="8:12">
      <c r="H1258" s="16">
        <v>44793</v>
      </c>
      <c r="I1258" s="17" t="s">
        <v>1275</v>
      </c>
      <c r="J1258" s="17">
        <v>1</v>
      </c>
      <c r="K1258" s="17">
        <v>1</v>
      </c>
      <c r="L1258" s="17">
        <v>1</v>
      </c>
    </row>
    <row r="1259" spans="8:12">
      <c r="H1259" s="16">
        <v>44793</v>
      </c>
      <c r="I1259" s="17" t="s">
        <v>1259</v>
      </c>
      <c r="J1259" s="17">
        <v>1</v>
      </c>
      <c r="K1259" s="17">
        <v>1</v>
      </c>
      <c r="L1259" s="17">
        <v>1</v>
      </c>
    </row>
    <row r="1260" spans="8:12">
      <c r="H1260" s="16">
        <v>44793</v>
      </c>
      <c r="I1260" s="17" t="s">
        <v>1137</v>
      </c>
      <c r="J1260" s="17">
        <v>1</v>
      </c>
      <c r="K1260" s="17">
        <v>1</v>
      </c>
      <c r="L1260" s="17">
        <v>1</v>
      </c>
    </row>
    <row r="1261" spans="8:12">
      <c r="H1261" s="16">
        <v>44793</v>
      </c>
      <c r="I1261" s="17" t="s">
        <v>1258</v>
      </c>
      <c r="J1261" s="17">
        <v>1</v>
      </c>
      <c r="K1261" s="17">
        <v>1</v>
      </c>
      <c r="L1261" s="17">
        <v>1</v>
      </c>
    </row>
    <row r="1262" spans="8:12">
      <c r="H1262" s="16">
        <v>44793</v>
      </c>
      <c r="I1262" s="17" t="s">
        <v>373</v>
      </c>
      <c r="J1262" s="17">
        <v>1</v>
      </c>
      <c r="K1262" s="17">
        <v>1</v>
      </c>
      <c r="L1262" s="17">
        <v>1</v>
      </c>
    </row>
    <row r="1263" spans="8:12">
      <c r="H1263" s="16">
        <v>44793</v>
      </c>
      <c r="I1263" s="17" t="s">
        <v>872</v>
      </c>
      <c r="J1263" s="17">
        <v>1</v>
      </c>
      <c r="K1263" s="17">
        <v>1</v>
      </c>
      <c r="L1263" s="17">
        <v>1</v>
      </c>
    </row>
    <row r="1264" spans="8:12">
      <c r="H1264" s="16">
        <v>44793</v>
      </c>
      <c r="I1264" s="17" t="s">
        <v>456</v>
      </c>
      <c r="J1264" s="17">
        <v>1</v>
      </c>
      <c r="K1264" s="17">
        <v>1</v>
      </c>
      <c r="L1264" s="17">
        <v>1</v>
      </c>
    </row>
    <row r="1265" spans="8:12">
      <c r="H1265" s="16">
        <v>44793</v>
      </c>
      <c r="I1265" s="17" t="s">
        <v>608</v>
      </c>
      <c r="J1265" s="17">
        <v>1</v>
      </c>
      <c r="K1265" s="17">
        <v>1</v>
      </c>
      <c r="L1265" s="17">
        <v>1</v>
      </c>
    </row>
    <row r="1266" spans="8:12">
      <c r="H1266" s="16">
        <v>44793</v>
      </c>
      <c r="I1266" s="17" t="s">
        <v>1071</v>
      </c>
      <c r="J1266" s="17">
        <v>1</v>
      </c>
      <c r="K1266" s="17">
        <v>1</v>
      </c>
      <c r="L1266" s="17">
        <v>1</v>
      </c>
    </row>
    <row r="1267" spans="8:12">
      <c r="H1267" s="16">
        <v>44793</v>
      </c>
      <c r="I1267" s="17" t="s">
        <v>959</v>
      </c>
      <c r="J1267" s="17">
        <v>1</v>
      </c>
      <c r="K1267" s="17">
        <v>1</v>
      </c>
      <c r="L1267" s="17">
        <v>1</v>
      </c>
    </row>
    <row r="1268" spans="8:12">
      <c r="H1268" s="16">
        <v>44793</v>
      </c>
      <c r="I1268" s="17" t="s">
        <v>618</v>
      </c>
      <c r="J1268" s="17">
        <v>1</v>
      </c>
      <c r="K1268" s="17">
        <v>1</v>
      </c>
      <c r="L1268" s="17">
        <v>1</v>
      </c>
    </row>
    <row r="1269" spans="8:12">
      <c r="H1269" s="16">
        <v>44793</v>
      </c>
      <c r="I1269" s="17" t="s">
        <v>1131</v>
      </c>
      <c r="J1269" s="17">
        <v>1</v>
      </c>
      <c r="K1269" s="17">
        <v>1</v>
      </c>
      <c r="L1269" s="17">
        <v>1</v>
      </c>
    </row>
    <row r="1270" spans="8:12">
      <c r="H1270" s="16">
        <v>44793</v>
      </c>
      <c r="I1270" s="17" t="s">
        <v>719</v>
      </c>
      <c r="J1270" s="17">
        <v>1</v>
      </c>
      <c r="K1270" s="17">
        <v>1</v>
      </c>
      <c r="L1270" s="17">
        <v>1</v>
      </c>
    </row>
    <row r="1271" spans="8:12">
      <c r="H1271" s="16">
        <v>44793</v>
      </c>
      <c r="I1271" s="17" t="s">
        <v>889</v>
      </c>
      <c r="J1271" s="17">
        <v>1</v>
      </c>
      <c r="K1271" s="17">
        <v>1</v>
      </c>
      <c r="L1271" s="17">
        <v>1</v>
      </c>
    </row>
    <row r="1272" spans="8:12">
      <c r="H1272" s="16">
        <v>44793</v>
      </c>
      <c r="I1272" s="17" t="s">
        <v>1274</v>
      </c>
      <c r="J1272" s="17">
        <v>1</v>
      </c>
      <c r="K1272" s="17">
        <v>1</v>
      </c>
      <c r="L1272" s="17">
        <v>1</v>
      </c>
    </row>
    <row r="1273" spans="8:12">
      <c r="H1273" s="16">
        <v>44793</v>
      </c>
      <c r="I1273" s="17" t="s">
        <v>1273</v>
      </c>
      <c r="J1273" s="17">
        <v>1</v>
      </c>
      <c r="K1273" s="17">
        <v>1</v>
      </c>
      <c r="L1273" s="17">
        <v>1</v>
      </c>
    </row>
    <row r="1274" spans="8:12">
      <c r="H1274" s="16">
        <v>44793</v>
      </c>
      <c r="I1274" s="17" t="s">
        <v>538</v>
      </c>
      <c r="J1274" s="17">
        <v>1</v>
      </c>
      <c r="K1274" s="17">
        <v>1</v>
      </c>
      <c r="L1274" s="17">
        <v>1</v>
      </c>
    </row>
    <row r="1275" spans="8:12">
      <c r="H1275" s="16">
        <v>44793</v>
      </c>
      <c r="I1275" s="17" t="s">
        <v>1272</v>
      </c>
      <c r="J1275" s="17">
        <v>1</v>
      </c>
      <c r="K1275" s="17">
        <v>1</v>
      </c>
      <c r="L1275" s="17">
        <v>1</v>
      </c>
    </row>
    <row r="1276" spans="8:12">
      <c r="H1276" s="16">
        <v>44793</v>
      </c>
      <c r="I1276" s="17" t="s">
        <v>545</v>
      </c>
      <c r="J1276" s="17">
        <v>1</v>
      </c>
      <c r="K1276" s="17">
        <v>1</v>
      </c>
      <c r="L1276" s="17">
        <v>1</v>
      </c>
    </row>
    <row r="1277" spans="8:12">
      <c r="H1277" s="16">
        <v>44793</v>
      </c>
      <c r="I1277" s="17" t="s">
        <v>1069</v>
      </c>
      <c r="J1277" s="17">
        <v>1</v>
      </c>
      <c r="K1277" s="17">
        <v>1</v>
      </c>
      <c r="L1277" s="17">
        <v>1</v>
      </c>
    </row>
    <row r="1278" spans="8:12">
      <c r="H1278" s="16">
        <v>44793</v>
      </c>
      <c r="I1278" s="17" t="s">
        <v>1068</v>
      </c>
      <c r="J1278" s="17">
        <v>1</v>
      </c>
      <c r="K1278" s="17">
        <v>1</v>
      </c>
      <c r="L1278" s="17">
        <v>1</v>
      </c>
    </row>
    <row r="1279" spans="8:12">
      <c r="H1279" s="16">
        <v>44793</v>
      </c>
      <c r="I1279" s="17" t="s">
        <v>483</v>
      </c>
      <c r="J1279" s="17">
        <v>1</v>
      </c>
      <c r="K1279" s="17">
        <v>1</v>
      </c>
      <c r="L1279" s="17">
        <v>1</v>
      </c>
    </row>
    <row r="1280" spans="8:12">
      <c r="H1280" s="16">
        <v>44793</v>
      </c>
      <c r="I1280" s="17" t="s">
        <v>573</v>
      </c>
      <c r="J1280" s="17">
        <v>1</v>
      </c>
      <c r="K1280" s="17">
        <v>1</v>
      </c>
      <c r="L1280" s="17">
        <v>1</v>
      </c>
    </row>
    <row r="1281" spans="8:12">
      <c r="H1281" s="16">
        <v>44793</v>
      </c>
      <c r="I1281" s="17" t="s">
        <v>1271</v>
      </c>
      <c r="J1281" s="17">
        <v>1</v>
      </c>
      <c r="K1281" s="17">
        <v>1</v>
      </c>
      <c r="L1281" s="17">
        <v>1</v>
      </c>
    </row>
    <row r="1282" spans="8:12">
      <c r="H1282" s="16">
        <v>44793</v>
      </c>
      <c r="I1282" s="17" t="s">
        <v>863</v>
      </c>
      <c r="J1282" s="17">
        <v>1</v>
      </c>
      <c r="K1282" s="17">
        <v>1</v>
      </c>
      <c r="L1282" s="17">
        <v>1</v>
      </c>
    </row>
    <row r="1283" spans="8:12">
      <c r="H1283" s="16">
        <v>44793</v>
      </c>
      <c r="I1283" s="17" t="s">
        <v>1270</v>
      </c>
      <c r="J1283" s="17">
        <v>1</v>
      </c>
      <c r="K1283" s="17">
        <v>1</v>
      </c>
      <c r="L1283" s="17">
        <v>1</v>
      </c>
    </row>
    <row r="1284" spans="8:12">
      <c r="H1284" s="16">
        <v>44793</v>
      </c>
      <c r="I1284" s="17" t="s">
        <v>474</v>
      </c>
      <c r="J1284" s="17">
        <v>1</v>
      </c>
      <c r="K1284" s="17">
        <v>1</v>
      </c>
      <c r="L1284" s="17">
        <v>1</v>
      </c>
    </row>
    <row r="1285" spans="8:12">
      <c r="H1285" s="16">
        <v>44793</v>
      </c>
      <c r="I1285" s="17" t="s">
        <v>733</v>
      </c>
      <c r="J1285" s="17">
        <v>1</v>
      </c>
      <c r="K1285" s="17">
        <v>1</v>
      </c>
      <c r="L1285" s="17">
        <v>1</v>
      </c>
    </row>
    <row r="1286" spans="8:12">
      <c r="H1286" s="16">
        <v>44793</v>
      </c>
      <c r="I1286" s="17" t="s">
        <v>925</v>
      </c>
      <c r="J1286" s="17">
        <v>1</v>
      </c>
      <c r="K1286" s="17">
        <v>1</v>
      </c>
      <c r="L1286" s="17">
        <v>1</v>
      </c>
    </row>
    <row r="1287" spans="8:12">
      <c r="H1287" s="16">
        <v>44793</v>
      </c>
      <c r="I1287" s="17" t="s">
        <v>1254</v>
      </c>
      <c r="J1287" s="17">
        <v>1</v>
      </c>
      <c r="K1287" s="17">
        <v>1</v>
      </c>
      <c r="L1287" s="17">
        <v>1</v>
      </c>
    </row>
    <row r="1288" spans="8:12">
      <c r="H1288" s="16">
        <v>44793</v>
      </c>
      <c r="I1288" s="17" t="s">
        <v>787</v>
      </c>
      <c r="J1288" s="17">
        <v>1</v>
      </c>
      <c r="K1288" s="17">
        <v>1</v>
      </c>
      <c r="L1288" s="17">
        <v>1</v>
      </c>
    </row>
    <row r="1289" spans="8:12">
      <c r="H1289" s="16">
        <v>44793</v>
      </c>
      <c r="I1289" s="17" t="s">
        <v>655</v>
      </c>
      <c r="J1289" s="17">
        <v>1</v>
      </c>
      <c r="K1289" s="17">
        <v>1</v>
      </c>
      <c r="L1289" s="17">
        <v>1</v>
      </c>
    </row>
    <row r="1290" spans="8:12">
      <c r="H1290" s="16">
        <v>44793</v>
      </c>
      <c r="I1290" s="17" t="s">
        <v>1269</v>
      </c>
      <c r="J1290" s="17">
        <v>1</v>
      </c>
      <c r="K1290" s="17">
        <v>1</v>
      </c>
      <c r="L1290" s="17">
        <v>1</v>
      </c>
    </row>
    <row r="1291" spans="8:12">
      <c r="H1291" s="16">
        <v>44793</v>
      </c>
      <c r="I1291" s="17" t="s">
        <v>1268</v>
      </c>
      <c r="J1291" s="17">
        <v>1</v>
      </c>
      <c r="K1291" s="17">
        <v>1</v>
      </c>
      <c r="L1291" s="17">
        <v>1</v>
      </c>
    </row>
    <row r="1292" spans="8:12">
      <c r="H1292" s="16">
        <v>44793</v>
      </c>
      <c r="I1292" s="17" t="s">
        <v>518</v>
      </c>
      <c r="J1292" s="17">
        <v>1</v>
      </c>
      <c r="K1292" s="17">
        <v>1</v>
      </c>
      <c r="L1292" s="17">
        <v>1</v>
      </c>
    </row>
    <row r="1293" spans="8:12">
      <c r="H1293" s="16">
        <v>44791</v>
      </c>
      <c r="I1293" s="17" t="s">
        <v>517</v>
      </c>
      <c r="J1293" s="17">
        <v>675</v>
      </c>
      <c r="K1293" s="17">
        <v>6</v>
      </c>
      <c r="L1293" s="17">
        <v>1</v>
      </c>
    </row>
    <row r="1294" spans="8:12">
      <c r="H1294" s="16">
        <v>44791</v>
      </c>
      <c r="I1294" s="17" t="s">
        <v>476</v>
      </c>
      <c r="J1294" s="17">
        <v>327</v>
      </c>
      <c r="K1294" s="17">
        <v>3</v>
      </c>
      <c r="L1294" s="17">
        <v>1</v>
      </c>
    </row>
    <row r="1295" spans="8:12">
      <c r="H1295" s="16">
        <v>44791</v>
      </c>
      <c r="I1295" s="17" t="s">
        <v>486</v>
      </c>
      <c r="J1295" s="17">
        <v>245.92</v>
      </c>
      <c r="K1295" s="17">
        <v>3</v>
      </c>
      <c r="L1295" s="17">
        <v>1</v>
      </c>
    </row>
    <row r="1296" spans="8:12">
      <c r="H1296" s="16">
        <v>44791</v>
      </c>
      <c r="I1296" s="17" t="s">
        <v>634</v>
      </c>
      <c r="J1296" s="17">
        <v>177.9</v>
      </c>
      <c r="K1296" s="17">
        <v>4</v>
      </c>
      <c r="L1296" s="17">
        <v>1</v>
      </c>
    </row>
    <row r="1297" spans="8:12">
      <c r="H1297" s="16">
        <v>44791</v>
      </c>
      <c r="I1297" s="17" t="s">
        <v>404</v>
      </c>
      <c r="J1297" s="17">
        <v>176</v>
      </c>
      <c r="K1297" s="17">
        <v>2</v>
      </c>
      <c r="L1297" s="17">
        <v>1</v>
      </c>
    </row>
    <row r="1298" spans="8:12">
      <c r="H1298" s="16">
        <v>44791</v>
      </c>
      <c r="I1298" s="17" t="s">
        <v>896</v>
      </c>
      <c r="J1298" s="17">
        <v>157.9</v>
      </c>
      <c r="K1298" s="17">
        <v>2</v>
      </c>
      <c r="L1298" s="17">
        <v>1</v>
      </c>
    </row>
    <row r="1299" spans="8:12">
      <c r="H1299" s="16">
        <v>44791</v>
      </c>
      <c r="I1299" s="17" t="s">
        <v>491</v>
      </c>
      <c r="J1299" s="17">
        <v>154.9</v>
      </c>
      <c r="K1299" s="17">
        <v>2</v>
      </c>
      <c r="L1299" s="17">
        <v>1</v>
      </c>
    </row>
    <row r="1300" spans="8:12">
      <c r="H1300" s="16">
        <v>44791</v>
      </c>
      <c r="I1300" s="17" t="s">
        <v>857</v>
      </c>
      <c r="J1300" s="17">
        <v>149</v>
      </c>
      <c r="K1300" s="17">
        <v>1</v>
      </c>
      <c r="L1300" s="17">
        <v>1</v>
      </c>
    </row>
    <row r="1301" spans="8:12">
      <c r="H1301" s="16">
        <v>44791</v>
      </c>
      <c r="I1301" s="17" t="s">
        <v>669</v>
      </c>
      <c r="J1301" s="17">
        <v>147</v>
      </c>
      <c r="K1301" s="17">
        <v>1</v>
      </c>
      <c r="L1301" s="17">
        <v>1</v>
      </c>
    </row>
    <row r="1302" spans="8:12">
      <c r="H1302" s="16">
        <v>44791</v>
      </c>
      <c r="I1302" s="17" t="s">
        <v>712</v>
      </c>
      <c r="J1302" s="17">
        <v>146.6</v>
      </c>
      <c r="K1302" s="17">
        <v>6</v>
      </c>
      <c r="L1302" s="17">
        <v>1</v>
      </c>
    </row>
    <row r="1303" spans="8:12">
      <c r="H1303" s="16">
        <v>44791</v>
      </c>
      <c r="I1303" s="17" t="s">
        <v>468</v>
      </c>
      <c r="J1303" s="17">
        <v>145</v>
      </c>
      <c r="K1303" s="17">
        <v>1</v>
      </c>
      <c r="L1303" s="17">
        <v>1</v>
      </c>
    </row>
    <row r="1304" spans="8:12">
      <c r="H1304" s="16">
        <v>44791</v>
      </c>
      <c r="I1304" s="17" t="s">
        <v>733</v>
      </c>
      <c r="J1304" s="17">
        <v>128</v>
      </c>
      <c r="K1304" s="17">
        <v>1</v>
      </c>
      <c r="L1304" s="17">
        <v>1</v>
      </c>
    </row>
    <row r="1305" spans="8:12">
      <c r="H1305" s="16">
        <v>44791</v>
      </c>
      <c r="I1305" s="17" t="s">
        <v>647</v>
      </c>
      <c r="J1305" s="17">
        <v>115.9</v>
      </c>
      <c r="K1305" s="17">
        <v>2</v>
      </c>
      <c r="L1305" s="17">
        <v>1</v>
      </c>
    </row>
    <row r="1306" spans="8:12">
      <c r="H1306" s="16">
        <v>44791</v>
      </c>
      <c r="I1306" s="17" t="s">
        <v>929</v>
      </c>
      <c r="J1306" s="17">
        <v>99</v>
      </c>
      <c r="K1306" s="17">
        <v>1</v>
      </c>
      <c r="L1306" s="17">
        <v>1</v>
      </c>
    </row>
    <row r="1307" spans="8:12">
      <c r="H1307" s="16">
        <v>44791</v>
      </c>
      <c r="I1307" s="17" t="s">
        <v>655</v>
      </c>
      <c r="J1307" s="17">
        <v>98.7</v>
      </c>
      <c r="K1307" s="17">
        <v>4</v>
      </c>
      <c r="L1307" s="17">
        <v>1</v>
      </c>
    </row>
    <row r="1308" spans="8:12">
      <c r="H1308" s="16">
        <v>44791</v>
      </c>
      <c r="I1308" s="17" t="s">
        <v>903</v>
      </c>
      <c r="J1308" s="17">
        <v>96</v>
      </c>
      <c r="K1308" s="17">
        <v>1</v>
      </c>
      <c r="L1308" s="17">
        <v>1</v>
      </c>
    </row>
    <row r="1309" spans="8:12">
      <c r="H1309" s="16">
        <v>44791</v>
      </c>
      <c r="I1309" s="17" t="s">
        <v>470</v>
      </c>
      <c r="J1309" s="17">
        <v>76.9</v>
      </c>
      <c r="K1309" s="17">
        <v>2</v>
      </c>
      <c r="L1309" s="17">
        <v>1</v>
      </c>
    </row>
    <row r="1310" spans="8:12">
      <c r="H1310" s="16">
        <v>44791</v>
      </c>
      <c r="I1310" s="17" t="s">
        <v>969</v>
      </c>
      <c r="J1310" s="17">
        <v>76.8</v>
      </c>
      <c r="K1310" s="17">
        <v>2</v>
      </c>
      <c r="L1310" s="17">
        <v>1</v>
      </c>
    </row>
    <row r="1311" spans="8:12">
      <c r="H1311" s="16">
        <v>44791</v>
      </c>
      <c r="I1311" s="17" t="s">
        <v>978</v>
      </c>
      <c r="J1311" s="17">
        <v>69.6</v>
      </c>
      <c r="K1311" s="17">
        <v>3</v>
      </c>
      <c r="L1311" s="17">
        <v>1</v>
      </c>
    </row>
    <row r="1312" spans="8:12">
      <c r="H1312" s="16">
        <v>44791</v>
      </c>
      <c r="I1312" s="17" t="s">
        <v>888</v>
      </c>
      <c r="J1312" s="17">
        <v>50.8</v>
      </c>
      <c r="K1312" s="17">
        <v>3</v>
      </c>
      <c r="L1312" s="17">
        <v>1</v>
      </c>
    </row>
    <row r="1313" spans="8:12">
      <c r="H1313" s="16">
        <v>44791</v>
      </c>
      <c r="I1313" s="17" t="s">
        <v>990</v>
      </c>
      <c r="J1313" s="17">
        <v>50.7</v>
      </c>
      <c r="K1313" s="17">
        <v>4</v>
      </c>
      <c r="L1313" s="17">
        <v>1</v>
      </c>
    </row>
    <row r="1314" spans="8:12">
      <c r="H1314" s="16">
        <v>44791</v>
      </c>
      <c r="I1314" s="17" t="s">
        <v>894</v>
      </c>
      <c r="J1314" s="17">
        <v>46.8</v>
      </c>
      <c r="K1314" s="17">
        <v>2</v>
      </c>
      <c r="L1314" s="17">
        <v>1</v>
      </c>
    </row>
    <row r="1315" spans="8:12">
      <c r="H1315" s="16">
        <v>44791</v>
      </c>
      <c r="I1315" s="17" t="s">
        <v>1009</v>
      </c>
      <c r="J1315" s="17">
        <v>40.9</v>
      </c>
      <c r="K1315" s="17">
        <v>2</v>
      </c>
      <c r="L1315" s="17">
        <v>1</v>
      </c>
    </row>
    <row r="1316" spans="8:12">
      <c r="H1316" s="16">
        <v>44791</v>
      </c>
      <c r="I1316" s="17" t="s">
        <v>879</v>
      </c>
      <c r="J1316" s="17">
        <v>40.9</v>
      </c>
      <c r="K1316" s="17">
        <v>2</v>
      </c>
      <c r="L1316" s="17">
        <v>1</v>
      </c>
    </row>
    <row r="1317" spans="8:12">
      <c r="H1317" s="16">
        <v>44791</v>
      </c>
      <c r="I1317" s="17" t="s">
        <v>382</v>
      </c>
      <c r="J1317" s="17">
        <v>40.7</v>
      </c>
      <c r="K1317" s="17">
        <v>4</v>
      </c>
      <c r="L1317" s="17">
        <v>1</v>
      </c>
    </row>
    <row r="1318" spans="8:12">
      <c r="H1318" s="16">
        <v>44791</v>
      </c>
      <c r="I1318" s="17" t="s">
        <v>1026</v>
      </c>
      <c r="J1318" s="17">
        <v>39.9</v>
      </c>
      <c r="K1318" s="17">
        <v>1</v>
      </c>
      <c r="L1318" s="17">
        <v>1</v>
      </c>
    </row>
    <row r="1319" spans="8:12">
      <c r="H1319" s="16">
        <v>44791</v>
      </c>
      <c r="I1319" s="17" t="s">
        <v>375</v>
      </c>
      <c r="J1319" s="17">
        <v>37.9</v>
      </c>
      <c r="K1319" s="17">
        <v>1</v>
      </c>
      <c r="L1319" s="17">
        <v>1</v>
      </c>
    </row>
    <row r="1320" spans="8:12">
      <c r="H1320" s="16">
        <v>44791</v>
      </c>
      <c r="I1320" s="17" t="s">
        <v>507</v>
      </c>
      <c r="J1320" s="17">
        <v>36.9</v>
      </c>
      <c r="K1320" s="17">
        <v>1</v>
      </c>
      <c r="L1320" s="17">
        <v>1</v>
      </c>
    </row>
    <row r="1321" spans="8:12">
      <c r="H1321" s="16">
        <v>44791</v>
      </c>
      <c r="I1321" s="17" t="s">
        <v>387</v>
      </c>
      <c r="J1321" s="17">
        <v>30.8</v>
      </c>
      <c r="K1321" s="17">
        <v>3</v>
      </c>
      <c r="L1321" s="17">
        <v>1</v>
      </c>
    </row>
    <row r="1322" spans="8:12">
      <c r="H1322" s="16">
        <v>44791</v>
      </c>
      <c r="I1322" s="17" t="s">
        <v>618</v>
      </c>
      <c r="J1322" s="17">
        <v>30.8</v>
      </c>
      <c r="K1322" s="17">
        <v>3</v>
      </c>
      <c r="L1322" s="17">
        <v>1</v>
      </c>
    </row>
    <row r="1323" spans="8:12">
      <c r="H1323" s="16">
        <v>44791</v>
      </c>
      <c r="I1323" s="17" t="s">
        <v>1064</v>
      </c>
      <c r="J1323" s="17">
        <v>29.8</v>
      </c>
      <c r="K1323" s="17">
        <v>2</v>
      </c>
      <c r="L1323" s="17">
        <v>1</v>
      </c>
    </row>
    <row r="1324" spans="8:12">
      <c r="H1324" s="16">
        <v>44791</v>
      </c>
      <c r="I1324" s="17" t="s">
        <v>676</v>
      </c>
      <c r="J1324" s="17">
        <v>29.8</v>
      </c>
      <c r="K1324" s="17">
        <v>2</v>
      </c>
      <c r="L1324" s="17">
        <v>1</v>
      </c>
    </row>
    <row r="1325" spans="8:12">
      <c r="H1325" s="16">
        <v>44791</v>
      </c>
      <c r="I1325" s="17" t="s">
        <v>925</v>
      </c>
      <c r="J1325" s="17">
        <v>20.9</v>
      </c>
      <c r="K1325" s="17">
        <v>2</v>
      </c>
      <c r="L1325" s="17">
        <v>1</v>
      </c>
    </row>
    <row r="1326" spans="8:12">
      <c r="H1326" s="16">
        <v>44791</v>
      </c>
      <c r="I1326" s="17" t="s">
        <v>687</v>
      </c>
      <c r="J1326" s="17">
        <v>19.9</v>
      </c>
      <c r="K1326" s="17">
        <v>1</v>
      </c>
      <c r="L1326" s="17">
        <v>1</v>
      </c>
    </row>
    <row r="1327" spans="8:12">
      <c r="H1327" s="16">
        <v>44791</v>
      </c>
      <c r="I1327" s="17" t="s">
        <v>1072</v>
      </c>
      <c r="J1327" s="17">
        <v>19.9</v>
      </c>
      <c r="K1327" s="17">
        <v>1</v>
      </c>
      <c r="L1327" s="17">
        <v>1</v>
      </c>
    </row>
    <row r="1328" spans="8:12">
      <c r="H1328" s="16">
        <v>44791</v>
      </c>
      <c r="I1328" s="17" t="s">
        <v>1080</v>
      </c>
      <c r="J1328" s="17">
        <v>19.9</v>
      </c>
      <c r="K1328" s="17">
        <v>1</v>
      </c>
      <c r="L1328" s="17">
        <v>1</v>
      </c>
    </row>
    <row r="1329" spans="8:12">
      <c r="H1329" s="16">
        <v>44791</v>
      </c>
      <c r="I1329" s="17" t="s">
        <v>1051</v>
      </c>
      <c r="J1329" s="17">
        <v>19.9</v>
      </c>
      <c r="K1329" s="17">
        <v>1</v>
      </c>
      <c r="L1329" s="17">
        <v>1</v>
      </c>
    </row>
    <row r="1330" spans="8:12">
      <c r="H1330" s="16">
        <v>44791</v>
      </c>
      <c r="I1330" s="17" t="s">
        <v>1079</v>
      </c>
      <c r="J1330" s="17">
        <v>19.9</v>
      </c>
      <c r="K1330" s="17">
        <v>1</v>
      </c>
      <c r="L1330" s="17">
        <v>1</v>
      </c>
    </row>
    <row r="1331" spans="8:12">
      <c r="H1331" s="16">
        <v>44791</v>
      </c>
      <c r="I1331" s="17" t="s">
        <v>660</v>
      </c>
      <c r="J1331" s="17">
        <v>19.9</v>
      </c>
      <c r="K1331" s="17">
        <v>1</v>
      </c>
      <c r="L1331" s="17">
        <v>1</v>
      </c>
    </row>
    <row r="1332" spans="8:12">
      <c r="H1332" s="16">
        <v>44791</v>
      </c>
      <c r="I1332" s="17" t="s">
        <v>608</v>
      </c>
      <c r="J1332" s="17">
        <v>19.8</v>
      </c>
      <c r="K1332" s="17">
        <v>2</v>
      </c>
      <c r="L1332" s="17">
        <v>1</v>
      </c>
    </row>
    <row r="1333" spans="8:12">
      <c r="H1333" s="16">
        <v>44791</v>
      </c>
      <c r="I1333" s="17" t="s">
        <v>485</v>
      </c>
      <c r="J1333" s="17">
        <v>19.8</v>
      </c>
      <c r="K1333" s="17">
        <v>2</v>
      </c>
      <c r="L1333" s="17">
        <v>1</v>
      </c>
    </row>
    <row r="1334" spans="8:12">
      <c r="H1334" s="16">
        <v>44791</v>
      </c>
      <c r="I1334" s="17" t="s">
        <v>989</v>
      </c>
      <c r="J1334" s="17">
        <v>19.8</v>
      </c>
      <c r="K1334" s="17">
        <v>2</v>
      </c>
      <c r="L1334" s="17">
        <v>1</v>
      </c>
    </row>
    <row r="1335" spans="8:12">
      <c r="H1335" s="16">
        <v>44791</v>
      </c>
      <c r="I1335" s="17" t="s">
        <v>1159</v>
      </c>
      <c r="J1335" s="17">
        <v>10.9</v>
      </c>
      <c r="K1335" s="17">
        <v>2</v>
      </c>
      <c r="L1335" s="17">
        <v>1</v>
      </c>
    </row>
    <row r="1336" spans="8:12">
      <c r="H1336" s="16">
        <v>44791</v>
      </c>
      <c r="I1336" s="17" t="s">
        <v>1158</v>
      </c>
      <c r="J1336" s="17">
        <v>10.9</v>
      </c>
      <c r="K1336" s="17">
        <v>2</v>
      </c>
      <c r="L1336" s="17">
        <v>1</v>
      </c>
    </row>
    <row r="1337" spans="8:12">
      <c r="H1337" s="16">
        <v>44791</v>
      </c>
      <c r="I1337" s="17" t="s">
        <v>643</v>
      </c>
      <c r="J1337" s="17">
        <v>10.9</v>
      </c>
      <c r="K1337" s="17">
        <v>2</v>
      </c>
      <c r="L1337" s="17">
        <v>1</v>
      </c>
    </row>
    <row r="1338" spans="8:12">
      <c r="H1338" s="16">
        <v>44791</v>
      </c>
      <c r="I1338" s="17" t="s">
        <v>764</v>
      </c>
      <c r="J1338" s="17">
        <v>10.9</v>
      </c>
      <c r="K1338" s="17">
        <v>2</v>
      </c>
      <c r="L1338" s="17">
        <v>1</v>
      </c>
    </row>
    <row r="1339" spans="8:12">
      <c r="H1339" s="16">
        <v>44791</v>
      </c>
      <c r="I1339" s="17" t="s">
        <v>1157</v>
      </c>
      <c r="J1339" s="17">
        <v>10.9</v>
      </c>
      <c r="K1339" s="17">
        <v>2</v>
      </c>
      <c r="L1339" s="17">
        <v>1</v>
      </c>
    </row>
    <row r="1340" spans="8:12">
      <c r="H1340" s="16">
        <v>44791</v>
      </c>
      <c r="I1340" s="17" t="s">
        <v>1155</v>
      </c>
      <c r="J1340" s="17">
        <v>10.9</v>
      </c>
      <c r="K1340" s="17">
        <v>2</v>
      </c>
      <c r="L1340" s="17">
        <v>1</v>
      </c>
    </row>
    <row r="1341" spans="8:12">
      <c r="H1341" s="16">
        <v>44791</v>
      </c>
      <c r="I1341" s="17" t="s">
        <v>1131</v>
      </c>
      <c r="J1341" s="17">
        <v>10.9</v>
      </c>
      <c r="K1341" s="17">
        <v>2</v>
      </c>
      <c r="L1341" s="17">
        <v>1</v>
      </c>
    </row>
    <row r="1342" spans="8:12">
      <c r="H1342" s="16">
        <v>44791</v>
      </c>
      <c r="I1342" s="17" t="s">
        <v>1153</v>
      </c>
      <c r="J1342" s="17">
        <v>10.9</v>
      </c>
      <c r="K1342" s="17">
        <v>2</v>
      </c>
      <c r="L1342" s="17">
        <v>1</v>
      </c>
    </row>
    <row r="1343" spans="8:12">
      <c r="H1343" s="16">
        <v>44791</v>
      </c>
      <c r="I1343" s="17" t="s">
        <v>1151</v>
      </c>
      <c r="J1343" s="17">
        <v>10.9</v>
      </c>
      <c r="K1343" s="17">
        <v>2</v>
      </c>
      <c r="L1343" s="17">
        <v>1</v>
      </c>
    </row>
    <row r="1344" spans="8:12">
      <c r="H1344" s="16">
        <v>44791</v>
      </c>
      <c r="I1344" s="17" t="s">
        <v>679</v>
      </c>
      <c r="J1344" s="17">
        <v>10.9</v>
      </c>
      <c r="K1344" s="17">
        <v>2</v>
      </c>
      <c r="L1344" s="17">
        <v>1</v>
      </c>
    </row>
    <row r="1345" spans="8:12">
      <c r="H1345" s="16">
        <v>44791</v>
      </c>
      <c r="I1345" s="17" t="s">
        <v>1149</v>
      </c>
      <c r="J1345" s="17">
        <v>10.9</v>
      </c>
      <c r="K1345" s="17">
        <v>2</v>
      </c>
      <c r="L1345" s="17">
        <v>1</v>
      </c>
    </row>
    <row r="1346" spans="8:12">
      <c r="H1346" s="16">
        <v>44791</v>
      </c>
      <c r="I1346" s="17" t="s">
        <v>1211</v>
      </c>
      <c r="J1346" s="17">
        <v>9.9</v>
      </c>
      <c r="K1346" s="17">
        <v>1</v>
      </c>
      <c r="L1346" s="17">
        <v>1</v>
      </c>
    </row>
    <row r="1347" spans="8:12">
      <c r="H1347" s="16">
        <v>44791</v>
      </c>
      <c r="I1347" s="17" t="s">
        <v>1210</v>
      </c>
      <c r="J1347" s="17">
        <v>9.9</v>
      </c>
      <c r="K1347" s="17">
        <v>1</v>
      </c>
      <c r="L1347" s="17">
        <v>1</v>
      </c>
    </row>
    <row r="1348" spans="8:12">
      <c r="H1348" s="16">
        <v>44791</v>
      </c>
      <c r="I1348" s="17" t="s">
        <v>1209</v>
      </c>
      <c r="J1348" s="17">
        <v>9.9</v>
      </c>
      <c r="K1348" s="17">
        <v>1</v>
      </c>
      <c r="L1348" s="17">
        <v>1</v>
      </c>
    </row>
    <row r="1349" spans="8:12">
      <c r="H1349" s="16">
        <v>44791</v>
      </c>
      <c r="I1349" s="17" t="s">
        <v>1208</v>
      </c>
      <c r="J1349" s="17">
        <v>9.9</v>
      </c>
      <c r="K1349" s="17">
        <v>1</v>
      </c>
      <c r="L1349" s="17">
        <v>1</v>
      </c>
    </row>
    <row r="1350" spans="8:12">
      <c r="H1350" s="16">
        <v>44791</v>
      </c>
      <c r="I1350" s="17" t="s">
        <v>849</v>
      </c>
      <c r="J1350" s="17">
        <v>9.9</v>
      </c>
      <c r="K1350" s="17">
        <v>1</v>
      </c>
      <c r="L1350" s="17">
        <v>1</v>
      </c>
    </row>
    <row r="1351" spans="8:12">
      <c r="H1351" s="16">
        <v>44791</v>
      </c>
      <c r="I1351" s="17" t="s">
        <v>1207</v>
      </c>
      <c r="J1351" s="17">
        <v>9.9</v>
      </c>
      <c r="K1351" s="17">
        <v>1</v>
      </c>
      <c r="L1351" s="17">
        <v>1</v>
      </c>
    </row>
    <row r="1352" spans="8:12">
      <c r="H1352" s="16">
        <v>44791</v>
      </c>
      <c r="I1352" s="17" t="s">
        <v>1206</v>
      </c>
      <c r="J1352" s="17">
        <v>9.9</v>
      </c>
      <c r="K1352" s="17">
        <v>1</v>
      </c>
      <c r="L1352" s="17">
        <v>1</v>
      </c>
    </row>
    <row r="1353" spans="8:12">
      <c r="H1353" s="16">
        <v>44791</v>
      </c>
      <c r="I1353" s="17" t="s">
        <v>1205</v>
      </c>
      <c r="J1353" s="17">
        <v>9.9</v>
      </c>
      <c r="K1353" s="17">
        <v>1</v>
      </c>
      <c r="L1353" s="17">
        <v>1</v>
      </c>
    </row>
    <row r="1354" spans="8:12">
      <c r="H1354" s="16">
        <v>44791</v>
      </c>
      <c r="I1354" s="17" t="s">
        <v>1204</v>
      </c>
      <c r="J1354" s="17">
        <v>9.9</v>
      </c>
      <c r="K1354" s="17">
        <v>1</v>
      </c>
      <c r="L1354" s="17">
        <v>1</v>
      </c>
    </row>
    <row r="1355" spans="8:12">
      <c r="H1355" s="16">
        <v>44791</v>
      </c>
      <c r="I1355" s="17" t="s">
        <v>1147</v>
      </c>
      <c r="J1355" s="17">
        <v>9.9</v>
      </c>
      <c r="K1355" s="17">
        <v>1</v>
      </c>
      <c r="L1355" s="17">
        <v>1</v>
      </c>
    </row>
    <row r="1356" spans="8:12">
      <c r="H1356" s="16">
        <v>44791</v>
      </c>
      <c r="I1356" s="17" t="s">
        <v>1203</v>
      </c>
      <c r="J1356" s="17">
        <v>9.9</v>
      </c>
      <c r="K1356" s="17">
        <v>1</v>
      </c>
      <c r="L1356" s="17">
        <v>1</v>
      </c>
    </row>
    <row r="1357" spans="8:12">
      <c r="H1357" s="16">
        <v>44791</v>
      </c>
      <c r="I1357" s="17" t="s">
        <v>512</v>
      </c>
      <c r="J1357" s="17">
        <v>9.9</v>
      </c>
      <c r="K1357" s="17">
        <v>1</v>
      </c>
      <c r="L1357" s="17">
        <v>1</v>
      </c>
    </row>
    <row r="1358" spans="8:12">
      <c r="H1358" s="16">
        <v>44791</v>
      </c>
      <c r="I1358" s="17" t="s">
        <v>807</v>
      </c>
      <c r="J1358" s="17">
        <v>9.9</v>
      </c>
      <c r="K1358" s="17">
        <v>1</v>
      </c>
      <c r="L1358" s="17">
        <v>1</v>
      </c>
    </row>
    <row r="1359" spans="8:12">
      <c r="H1359" s="16">
        <v>44791</v>
      </c>
      <c r="I1359" s="17" t="s">
        <v>1202</v>
      </c>
      <c r="J1359" s="17">
        <v>9.9</v>
      </c>
      <c r="K1359" s="17">
        <v>1</v>
      </c>
      <c r="L1359" s="17">
        <v>1</v>
      </c>
    </row>
    <row r="1360" spans="8:12">
      <c r="H1360" s="16">
        <v>44791</v>
      </c>
      <c r="I1360" s="17" t="s">
        <v>863</v>
      </c>
      <c r="J1360" s="17">
        <v>9.9</v>
      </c>
      <c r="K1360" s="17">
        <v>1</v>
      </c>
      <c r="L1360" s="17">
        <v>1</v>
      </c>
    </row>
    <row r="1361" spans="8:12">
      <c r="H1361" s="16">
        <v>44791</v>
      </c>
      <c r="I1361" s="17" t="s">
        <v>474</v>
      </c>
      <c r="J1361" s="17">
        <v>9.9</v>
      </c>
      <c r="K1361" s="17">
        <v>1</v>
      </c>
      <c r="L1361" s="17">
        <v>1</v>
      </c>
    </row>
    <row r="1362" spans="8:12">
      <c r="H1362" s="16">
        <v>44791</v>
      </c>
      <c r="I1362" s="17" t="s">
        <v>1201</v>
      </c>
      <c r="J1362" s="17">
        <v>9.9</v>
      </c>
      <c r="K1362" s="17">
        <v>1</v>
      </c>
      <c r="L1362" s="17">
        <v>1</v>
      </c>
    </row>
    <row r="1363" spans="8:12">
      <c r="H1363" s="16">
        <v>44791</v>
      </c>
      <c r="I1363" s="17" t="s">
        <v>1200</v>
      </c>
      <c r="J1363" s="17">
        <v>9.9</v>
      </c>
      <c r="K1363" s="17">
        <v>1</v>
      </c>
      <c r="L1363" s="17">
        <v>1</v>
      </c>
    </row>
    <row r="1364" spans="8:12">
      <c r="H1364" s="16">
        <v>44791</v>
      </c>
      <c r="I1364" s="17" t="s">
        <v>1058</v>
      </c>
      <c r="J1364" s="17">
        <v>1</v>
      </c>
      <c r="K1364" s="17">
        <v>1</v>
      </c>
      <c r="L1364" s="17">
        <v>1</v>
      </c>
    </row>
    <row r="1365" spans="8:12">
      <c r="H1365" s="16">
        <v>44791</v>
      </c>
      <c r="I1365" s="17" t="s">
        <v>644</v>
      </c>
      <c r="J1365" s="17">
        <v>1</v>
      </c>
      <c r="K1365" s="17">
        <v>1</v>
      </c>
      <c r="L1365" s="17">
        <v>1</v>
      </c>
    </row>
    <row r="1366" spans="8:12">
      <c r="H1366" s="16">
        <v>44791</v>
      </c>
      <c r="I1366" s="17" t="s">
        <v>636</v>
      </c>
      <c r="J1366" s="17">
        <v>1</v>
      </c>
      <c r="K1366" s="17">
        <v>1</v>
      </c>
      <c r="L1366" s="17">
        <v>1</v>
      </c>
    </row>
    <row r="1367" spans="8:12">
      <c r="H1367" s="16">
        <v>44791</v>
      </c>
      <c r="I1367" s="17" t="s">
        <v>1267</v>
      </c>
      <c r="J1367" s="17">
        <v>1</v>
      </c>
      <c r="K1367" s="17">
        <v>1</v>
      </c>
      <c r="L1367" s="17">
        <v>1</v>
      </c>
    </row>
    <row r="1368" spans="8:12">
      <c r="H1368" s="16">
        <v>44791</v>
      </c>
      <c r="I1368" s="17" t="s">
        <v>1163</v>
      </c>
      <c r="J1368" s="17">
        <v>1</v>
      </c>
      <c r="K1368" s="17">
        <v>1</v>
      </c>
      <c r="L1368" s="17">
        <v>1</v>
      </c>
    </row>
    <row r="1369" spans="8:12">
      <c r="H1369" s="16">
        <v>44791</v>
      </c>
      <c r="I1369" s="17" t="s">
        <v>1266</v>
      </c>
      <c r="J1369" s="17">
        <v>1</v>
      </c>
      <c r="K1369" s="17">
        <v>1</v>
      </c>
      <c r="L1369" s="17">
        <v>1</v>
      </c>
    </row>
    <row r="1370" spans="8:12">
      <c r="H1370" s="16">
        <v>44791</v>
      </c>
      <c r="I1370" s="17" t="s">
        <v>981</v>
      </c>
      <c r="J1370" s="17">
        <v>1</v>
      </c>
      <c r="K1370" s="17">
        <v>1</v>
      </c>
      <c r="L1370" s="17">
        <v>1</v>
      </c>
    </row>
    <row r="1371" spans="8:12">
      <c r="H1371" s="16">
        <v>44791</v>
      </c>
      <c r="I1371" s="17" t="s">
        <v>939</v>
      </c>
      <c r="J1371" s="17">
        <v>1</v>
      </c>
      <c r="K1371" s="17">
        <v>1</v>
      </c>
      <c r="L1371" s="17">
        <v>1</v>
      </c>
    </row>
    <row r="1372" spans="8:12">
      <c r="H1372" s="16">
        <v>44791</v>
      </c>
      <c r="I1372" s="17" t="s">
        <v>1265</v>
      </c>
      <c r="J1372" s="17">
        <v>1</v>
      </c>
      <c r="K1372" s="17">
        <v>1</v>
      </c>
      <c r="L1372" s="17">
        <v>1</v>
      </c>
    </row>
    <row r="1373" spans="8:12">
      <c r="H1373" s="16">
        <v>44791</v>
      </c>
      <c r="I1373" s="17" t="s">
        <v>1264</v>
      </c>
      <c r="J1373" s="17">
        <v>1</v>
      </c>
      <c r="K1373" s="17">
        <v>1</v>
      </c>
      <c r="L1373" s="17">
        <v>1</v>
      </c>
    </row>
    <row r="1374" spans="8:12">
      <c r="H1374" s="16">
        <v>44791</v>
      </c>
      <c r="I1374" s="17" t="s">
        <v>523</v>
      </c>
      <c r="J1374" s="17">
        <v>1</v>
      </c>
      <c r="K1374" s="17">
        <v>1</v>
      </c>
      <c r="L1374" s="17">
        <v>1</v>
      </c>
    </row>
    <row r="1375" spans="8:12">
      <c r="H1375" s="16">
        <v>44791</v>
      </c>
      <c r="I1375" s="17" t="s">
        <v>396</v>
      </c>
      <c r="J1375" s="17">
        <v>1</v>
      </c>
      <c r="K1375" s="17">
        <v>1</v>
      </c>
      <c r="L1375" s="17">
        <v>1</v>
      </c>
    </row>
    <row r="1376" spans="8:12">
      <c r="H1376" s="16">
        <v>44791</v>
      </c>
      <c r="I1376" s="17" t="s">
        <v>581</v>
      </c>
      <c r="J1376" s="17">
        <v>1</v>
      </c>
      <c r="K1376" s="17">
        <v>1</v>
      </c>
      <c r="L1376" s="17">
        <v>1</v>
      </c>
    </row>
    <row r="1377" spans="8:12">
      <c r="H1377" s="16">
        <v>44791</v>
      </c>
      <c r="I1377" s="17" t="s">
        <v>573</v>
      </c>
      <c r="J1377" s="17">
        <v>1</v>
      </c>
      <c r="K1377" s="17">
        <v>1</v>
      </c>
      <c r="L1377" s="17">
        <v>1</v>
      </c>
    </row>
    <row r="1378" spans="8:12">
      <c r="H1378" s="16">
        <v>44791</v>
      </c>
      <c r="I1378" s="17" t="s">
        <v>449</v>
      </c>
      <c r="J1378" s="17">
        <v>1</v>
      </c>
      <c r="K1378" s="17">
        <v>1</v>
      </c>
      <c r="L1378" s="17">
        <v>1</v>
      </c>
    </row>
    <row r="1379" spans="8:12">
      <c r="H1379" s="16">
        <v>44791</v>
      </c>
      <c r="I1379" s="17" t="s">
        <v>603</v>
      </c>
      <c r="J1379" s="17">
        <v>1</v>
      </c>
      <c r="K1379" s="17">
        <v>1</v>
      </c>
      <c r="L1379" s="17">
        <v>1</v>
      </c>
    </row>
    <row r="1380" spans="8:12">
      <c r="H1380" s="16">
        <v>44791</v>
      </c>
      <c r="I1380" s="17" t="s">
        <v>1263</v>
      </c>
      <c r="J1380" s="17">
        <v>1</v>
      </c>
      <c r="K1380" s="17">
        <v>1</v>
      </c>
      <c r="L1380" s="17">
        <v>1</v>
      </c>
    </row>
    <row r="1381" spans="8:12">
      <c r="H1381" s="16">
        <v>44791</v>
      </c>
      <c r="I1381" s="17" t="s">
        <v>1254</v>
      </c>
      <c r="J1381" s="17">
        <v>1</v>
      </c>
      <c r="K1381" s="17">
        <v>1</v>
      </c>
      <c r="L1381" s="17">
        <v>1</v>
      </c>
    </row>
    <row r="1382" spans="8:12">
      <c r="H1382" s="16">
        <v>44791</v>
      </c>
      <c r="I1382" s="17" t="s">
        <v>814</v>
      </c>
      <c r="J1382" s="17">
        <v>1</v>
      </c>
      <c r="K1382" s="17">
        <v>1</v>
      </c>
      <c r="L1382" s="17">
        <v>1</v>
      </c>
    </row>
    <row r="1383" spans="8:12">
      <c r="H1383" s="16">
        <v>44790</v>
      </c>
      <c r="I1383" s="17" t="s">
        <v>489</v>
      </c>
      <c r="J1383" s="17">
        <v>300.8</v>
      </c>
      <c r="K1383" s="17">
        <v>6</v>
      </c>
      <c r="L1383" s="17">
        <v>1</v>
      </c>
    </row>
    <row r="1384" spans="8:12">
      <c r="H1384" s="16">
        <v>44790</v>
      </c>
      <c r="I1384" s="17" t="s">
        <v>483</v>
      </c>
      <c r="J1384" s="17">
        <v>239</v>
      </c>
      <c r="K1384" s="17">
        <v>1</v>
      </c>
      <c r="L1384" s="17">
        <v>1</v>
      </c>
    </row>
    <row r="1385" spans="8:12">
      <c r="H1385" s="16">
        <v>44790</v>
      </c>
      <c r="I1385" s="17" t="s">
        <v>581</v>
      </c>
      <c r="J1385" s="17">
        <v>239</v>
      </c>
      <c r="K1385" s="17">
        <v>1</v>
      </c>
      <c r="L1385" s="17">
        <v>1</v>
      </c>
    </row>
    <row r="1386" spans="8:12">
      <c r="H1386" s="16">
        <v>44790</v>
      </c>
      <c r="I1386" s="17" t="s">
        <v>868</v>
      </c>
      <c r="J1386" s="17">
        <v>239</v>
      </c>
      <c r="K1386" s="17">
        <v>1</v>
      </c>
      <c r="L1386" s="17">
        <v>1</v>
      </c>
    </row>
    <row r="1387" spans="8:12">
      <c r="H1387" s="16">
        <v>44790</v>
      </c>
      <c r="I1387" s="17" t="s">
        <v>849</v>
      </c>
      <c r="J1387" s="17">
        <v>237</v>
      </c>
      <c r="K1387" s="17">
        <v>1</v>
      </c>
      <c r="L1387" s="17">
        <v>1</v>
      </c>
    </row>
    <row r="1388" spans="8:12">
      <c r="H1388" s="16">
        <v>44790</v>
      </c>
      <c r="I1388" s="17" t="s">
        <v>750</v>
      </c>
      <c r="J1388" s="17">
        <v>229.9</v>
      </c>
      <c r="K1388" s="17">
        <v>4</v>
      </c>
      <c r="L1388" s="17">
        <v>1</v>
      </c>
    </row>
    <row r="1389" spans="8:12">
      <c r="H1389" s="16">
        <v>44790</v>
      </c>
      <c r="I1389" s="17" t="s">
        <v>645</v>
      </c>
      <c r="J1389" s="17">
        <v>205.9</v>
      </c>
      <c r="K1389" s="17">
        <v>4</v>
      </c>
      <c r="L1389" s="17">
        <v>1</v>
      </c>
    </row>
    <row r="1390" spans="8:12">
      <c r="H1390" s="16">
        <v>44790</v>
      </c>
      <c r="I1390" s="17" t="s">
        <v>387</v>
      </c>
      <c r="J1390" s="17">
        <v>196</v>
      </c>
      <c r="K1390" s="17">
        <v>2</v>
      </c>
      <c r="L1390" s="17">
        <v>1</v>
      </c>
    </row>
    <row r="1391" spans="8:12">
      <c r="H1391" s="16">
        <v>44790</v>
      </c>
      <c r="I1391" s="17" t="s">
        <v>712</v>
      </c>
      <c r="J1391" s="17">
        <v>185.9</v>
      </c>
      <c r="K1391" s="17">
        <v>3</v>
      </c>
      <c r="L1391" s="17">
        <v>1</v>
      </c>
    </row>
    <row r="1392" spans="8:12">
      <c r="H1392" s="16">
        <v>44790</v>
      </c>
      <c r="I1392" s="17" t="s">
        <v>403</v>
      </c>
      <c r="J1392" s="17">
        <v>185</v>
      </c>
      <c r="K1392" s="17">
        <v>2</v>
      </c>
      <c r="L1392" s="17">
        <v>1</v>
      </c>
    </row>
    <row r="1393" spans="8:12">
      <c r="H1393" s="16">
        <v>44790</v>
      </c>
      <c r="I1393" s="17" t="s">
        <v>512</v>
      </c>
      <c r="J1393" s="17">
        <v>185</v>
      </c>
      <c r="K1393" s="17">
        <v>3</v>
      </c>
      <c r="L1393" s="17">
        <v>1</v>
      </c>
    </row>
    <row r="1394" spans="8:12">
      <c r="H1394" s="16">
        <v>44790</v>
      </c>
      <c r="I1394" s="17" t="s">
        <v>520</v>
      </c>
      <c r="J1394" s="17">
        <v>184.9</v>
      </c>
      <c r="K1394" s="17">
        <v>3</v>
      </c>
      <c r="L1394" s="17">
        <v>1</v>
      </c>
    </row>
    <row r="1395" spans="8:12">
      <c r="H1395" s="16">
        <v>44790</v>
      </c>
      <c r="I1395" s="17" t="s">
        <v>480</v>
      </c>
      <c r="J1395" s="17">
        <v>156.8</v>
      </c>
      <c r="K1395" s="17">
        <v>3</v>
      </c>
      <c r="L1395" s="17">
        <v>1</v>
      </c>
    </row>
    <row r="1396" spans="8:12">
      <c r="H1396" s="16">
        <v>44790</v>
      </c>
      <c r="I1396" s="17" t="s">
        <v>396</v>
      </c>
      <c r="J1396" s="17">
        <v>153</v>
      </c>
      <c r="K1396" s="17">
        <v>2</v>
      </c>
      <c r="L1396" s="17">
        <v>1</v>
      </c>
    </row>
    <row r="1397" spans="8:12">
      <c r="H1397" s="16">
        <v>44790</v>
      </c>
      <c r="I1397" s="17" t="s">
        <v>572</v>
      </c>
      <c r="J1397" s="17">
        <v>125.8</v>
      </c>
      <c r="K1397" s="17">
        <v>4</v>
      </c>
      <c r="L1397" s="17">
        <v>1</v>
      </c>
    </row>
    <row r="1398" spans="8:12">
      <c r="H1398" s="16">
        <v>44790</v>
      </c>
      <c r="I1398" s="17" t="s">
        <v>468</v>
      </c>
      <c r="J1398" s="17">
        <v>125</v>
      </c>
      <c r="K1398" s="17">
        <v>2</v>
      </c>
      <c r="L1398" s="17">
        <v>1</v>
      </c>
    </row>
    <row r="1399" spans="8:12">
      <c r="H1399" s="16">
        <v>44790</v>
      </c>
      <c r="I1399" s="17" t="s">
        <v>624</v>
      </c>
      <c r="J1399" s="17">
        <v>107.9</v>
      </c>
      <c r="K1399" s="17">
        <v>3</v>
      </c>
      <c r="L1399" s="17">
        <v>1</v>
      </c>
    </row>
    <row r="1400" spans="8:12">
      <c r="H1400" s="16">
        <v>44790</v>
      </c>
      <c r="I1400" s="17" t="s">
        <v>939</v>
      </c>
      <c r="J1400" s="17">
        <v>102.9</v>
      </c>
      <c r="K1400" s="17">
        <v>2</v>
      </c>
      <c r="L1400" s="17">
        <v>1</v>
      </c>
    </row>
    <row r="1401" spans="8:12">
      <c r="H1401" s="16">
        <v>44790</v>
      </c>
      <c r="I1401" s="17" t="s">
        <v>456</v>
      </c>
      <c r="J1401" s="17">
        <v>98</v>
      </c>
      <c r="K1401" s="17">
        <v>1</v>
      </c>
      <c r="L1401" s="17">
        <v>1</v>
      </c>
    </row>
    <row r="1402" spans="8:12">
      <c r="H1402" s="16">
        <v>44790</v>
      </c>
      <c r="I1402" s="17" t="s">
        <v>931</v>
      </c>
      <c r="J1402" s="17">
        <v>76.8</v>
      </c>
      <c r="K1402" s="17">
        <v>2</v>
      </c>
      <c r="L1402" s="17">
        <v>1</v>
      </c>
    </row>
    <row r="1403" spans="8:12">
      <c r="H1403" s="16">
        <v>44790</v>
      </c>
      <c r="I1403" s="17" t="s">
        <v>968</v>
      </c>
      <c r="J1403" s="17">
        <v>67.9</v>
      </c>
      <c r="K1403" s="17">
        <v>2</v>
      </c>
      <c r="L1403" s="17">
        <v>1</v>
      </c>
    </row>
    <row r="1404" spans="8:12">
      <c r="H1404" s="16">
        <v>44790</v>
      </c>
      <c r="I1404" s="17" t="s">
        <v>647</v>
      </c>
      <c r="J1404" s="17">
        <v>67.7</v>
      </c>
      <c r="K1404" s="17">
        <v>4</v>
      </c>
      <c r="L1404" s="17">
        <v>1</v>
      </c>
    </row>
    <row r="1405" spans="8:12">
      <c r="H1405" s="16">
        <v>44790</v>
      </c>
      <c r="I1405" s="17" t="s">
        <v>655</v>
      </c>
      <c r="J1405" s="17">
        <v>67</v>
      </c>
      <c r="K1405" s="17">
        <v>2</v>
      </c>
      <c r="L1405" s="17">
        <v>1</v>
      </c>
    </row>
    <row r="1406" spans="8:12">
      <c r="H1406" s="16">
        <v>44790</v>
      </c>
      <c r="I1406" s="17" t="s">
        <v>903</v>
      </c>
      <c r="J1406" s="17">
        <v>66.7</v>
      </c>
      <c r="K1406" s="17">
        <v>3</v>
      </c>
      <c r="L1406" s="17">
        <v>1</v>
      </c>
    </row>
    <row r="1407" spans="8:12">
      <c r="H1407" s="16">
        <v>44790</v>
      </c>
      <c r="I1407" s="17" t="s">
        <v>863</v>
      </c>
      <c r="J1407" s="17">
        <v>56.7</v>
      </c>
      <c r="K1407" s="17">
        <v>3</v>
      </c>
      <c r="L1407" s="17">
        <v>1</v>
      </c>
    </row>
    <row r="1408" spans="8:12">
      <c r="H1408" s="16">
        <v>44790</v>
      </c>
      <c r="I1408" s="17" t="s">
        <v>980</v>
      </c>
      <c r="J1408" s="17">
        <v>56</v>
      </c>
      <c r="K1408" s="17">
        <v>1</v>
      </c>
      <c r="L1408" s="17">
        <v>1</v>
      </c>
    </row>
    <row r="1409" spans="8:12">
      <c r="H1409" s="16">
        <v>44790</v>
      </c>
      <c r="I1409" s="17" t="s">
        <v>733</v>
      </c>
      <c r="J1409" s="17">
        <v>54</v>
      </c>
      <c r="K1409" s="17">
        <v>1</v>
      </c>
      <c r="L1409" s="17">
        <v>1</v>
      </c>
    </row>
    <row r="1410" spans="8:12">
      <c r="H1410" s="16">
        <v>44790</v>
      </c>
      <c r="I1410" s="17" t="s">
        <v>470</v>
      </c>
      <c r="J1410" s="17">
        <v>50.7</v>
      </c>
      <c r="K1410" s="17">
        <v>4</v>
      </c>
      <c r="L1410" s="17">
        <v>1</v>
      </c>
    </row>
    <row r="1411" spans="8:12">
      <c r="H1411" s="16">
        <v>44790</v>
      </c>
      <c r="I1411" s="17" t="s">
        <v>1002</v>
      </c>
      <c r="J1411" s="17">
        <v>46.8</v>
      </c>
      <c r="K1411" s="17">
        <v>2</v>
      </c>
      <c r="L1411" s="17">
        <v>1</v>
      </c>
    </row>
    <row r="1412" spans="8:12">
      <c r="H1412" s="16">
        <v>44790</v>
      </c>
      <c r="I1412" s="17" t="s">
        <v>902</v>
      </c>
      <c r="J1412" s="17">
        <v>37.9</v>
      </c>
      <c r="K1412" s="17">
        <v>1</v>
      </c>
      <c r="L1412" s="17">
        <v>1</v>
      </c>
    </row>
    <row r="1413" spans="8:12">
      <c r="H1413" s="16">
        <v>44790</v>
      </c>
      <c r="I1413" s="17" t="s">
        <v>634</v>
      </c>
      <c r="J1413" s="17">
        <v>37.9</v>
      </c>
      <c r="K1413" s="17">
        <v>1</v>
      </c>
      <c r="L1413" s="17">
        <v>1</v>
      </c>
    </row>
    <row r="1414" spans="8:12">
      <c r="H1414" s="16">
        <v>44790</v>
      </c>
      <c r="I1414" s="17" t="s">
        <v>565</v>
      </c>
      <c r="J1414" s="17">
        <v>36.9</v>
      </c>
      <c r="K1414" s="17">
        <v>1</v>
      </c>
      <c r="L1414" s="17">
        <v>1</v>
      </c>
    </row>
    <row r="1415" spans="8:12">
      <c r="H1415" s="16">
        <v>44790</v>
      </c>
      <c r="I1415" s="17" t="s">
        <v>955</v>
      </c>
      <c r="J1415" s="17">
        <v>36.9</v>
      </c>
      <c r="K1415" s="17">
        <v>1</v>
      </c>
      <c r="L1415" s="17">
        <v>1</v>
      </c>
    </row>
    <row r="1416" spans="8:12">
      <c r="H1416" s="16">
        <v>44790</v>
      </c>
      <c r="I1416" s="17" t="s">
        <v>911</v>
      </c>
      <c r="J1416" s="17">
        <v>29.8</v>
      </c>
      <c r="K1416" s="17">
        <v>2</v>
      </c>
      <c r="L1416" s="17">
        <v>1</v>
      </c>
    </row>
    <row r="1417" spans="8:12">
      <c r="H1417" s="16">
        <v>44790</v>
      </c>
      <c r="I1417" s="17" t="s">
        <v>485</v>
      </c>
      <c r="J1417" s="17">
        <v>29.8</v>
      </c>
      <c r="K1417" s="17">
        <v>2</v>
      </c>
      <c r="L1417" s="17">
        <v>1</v>
      </c>
    </row>
    <row r="1418" spans="8:12">
      <c r="H1418" s="16">
        <v>44790</v>
      </c>
      <c r="I1418" s="17" t="s">
        <v>579</v>
      </c>
      <c r="J1418" s="17">
        <v>20.9</v>
      </c>
      <c r="K1418" s="17">
        <v>2</v>
      </c>
      <c r="L1418" s="17">
        <v>1</v>
      </c>
    </row>
    <row r="1419" spans="8:12">
      <c r="H1419" s="16">
        <v>44790</v>
      </c>
      <c r="I1419" s="17" t="s">
        <v>989</v>
      </c>
      <c r="J1419" s="17">
        <v>20.9</v>
      </c>
      <c r="K1419" s="17">
        <v>2</v>
      </c>
      <c r="L1419" s="17">
        <v>1</v>
      </c>
    </row>
    <row r="1420" spans="8:12">
      <c r="H1420" s="16">
        <v>44790</v>
      </c>
      <c r="I1420" s="17" t="s">
        <v>608</v>
      </c>
      <c r="J1420" s="17">
        <v>19.9</v>
      </c>
      <c r="K1420" s="17">
        <v>1</v>
      </c>
      <c r="L1420" s="17">
        <v>1</v>
      </c>
    </row>
    <row r="1421" spans="8:12">
      <c r="H1421" s="16">
        <v>44790</v>
      </c>
      <c r="I1421" s="17" t="s">
        <v>1071</v>
      </c>
      <c r="J1421" s="17">
        <v>19.9</v>
      </c>
      <c r="K1421" s="17">
        <v>1</v>
      </c>
      <c r="L1421" s="17">
        <v>1</v>
      </c>
    </row>
    <row r="1422" spans="8:12">
      <c r="H1422" s="16">
        <v>44790</v>
      </c>
      <c r="I1422" s="17" t="s">
        <v>658</v>
      </c>
      <c r="J1422" s="17">
        <v>19.9</v>
      </c>
      <c r="K1422" s="17">
        <v>1</v>
      </c>
      <c r="L1422" s="17">
        <v>1</v>
      </c>
    </row>
    <row r="1423" spans="8:12">
      <c r="H1423" s="16">
        <v>44790</v>
      </c>
      <c r="I1423" s="17" t="s">
        <v>813</v>
      </c>
      <c r="J1423" s="17">
        <v>19.9</v>
      </c>
      <c r="K1423" s="17">
        <v>1</v>
      </c>
      <c r="L1423" s="17">
        <v>1</v>
      </c>
    </row>
    <row r="1424" spans="8:12">
      <c r="H1424" s="16">
        <v>44790</v>
      </c>
      <c r="I1424" s="17" t="s">
        <v>722</v>
      </c>
      <c r="J1424" s="17">
        <v>19.9</v>
      </c>
      <c r="K1424" s="17">
        <v>1</v>
      </c>
      <c r="L1424" s="17">
        <v>1</v>
      </c>
    </row>
    <row r="1425" spans="8:12">
      <c r="H1425" s="16">
        <v>44790</v>
      </c>
      <c r="I1425" s="17" t="s">
        <v>1078</v>
      </c>
      <c r="J1425" s="17">
        <v>19.9</v>
      </c>
      <c r="K1425" s="17">
        <v>1</v>
      </c>
      <c r="L1425" s="17">
        <v>1</v>
      </c>
    </row>
    <row r="1426" spans="8:12">
      <c r="H1426" s="16">
        <v>44790</v>
      </c>
      <c r="I1426" s="17" t="s">
        <v>1127</v>
      </c>
      <c r="J1426" s="17">
        <v>19.8</v>
      </c>
      <c r="K1426" s="17">
        <v>2</v>
      </c>
      <c r="L1426" s="17">
        <v>1</v>
      </c>
    </row>
    <row r="1427" spans="8:12">
      <c r="H1427" s="16">
        <v>44790</v>
      </c>
      <c r="I1427" s="17" t="s">
        <v>1142</v>
      </c>
      <c r="J1427" s="17">
        <v>11</v>
      </c>
      <c r="K1427" s="17">
        <v>1</v>
      </c>
      <c r="L1427" s="17">
        <v>1</v>
      </c>
    </row>
    <row r="1428" spans="8:12">
      <c r="H1428" s="16">
        <v>44790</v>
      </c>
      <c r="I1428" s="17" t="s">
        <v>1145</v>
      </c>
      <c r="J1428" s="17">
        <v>10.9</v>
      </c>
      <c r="K1428" s="17">
        <v>2</v>
      </c>
      <c r="L1428" s="17">
        <v>1</v>
      </c>
    </row>
    <row r="1429" spans="8:12">
      <c r="H1429" s="16">
        <v>44790</v>
      </c>
      <c r="I1429" s="17" t="s">
        <v>981</v>
      </c>
      <c r="J1429" s="17">
        <v>10.9</v>
      </c>
      <c r="K1429" s="17">
        <v>2</v>
      </c>
      <c r="L1429" s="17">
        <v>1</v>
      </c>
    </row>
    <row r="1430" spans="8:12">
      <c r="H1430" s="16">
        <v>44790</v>
      </c>
      <c r="I1430" s="17" t="s">
        <v>471</v>
      </c>
      <c r="J1430" s="17">
        <v>10.9</v>
      </c>
      <c r="K1430" s="17">
        <v>2</v>
      </c>
      <c r="L1430" s="17">
        <v>1</v>
      </c>
    </row>
    <row r="1431" spans="8:12">
      <c r="H1431" s="16">
        <v>44790</v>
      </c>
      <c r="I1431" s="17" t="s">
        <v>1144</v>
      </c>
      <c r="J1431" s="17">
        <v>10.9</v>
      </c>
      <c r="K1431" s="17">
        <v>2</v>
      </c>
      <c r="L1431" s="17">
        <v>1</v>
      </c>
    </row>
    <row r="1432" spans="8:12">
      <c r="H1432" s="16">
        <v>44790</v>
      </c>
      <c r="I1432" s="17" t="s">
        <v>1199</v>
      </c>
      <c r="J1432" s="17">
        <v>9.9</v>
      </c>
      <c r="K1432" s="17">
        <v>1</v>
      </c>
      <c r="L1432" s="17">
        <v>1</v>
      </c>
    </row>
    <row r="1433" spans="8:12">
      <c r="H1433" s="16">
        <v>44790</v>
      </c>
      <c r="I1433" s="17" t="s">
        <v>502</v>
      </c>
      <c r="J1433" s="17">
        <v>9.9</v>
      </c>
      <c r="K1433" s="17">
        <v>1</v>
      </c>
      <c r="L1433" s="17">
        <v>1</v>
      </c>
    </row>
    <row r="1434" spans="8:12">
      <c r="H1434" s="16">
        <v>44790</v>
      </c>
      <c r="I1434" s="17" t="s">
        <v>1198</v>
      </c>
      <c r="J1434" s="17">
        <v>9.9</v>
      </c>
      <c r="K1434" s="17">
        <v>1</v>
      </c>
      <c r="L1434" s="17">
        <v>1</v>
      </c>
    </row>
    <row r="1435" spans="8:12">
      <c r="H1435" s="16">
        <v>44790</v>
      </c>
      <c r="I1435" s="17" t="s">
        <v>523</v>
      </c>
      <c r="J1435" s="17">
        <v>9.9</v>
      </c>
      <c r="K1435" s="17">
        <v>1</v>
      </c>
      <c r="L1435" s="17">
        <v>1</v>
      </c>
    </row>
    <row r="1436" spans="8:12">
      <c r="H1436" s="16">
        <v>44790</v>
      </c>
      <c r="I1436" s="17" t="s">
        <v>1197</v>
      </c>
      <c r="J1436" s="17">
        <v>9.9</v>
      </c>
      <c r="K1436" s="17">
        <v>1</v>
      </c>
      <c r="L1436" s="17">
        <v>1</v>
      </c>
    </row>
    <row r="1437" spans="8:12">
      <c r="H1437" s="16">
        <v>44790</v>
      </c>
      <c r="I1437" s="17" t="s">
        <v>1196</v>
      </c>
      <c r="J1437" s="17">
        <v>9.9</v>
      </c>
      <c r="K1437" s="17">
        <v>1</v>
      </c>
      <c r="L1437" s="17">
        <v>1</v>
      </c>
    </row>
    <row r="1438" spans="8:12">
      <c r="H1438" s="16">
        <v>44790</v>
      </c>
      <c r="I1438" s="17" t="s">
        <v>1195</v>
      </c>
      <c r="J1438" s="17">
        <v>9.9</v>
      </c>
      <c r="K1438" s="17">
        <v>1</v>
      </c>
      <c r="L1438" s="17">
        <v>1</v>
      </c>
    </row>
    <row r="1439" spans="8:12">
      <c r="H1439" s="16">
        <v>44790</v>
      </c>
      <c r="I1439" s="17" t="s">
        <v>885</v>
      </c>
      <c r="J1439" s="17">
        <v>9.9</v>
      </c>
      <c r="K1439" s="17">
        <v>1</v>
      </c>
      <c r="L1439" s="17">
        <v>1</v>
      </c>
    </row>
    <row r="1440" spans="8:12">
      <c r="H1440" s="16">
        <v>44790</v>
      </c>
      <c r="I1440" s="17" t="s">
        <v>671</v>
      </c>
      <c r="J1440" s="17">
        <v>9.9</v>
      </c>
      <c r="K1440" s="17">
        <v>1</v>
      </c>
      <c r="L1440" s="17">
        <v>1</v>
      </c>
    </row>
    <row r="1441" spans="8:12">
      <c r="H1441" s="16">
        <v>44790</v>
      </c>
      <c r="I1441" s="17" t="s">
        <v>450</v>
      </c>
      <c r="J1441" s="17">
        <v>9.9</v>
      </c>
      <c r="K1441" s="17">
        <v>1</v>
      </c>
      <c r="L1441" s="17">
        <v>1</v>
      </c>
    </row>
    <row r="1442" spans="8:12">
      <c r="H1442" s="16">
        <v>44790</v>
      </c>
      <c r="I1442" s="17" t="s">
        <v>896</v>
      </c>
      <c r="J1442" s="17">
        <v>1</v>
      </c>
      <c r="K1442" s="17">
        <v>1</v>
      </c>
      <c r="L1442" s="17">
        <v>1</v>
      </c>
    </row>
    <row r="1443" spans="8:12">
      <c r="H1443" s="16">
        <v>44790</v>
      </c>
      <c r="I1443" s="17" t="s">
        <v>1137</v>
      </c>
      <c r="J1443" s="17">
        <v>1</v>
      </c>
      <c r="K1443" s="17">
        <v>1</v>
      </c>
      <c r="L1443" s="17">
        <v>1</v>
      </c>
    </row>
    <row r="1444" spans="8:12">
      <c r="H1444" s="16">
        <v>44790</v>
      </c>
      <c r="I1444" s="17" t="s">
        <v>1262</v>
      </c>
      <c r="J1444" s="17">
        <v>1</v>
      </c>
      <c r="K1444" s="17">
        <v>1</v>
      </c>
      <c r="L1444" s="17">
        <v>1</v>
      </c>
    </row>
    <row r="1445" spans="8:12">
      <c r="H1445" s="16">
        <v>44790</v>
      </c>
      <c r="I1445" s="17" t="s">
        <v>1261</v>
      </c>
      <c r="J1445" s="17">
        <v>1</v>
      </c>
      <c r="K1445" s="17">
        <v>1</v>
      </c>
      <c r="L1445" s="17">
        <v>1</v>
      </c>
    </row>
    <row r="1446" spans="8:12">
      <c r="H1446" s="16">
        <v>44790</v>
      </c>
      <c r="I1446" s="17" t="s">
        <v>1046</v>
      </c>
      <c r="J1446" s="17">
        <v>1</v>
      </c>
      <c r="K1446" s="17">
        <v>1</v>
      </c>
      <c r="L1446" s="17">
        <v>1</v>
      </c>
    </row>
    <row r="1447" spans="8:12">
      <c r="H1447" s="16">
        <v>44790</v>
      </c>
      <c r="I1447" s="17" t="s">
        <v>1260</v>
      </c>
      <c r="J1447" s="17">
        <v>1</v>
      </c>
      <c r="K1447" s="17">
        <v>1</v>
      </c>
      <c r="L1447" s="17">
        <v>1</v>
      </c>
    </row>
    <row r="1448" spans="8:12">
      <c r="H1448" s="16">
        <v>44790</v>
      </c>
      <c r="I1448" s="17" t="s">
        <v>1147</v>
      </c>
      <c r="J1448" s="17">
        <v>1</v>
      </c>
      <c r="K1448" s="17">
        <v>1</v>
      </c>
      <c r="L1448" s="17">
        <v>1</v>
      </c>
    </row>
    <row r="1449" spans="8:12">
      <c r="H1449" s="16">
        <v>44790</v>
      </c>
      <c r="I1449" s="17" t="s">
        <v>909</v>
      </c>
      <c r="J1449" s="17">
        <v>1</v>
      </c>
      <c r="K1449" s="17">
        <v>1</v>
      </c>
      <c r="L1449" s="17">
        <v>1</v>
      </c>
    </row>
    <row r="1450" spans="8:12">
      <c r="H1450" s="16">
        <v>44790</v>
      </c>
      <c r="I1450" s="17" t="s">
        <v>474</v>
      </c>
      <c r="J1450" s="17">
        <v>1</v>
      </c>
      <c r="K1450" s="17">
        <v>1</v>
      </c>
      <c r="L1450" s="17">
        <v>1</v>
      </c>
    </row>
    <row r="1451" spans="8:12">
      <c r="H1451" s="16">
        <v>44790</v>
      </c>
      <c r="I1451" s="17" t="s">
        <v>467</v>
      </c>
      <c r="J1451" s="17">
        <v>1</v>
      </c>
      <c r="K1451" s="17">
        <v>1</v>
      </c>
      <c r="L1451" s="17">
        <v>1</v>
      </c>
    </row>
    <row r="1452" spans="8:12">
      <c r="H1452" s="16">
        <v>44789</v>
      </c>
      <c r="I1452" s="17" t="s">
        <v>375</v>
      </c>
      <c r="J1452" s="17">
        <v>433.64</v>
      </c>
      <c r="K1452" s="17">
        <v>3</v>
      </c>
      <c r="L1452" s="17">
        <v>1</v>
      </c>
    </row>
    <row r="1453" spans="8:12">
      <c r="H1453" s="16">
        <v>44789</v>
      </c>
      <c r="I1453" s="17" t="s">
        <v>572</v>
      </c>
      <c r="J1453" s="17">
        <v>344</v>
      </c>
      <c r="K1453" s="17">
        <v>2</v>
      </c>
      <c r="L1453" s="17">
        <v>1</v>
      </c>
    </row>
    <row r="1454" spans="8:12">
      <c r="H1454" s="16">
        <v>44789</v>
      </c>
      <c r="I1454" s="17" t="s">
        <v>397</v>
      </c>
      <c r="J1454" s="17">
        <v>290</v>
      </c>
      <c r="K1454" s="17">
        <v>2</v>
      </c>
      <c r="L1454" s="17">
        <v>1</v>
      </c>
    </row>
    <row r="1455" spans="8:12">
      <c r="H1455" s="16">
        <v>44789</v>
      </c>
      <c r="I1455" s="17" t="s">
        <v>373</v>
      </c>
      <c r="J1455" s="17">
        <v>285.05</v>
      </c>
      <c r="K1455" s="17">
        <v>2</v>
      </c>
      <c r="L1455" s="17">
        <v>1</v>
      </c>
    </row>
    <row r="1456" spans="8:12">
      <c r="H1456" s="16">
        <v>44789</v>
      </c>
      <c r="I1456" s="17" t="s">
        <v>842</v>
      </c>
      <c r="J1456" s="17">
        <v>248.9</v>
      </c>
      <c r="K1456" s="17">
        <v>2</v>
      </c>
      <c r="L1456" s="17">
        <v>1</v>
      </c>
    </row>
    <row r="1457" spans="8:12">
      <c r="H1457" s="16">
        <v>44789</v>
      </c>
      <c r="I1457" s="17" t="s">
        <v>860</v>
      </c>
      <c r="J1457" s="17">
        <v>242.9</v>
      </c>
      <c r="K1457" s="17">
        <v>2</v>
      </c>
      <c r="L1457" s="17">
        <v>1</v>
      </c>
    </row>
    <row r="1458" spans="8:12">
      <c r="H1458" s="16">
        <v>44789</v>
      </c>
      <c r="I1458" s="17" t="s">
        <v>378</v>
      </c>
      <c r="J1458" s="17">
        <v>220</v>
      </c>
      <c r="K1458" s="17">
        <v>1</v>
      </c>
      <c r="L1458" s="17">
        <v>1</v>
      </c>
    </row>
    <row r="1459" spans="8:12">
      <c r="H1459" s="16">
        <v>44789</v>
      </c>
      <c r="I1459" s="17" t="s">
        <v>658</v>
      </c>
      <c r="J1459" s="17">
        <v>199</v>
      </c>
      <c r="K1459" s="17">
        <v>1</v>
      </c>
      <c r="L1459" s="17">
        <v>1</v>
      </c>
    </row>
    <row r="1460" spans="8:12">
      <c r="H1460" s="16">
        <v>44789</v>
      </c>
      <c r="I1460" s="17" t="s">
        <v>507</v>
      </c>
      <c r="J1460" s="17">
        <v>158.9</v>
      </c>
      <c r="K1460" s="17">
        <v>2</v>
      </c>
      <c r="L1460" s="17">
        <v>1</v>
      </c>
    </row>
    <row r="1461" spans="8:12">
      <c r="H1461" s="16">
        <v>44789</v>
      </c>
      <c r="I1461" s="17" t="s">
        <v>908</v>
      </c>
      <c r="J1461" s="17">
        <v>155.9</v>
      </c>
      <c r="K1461" s="17">
        <v>2</v>
      </c>
      <c r="L1461" s="17">
        <v>1</v>
      </c>
    </row>
    <row r="1462" spans="8:12">
      <c r="H1462" s="16">
        <v>44789</v>
      </c>
      <c r="I1462" s="17" t="s">
        <v>522</v>
      </c>
      <c r="J1462" s="17">
        <v>149</v>
      </c>
      <c r="K1462" s="17">
        <v>1</v>
      </c>
      <c r="L1462" s="17">
        <v>1</v>
      </c>
    </row>
    <row r="1463" spans="8:12">
      <c r="H1463" s="16">
        <v>44789</v>
      </c>
      <c r="I1463" s="17" t="s">
        <v>579</v>
      </c>
      <c r="J1463" s="17">
        <v>146</v>
      </c>
      <c r="K1463" s="17">
        <v>1</v>
      </c>
      <c r="L1463" s="17">
        <v>1</v>
      </c>
    </row>
    <row r="1464" spans="8:12">
      <c r="H1464" s="16">
        <v>44789</v>
      </c>
      <c r="I1464" s="17" t="s">
        <v>476</v>
      </c>
      <c r="J1464" s="17">
        <v>146</v>
      </c>
      <c r="K1464" s="17">
        <v>1</v>
      </c>
      <c r="L1464" s="17">
        <v>1</v>
      </c>
    </row>
    <row r="1465" spans="8:12">
      <c r="H1465" s="16">
        <v>44789</v>
      </c>
      <c r="I1465" s="17" t="s">
        <v>474</v>
      </c>
      <c r="J1465" s="17">
        <v>145</v>
      </c>
      <c r="K1465" s="17">
        <v>1</v>
      </c>
      <c r="L1465" s="17">
        <v>1</v>
      </c>
    </row>
    <row r="1466" spans="8:12">
      <c r="H1466" s="16">
        <v>44789</v>
      </c>
      <c r="I1466" s="17" t="s">
        <v>396</v>
      </c>
      <c r="J1466" s="17">
        <v>121.32</v>
      </c>
      <c r="K1466" s="17">
        <v>1</v>
      </c>
      <c r="L1466" s="17">
        <v>1</v>
      </c>
    </row>
    <row r="1467" spans="8:12">
      <c r="H1467" s="16">
        <v>44789</v>
      </c>
      <c r="I1467" s="17" t="s">
        <v>684</v>
      </c>
      <c r="J1467" s="17">
        <v>119.05</v>
      </c>
      <c r="K1467" s="17">
        <v>1</v>
      </c>
      <c r="L1467" s="17">
        <v>1</v>
      </c>
    </row>
    <row r="1468" spans="8:12">
      <c r="H1468" s="16">
        <v>44789</v>
      </c>
      <c r="I1468" s="17" t="s">
        <v>467</v>
      </c>
      <c r="J1468" s="17">
        <v>69</v>
      </c>
      <c r="K1468" s="17">
        <v>1</v>
      </c>
      <c r="L1468" s="17">
        <v>1</v>
      </c>
    </row>
    <row r="1469" spans="8:12">
      <c r="H1469" s="16">
        <v>44789</v>
      </c>
      <c r="I1469" s="17" t="s">
        <v>470</v>
      </c>
      <c r="J1469" s="17">
        <v>68</v>
      </c>
      <c r="K1469" s="17">
        <v>1</v>
      </c>
      <c r="L1469" s="17">
        <v>1</v>
      </c>
    </row>
    <row r="1470" spans="8:12">
      <c r="H1470" s="16">
        <v>44789</v>
      </c>
      <c r="I1470" s="17" t="s">
        <v>404</v>
      </c>
      <c r="J1470" s="17">
        <v>64</v>
      </c>
      <c r="K1470" s="17">
        <v>1</v>
      </c>
      <c r="L1470" s="17">
        <v>1</v>
      </c>
    </row>
    <row r="1471" spans="8:12">
      <c r="H1471" s="16">
        <v>44789</v>
      </c>
      <c r="I1471" s="17" t="s">
        <v>456</v>
      </c>
      <c r="J1471" s="17">
        <v>63</v>
      </c>
      <c r="K1471" s="17">
        <v>1</v>
      </c>
      <c r="L1471" s="17">
        <v>1</v>
      </c>
    </row>
    <row r="1472" spans="8:12">
      <c r="H1472" s="16">
        <v>44789</v>
      </c>
      <c r="I1472" s="17" t="s">
        <v>980</v>
      </c>
      <c r="J1472" s="17">
        <v>9.9</v>
      </c>
      <c r="K1472" s="17">
        <v>1</v>
      </c>
      <c r="L1472" s="17">
        <v>1</v>
      </c>
    </row>
    <row r="1473" spans="8:12">
      <c r="H1473" s="16">
        <v>44789</v>
      </c>
      <c r="I1473" s="17" t="s">
        <v>647</v>
      </c>
      <c r="J1473" s="17">
        <v>9.9</v>
      </c>
      <c r="K1473" s="17">
        <v>1</v>
      </c>
      <c r="L1473" s="17">
        <v>1</v>
      </c>
    </row>
    <row r="1474" spans="8:12">
      <c r="H1474" s="16">
        <v>44789</v>
      </c>
      <c r="I1474" s="17" t="s">
        <v>1137</v>
      </c>
      <c r="J1474" s="17">
        <v>9.9</v>
      </c>
      <c r="K1474" s="17">
        <v>1</v>
      </c>
      <c r="L1474" s="17">
        <v>1</v>
      </c>
    </row>
    <row r="1475" spans="8:12">
      <c r="H1475" s="16">
        <v>44789</v>
      </c>
      <c r="I1475" s="17" t="s">
        <v>1048</v>
      </c>
      <c r="J1475" s="17">
        <v>9.9</v>
      </c>
      <c r="K1475" s="17">
        <v>1</v>
      </c>
      <c r="L1475" s="17">
        <v>1</v>
      </c>
    </row>
    <row r="1476" spans="8:12">
      <c r="H1476" s="16">
        <v>44789</v>
      </c>
      <c r="I1476" s="17" t="s">
        <v>906</v>
      </c>
      <c r="J1476" s="17">
        <v>9.9</v>
      </c>
      <c r="K1476" s="17">
        <v>1</v>
      </c>
      <c r="L1476" s="17">
        <v>1</v>
      </c>
    </row>
    <row r="1477" spans="8:12">
      <c r="H1477" s="16">
        <v>44789</v>
      </c>
      <c r="I1477" s="17" t="s">
        <v>1194</v>
      </c>
      <c r="J1477" s="17">
        <v>9.9</v>
      </c>
      <c r="K1477" s="17">
        <v>1</v>
      </c>
      <c r="L1477" s="17">
        <v>1</v>
      </c>
    </row>
    <row r="1478" spans="8:12">
      <c r="H1478" s="16">
        <v>44789</v>
      </c>
      <c r="I1478" s="17" t="s">
        <v>1193</v>
      </c>
      <c r="J1478" s="17">
        <v>9.9</v>
      </c>
      <c r="K1478" s="17">
        <v>1</v>
      </c>
      <c r="L1478" s="17">
        <v>1</v>
      </c>
    </row>
    <row r="1479" spans="8:12">
      <c r="H1479" s="16">
        <v>44789</v>
      </c>
      <c r="I1479" s="17" t="s">
        <v>897</v>
      </c>
      <c r="J1479" s="17">
        <v>9.9</v>
      </c>
      <c r="K1479" s="17">
        <v>1</v>
      </c>
      <c r="L1479" s="17">
        <v>1</v>
      </c>
    </row>
    <row r="1480" spans="8:12">
      <c r="H1480" s="16">
        <v>44789</v>
      </c>
      <c r="I1480" s="17" t="s">
        <v>1175</v>
      </c>
      <c r="J1480" s="17">
        <v>9.9</v>
      </c>
      <c r="K1480" s="17">
        <v>1</v>
      </c>
      <c r="L1480" s="17">
        <v>1</v>
      </c>
    </row>
    <row r="1481" spans="8:12">
      <c r="H1481" s="16">
        <v>44789</v>
      </c>
      <c r="I1481" s="17" t="s">
        <v>1192</v>
      </c>
      <c r="J1481" s="17">
        <v>9.9</v>
      </c>
      <c r="K1481" s="17">
        <v>1</v>
      </c>
      <c r="L1481" s="17">
        <v>1</v>
      </c>
    </row>
    <row r="1482" spans="8:12">
      <c r="H1482" s="16">
        <v>44789</v>
      </c>
      <c r="I1482" s="17" t="s">
        <v>1139</v>
      </c>
      <c r="J1482" s="17">
        <v>9.9</v>
      </c>
      <c r="K1482" s="17">
        <v>1</v>
      </c>
      <c r="L1482" s="17">
        <v>1</v>
      </c>
    </row>
    <row r="1483" spans="8:12">
      <c r="H1483" s="16">
        <v>44788</v>
      </c>
      <c r="I1483" s="17" t="s">
        <v>489</v>
      </c>
      <c r="J1483" s="17">
        <v>483.9</v>
      </c>
      <c r="K1483" s="17">
        <v>4</v>
      </c>
      <c r="L1483" s="17">
        <v>1</v>
      </c>
    </row>
    <row r="1484" spans="8:12">
      <c r="H1484" s="16">
        <v>44788</v>
      </c>
      <c r="I1484" s="17" t="s">
        <v>373</v>
      </c>
      <c r="J1484" s="17">
        <v>332</v>
      </c>
      <c r="K1484" s="17">
        <v>2</v>
      </c>
      <c r="L1484" s="17">
        <v>1</v>
      </c>
    </row>
    <row r="1485" spans="8:12">
      <c r="H1485" s="16">
        <v>44788</v>
      </c>
      <c r="I1485" s="17" t="s">
        <v>730</v>
      </c>
      <c r="J1485" s="17">
        <v>307</v>
      </c>
      <c r="K1485" s="17">
        <v>2</v>
      </c>
      <c r="L1485" s="17">
        <v>1</v>
      </c>
    </row>
    <row r="1486" spans="8:12">
      <c r="H1486" s="16">
        <v>44788</v>
      </c>
      <c r="I1486" s="17" t="s">
        <v>875</v>
      </c>
      <c r="J1486" s="17">
        <v>238</v>
      </c>
      <c r="K1486" s="17">
        <v>1</v>
      </c>
      <c r="L1486" s="17">
        <v>1</v>
      </c>
    </row>
    <row r="1487" spans="8:12">
      <c r="H1487" s="16">
        <v>44788</v>
      </c>
      <c r="I1487" s="17" t="s">
        <v>375</v>
      </c>
      <c r="J1487" s="17">
        <v>234</v>
      </c>
      <c r="K1487" s="17">
        <v>1</v>
      </c>
      <c r="L1487" s="17">
        <v>1</v>
      </c>
    </row>
    <row r="1488" spans="8:12">
      <c r="H1488" s="16">
        <v>44788</v>
      </c>
      <c r="I1488" s="17" t="s">
        <v>474</v>
      </c>
      <c r="J1488" s="17">
        <v>158.9</v>
      </c>
      <c r="K1488" s="17">
        <v>2</v>
      </c>
      <c r="L1488" s="17">
        <v>1</v>
      </c>
    </row>
    <row r="1489" spans="8:12">
      <c r="H1489" s="16">
        <v>44788</v>
      </c>
      <c r="I1489" s="17" t="s">
        <v>906</v>
      </c>
      <c r="J1489" s="17">
        <v>149</v>
      </c>
      <c r="K1489" s="17">
        <v>1</v>
      </c>
      <c r="L1489" s="17">
        <v>1</v>
      </c>
    </row>
    <row r="1490" spans="8:12">
      <c r="H1490" s="16">
        <v>44788</v>
      </c>
      <c r="I1490" s="17" t="s">
        <v>913</v>
      </c>
      <c r="J1490" s="17">
        <v>149</v>
      </c>
      <c r="K1490" s="17">
        <v>1</v>
      </c>
      <c r="L1490" s="17">
        <v>1</v>
      </c>
    </row>
    <row r="1491" spans="8:12">
      <c r="H1491" s="16">
        <v>44788</v>
      </c>
      <c r="I1491" s="17" t="s">
        <v>655</v>
      </c>
      <c r="J1491" s="17">
        <v>144</v>
      </c>
      <c r="K1491" s="17">
        <v>1</v>
      </c>
      <c r="L1491" s="17">
        <v>1</v>
      </c>
    </row>
    <row r="1492" spans="8:12">
      <c r="H1492" s="16">
        <v>44788</v>
      </c>
      <c r="I1492" s="17" t="s">
        <v>396</v>
      </c>
      <c r="J1492" s="17">
        <v>116.4</v>
      </c>
      <c r="K1492" s="17">
        <v>3</v>
      </c>
      <c r="L1492" s="17">
        <v>1</v>
      </c>
    </row>
    <row r="1493" spans="8:12">
      <c r="H1493" s="16">
        <v>44788</v>
      </c>
      <c r="I1493" s="17" t="s">
        <v>935</v>
      </c>
      <c r="J1493" s="17">
        <v>109</v>
      </c>
      <c r="K1493" s="17">
        <v>1</v>
      </c>
      <c r="L1493" s="17">
        <v>1</v>
      </c>
    </row>
    <row r="1494" spans="8:12">
      <c r="H1494" s="16">
        <v>44788</v>
      </c>
      <c r="I1494" s="17" t="s">
        <v>925</v>
      </c>
      <c r="J1494" s="17">
        <v>97</v>
      </c>
      <c r="K1494" s="17">
        <v>1</v>
      </c>
      <c r="L1494" s="17">
        <v>1</v>
      </c>
    </row>
    <row r="1495" spans="8:12">
      <c r="H1495" s="16">
        <v>44788</v>
      </c>
      <c r="I1495" s="17" t="s">
        <v>787</v>
      </c>
      <c r="J1495" s="17">
        <v>97</v>
      </c>
      <c r="K1495" s="17">
        <v>1</v>
      </c>
      <c r="L1495" s="17">
        <v>1</v>
      </c>
    </row>
    <row r="1496" spans="8:12">
      <c r="H1496" s="16">
        <v>44788</v>
      </c>
      <c r="I1496" s="17" t="s">
        <v>643</v>
      </c>
      <c r="J1496" s="17">
        <v>85</v>
      </c>
      <c r="K1496" s="17">
        <v>1</v>
      </c>
      <c r="L1496" s="17">
        <v>1</v>
      </c>
    </row>
    <row r="1497" spans="8:12">
      <c r="H1497" s="16">
        <v>44788</v>
      </c>
      <c r="I1497" s="17" t="s">
        <v>456</v>
      </c>
      <c r="J1497" s="17">
        <v>78.9</v>
      </c>
      <c r="K1497" s="17">
        <v>2</v>
      </c>
      <c r="L1497" s="17">
        <v>1</v>
      </c>
    </row>
    <row r="1498" spans="8:12">
      <c r="H1498" s="16">
        <v>44788</v>
      </c>
      <c r="I1498" s="17" t="s">
        <v>852</v>
      </c>
      <c r="J1498" s="17">
        <v>73.9</v>
      </c>
      <c r="K1498" s="17">
        <v>2</v>
      </c>
      <c r="L1498" s="17">
        <v>1</v>
      </c>
    </row>
    <row r="1499" spans="8:12">
      <c r="H1499" s="16">
        <v>44788</v>
      </c>
      <c r="I1499" s="17" t="s">
        <v>485</v>
      </c>
      <c r="J1499" s="17">
        <v>67</v>
      </c>
      <c r="K1499" s="17">
        <v>1</v>
      </c>
      <c r="L1499" s="17">
        <v>1</v>
      </c>
    </row>
    <row r="1500" spans="8:12">
      <c r="H1500" s="16">
        <v>44788</v>
      </c>
      <c r="I1500" s="17" t="s">
        <v>987</v>
      </c>
      <c r="J1500" s="17">
        <v>57.8</v>
      </c>
      <c r="K1500" s="17">
        <v>2</v>
      </c>
      <c r="L1500" s="17">
        <v>1</v>
      </c>
    </row>
    <row r="1501" spans="8:12">
      <c r="H1501" s="16">
        <v>44788</v>
      </c>
      <c r="I1501" s="17" t="s">
        <v>1001</v>
      </c>
      <c r="J1501" s="17">
        <v>46.8</v>
      </c>
      <c r="K1501" s="17">
        <v>2</v>
      </c>
      <c r="L1501" s="17">
        <v>1</v>
      </c>
    </row>
    <row r="1502" spans="8:12">
      <c r="H1502" s="16">
        <v>44788</v>
      </c>
      <c r="I1502" s="17" t="s">
        <v>1024</v>
      </c>
      <c r="J1502" s="17">
        <v>39.9</v>
      </c>
      <c r="K1502" s="17">
        <v>1</v>
      </c>
      <c r="L1502" s="17">
        <v>1</v>
      </c>
    </row>
    <row r="1503" spans="8:12">
      <c r="H1503" s="16">
        <v>44788</v>
      </c>
      <c r="I1503" s="17" t="s">
        <v>763</v>
      </c>
      <c r="J1503" s="17">
        <v>39.8</v>
      </c>
      <c r="K1503" s="17">
        <v>2</v>
      </c>
      <c r="L1503" s="17">
        <v>1</v>
      </c>
    </row>
    <row r="1504" spans="8:12">
      <c r="H1504" s="16">
        <v>44788</v>
      </c>
      <c r="I1504" s="17" t="s">
        <v>757</v>
      </c>
      <c r="J1504" s="17">
        <v>37.9</v>
      </c>
      <c r="K1504" s="17">
        <v>1</v>
      </c>
      <c r="L1504" s="17">
        <v>1</v>
      </c>
    </row>
    <row r="1505" spans="8:12">
      <c r="H1505" s="16">
        <v>44788</v>
      </c>
      <c r="I1505" s="17" t="s">
        <v>911</v>
      </c>
      <c r="J1505" s="17">
        <v>19.9</v>
      </c>
      <c r="K1505" s="17">
        <v>1</v>
      </c>
      <c r="L1505" s="17">
        <v>1</v>
      </c>
    </row>
    <row r="1506" spans="8:12">
      <c r="H1506" s="16">
        <v>44788</v>
      </c>
      <c r="I1506" s="17" t="s">
        <v>726</v>
      </c>
      <c r="J1506" s="17">
        <v>9.9</v>
      </c>
      <c r="K1506" s="17">
        <v>1</v>
      </c>
      <c r="L1506" s="17">
        <v>1</v>
      </c>
    </row>
    <row r="1507" spans="8:12">
      <c r="H1507" s="16">
        <v>44788</v>
      </c>
      <c r="I1507" s="17" t="s">
        <v>1191</v>
      </c>
      <c r="J1507" s="17">
        <v>9.9</v>
      </c>
      <c r="K1507" s="17">
        <v>1</v>
      </c>
      <c r="L1507" s="17">
        <v>1</v>
      </c>
    </row>
    <row r="1508" spans="8:12">
      <c r="H1508" s="16">
        <v>44788</v>
      </c>
      <c r="I1508" s="17" t="s">
        <v>397</v>
      </c>
      <c r="J1508" s="17">
        <v>9.9</v>
      </c>
      <c r="K1508" s="17">
        <v>1</v>
      </c>
      <c r="L1508" s="17">
        <v>1</v>
      </c>
    </row>
    <row r="1509" spans="8:12">
      <c r="H1509" s="16">
        <v>44788</v>
      </c>
      <c r="I1509" s="17" t="s">
        <v>405</v>
      </c>
      <c r="J1509" s="17">
        <v>9.9</v>
      </c>
      <c r="K1509" s="17">
        <v>1</v>
      </c>
      <c r="L1509" s="17">
        <v>1</v>
      </c>
    </row>
    <row r="1510" spans="8:12">
      <c r="H1510" s="16">
        <v>44788</v>
      </c>
      <c r="I1510" s="17" t="s">
        <v>1060</v>
      </c>
      <c r="J1510" s="17">
        <v>9.9</v>
      </c>
      <c r="K1510" s="17">
        <v>1</v>
      </c>
      <c r="L1510" s="17">
        <v>1</v>
      </c>
    </row>
    <row r="1511" spans="8:12">
      <c r="H1511" s="16">
        <v>44788</v>
      </c>
      <c r="I1511" s="17" t="s">
        <v>1190</v>
      </c>
      <c r="J1511" s="17">
        <v>9.9</v>
      </c>
      <c r="K1511" s="17">
        <v>1</v>
      </c>
      <c r="L1511" s="17">
        <v>1</v>
      </c>
    </row>
    <row r="1512" spans="8:12">
      <c r="H1512" s="16">
        <v>44788</v>
      </c>
      <c r="I1512" s="17" t="s">
        <v>404</v>
      </c>
      <c r="J1512" s="17">
        <v>9.9</v>
      </c>
      <c r="K1512" s="17">
        <v>1</v>
      </c>
      <c r="L1512" s="17">
        <v>1</v>
      </c>
    </row>
    <row r="1513" spans="8:12">
      <c r="H1513" s="16">
        <v>44788</v>
      </c>
      <c r="I1513" s="17" t="s">
        <v>441</v>
      </c>
      <c r="J1513" s="17">
        <v>9.9</v>
      </c>
      <c r="K1513" s="17">
        <v>1</v>
      </c>
      <c r="L1513" s="17">
        <v>1</v>
      </c>
    </row>
    <row r="1514" spans="8:12">
      <c r="H1514" s="16">
        <v>44788</v>
      </c>
      <c r="I1514" s="17" t="s">
        <v>483</v>
      </c>
      <c r="J1514" s="17">
        <v>9.9</v>
      </c>
      <c r="K1514" s="17">
        <v>1</v>
      </c>
      <c r="L1514" s="17">
        <v>1</v>
      </c>
    </row>
    <row r="1515" spans="8:12">
      <c r="H1515" s="16">
        <v>44788</v>
      </c>
      <c r="I1515" s="17" t="s">
        <v>1189</v>
      </c>
      <c r="J1515" s="17">
        <v>9.9</v>
      </c>
      <c r="K1515" s="17">
        <v>1</v>
      </c>
      <c r="L1515" s="17">
        <v>1</v>
      </c>
    </row>
    <row r="1516" spans="8:12">
      <c r="H1516" s="16">
        <v>44788</v>
      </c>
      <c r="I1516" s="17" t="s">
        <v>733</v>
      </c>
      <c r="J1516" s="17">
        <v>9.9</v>
      </c>
      <c r="K1516" s="17">
        <v>1</v>
      </c>
      <c r="L1516" s="17">
        <v>1</v>
      </c>
    </row>
    <row r="1517" spans="8:12">
      <c r="H1517" s="16">
        <v>44783</v>
      </c>
      <c r="I1517" s="17" t="s">
        <v>470</v>
      </c>
      <c r="J1517" s="17">
        <v>215.7</v>
      </c>
      <c r="K1517" s="17">
        <v>4</v>
      </c>
      <c r="L1517" s="17">
        <v>1</v>
      </c>
    </row>
    <row r="1518" spans="8:12">
      <c r="H1518" s="16">
        <v>44783</v>
      </c>
      <c r="I1518" s="17" t="s">
        <v>912</v>
      </c>
      <c r="J1518" s="17">
        <v>149</v>
      </c>
      <c r="K1518" s="17">
        <v>1</v>
      </c>
      <c r="L1518" s="17">
        <v>1</v>
      </c>
    </row>
    <row r="1519" spans="8:12">
      <c r="H1519" s="16">
        <v>44783</v>
      </c>
      <c r="I1519" s="17" t="s">
        <v>384</v>
      </c>
      <c r="J1519" s="17">
        <v>56.8</v>
      </c>
      <c r="K1519" s="17">
        <v>2</v>
      </c>
      <c r="L1519" s="17">
        <v>1</v>
      </c>
    </row>
    <row r="1520" spans="8:12">
      <c r="H1520" s="16">
        <v>44783</v>
      </c>
      <c r="I1520" s="17" t="s">
        <v>467</v>
      </c>
      <c r="J1520" s="17">
        <v>37.9</v>
      </c>
      <c r="K1520" s="17">
        <v>1</v>
      </c>
      <c r="L1520" s="17">
        <v>1</v>
      </c>
    </row>
    <row r="1521" spans="8:12">
      <c r="H1521" s="16">
        <v>44783</v>
      </c>
      <c r="I1521" s="17" t="s">
        <v>670</v>
      </c>
      <c r="J1521" s="17">
        <v>36.9</v>
      </c>
      <c r="K1521" s="17">
        <v>1</v>
      </c>
      <c r="L1521" s="17">
        <v>1</v>
      </c>
    </row>
    <row r="1522" spans="8:12">
      <c r="H1522" s="16">
        <v>44783</v>
      </c>
      <c r="I1522" s="17" t="s">
        <v>733</v>
      </c>
      <c r="J1522" s="17">
        <v>36.9</v>
      </c>
      <c r="K1522" s="17">
        <v>1</v>
      </c>
      <c r="L1522" s="17">
        <v>1</v>
      </c>
    </row>
    <row r="1523" spans="8:12">
      <c r="H1523" s="16">
        <v>44783</v>
      </c>
      <c r="I1523" s="17" t="s">
        <v>955</v>
      </c>
      <c r="J1523" s="17">
        <v>29.8</v>
      </c>
      <c r="K1523" s="17">
        <v>2</v>
      </c>
      <c r="L1523" s="17">
        <v>1</v>
      </c>
    </row>
    <row r="1524" spans="8:12">
      <c r="H1524" s="16">
        <v>44783</v>
      </c>
      <c r="I1524" s="17" t="s">
        <v>516</v>
      </c>
      <c r="J1524" s="17">
        <v>19.9</v>
      </c>
      <c r="K1524" s="17">
        <v>1</v>
      </c>
      <c r="L1524" s="17">
        <v>1</v>
      </c>
    </row>
    <row r="1525" spans="8:12">
      <c r="H1525" s="16">
        <v>44783</v>
      </c>
      <c r="I1525" s="17" t="s">
        <v>863</v>
      </c>
      <c r="J1525" s="17">
        <v>19.9</v>
      </c>
      <c r="K1525" s="17">
        <v>1</v>
      </c>
      <c r="L1525" s="17">
        <v>1</v>
      </c>
    </row>
    <row r="1526" spans="8:12">
      <c r="H1526" s="16">
        <v>44783</v>
      </c>
      <c r="I1526" s="17" t="s">
        <v>787</v>
      </c>
      <c r="J1526" s="17">
        <v>19.9</v>
      </c>
      <c r="K1526" s="17">
        <v>1</v>
      </c>
      <c r="L1526" s="17">
        <v>1</v>
      </c>
    </row>
    <row r="1527" spans="8:12">
      <c r="H1527" s="16">
        <v>44783</v>
      </c>
      <c r="I1527" s="17" t="s">
        <v>1188</v>
      </c>
      <c r="J1527" s="17">
        <v>9.9</v>
      </c>
      <c r="K1527" s="17">
        <v>1</v>
      </c>
      <c r="L1527" s="17">
        <v>1</v>
      </c>
    </row>
    <row r="1528" spans="8:12">
      <c r="H1528" s="16">
        <v>44783</v>
      </c>
      <c r="I1528" s="17" t="s">
        <v>1187</v>
      </c>
      <c r="J1528" s="17">
        <v>9.9</v>
      </c>
      <c r="K1528" s="17">
        <v>1</v>
      </c>
      <c r="L1528" s="17">
        <v>1</v>
      </c>
    </row>
    <row r="1529" spans="8:12">
      <c r="H1529" s="16">
        <v>44783</v>
      </c>
      <c r="I1529" s="17" t="s">
        <v>879</v>
      </c>
      <c r="J1529" s="17">
        <v>9.9</v>
      </c>
      <c r="K1529" s="17">
        <v>1</v>
      </c>
      <c r="L1529" s="17">
        <v>1</v>
      </c>
    </row>
    <row r="1530" spans="8:12">
      <c r="H1530" s="16">
        <v>44783</v>
      </c>
      <c r="I1530" s="17" t="s">
        <v>814</v>
      </c>
      <c r="J1530" s="17">
        <v>9.9</v>
      </c>
      <c r="K1530" s="17">
        <v>1</v>
      </c>
      <c r="L1530" s="17">
        <v>1</v>
      </c>
    </row>
    <row r="1531" spans="8:12">
      <c r="H1531" s="16">
        <v>44782</v>
      </c>
      <c r="I1531" s="17" t="s">
        <v>516</v>
      </c>
      <c r="J1531" s="17">
        <v>665.9</v>
      </c>
      <c r="K1531" s="17">
        <v>7</v>
      </c>
      <c r="L1531" s="17">
        <v>1</v>
      </c>
    </row>
    <row r="1532" spans="8:12">
      <c r="H1532" s="16">
        <v>44782</v>
      </c>
      <c r="I1532" s="17" t="s">
        <v>404</v>
      </c>
      <c r="J1532" s="17">
        <v>395.8</v>
      </c>
      <c r="K1532" s="17">
        <v>5</v>
      </c>
      <c r="L1532" s="17">
        <v>1</v>
      </c>
    </row>
    <row r="1533" spans="8:12">
      <c r="H1533" s="16">
        <v>44782</v>
      </c>
      <c r="I1533" s="17" t="s">
        <v>396</v>
      </c>
      <c r="J1533" s="17">
        <v>320.8</v>
      </c>
      <c r="K1533" s="17">
        <v>4</v>
      </c>
      <c r="L1533" s="17">
        <v>1</v>
      </c>
    </row>
    <row r="1534" spans="8:12">
      <c r="H1534" s="16">
        <v>44782</v>
      </c>
      <c r="I1534" s="17" t="s">
        <v>757</v>
      </c>
      <c r="J1534" s="17">
        <v>242.9</v>
      </c>
      <c r="K1534" s="17">
        <v>3</v>
      </c>
      <c r="L1534" s="17">
        <v>1</v>
      </c>
    </row>
    <row r="1535" spans="8:12">
      <c r="H1535" s="16">
        <v>44782</v>
      </c>
      <c r="I1535" s="17" t="s">
        <v>397</v>
      </c>
      <c r="J1535" s="17">
        <v>228.9</v>
      </c>
      <c r="K1535" s="17">
        <v>3</v>
      </c>
      <c r="L1535" s="17">
        <v>1</v>
      </c>
    </row>
    <row r="1536" spans="8:12">
      <c r="H1536" s="16">
        <v>44782</v>
      </c>
      <c r="I1536" s="17" t="s">
        <v>375</v>
      </c>
      <c r="J1536" s="17">
        <v>196.9</v>
      </c>
      <c r="K1536" s="17">
        <v>3</v>
      </c>
      <c r="L1536" s="17">
        <v>1</v>
      </c>
    </row>
    <row r="1537" spans="8:12">
      <c r="H1537" s="16">
        <v>44782</v>
      </c>
      <c r="I1537" s="17" t="s">
        <v>486</v>
      </c>
      <c r="J1537" s="17">
        <v>193</v>
      </c>
      <c r="K1537" s="17">
        <v>2</v>
      </c>
      <c r="L1537" s="17">
        <v>1</v>
      </c>
    </row>
    <row r="1538" spans="8:12">
      <c r="H1538" s="16">
        <v>44782</v>
      </c>
      <c r="I1538" s="17" t="s">
        <v>879</v>
      </c>
      <c r="J1538" s="17">
        <v>183</v>
      </c>
      <c r="K1538" s="17">
        <v>2</v>
      </c>
      <c r="L1538" s="17">
        <v>1</v>
      </c>
    </row>
    <row r="1539" spans="8:12">
      <c r="H1539" s="16">
        <v>44782</v>
      </c>
      <c r="I1539" s="17" t="s">
        <v>472</v>
      </c>
      <c r="J1539" s="17">
        <v>182</v>
      </c>
      <c r="K1539" s="17">
        <v>2</v>
      </c>
      <c r="L1539" s="17">
        <v>1</v>
      </c>
    </row>
    <row r="1540" spans="8:12">
      <c r="H1540" s="16">
        <v>44782</v>
      </c>
      <c r="I1540" s="17" t="s">
        <v>373</v>
      </c>
      <c r="J1540" s="17">
        <v>181.9</v>
      </c>
      <c r="K1540" s="17">
        <v>2</v>
      </c>
      <c r="L1540" s="17">
        <v>1</v>
      </c>
    </row>
    <row r="1541" spans="8:12">
      <c r="H1541" s="16">
        <v>44782</v>
      </c>
      <c r="I1541" s="17" t="s">
        <v>914</v>
      </c>
      <c r="J1541" s="17">
        <v>147.9</v>
      </c>
      <c r="K1541" s="17">
        <v>2</v>
      </c>
      <c r="L1541" s="17">
        <v>1</v>
      </c>
    </row>
    <row r="1542" spans="8:12">
      <c r="H1542" s="16">
        <v>44782</v>
      </c>
      <c r="I1542" s="17" t="s">
        <v>915</v>
      </c>
      <c r="J1542" s="17">
        <v>147</v>
      </c>
      <c r="K1542" s="17">
        <v>1</v>
      </c>
      <c r="L1542" s="17">
        <v>1</v>
      </c>
    </row>
    <row r="1543" spans="8:12">
      <c r="H1543" s="16">
        <v>44782</v>
      </c>
      <c r="I1543" s="17" t="s">
        <v>518</v>
      </c>
      <c r="J1543" s="17">
        <v>147</v>
      </c>
      <c r="K1543" s="17">
        <v>1</v>
      </c>
      <c r="L1543" s="17">
        <v>1</v>
      </c>
    </row>
    <row r="1544" spans="8:12">
      <c r="H1544" s="16">
        <v>44782</v>
      </c>
      <c r="I1544" s="17" t="s">
        <v>520</v>
      </c>
      <c r="J1544" s="17">
        <v>138.9</v>
      </c>
      <c r="K1544" s="17">
        <v>2</v>
      </c>
      <c r="L1544" s="17">
        <v>1</v>
      </c>
    </row>
    <row r="1545" spans="8:12">
      <c r="H1545" s="16">
        <v>44782</v>
      </c>
      <c r="I1545" s="17" t="s">
        <v>636</v>
      </c>
      <c r="J1545" s="17">
        <v>125.8</v>
      </c>
      <c r="K1545" s="17">
        <v>3</v>
      </c>
      <c r="L1545" s="17">
        <v>1</v>
      </c>
    </row>
    <row r="1546" spans="8:12">
      <c r="H1546" s="16">
        <v>44782</v>
      </c>
      <c r="I1546" s="17" t="s">
        <v>603</v>
      </c>
      <c r="J1546" s="17">
        <v>110.9</v>
      </c>
      <c r="K1546" s="17">
        <v>2</v>
      </c>
      <c r="L1546" s="17">
        <v>1</v>
      </c>
    </row>
    <row r="1547" spans="8:12">
      <c r="H1547" s="16">
        <v>44782</v>
      </c>
      <c r="I1547" s="17" t="s">
        <v>814</v>
      </c>
      <c r="J1547" s="17">
        <v>99</v>
      </c>
      <c r="K1547" s="17">
        <v>1</v>
      </c>
      <c r="L1547" s="17">
        <v>1</v>
      </c>
    </row>
    <row r="1548" spans="8:12">
      <c r="H1548" s="16">
        <v>44782</v>
      </c>
      <c r="I1548" s="17" t="s">
        <v>456</v>
      </c>
      <c r="J1548" s="17">
        <v>36.9</v>
      </c>
      <c r="K1548" s="17">
        <v>1</v>
      </c>
      <c r="L1548" s="17">
        <v>1</v>
      </c>
    </row>
    <row r="1549" spans="8:12">
      <c r="H1549" s="16">
        <v>44782</v>
      </c>
      <c r="I1549" s="17" t="s">
        <v>1046</v>
      </c>
      <c r="J1549" s="17">
        <v>36.9</v>
      </c>
      <c r="K1549" s="17">
        <v>1</v>
      </c>
      <c r="L1549" s="17">
        <v>1</v>
      </c>
    </row>
    <row r="1550" spans="8:12">
      <c r="H1550" s="16">
        <v>44782</v>
      </c>
      <c r="I1550" s="17" t="s">
        <v>393</v>
      </c>
      <c r="J1550" s="17">
        <v>9.9</v>
      </c>
      <c r="K1550" s="17">
        <v>1</v>
      </c>
      <c r="L1550" s="17">
        <v>1</v>
      </c>
    </row>
    <row r="1551" spans="8:12">
      <c r="H1551" s="16">
        <v>44782</v>
      </c>
      <c r="I1551" s="17" t="s">
        <v>453</v>
      </c>
      <c r="J1551" s="17">
        <v>9.9</v>
      </c>
      <c r="K1551" s="17">
        <v>1</v>
      </c>
      <c r="L1551" s="17">
        <v>1</v>
      </c>
    </row>
    <row r="1552" spans="8:12">
      <c r="H1552" s="16">
        <v>44782</v>
      </c>
      <c r="I1552" s="17" t="s">
        <v>1186</v>
      </c>
      <c r="J1552" s="17">
        <v>9.9</v>
      </c>
      <c r="K1552" s="17">
        <v>1</v>
      </c>
      <c r="L1552" s="17">
        <v>1</v>
      </c>
    </row>
    <row r="1553" spans="8:12">
      <c r="H1553" s="16">
        <v>44782</v>
      </c>
      <c r="I1553" s="17" t="s">
        <v>925</v>
      </c>
      <c r="J1553" s="17">
        <v>9.9</v>
      </c>
      <c r="K1553" s="17">
        <v>1</v>
      </c>
      <c r="L1553" s="17">
        <v>1</v>
      </c>
    </row>
    <row r="1554" spans="8:12">
      <c r="H1554" s="51">
        <v>44818</v>
      </c>
      <c r="I1554" s="52" t="s">
        <v>375</v>
      </c>
      <c r="J1554" s="52">
        <v>293.9</v>
      </c>
      <c r="K1554" s="52">
        <v>2</v>
      </c>
      <c r="L1554" s="52">
        <v>1</v>
      </c>
    </row>
    <row r="1555" spans="8:12">
      <c r="H1555" s="51">
        <v>44818</v>
      </c>
      <c r="I1555" s="52" t="s">
        <v>775</v>
      </c>
      <c r="J1555" s="52">
        <v>269</v>
      </c>
      <c r="K1555" s="52">
        <v>1</v>
      </c>
      <c r="L1555" s="52">
        <v>1</v>
      </c>
    </row>
    <row r="1556" spans="8:12">
      <c r="H1556" s="51">
        <v>44818</v>
      </c>
      <c r="I1556" s="52" t="s">
        <v>773</v>
      </c>
      <c r="J1556" s="52">
        <v>269</v>
      </c>
      <c r="K1556" s="52">
        <v>1</v>
      </c>
      <c r="L1556" s="52">
        <v>1</v>
      </c>
    </row>
    <row r="1557" spans="8:12">
      <c r="H1557" s="51">
        <v>44818</v>
      </c>
      <c r="I1557" s="52" t="s">
        <v>610</v>
      </c>
      <c r="J1557" s="52">
        <v>269</v>
      </c>
      <c r="K1557" s="52">
        <v>1</v>
      </c>
      <c r="L1557" s="52">
        <v>1</v>
      </c>
    </row>
    <row r="1558" spans="8:12">
      <c r="H1558" s="51">
        <v>44818</v>
      </c>
      <c r="I1558" s="52" t="s">
        <v>785</v>
      </c>
      <c r="J1558" s="52">
        <v>268</v>
      </c>
      <c r="K1558" s="52">
        <v>1</v>
      </c>
      <c r="L1558" s="52">
        <v>1</v>
      </c>
    </row>
    <row r="1559" spans="8:12">
      <c r="H1559" s="51">
        <v>44818</v>
      </c>
      <c r="I1559" s="52" t="s">
        <v>640</v>
      </c>
      <c r="J1559" s="52">
        <v>255</v>
      </c>
      <c r="K1559" s="52">
        <v>1</v>
      </c>
      <c r="L1559" s="52">
        <v>1</v>
      </c>
    </row>
    <row r="1560" spans="8:12">
      <c r="H1560" s="51">
        <v>44818</v>
      </c>
      <c r="I1560" s="52" t="s">
        <v>388</v>
      </c>
      <c r="J1560" s="52">
        <v>244</v>
      </c>
      <c r="K1560" s="52">
        <v>1</v>
      </c>
      <c r="L1560" s="52">
        <v>1</v>
      </c>
    </row>
    <row r="1561" spans="8:12">
      <c r="H1561" s="51">
        <v>44818</v>
      </c>
      <c r="I1561" s="52" t="s">
        <v>366</v>
      </c>
      <c r="J1561" s="52">
        <v>89</v>
      </c>
      <c r="K1561" s="52">
        <v>1</v>
      </c>
      <c r="L1561" s="52">
        <v>1</v>
      </c>
    </row>
    <row r="1562" spans="8:12">
      <c r="H1562" s="51">
        <v>44818</v>
      </c>
      <c r="I1562" s="52" t="s">
        <v>972</v>
      </c>
      <c r="J1562" s="52">
        <v>73.8</v>
      </c>
      <c r="K1562" s="52">
        <v>2</v>
      </c>
      <c r="L1562" s="52">
        <v>1</v>
      </c>
    </row>
    <row r="1563" spans="8:12">
      <c r="H1563" s="51">
        <v>44818</v>
      </c>
      <c r="I1563" s="52" t="s">
        <v>536</v>
      </c>
      <c r="J1563" s="52">
        <v>39.9</v>
      </c>
      <c r="K1563" s="52">
        <v>1</v>
      </c>
      <c r="L1563" s="52">
        <v>1</v>
      </c>
    </row>
    <row r="1564" spans="8:12">
      <c r="H1564" s="51">
        <v>44818</v>
      </c>
      <c r="I1564" s="52" t="s">
        <v>507</v>
      </c>
      <c r="J1564" s="52">
        <v>39.9</v>
      </c>
      <c r="K1564" s="52">
        <v>1</v>
      </c>
      <c r="L1564" s="52">
        <v>1</v>
      </c>
    </row>
    <row r="1565" spans="8:12">
      <c r="H1565" s="51">
        <v>44818</v>
      </c>
      <c r="I1565" s="52" t="s">
        <v>1022</v>
      </c>
      <c r="J1565" s="52">
        <v>39.9</v>
      </c>
      <c r="K1565" s="52">
        <v>1</v>
      </c>
      <c r="L1565" s="52">
        <v>1</v>
      </c>
    </row>
    <row r="1566" spans="8:12">
      <c r="H1566" s="51">
        <v>44818</v>
      </c>
      <c r="I1566" s="52" t="s">
        <v>456</v>
      </c>
      <c r="J1566" s="52">
        <v>39.9</v>
      </c>
      <c r="K1566" s="52">
        <v>1</v>
      </c>
      <c r="L1566" s="52">
        <v>1</v>
      </c>
    </row>
    <row r="1567" spans="8:12">
      <c r="H1567" s="51">
        <v>44818</v>
      </c>
      <c r="I1567" s="52" t="s">
        <v>1056</v>
      </c>
      <c r="J1567" s="52">
        <v>36.9</v>
      </c>
      <c r="K1567" s="52">
        <v>1</v>
      </c>
      <c r="L1567" s="52">
        <v>1</v>
      </c>
    </row>
    <row r="1568" spans="8:12">
      <c r="H1568" s="51">
        <v>44818</v>
      </c>
      <c r="I1568" s="52" t="s">
        <v>1052</v>
      </c>
      <c r="J1568" s="52">
        <v>36.9</v>
      </c>
      <c r="K1568" s="52">
        <v>1</v>
      </c>
      <c r="L1568" s="52">
        <v>1</v>
      </c>
    </row>
    <row r="1569" spans="8:12">
      <c r="H1569" s="51">
        <v>44818</v>
      </c>
      <c r="I1569" s="52" t="s">
        <v>675</v>
      </c>
      <c r="J1569" s="52">
        <v>36.9</v>
      </c>
      <c r="K1569" s="52">
        <v>1</v>
      </c>
      <c r="L1569" s="52">
        <v>1</v>
      </c>
    </row>
    <row r="1570" spans="8:12">
      <c r="H1570" s="51">
        <v>44818</v>
      </c>
      <c r="I1570" s="52" t="s">
        <v>707</v>
      </c>
      <c r="J1570" s="52">
        <v>36.9</v>
      </c>
      <c r="K1570" s="52">
        <v>1</v>
      </c>
      <c r="L1570" s="52">
        <v>1</v>
      </c>
    </row>
    <row r="1571" spans="8:12">
      <c r="H1571" s="51">
        <v>44820</v>
      </c>
      <c r="I1571" s="52" t="s">
        <v>398</v>
      </c>
      <c r="J1571" s="52">
        <v>599</v>
      </c>
      <c r="K1571" s="52">
        <v>1</v>
      </c>
      <c r="L1571" s="52">
        <v>1</v>
      </c>
    </row>
    <row r="1572" spans="8:12">
      <c r="H1572" s="51">
        <v>44820</v>
      </c>
      <c r="I1572" s="52" t="s">
        <v>374</v>
      </c>
      <c r="J1572" s="52">
        <v>594</v>
      </c>
      <c r="K1572" s="52">
        <v>1</v>
      </c>
      <c r="L1572" s="52">
        <v>1</v>
      </c>
    </row>
    <row r="1573" spans="8:12">
      <c r="H1573" s="51">
        <v>44820</v>
      </c>
      <c r="I1573" s="52" t="s">
        <v>386</v>
      </c>
      <c r="J1573" s="52">
        <v>588</v>
      </c>
      <c r="K1573" s="52">
        <v>1</v>
      </c>
      <c r="L1573" s="52">
        <v>1</v>
      </c>
    </row>
    <row r="1574" spans="8:12">
      <c r="H1574" s="51">
        <v>44820</v>
      </c>
      <c r="I1574" s="52" t="s">
        <v>574</v>
      </c>
      <c r="J1574" s="52">
        <v>571.9</v>
      </c>
      <c r="K1574" s="52">
        <v>3</v>
      </c>
      <c r="L1574" s="52">
        <v>1</v>
      </c>
    </row>
    <row r="1575" spans="8:12">
      <c r="H1575" s="51">
        <v>44820</v>
      </c>
      <c r="I1575" s="52" t="s">
        <v>375</v>
      </c>
      <c r="J1575" s="52">
        <v>321.08</v>
      </c>
      <c r="K1575" s="52">
        <v>2</v>
      </c>
      <c r="L1575" s="52">
        <v>1</v>
      </c>
    </row>
    <row r="1576" spans="8:12">
      <c r="H1576" s="51">
        <v>44820</v>
      </c>
      <c r="I1576" s="52" t="s">
        <v>771</v>
      </c>
      <c r="J1576" s="52">
        <v>269</v>
      </c>
      <c r="K1576" s="52">
        <v>1</v>
      </c>
      <c r="L1576" s="52">
        <v>1</v>
      </c>
    </row>
    <row r="1577" spans="8:12">
      <c r="H1577" s="51">
        <v>44820</v>
      </c>
      <c r="I1577" s="52" t="s">
        <v>770</v>
      </c>
      <c r="J1577" s="52">
        <v>269</v>
      </c>
      <c r="K1577" s="52">
        <v>1</v>
      </c>
      <c r="L1577" s="52">
        <v>1</v>
      </c>
    </row>
    <row r="1578" spans="8:12">
      <c r="H1578" s="51">
        <v>44820</v>
      </c>
      <c r="I1578" s="52" t="s">
        <v>768</v>
      </c>
      <c r="J1578" s="52">
        <v>269</v>
      </c>
      <c r="K1578" s="52">
        <v>1</v>
      </c>
      <c r="L1578" s="52">
        <v>1</v>
      </c>
    </row>
    <row r="1579" spans="8:12">
      <c r="H1579" s="51">
        <v>44820</v>
      </c>
      <c r="I1579" s="52" t="s">
        <v>643</v>
      </c>
      <c r="J1579" s="52">
        <v>48.9</v>
      </c>
      <c r="K1579" s="52">
        <v>1</v>
      </c>
      <c r="L1579" s="52">
        <v>1</v>
      </c>
    </row>
    <row r="1580" spans="8:12">
      <c r="H1580" s="51">
        <v>44820</v>
      </c>
      <c r="I1580" s="52" t="s">
        <v>632</v>
      </c>
      <c r="J1580" s="52">
        <v>19.9</v>
      </c>
      <c r="K1580" s="52">
        <v>1</v>
      </c>
      <c r="L1580" s="52">
        <v>1</v>
      </c>
    </row>
    <row r="1581" spans="8:12">
      <c r="H1581" s="51">
        <v>44829</v>
      </c>
      <c r="I1581" s="52" t="s">
        <v>444</v>
      </c>
      <c r="J1581" s="52">
        <v>680</v>
      </c>
      <c r="K1581" s="52">
        <v>2</v>
      </c>
      <c r="L1581" s="52">
        <v>1</v>
      </c>
    </row>
    <row r="1582" spans="8:12">
      <c r="H1582" s="51">
        <v>44829</v>
      </c>
      <c r="I1582" s="52" t="s">
        <v>550</v>
      </c>
      <c r="J1582" s="52">
        <v>599</v>
      </c>
      <c r="K1582" s="52">
        <v>1</v>
      </c>
      <c r="L1582" s="52">
        <v>1</v>
      </c>
    </row>
    <row r="1583" spans="8:12">
      <c r="H1583" s="51">
        <v>44829</v>
      </c>
      <c r="I1583" s="52" t="s">
        <v>548</v>
      </c>
      <c r="J1583" s="52">
        <v>599</v>
      </c>
      <c r="K1583" s="52">
        <v>1</v>
      </c>
      <c r="L1583" s="52">
        <v>1</v>
      </c>
    </row>
    <row r="1584" spans="8:12">
      <c r="H1584" s="51">
        <v>44829</v>
      </c>
      <c r="I1584" s="52" t="s">
        <v>562</v>
      </c>
      <c r="J1584" s="52">
        <v>593</v>
      </c>
      <c r="K1584" s="52">
        <v>1</v>
      </c>
      <c r="L1584" s="52">
        <v>1</v>
      </c>
    </row>
    <row r="1585" spans="8:12">
      <c r="H1585" s="51">
        <v>44829</v>
      </c>
      <c r="I1585" s="52" t="s">
        <v>383</v>
      </c>
      <c r="J1585" s="52">
        <v>500</v>
      </c>
      <c r="K1585" s="52">
        <v>2</v>
      </c>
      <c r="L1585" s="52">
        <v>1</v>
      </c>
    </row>
    <row r="1586" spans="8:12">
      <c r="H1586" s="51">
        <v>44829</v>
      </c>
      <c r="I1586" s="52" t="s">
        <v>390</v>
      </c>
      <c r="J1586" s="52">
        <v>457.62</v>
      </c>
      <c r="K1586" s="52">
        <v>2</v>
      </c>
      <c r="L1586" s="52">
        <v>1</v>
      </c>
    </row>
    <row r="1587" spans="8:12">
      <c r="H1587" s="51">
        <v>44829</v>
      </c>
      <c r="I1587" s="52" t="s">
        <v>662</v>
      </c>
      <c r="J1587" s="52">
        <v>402</v>
      </c>
      <c r="K1587" s="52">
        <v>2</v>
      </c>
      <c r="L1587" s="52">
        <v>1</v>
      </c>
    </row>
    <row r="1588" spans="8:12">
      <c r="H1588" s="51">
        <v>44829</v>
      </c>
      <c r="I1588" s="52" t="s">
        <v>705</v>
      </c>
      <c r="J1588" s="52">
        <v>339</v>
      </c>
      <c r="K1588" s="52">
        <v>1</v>
      </c>
      <c r="L1588" s="52">
        <v>1</v>
      </c>
    </row>
    <row r="1589" spans="8:12">
      <c r="H1589" s="51">
        <v>44829</v>
      </c>
      <c r="I1589" s="52" t="s">
        <v>703</v>
      </c>
      <c r="J1589" s="52">
        <v>339</v>
      </c>
      <c r="K1589" s="52">
        <v>1</v>
      </c>
      <c r="L1589" s="52">
        <v>1</v>
      </c>
    </row>
    <row r="1590" spans="8:12">
      <c r="H1590" s="51">
        <v>44829</v>
      </c>
      <c r="I1590" s="52" t="s">
        <v>701</v>
      </c>
      <c r="J1590" s="52">
        <v>339</v>
      </c>
      <c r="K1590" s="52">
        <v>1</v>
      </c>
      <c r="L1590" s="52">
        <v>1</v>
      </c>
    </row>
    <row r="1591" spans="8:12">
      <c r="H1591" s="51">
        <v>44829</v>
      </c>
      <c r="I1591" s="52" t="s">
        <v>699</v>
      </c>
      <c r="J1591" s="52">
        <v>339</v>
      </c>
      <c r="K1591" s="52">
        <v>1</v>
      </c>
      <c r="L1591" s="52">
        <v>1</v>
      </c>
    </row>
    <row r="1592" spans="8:12">
      <c r="H1592" s="51">
        <v>44829</v>
      </c>
      <c r="I1592" s="52" t="s">
        <v>388</v>
      </c>
      <c r="J1592" s="52">
        <v>339</v>
      </c>
      <c r="K1592" s="52">
        <v>1</v>
      </c>
      <c r="L1592" s="52">
        <v>1</v>
      </c>
    </row>
    <row r="1593" spans="8:12">
      <c r="H1593" s="51">
        <v>44829</v>
      </c>
      <c r="I1593" s="52" t="s">
        <v>374</v>
      </c>
      <c r="J1593" s="52">
        <v>339</v>
      </c>
      <c r="K1593" s="52">
        <v>1</v>
      </c>
      <c r="L1593" s="52">
        <v>1</v>
      </c>
    </row>
    <row r="1594" spans="8:12">
      <c r="H1594" s="51">
        <v>44829</v>
      </c>
      <c r="I1594" s="52" t="s">
        <v>710</v>
      </c>
      <c r="J1594" s="52">
        <v>334</v>
      </c>
      <c r="K1594" s="52">
        <v>1</v>
      </c>
      <c r="L1594" s="52">
        <v>1</v>
      </c>
    </row>
    <row r="1595" spans="8:12">
      <c r="H1595" s="51">
        <v>44829</v>
      </c>
      <c r="I1595" s="52" t="s">
        <v>568</v>
      </c>
      <c r="J1595" s="52">
        <v>334</v>
      </c>
      <c r="K1595" s="52">
        <v>1</v>
      </c>
      <c r="L1595" s="52">
        <v>1</v>
      </c>
    </row>
    <row r="1596" spans="8:12">
      <c r="H1596" s="51">
        <v>44829</v>
      </c>
      <c r="I1596" s="52" t="s">
        <v>714</v>
      </c>
      <c r="J1596" s="52">
        <v>329</v>
      </c>
      <c r="K1596" s="52">
        <v>1</v>
      </c>
      <c r="L1596" s="52">
        <v>1</v>
      </c>
    </row>
    <row r="1597" spans="8:12">
      <c r="H1597" s="51">
        <v>44829</v>
      </c>
      <c r="I1597" s="52" t="s">
        <v>583</v>
      </c>
      <c r="J1597" s="52">
        <v>312.8</v>
      </c>
      <c r="K1597" s="52">
        <v>3</v>
      </c>
      <c r="L1597" s="52">
        <v>1</v>
      </c>
    </row>
    <row r="1598" spans="8:12">
      <c r="H1598" s="51">
        <v>44829</v>
      </c>
      <c r="I1598" s="52" t="s">
        <v>721</v>
      </c>
      <c r="J1598" s="52">
        <v>299</v>
      </c>
      <c r="K1598" s="52">
        <v>1</v>
      </c>
      <c r="L1598" s="52">
        <v>1</v>
      </c>
    </row>
    <row r="1599" spans="8:12">
      <c r="H1599" s="51">
        <v>44829</v>
      </c>
      <c r="I1599" s="52" t="s">
        <v>740</v>
      </c>
      <c r="J1599" s="52">
        <v>299</v>
      </c>
      <c r="K1599" s="52">
        <v>1</v>
      </c>
      <c r="L1599" s="52">
        <v>1</v>
      </c>
    </row>
    <row r="1600" spans="8:12">
      <c r="H1600" s="51">
        <v>44829</v>
      </c>
      <c r="I1600" s="52" t="s">
        <v>738</v>
      </c>
      <c r="J1600" s="52">
        <v>299</v>
      </c>
      <c r="K1600" s="52">
        <v>1</v>
      </c>
      <c r="L1600" s="52">
        <v>1</v>
      </c>
    </row>
    <row r="1601" spans="8:12">
      <c r="H1601" s="51">
        <v>44829</v>
      </c>
      <c r="I1601" s="52" t="s">
        <v>736</v>
      </c>
      <c r="J1601" s="52">
        <v>299</v>
      </c>
      <c r="K1601" s="52">
        <v>1</v>
      </c>
      <c r="L1601" s="52">
        <v>1</v>
      </c>
    </row>
    <row r="1602" spans="8:12">
      <c r="H1602" s="51">
        <v>44829</v>
      </c>
      <c r="I1602" s="52" t="s">
        <v>735</v>
      </c>
      <c r="J1602" s="52">
        <v>299</v>
      </c>
      <c r="K1602" s="52">
        <v>1</v>
      </c>
      <c r="L1602" s="52">
        <v>1</v>
      </c>
    </row>
    <row r="1603" spans="8:12">
      <c r="H1603" s="51">
        <v>44829</v>
      </c>
      <c r="I1603" s="52" t="s">
        <v>734</v>
      </c>
      <c r="J1603" s="52">
        <v>299</v>
      </c>
      <c r="K1603" s="52">
        <v>1</v>
      </c>
      <c r="L1603" s="52">
        <v>1</v>
      </c>
    </row>
    <row r="1604" spans="8:12">
      <c r="H1604" s="51">
        <v>44829</v>
      </c>
      <c r="I1604" s="52" t="s">
        <v>767</v>
      </c>
      <c r="J1604" s="52">
        <v>269</v>
      </c>
      <c r="K1604" s="52">
        <v>1</v>
      </c>
      <c r="L1604" s="52">
        <v>1</v>
      </c>
    </row>
    <row r="1605" spans="8:12">
      <c r="H1605" s="51">
        <v>44829</v>
      </c>
      <c r="I1605" s="52" t="s">
        <v>765</v>
      </c>
      <c r="J1605" s="52">
        <v>269</v>
      </c>
      <c r="K1605" s="52">
        <v>1</v>
      </c>
      <c r="L1605" s="52">
        <v>1</v>
      </c>
    </row>
    <row r="1606" spans="8:12">
      <c r="H1606" s="51">
        <v>44829</v>
      </c>
      <c r="I1606" s="52" t="s">
        <v>403</v>
      </c>
      <c r="J1606" s="52">
        <v>269</v>
      </c>
      <c r="K1606" s="52">
        <v>1</v>
      </c>
      <c r="L1606" s="52">
        <v>1</v>
      </c>
    </row>
    <row r="1607" spans="8:12">
      <c r="H1607" s="51">
        <v>44829</v>
      </c>
      <c r="I1607" s="52" t="s">
        <v>803</v>
      </c>
      <c r="J1607" s="52">
        <v>259</v>
      </c>
      <c r="K1607" s="52">
        <v>1</v>
      </c>
      <c r="L1607" s="52">
        <v>1</v>
      </c>
    </row>
    <row r="1608" spans="8:12">
      <c r="H1608" s="51">
        <v>44829</v>
      </c>
      <c r="I1608" s="52" t="s">
        <v>742</v>
      </c>
      <c r="J1608" s="52">
        <v>258</v>
      </c>
      <c r="K1608" s="52">
        <v>1</v>
      </c>
      <c r="L1608" s="52">
        <v>1</v>
      </c>
    </row>
    <row r="1609" spans="8:12">
      <c r="H1609" s="51">
        <v>44829</v>
      </c>
      <c r="I1609" s="52" t="s">
        <v>866</v>
      </c>
      <c r="J1609" s="52">
        <v>239</v>
      </c>
      <c r="K1609" s="52">
        <v>1</v>
      </c>
      <c r="L1609" s="52">
        <v>1</v>
      </c>
    </row>
    <row r="1610" spans="8:12">
      <c r="H1610" s="51">
        <v>44829</v>
      </c>
      <c r="I1610" s="52" t="s">
        <v>884</v>
      </c>
      <c r="J1610" s="52">
        <v>208.9</v>
      </c>
      <c r="K1610" s="52">
        <v>2</v>
      </c>
      <c r="L1610" s="52">
        <v>1</v>
      </c>
    </row>
    <row r="1611" spans="8:12">
      <c r="H1611" s="51">
        <v>44829</v>
      </c>
      <c r="I1611" s="52" t="s">
        <v>883</v>
      </c>
      <c r="J1611" s="52">
        <v>208.9</v>
      </c>
      <c r="K1611" s="52">
        <v>2</v>
      </c>
      <c r="L1611" s="52">
        <v>1</v>
      </c>
    </row>
    <row r="1612" spans="8:12">
      <c r="H1612" s="51">
        <v>44829</v>
      </c>
      <c r="I1612" s="52" t="s">
        <v>588</v>
      </c>
      <c r="J1612" s="52">
        <v>194.83</v>
      </c>
      <c r="K1612" s="52">
        <v>2</v>
      </c>
      <c r="L1612" s="52">
        <v>1</v>
      </c>
    </row>
    <row r="1613" spans="8:12">
      <c r="H1613" s="51">
        <v>44829</v>
      </c>
      <c r="I1613" s="52" t="s">
        <v>396</v>
      </c>
      <c r="J1613" s="52">
        <v>188.62</v>
      </c>
      <c r="K1613" s="52">
        <v>2</v>
      </c>
      <c r="L1613" s="52">
        <v>1</v>
      </c>
    </row>
    <row r="1614" spans="8:12">
      <c r="H1614" s="51">
        <v>44829</v>
      </c>
      <c r="I1614" s="52" t="s">
        <v>901</v>
      </c>
      <c r="J1614" s="52">
        <v>169</v>
      </c>
      <c r="K1614" s="52">
        <v>1</v>
      </c>
      <c r="L1614" s="52">
        <v>1</v>
      </c>
    </row>
    <row r="1615" spans="8:12">
      <c r="H1615" s="51">
        <v>44829</v>
      </c>
      <c r="I1615" s="52" t="s">
        <v>899</v>
      </c>
      <c r="J1615" s="52">
        <v>169</v>
      </c>
      <c r="K1615" s="52">
        <v>1</v>
      </c>
      <c r="L1615" s="52">
        <v>1</v>
      </c>
    </row>
    <row r="1616" spans="8:12">
      <c r="H1616" s="51">
        <v>44829</v>
      </c>
      <c r="I1616" s="52" t="s">
        <v>405</v>
      </c>
      <c r="J1616" s="52">
        <v>169</v>
      </c>
      <c r="K1616" s="52">
        <v>1</v>
      </c>
      <c r="L1616" s="52">
        <v>1</v>
      </c>
    </row>
    <row r="1617" spans="8:12">
      <c r="H1617" s="51">
        <v>44829</v>
      </c>
      <c r="I1617" s="52" t="s">
        <v>464</v>
      </c>
      <c r="J1617" s="52">
        <v>167.31</v>
      </c>
      <c r="K1617" s="52">
        <v>1</v>
      </c>
      <c r="L1617" s="52">
        <v>1</v>
      </c>
    </row>
    <row r="1618" spans="8:12">
      <c r="H1618" s="51">
        <v>44829</v>
      </c>
      <c r="I1618" s="52" t="s">
        <v>592</v>
      </c>
      <c r="J1618" s="52">
        <v>167</v>
      </c>
      <c r="K1618" s="52">
        <v>1</v>
      </c>
      <c r="L1618" s="52">
        <v>1</v>
      </c>
    </row>
    <row r="1619" spans="8:12">
      <c r="H1619" s="51">
        <v>44829</v>
      </c>
      <c r="I1619" s="52" t="s">
        <v>753</v>
      </c>
      <c r="J1619" s="52">
        <v>165.31</v>
      </c>
      <c r="K1619" s="52">
        <v>1</v>
      </c>
      <c r="L1619" s="52">
        <v>1</v>
      </c>
    </row>
    <row r="1620" spans="8:12">
      <c r="H1620" s="51">
        <v>44829</v>
      </c>
      <c r="I1620" s="52" t="s">
        <v>904</v>
      </c>
      <c r="J1620" s="52">
        <v>161.93</v>
      </c>
      <c r="K1620" s="52">
        <v>1</v>
      </c>
      <c r="L1620" s="52">
        <v>1</v>
      </c>
    </row>
    <row r="1621" spans="8:12">
      <c r="H1621" s="51">
        <v>44829</v>
      </c>
      <c r="I1621" s="52" t="s">
        <v>373</v>
      </c>
      <c r="J1621" s="52">
        <v>160.55</v>
      </c>
      <c r="K1621" s="52">
        <v>1</v>
      </c>
      <c r="L1621" s="52">
        <v>1</v>
      </c>
    </row>
    <row r="1622" spans="8:12">
      <c r="H1622" s="51">
        <v>44829</v>
      </c>
      <c r="I1622" s="52" t="s">
        <v>456</v>
      </c>
      <c r="J1622" s="52">
        <v>158.55</v>
      </c>
      <c r="K1622" s="52">
        <v>1</v>
      </c>
      <c r="L1622" s="52">
        <v>1</v>
      </c>
    </row>
    <row r="1623" spans="8:12">
      <c r="H1623" s="51">
        <v>44829</v>
      </c>
      <c r="I1623" s="52" t="s">
        <v>1021</v>
      </c>
      <c r="J1623" s="52">
        <v>39.9</v>
      </c>
      <c r="K1623" s="52">
        <v>1</v>
      </c>
      <c r="L1623" s="52">
        <v>1</v>
      </c>
    </row>
    <row r="1624" spans="8:12">
      <c r="H1624" s="51">
        <v>44829</v>
      </c>
      <c r="I1624" s="52" t="s">
        <v>1034</v>
      </c>
      <c r="J1624" s="52">
        <v>38.9</v>
      </c>
      <c r="K1624" s="52">
        <v>1</v>
      </c>
      <c r="L1624" s="52">
        <v>1</v>
      </c>
    </row>
    <row r="1625" spans="8:12">
      <c r="H1625" s="51">
        <v>44829</v>
      </c>
      <c r="I1625" s="52" t="s">
        <v>812</v>
      </c>
      <c r="J1625" s="52">
        <v>38.9</v>
      </c>
      <c r="K1625" s="52">
        <v>1</v>
      </c>
      <c r="L1625" s="52">
        <v>1</v>
      </c>
    </row>
    <row r="1626" spans="8:12">
      <c r="H1626" s="51">
        <v>44829</v>
      </c>
      <c r="I1626" s="52" t="s">
        <v>581</v>
      </c>
      <c r="J1626" s="52">
        <v>38.9</v>
      </c>
      <c r="K1626" s="52">
        <v>1</v>
      </c>
      <c r="L1626" s="52">
        <v>1</v>
      </c>
    </row>
    <row r="1627" spans="8:12">
      <c r="H1627" s="51">
        <v>44830</v>
      </c>
      <c r="I1627" s="52" t="s">
        <v>387</v>
      </c>
      <c r="J1627" s="52">
        <v>1075.8</v>
      </c>
      <c r="K1627" s="52">
        <v>6</v>
      </c>
      <c r="L1627" s="52">
        <v>1</v>
      </c>
    </row>
    <row r="1628" spans="8:12">
      <c r="H1628" s="51">
        <v>44830</v>
      </c>
      <c r="I1628" s="52" t="s">
        <v>395</v>
      </c>
      <c r="J1628" s="52">
        <v>933.9</v>
      </c>
      <c r="K1628" s="52">
        <v>4</v>
      </c>
      <c r="L1628" s="52">
        <v>1</v>
      </c>
    </row>
    <row r="1629" spans="8:12">
      <c r="H1629" s="51">
        <v>44830</v>
      </c>
      <c r="I1629" s="52" t="s">
        <v>378</v>
      </c>
      <c r="J1629" s="52">
        <v>929</v>
      </c>
      <c r="K1629" s="52">
        <v>2</v>
      </c>
      <c r="L1629" s="52">
        <v>1</v>
      </c>
    </row>
    <row r="1630" spans="8:12">
      <c r="H1630" s="51">
        <v>44830</v>
      </c>
      <c r="I1630" s="52" t="s">
        <v>466</v>
      </c>
      <c r="J1630" s="52">
        <v>926</v>
      </c>
      <c r="K1630" s="52">
        <v>2</v>
      </c>
      <c r="L1630" s="52">
        <v>1</v>
      </c>
    </row>
    <row r="1631" spans="8:12">
      <c r="H1631" s="51">
        <v>44830</v>
      </c>
      <c r="I1631" s="52" t="s">
        <v>534</v>
      </c>
      <c r="J1631" s="52">
        <v>632</v>
      </c>
      <c r="K1631" s="52">
        <v>2</v>
      </c>
      <c r="L1631" s="52">
        <v>1</v>
      </c>
    </row>
    <row r="1632" spans="8:12">
      <c r="H1632" s="51">
        <v>44830</v>
      </c>
      <c r="I1632" s="52" t="s">
        <v>656</v>
      </c>
      <c r="J1632" s="52">
        <v>413.82</v>
      </c>
      <c r="K1632" s="52">
        <v>3</v>
      </c>
      <c r="L1632" s="52">
        <v>1</v>
      </c>
    </row>
    <row r="1633" spans="8:12">
      <c r="H1633" s="51">
        <v>44830</v>
      </c>
      <c r="I1633" s="52" t="s">
        <v>479</v>
      </c>
      <c r="J1633" s="52">
        <v>381.9</v>
      </c>
      <c r="K1633" s="52">
        <v>2</v>
      </c>
      <c r="L1633" s="52">
        <v>1</v>
      </c>
    </row>
    <row r="1634" spans="8:12">
      <c r="H1634" s="51">
        <v>44830</v>
      </c>
      <c r="I1634" s="52" t="s">
        <v>503</v>
      </c>
      <c r="J1634" s="52">
        <v>378.9</v>
      </c>
      <c r="K1634" s="52">
        <v>2</v>
      </c>
      <c r="L1634" s="52">
        <v>1</v>
      </c>
    </row>
    <row r="1635" spans="8:12">
      <c r="H1635" s="51">
        <v>44830</v>
      </c>
      <c r="I1635" s="52" t="s">
        <v>383</v>
      </c>
      <c r="J1635" s="52">
        <v>342.8</v>
      </c>
      <c r="K1635" s="52">
        <v>3</v>
      </c>
      <c r="L1635" s="52">
        <v>1</v>
      </c>
    </row>
    <row r="1636" spans="8:12">
      <c r="H1636" s="51">
        <v>44830</v>
      </c>
      <c r="I1636" s="52" t="s">
        <v>698</v>
      </c>
      <c r="J1636" s="52">
        <v>339</v>
      </c>
      <c r="K1636" s="52">
        <v>1</v>
      </c>
      <c r="L1636" s="52">
        <v>1</v>
      </c>
    </row>
    <row r="1637" spans="8:12">
      <c r="H1637" s="51">
        <v>44830</v>
      </c>
      <c r="I1637" s="52" t="s">
        <v>696</v>
      </c>
      <c r="J1637" s="52">
        <v>339</v>
      </c>
      <c r="K1637" s="52">
        <v>1</v>
      </c>
      <c r="L1637" s="52">
        <v>1</v>
      </c>
    </row>
    <row r="1638" spans="8:12">
      <c r="H1638" s="51">
        <v>44830</v>
      </c>
      <c r="I1638" s="52" t="s">
        <v>694</v>
      </c>
      <c r="J1638" s="52">
        <v>339</v>
      </c>
      <c r="K1638" s="52">
        <v>1</v>
      </c>
      <c r="L1638" s="52">
        <v>1</v>
      </c>
    </row>
    <row r="1639" spans="8:12">
      <c r="H1639" s="51">
        <v>44830</v>
      </c>
      <c r="I1639" s="52" t="s">
        <v>592</v>
      </c>
      <c r="J1639" s="52">
        <v>339</v>
      </c>
      <c r="K1639" s="52">
        <v>1</v>
      </c>
      <c r="L1639" s="52">
        <v>1</v>
      </c>
    </row>
    <row r="1640" spans="8:12">
      <c r="H1640" s="51">
        <v>44830</v>
      </c>
      <c r="I1640" s="52" t="s">
        <v>801</v>
      </c>
      <c r="J1640" s="52">
        <v>259</v>
      </c>
      <c r="K1640" s="52">
        <v>1</v>
      </c>
      <c r="L1640" s="52">
        <v>1</v>
      </c>
    </row>
    <row r="1641" spans="8:12">
      <c r="H1641" s="51">
        <v>44830</v>
      </c>
      <c r="I1641" s="52" t="s">
        <v>375</v>
      </c>
      <c r="J1641" s="52">
        <v>233</v>
      </c>
      <c r="K1641" s="52">
        <v>1</v>
      </c>
      <c r="L1641" s="52">
        <v>1</v>
      </c>
    </row>
    <row r="1642" spans="8:12">
      <c r="H1642" s="51">
        <v>44830</v>
      </c>
      <c r="I1642" s="52" t="s">
        <v>505</v>
      </c>
      <c r="J1642" s="52">
        <v>128.7</v>
      </c>
      <c r="K1642" s="52">
        <v>3</v>
      </c>
      <c r="L1642" s="52">
        <v>1</v>
      </c>
    </row>
    <row r="1643" spans="8:12">
      <c r="H1643" s="51">
        <v>44830</v>
      </c>
      <c r="I1643" s="52" t="s">
        <v>941</v>
      </c>
      <c r="J1643" s="52">
        <v>99.8</v>
      </c>
      <c r="K1643" s="52">
        <v>2</v>
      </c>
      <c r="L1643" s="52">
        <v>1</v>
      </c>
    </row>
    <row r="1644" spans="8:12">
      <c r="H1644" s="51">
        <v>44830</v>
      </c>
      <c r="I1644" s="52" t="s">
        <v>402</v>
      </c>
      <c r="J1644" s="52">
        <v>97.8</v>
      </c>
      <c r="K1644" s="52">
        <v>2</v>
      </c>
      <c r="L1644" s="52">
        <v>1</v>
      </c>
    </row>
    <row r="1645" spans="8:12">
      <c r="H1645" s="51">
        <v>44830</v>
      </c>
      <c r="I1645" s="52" t="s">
        <v>994</v>
      </c>
      <c r="J1645" s="52">
        <v>49.9</v>
      </c>
      <c r="K1645" s="52">
        <v>1</v>
      </c>
      <c r="L1645" s="52">
        <v>1</v>
      </c>
    </row>
    <row r="1646" spans="8:12">
      <c r="H1646" s="51">
        <v>44830</v>
      </c>
      <c r="I1646" s="52" t="s">
        <v>993</v>
      </c>
      <c r="J1646" s="52">
        <v>49.9</v>
      </c>
      <c r="K1646" s="52">
        <v>1</v>
      </c>
      <c r="L1646" s="52">
        <v>1</v>
      </c>
    </row>
    <row r="1647" spans="8:12">
      <c r="H1647" s="51">
        <v>44830</v>
      </c>
      <c r="I1647" s="52" t="s">
        <v>388</v>
      </c>
      <c r="J1647" s="52">
        <v>47.9</v>
      </c>
      <c r="K1647" s="52">
        <v>1</v>
      </c>
      <c r="L1647" s="52">
        <v>1</v>
      </c>
    </row>
    <row r="1648" spans="8:12">
      <c r="H1648" s="51">
        <v>44830</v>
      </c>
      <c r="I1648" s="52" t="s">
        <v>374</v>
      </c>
      <c r="J1648" s="52">
        <v>47.4</v>
      </c>
      <c r="K1648" s="52">
        <v>1</v>
      </c>
      <c r="L1648" s="52">
        <v>1</v>
      </c>
    </row>
    <row r="1649" spans="8:12">
      <c r="H1649" s="51">
        <v>44830</v>
      </c>
      <c r="I1649" s="52" t="s">
        <v>1019</v>
      </c>
      <c r="J1649" s="52">
        <v>39.9</v>
      </c>
      <c r="K1649" s="52">
        <v>1</v>
      </c>
      <c r="L1649" s="52">
        <v>1</v>
      </c>
    </row>
    <row r="1650" spans="8:12">
      <c r="H1650" s="51">
        <v>44830</v>
      </c>
      <c r="I1650" s="52" t="s">
        <v>720</v>
      </c>
      <c r="J1650" s="52">
        <v>39.9</v>
      </c>
      <c r="K1650" s="52">
        <v>1</v>
      </c>
      <c r="L1650" s="52">
        <v>1</v>
      </c>
    </row>
    <row r="1651" spans="8:12">
      <c r="H1651" s="51">
        <v>44830</v>
      </c>
      <c r="I1651" s="52" t="s">
        <v>392</v>
      </c>
      <c r="J1651" s="52">
        <v>38.92</v>
      </c>
      <c r="K1651" s="52">
        <v>1</v>
      </c>
      <c r="L1651" s="52">
        <v>1</v>
      </c>
    </row>
    <row r="1652" spans="8:12">
      <c r="H1652" s="51">
        <v>44830</v>
      </c>
      <c r="I1652" s="52" t="s">
        <v>470</v>
      </c>
      <c r="J1652" s="52">
        <v>38.9</v>
      </c>
      <c r="K1652" s="52">
        <v>1</v>
      </c>
      <c r="L1652" s="52">
        <v>1</v>
      </c>
    </row>
    <row r="1653" spans="8:12">
      <c r="H1653" s="51">
        <v>44831</v>
      </c>
      <c r="I1653" s="52" t="s">
        <v>381</v>
      </c>
      <c r="J1653" s="52">
        <v>1186</v>
      </c>
      <c r="K1653" s="52">
        <v>3</v>
      </c>
      <c r="L1653" s="52">
        <v>1</v>
      </c>
    </row>
    <row r="1654" spans="8:12">
      <c r="H1654" s="51">
        <v>44831</v>
      </c>
      <c r="I1654" s="52" t="s">
        <v>505</v>
      </c>
      <c r="J1654" s="52">
        <v>600</v>
      </c>
      <c r="K1654" s="52">
        <v>2</v>
      </c>
      <c r="L1654" s="52">
        <v>1</v>
      </c>
    </row>
    <row r="1655" spans="8:12">
      <c r="H1655" s="51">
        <v>44831</v>
      </c>
      <c r="I1655" s="52" t="s">
        <v>546</v>
      </c>
      <c r="J1655" s="52">
        <v>599</v>
      </c>
      <c r="K1655" s="52">
        <v>1</v>
      </c>
      <c r="L1655" s="52">
        <v>1</v>
      </c>
    </row>
    <row r="1656" spans="8:12">
      <c r="H1656" s="51">
        <v>44831</v>
      </c>
      <c r="I1656" s="52" t="s">
        <v>693</v>
      </c>
      <c r="J1656" s="52">
        <v>339</v>
      </c>
      <c r="K1656" s="52">
        <v>1</v>
      </c>
      <c r="L1656" s="52">
        <v>1</v>
      </c>
    </row>
    <row r="1657" spans="8:12">
      <c r="H1657" s="51">
        <v>44831</v>
      </c>
      <c r="I1657" s="52" t="s">
        <v>585</v>
      </c>
      <c r="J1657" s="52">
        <v>295</v>
      </c>
      <c r="K1657" s="52">
        <v>1</v>
      </c>
      <c r="L1657" s="52">
        <v>1</v>
      </c>
    </row>
    <row r="1658" spans="8:12">
      <c r="H1658" s="51">
        <v>44831</v>
      </c>
      <c r="I1658" s="52" t="s">
        <v>747</v>
      </c>
      <c r="J1658" s="52">
        <v>289</v>
      </c>
      <c r="K1658" s="52">
        <v>1</v>
      </c>
      <c r="L1658" s="52">
        <v>1</v>
      </c>
    </row>
    <row r="1659" spans="8:12">
      <c r="H1659" s="51">
        <v>44831</v>
      </c>
      <c r="I1659" s="52" t="s">
        <v>799</v>
      </c>
      <c r="J1659" s="52">
        <v>259</v>
      </c>
      <c r="K1659" s="52">
        <v>1</v>
      </c>
      <c r="L1659" s="52">
        <v>1</v>
      </c>
    </row>
    <row r="1660" spans="8:12">
      <c r="H1660" s="51">
        <v>44831</v>
      </c>
      <c r="I1660" s="52" t="s">
        <v>391</v>
      </c>
      <c r="J1660" s="52">
        <v>259</v>
      </c>
      <c r="K1660" s="52">
        <v>1</v>
      </c>
      <c r="L1660" s="52">
        <v>1</v>
      </c>
    </row>
    <row r="1661" spans="8:12">
      <c r="H1661" s="51">
        <v>44831</v>
      </c>
      <c r="I1661" s="52" t="s">
        <v>864</v>
      </c>
      <c r="J1661" s="52">
        <v>239</v>
      </c>
      <c r="K1661" s="52">
        <v>1</v>
      </c>
      <c r="L1661" s="52">
        <v>1</v>
      </c>
    </row>
    <row r="1662" spans="8:12">
      <c r="H1662" s="51">
        <v>44831</v>
      </c>
      <c r="I1662" s="52" t="s">
        <v>862</v>
      </c>
      <c r="J1662" s="52">
        <v>239</v>
      </c>
      <c r="K1662" s="52">
        <v>1</v>
      </c>
      <c r="L1662" s="52">
        <v>1</v>
      </c>
    </row>
    <row r="1663" spans="8:12">
      <c r="H1663" s="51">
        <v>44831</v>
      </c>
      <c r="I1663" s="52" t="s">
        <v>593</v>
      </c>
      <c r="J1663" s="52">
        <v>239</v>
      </c>
      <c r="K1663" s="52">
        <v>1</v>
      </c>
      <c r="L1663" s="52">
        <v>1</v>
      </c>
    </row>
    <row r="1664" spans="8:12">
      <c r="H1664" s="51">
        <v>44831</v>
      </c>
      <c r="I1664" s="52" t="s">
        <v>377</v>
      </c>
      <c r="J1664" s="52">
        <v>237</v>
      </c>
      <c r="K1664" s="52">
        <v>1</v>
      </c>
      <c r="L1664" s="52">
        <v>1</v>
      </c>
    </row>
    <row r="1665" spans="8:12">
      <c r="H1665" s="51">
        <v>44831</v>
      </c>
      <c r="I1665" s="52" t="s">
        <v>600</v>
      </c>
      <c r="J1665" s="52">
        <v>169</v>
      </c>
      <c r="K1665" s="52">
        <v>1</v>
      </c>
      <c r="L1665" s="52">
        <v>1</v>
      </c>
    </row>
    <row r="1666" spans="8:12">
      <c r="H1666" s="51">
        <v>44831</v>
      </c>
      <c r="I1666" s="52" t="s">
        <v>992</v>
      </c>
      <c r="J1666" s="52">
        <v>49.9</v>
      </c>
      <c r="K1666" s="52">
        <v>1</v>
      </c>
      <c r="L1666" s="52">
        <v>1</v>
      </c>
    </row>
    <row r="1667" spans="8:12">
      <c r="H1667" s="51">
        <v>44831</v>
      </c>
      <c r="I1667" s="52" t="s">
        <v>420</v>
      </c>
      <c r="J1667" s="52">
        <v>599</v>
      </c>
      <c r="K1667" s="52">
        <v>1</v>
      </c>
      <c r="L1667" s="52">
        <v>1</v>
      </c>
    </row>
    <row r="1668" spans="8:12">
      <c r="H1668" s="51">
        <v>44831</v>
      </c>
      <c r="I1668" s="52" t="s">
        <v>424</v>
      </c>
      <c r="J1668" s="52">
        <v>269</v>
      </c>
      <c r="K1668" s="52">
        <v>1</v>
      </c>
      <c r="L1668" s="52">
        <v>1</v>
      </c>
    </row>
    <row r="1669" spans="8:12">
      <c r="H1669" s="51">
        <v>44831</v>
      </c>
      <c r="I1669" s="52" t="s">
        <v>381</v>
      </c>
      <c r="J1669" s="52">
        <v>259</v>
      </c>
      <c r="K1669" s="52">
        <v>1</v>
      </c>
      <c r="L1669" s="52">
        <v>1</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153"/>
  <sheetViews>
    <sheetView workbookViewId="0">
      <selection activeCell="A1130" sqref="$A1129:$XFD1130"/>
    </sheetView>
  </sheetViews>
  <sheetFormatPr defaultColWidth="9" defaultRowHeight="14.25"/>
  <cols>
    <col min="6" max="6" width="16.125" customWidth="1"/>
    <col min="7" max="8" width="15" customWidth="1"/>
  </cols>
  <sheetData>
    <row r="1" spans="1:42">
      <c r="A1" t="s">
        <v>1317</v>
      </c>
      <c r="B1" t="s">
        <v>1318</v>
      </c>
      <c r="C1" t="s">
        <v>1319</v>
      </c>
      <c r="D1" t="s">
        <v>408</v>
      </c>
      <c r="E1" t="s">
        <v>1320</v>
      </c>
      <c r="F1" t="s">
        <v>1321</v>
      </c>
      <c r="G1" t="s">
        <v>1322</v>
      </c>
      <c r="H1" t="s">
        <v>410</v>
      </c>
      <c r="I1" t="s">
        <v>1323</v>
      </c>
      <c r="J1" t="s">
        <v>406</v>
      </c>
      <c r="K1" t="s">
        <v>1324</v>
      </c>
      <c r="L1" t="s">
        <v>1325</v>
      </c>
      <c r="M1" t="s">
        <v>1326</v>
      </c>
      <c r="N1" t="s">
        <v>1327</v>
      </c>
      <c r="O1" t="s">
        <v>1328</v>
      </c>
      <c r="P1" t="s">
        <v>1329</v>
      </c>
      <c r="Q1" t="s">
        <v>1330</v>
      </c>
      <c r="R1" t="s">
        <v>1331</v>
      </c>
      <c r="S1" t="s">
        <v>1332</v>
      </c>
      <c r="T1" t="s">
        <v>1333</v>
      </c>
      <c r="U1" t="s">
        <v>1334</v>
      </c>
      <c r="V1" t="s">
        <v>1335</v>
      </c>
      <c r="W1" t="s">
        <v>1336</v>
      </c>
      <c r="X1" t="s">
        <v>417</v>
      </c>
      <c r="Y1" t="s">
        <v>1337</v>
      </c>
      <c r="Z1" t="s">
        <v>1338</v>
      </c>
      <c r="AA1" t="s">
        <v>1339</v>
      </c>
      <c r="AB1" t="s">
        <v>1340</v>
      </c>
      <c r="AC1" t="s">
        <v>1341</v>
      </c>
      <c r="AD1" t="s">
        <v>1342</v>
      </c>
      <c r="AE1" t="s">
        <v>1343</v>
      </c>
      <c r="AF1" t="s">
        <v>1344</v>
      </c>
      <c r="AG1" t="s">
        <v>1345</v>
      </c>
      <c r="AH1" t="s">
        <v>1346</v>
      </c>
      <c r="AI1" t="s">
        <v>1347</v>
      </c>
      <c r="AJ1" t="s">
        <v>1348</v>
      </c>
      <c r="AK1" t="s">
        <v>1349</v>
      </c>
      <c r="AL1" t="s">
        <v>1350</v>
      </c>
      <c r="AM1" t="s">
        <v>1351</v>
      </c>
      <c r="AN1" t="s">
        <v>1352</v>
      </c>
      <c r="AO1" t="s">
        <v>1353</v>
      </c>
      <c r="AP1" t="s">
        <v>1354</v>
      </c>
    </row>
    <row r="2" hidden="1" spans="1:42">
      <c r="A2" t="s">
        <v>1355</v>
      </c>
      <c r="B2" t="s">
        <v>1356</v>
      </c>
      <c r="C2" t="s">
        <v>1357</v>
      </c>
      <c r="D2" t="s">
        <v>1358</v>
      </c>
      <c r="F2" t="s">
        <v>1359</v>
      </c>
      <c r="G2" s="45">
        <v>44809.0110532407</v>
      </c>
      <c r="H2" s="45">
        <v>44809.0111458333</v>
      </c>
      <c r="J2" t="s">
        <v>1360</v>
      </c>
      <c r="K2" t="s">
        <v>1361</v>
      </c>
      <c r="L2" t="s">
        <v>1362</v>
      </c>
      <c r="M2">
        <v>59</v>
      </c>
      <c r="N2">
        <v>0</v>
      </c>
      <c r="O2">
        <v>0</v>
      </c>
      <c r="P2">
        <v>0</v>
      </c>
      <c r="Q2">
        <v>59</v>
      </c>
      <c r="R2">
        <v>59</v>
      </c>
      <c r="T2" t="s">
        <v>1363</v>
      </c>
      <c r="U2">
        <v>1</v>
      </c>
      <c r="V2" t="s">
        <v>1364</v>
      </c>
      <c r="X2" t="s">
        <v>1365</v>
      </c>
      <c r="Y2" t="s">
        <v>1366</v>
      </c>
      <c r="Z2" t="s">
        <v>1367</v>
      </c>
      <c r="AA2" t="s">
        <v>1368</v>
      </c>
      <c r="AB2" t="s">
        <v>1369</v>
      </c>
      <c r="AC2" t="s">
        <v>1370</v>
      </c>
      <c r="AF2" t="s">
        <v>1371</v>
      </c>
      <c r="AG2" t="s">
        <v>1372</v>
      </c>
      <c r="AH2" t="s">
        <v>1366</v>
      </c>
      <c r="AK2">
        <v>0</v>
      </c>
      <c r="AO2" t="s">
        <v>1372</v>
      </c>
      <c r="AP2" t="s">
        <v>1373</v>
      </c>
    </row>
    <row r="3" hidden="1" spans="1:42">
      <c r="A3" t="s">
        <v>1374</v>
      </c>
      <c r="B3" t="s">
        <v>1356</v>
      </c>
      <c r="C3" t="s">
        <v>1375</v>
      </c>
      <c r="D3" t="s">
        <v>1376</v>
      </c>
      <c r="F3" t="s">
        <v>1377</v>
      </c>
      <c r="G3" s="45">
        <v>44808.9936805556</v>
      </c>
      <c r="M3">
        <v>109</v>
      </c>
      <c r="N3">
        <v>0</v>
      </c>
      <c r="O3">
        <v>0</v>
      </c>
      <c r="P3">
        <v>0</v>
      </c>
      <c r="Q3">
        <v>109</v>
      </c>
      <c r="R3">
        <v>0</v>
      </c>
      <c r="T3" t="s">
        <v>1378</v>
      </c>
      <c r="U3">
        <v>1</v>
      </c>
      <c r="V3" t="s">
        <v>1364</v>
      </c>
      <c r="X3" t="s">
        <v>400</v>
      </c>
      <c r="Y3" t="s">
        <v>1379</v>
      </c>
      <c r="Z3" t="s">
        <v>1380</v>
      </c>
      <c r="AA3" t="s">
        <v>1381</v>
      </c>
      <c r="AB3" t="s">
        <v>1382</v>
      </c>
      <c r="AC3" t="s">
        <v>1383</v>
      </c>
      <c r="AF3" t="s">
        <v>1384</v>
      </c>
      <c r="AG3" t="s">
        <v>1385</v>
      </c>
      <c r="AH3" t="s">
        <v>1386</v>
      </c>
      <c r="AK3">
        <v>0</v>
      </c>
      <c r="AO3" t="s">
        <v>1372</v>
      </c>
      <c r="AP3" t="s">
        <v>1373</v>
      </c>
    </row>
    <row r="4" hidden="1" spans="1:42">
      <c r="A4" t="s">
        <v>1387</v>
      </c>
      <c r="B4" t="s">
        <v>1356</v>
      </c>
      <c r="C4" t="s">
        <v>1375</v>
      </c>
      <c r="D4" t="s">
        <v>1376</v>
      </c>
      <c r="F4" t="s">
        <v>1377</v>
      </c>
      <c r="G4" s="45">
        <v>44808.9920833333</v>
      </c>
      <c r="M4">
        <v>109</v>
      </c>
      <c r="N4">
        <v>0</v>
      </c>
      <c r="O4">
        <v>-4</v>
      </c>
      <c r="P4">
        <v>0</v>
      </c>
      <c r="Q4">
        <v>105</v>
      </c>
      <c r="R4">
        <v>0</v>
      </c>
      <c r="S4" t="s">
        <v>1388</v>
      </c>
      <c r="T4" t="s">
        <v>1389</v>
      </c>
      <c r="U4">
        <v>1</v>
      </c>
      <c r="V4" t="s">
        <v>1364</v>
      </c>
      <c r="X4" t="s">
        <v>425</v>
      </c>
      <c r="Y4" t="s">
        <v>1390</v>
      </c>
      <c r="Z4" t="s">
        <v>1391</v>
      </c>
      <c r="AA4" t="s">
        <v>1392</v>
      </c>
      <c r="AB4" t="s">
        <v>1393</v>
      </c>
      <c r="AC4" t="s">
        <v>1394</v>
      </c>
      <c r="AF4" t="s">
        <v>1395</v>
      </c>
      <c r="AG4" t="s">
        <v>1385</v>
      </c>
      <c r="AH4" t="s">
        <v>1390</v>
      </c>
      <c r="AK4">
        <v>0</v>
      </c>
      <c r="AO4" t="s">
        <v>1372</v>
      </c>
      <c r="AP4" t="s">
        <v>1373</v>
      </c>
    </row>
    <row r="5" hidden="1" spans="1:42">
      <c r="A5" t="s">
        <v>1396</v>
      </c>
      <c r="B5" t="s">
        <v>1356</v>
      </c>
      <c r="C5" t="s">
        <v>1375</v>
      </c>
      <c r="D5" t="s">
        <v>1376</v>
      </c>
      <c r="F5" t="s">
        <v>1377</v>
      </c>
      <c r="G5" s="45">
        <v>44808.9894675926</v>
      </c>
      <c r="M5">
        <v>109</v>
      </c>
      <c r="N5">
        <v>0</v>
      </c>
      <c r="O5">
        <v>-3</v>
      </c>
      <c r="P5">
        <v>0</v>
      </c>
      <c r="Q5">
        <v>106</v>
      </c>
      <c r="R5">
        <v>0</v>
      </c>
      <c r="S5" t="s">
        <v>1397</v>
      </c>
      <c r="T5" t="s">
        <v>1398</v>
      </c>
      <c r="U5">
        <v>1</v>
      </c>
      <c r="V5" t="s">
        <v>1364</v>
      </c>
      <c r="X5" t="s">
        <v>400</v>
      </c>
      <c r="Y5" t="s">
        <v>1379</v>
      </c>
      <c r="Z5" t="s">
        <v>1380</v>
      </c>
      <c r="AA5" t="s">
        <v>1381</v>
      </c>
      <c r="AB5" t="s">
        <v>1382</v>
      </c>
      <c r="AC5" t="s">
        <v>1383</v>
      </c>
      <c r="AF5" t="s">
        <v>1384</v>
      </c>
      <c r="AG5" t="s">
        <v>1385</v>
      </c>
      <c r="AH5" t="s">
        <v>1386</v>
      </c>
      <c r="AK5">
        <v>0</v>
      </c>
      <c r="AO5" t="s">
        <v>1372</v>
      </c>
      <c r="AP5" t="s">
        <v>1373</v>
      </c>
    </row>
    <row r="6" hidden="1" spans="1:42">
      <c r="A6" t="s">
        <v>1399</v>
      </c>
      <c r="B6" t="s">
        <v>1356</v>
      </c>
      <c r="C6" t="s">
        <v>1375</v>
      </c>
      <c r="D6" t="s">
        <v>1358</v>
      </c>
      <c r="F6" t="s">
        <v>1377</v>
      </c>
      <c r="G6" s="45">
        <v>44808.9888773148</v>
      </c>
      <c r="H6" s="45">
        <v>44808.9893402778</v>
      </c>
      <c r="J6" t="s">
        <v>407</v>
      </c>
      <c r="M6">
        <v>109</v>
      </c>
      <c r="N6">
        <v>0</v>
      </c>
      <c r="O6">
        <v>-2</v>
      </c>
      <c r="P6">
        <v>0</v>
      </c>
      <c r="Q6">
        <v>107</v>
      </c>
      <c r="R6">
        <v>107</v>
      </c>
      <c r="S6" t="s">
        <v>1400</v>
      </c>
      <c r="T6" t="s">
        <v>1378</v>
      </c>
      <c r="U6">
        <v>1</v>
      </c>
      <c r="V6" t="s">
        <v>1364</v>
      </c>
      <c r="X6" t="s">
        <v>427</v>
      </c>
      <c r="Y6" t="s">
        <v>1401</v>
      </c>
      <c r="Z6" t="s">
        <v>1367</v>
      </c>
      <c r="AA6" t="s">
        <v>1402</v>
      </c>
      <c r="AB6" t="s">
        <v>1403</v>
      </c>
      <c r="AC6" t="s">
        <v>1404</v>
      </c>
      <c r="AF6" t="s">
        <v>1405</v>
      </c>
      <c r="AG6" t="s">
        <v>1372</v>
      </c>
      <c r="AH6" t="s">
        <v>1401</v>
      </c>
      <c r="AK6">
        <v>0</v>
      </c>
      <c r="AO6" t="s">
        <v>1372</v>
      </c>
      <c r="AP6" t="s">
        <v>1373</v>
      </c>
    </row>
    <row r="7" hidden="1" spans="1:42">
      <c r="A7" t="s">
        <v>1406</v>
      </c>
      <c r="B7" t="s">
        <v>1356</v>
      </c>
      <c r="C7" t="s">
        <v>1375</v>
      </c>
      <c r="D7" t="s">
        <v>1358</v>
      </c>
      <c r="F7" t="s">
        <v>1377</v>
      </c>
      <c r="G7" s="45">
        <v>44808.9859837963</v>
      </c>
      <c r="H7" s="45">
        <v>44808.986087963</v>
      </c>
      <c r="J7" t="s">
        <v>407</v>
      </c>
      <c r="M7">
        <v>99</v>
      </c>
      <c r="N7">
        <v>0</v>
      </c>
      <c r="O7">
        <v>0</v>
      </c>
      <c r="P7">
        <v>0</v>
      </c>
      <c r="Q7">
        <v>99</v>
      </c>
      <c r="R7">
        <v>99</v>
      </c>
      <c r="T7" t="s">
        <v>1407</v>
      </c>
      <c r="U7">
        <v>1</v>
      </c>
      <c r="V7" t="s">
        <v>1364</v>
      </c>
      <c r="X7" t="s">
        <v>471</v>
      </c>
      <c r="Y7" t="s">
        <v>1408</v>
      </c>
      <c r="Z7" t="s">
        <v>1380</v>
      </c>
      <c r="AA7" t="s">
        <v>1409</v>
      </c>
      <c r="AB7" t="s">
        <v>1410</v>
      </c>
      <c r="AC7" t="s">
        <v>1411</v>
      </c>
      <c r="AF7" t="s">
        <v>1095</v>
      </c>
      <c r="AG7" t="s">
        <v>1385</v>
      </c>
      <c r="AH7" t="s">
        <v>1412</v>
      </c>
      <c r="AK7">
        <v>0</v>
      </c>
      <c r="AO7" t="s">
        <v>1372</v>
      </c>
      <c r="AP7" t="s">
        <v>1373</v>
      </c>
    </row>
    <row r="8" hidden="1" spans="1:42">
      <c r="A8" t="s">
        <v>1413</v>
      </c>
      <c r="B8" t="s">
        <v>1356</v>
      </c>
      <c r="C8" t="s">
        <v>1375</v>
      </c>
      <c r="D8" t="s">
        <v>1376</v>
      </c>
      <c r="F8" t="s">
        <v>1377</v>
      </c>
      <c r="G8" s="45">
        <v>44808.9841435185</v>
      </c>
      <c r="M8">
        <v>209</v>
      </c>
      <c r="N8">
        <v>0</v>
      </c>
      <c r="O8">
        <v>-1</v>
      </c>
      <c r="P8">
        <v>0</v>
      </c>
      <c r="Q8">
        <v>208</v>
      </c>
      <c r="R8">
        <v>0</v>
      </c>
      <c r="S8" t="s">
        <v>1414</v>
      </c>
      <c r="T8" t="s">
        <v>1415</v>
      </c>
      <c r="U8">
        <v>1</v>
      </c>
      <c r="V8" t="s">
        <v>1364</v>
      </c>
      <c r="X8" t="s">
        <v>502</v>
      </c>
      <c r="Y8" t="s">
        <v>1416</v>
      </c>
      <c r="Z8" t="s">
        <v>1367</v>
      </c>
      <c r="AA8" t="s">
        <v>1417</v>
      </c>
      <c r="AB8" t="s">
        <v>1418</v>
      </c>
      <c r="AC8" t="s">
        <v>1419</v>
      </c>
      <c r="AF8" t="s">
        <v>1420</v>
      </c>
      <c r="AG8" t="s">
        <v>1372</v>
      </c>
      <c r="AH8" t="s">
        <v>1416</v>
      </c>
      <c r="AK8">
        <v>0</v>
      </c>
      <c r="AO8" t="s">
        <v>1372</v>
      </c>
      <c r="AP8" t="s">
        <v>1373</v>
      </c>
    </row>
    <row r="9" hidden="1" spans="1:42">
      <c r="A9" t="s">
        <v>1421</v>
      </c>
      <c r="B9" t="s">
        <v>1356</v>
      </c>
      <c r="C9" t="s">
        <v>1375</v>
      </c>
      <c r="D9" t="s">
        <v>1358</v>
      </c>
      <c r="F9" t="s">
        <v>1377</v>
      </c>
      <c r="G9" s="45">
        <v>44808.9840856481</v>
      </c>
      <c r="H9" s="45">
        <v>44808.9843287037</v>
      </c>
      <c r="J9" t="s">
        <v>407</v>
      </c>
      <c r="M9">
        <v>99</v>
      </c>
      <c r="N9">
        <v>0</v>
      </c>
      <c r="O9">
        <v>-5</v>
      </c>
      <c r="P9">
        <v>0</v>
      </c>
      <c r="Q9">
        <v>94</v>
      </c>
      <c r="R9">
        <v>94</v>
      </c>
      <c r="S9" t="s">
        <v>1422</v>
      </c>
      <c r="T9" t="s">
        <v>1423</v>
      </c>
      <c r="U9">
        <v>1</v>
      </c>
      <c r="V9" t="s">
        <v>1364</v>
      </c>
      <c r="X9" t="s">
        <v>427</v>
      </c>
      <c r="Y9" t="s">
        <v>1401</v>
      </c>
      <c r="Z9" t="s">
        <v>1367</v>
      </c>
      <c r="AA9" t="s">
        <v>1402</v>
      </c>
      <c r="AB9" t="s">
        <v>1403</v>
      </c>
      <c r="AC9" t="s">
        <v>1404</v>
      </c>
      <c r="AF9" t="s">
        <v>1405</v>
      </c>
      <c r="AG9" t="s">
        <v>1372</v>
      </c>
      <c r="AH9" t="s">
        <v>1401</v>
      </c>
      <c r="AK9">
        <v>0</v>
      </c>
      <c r="AO9" t="s">
        <v>1372</v>
      </c>
      <c r="AP9" t="s">
        <v>1373</v>
      </c>
    </row>
    <row r="10" hidden="1" spans="1:42">
      <c r="A10" t="s">
        <v>1424</v>
      </c>
      <c r="B10" t="s">
        <v>1356</v>
      </c>
      <c r="C10" t="s">
        <v>1375</v>
      </c>
      <c r="D10" t="s">
        <v>1358</v>
      </c>
      <c r="F10" t="s">
        <v>1359</v>
      </c>
      <c r="G10" s="45">
        <v>44808.9813888889</v>
      </c>
      <c r="H10" s="45">
        <v>44808.9815277778</v>
      </c>
      <c r="J10" t="s">
        <v>1360</v>
      </c>
      <c r="K10" t="s">
        <v>1425</v>
      </c>
      <c r="L10" t="s">
        <v>1426</v>
      </c>
      <c r="M10">
        <v>89</v>
      </c>
      <c r="N10">
        <v>0</v>
      </c>
      <c r="O10">
        <v>-1</v>
      </c>
      <c r="P10">
        <v>0</v>
      </c>
      <c r="Q10">
        <v>88</v>
      </c>
      <c r="R10">
        <v>88</v>
      </c>
      <c r="S10" t="s">
        <v>1414</v>
      </c>
      <c r="T10" t="s">
        <v>1427</v>
      </c>
      <c r="U10">
        <v>1</v>
      </c>
      <c r="V10" t="s">
        <v>1364</v>
      </c>
      <c r="X10" t="s">
        <v>1428</v>
      </c>
      <c r="Y10" t="s">
        <v>1429</v>
      </c>
      <c r="Z10" t="s">
        <v>1430</v>
      </c>
      <c r="AA10" t="s">
        <v>1431</v>
      </c>
      <c r="AB10" t="s">
        <v>1432</v>
      </c>
      <c r="AC10" t="s">
        <v>1433</v>
      </c>
      <c r="AD10" t="s">
        <v>1434</v>
      </c>
      <c r="AF10" t="s">
        <v>1428</v>
      </c>
      <c r="AG10" t="s">
        <v>1372</v>
      </c>
      <c r="AH10" t="s">
        <v>1429</v>
      </c>
      <c r="AK10">
        <v>0</v>
      </c>
      <c r="AO10" t="s">
        <v>1372</v>
      </c>
      <c r="AP10" t="s">
        <v>1373</v>
      </c>
    </row>
    <row r="11" hidden="1" spans="1:42">
      <c r="A11" t="s">
        <v>1435</v>
      </c>
      <c r="B11" t="s">
        <v>1356</v>
      </c>
      <c r="C11" t="s">
        <v>1375</v>
      </c>
      <c r="D11" t="s">
        <v>1376</v>
      </c>
      <c r="F11" t="s">
        <v>1377</v>
      </c>
      <c r="G11" s="45">
        <v>44808.977650463</v>
      </c>
      <c r="M11">
        <v>69</v>
      </c>
      <c r="N11">
        <v>0</v>
      </c>
      <c r="O11">
        <v>-2</v>
      </c>
      <c r="P11">
        <v>0</v>
      </c>
      <c r="Q11">
        <v>67</v>
      </c>
      <c r="R11">
        <v>0</v>
      </c>
      <c r="S11" t="s">
        <v>1400</v>
      </c>
      <c r="T11" t="s">
        <v>1436</v>
      </c>
      <c r="U11">
        <v>1</v>
      </c>
      <c r="V11" t="s">
        <v>1364</v>
      </c>
      <c r="X11" t="s">
        <v>1437</v>
      </c>
      <c r="Y11" t="s">
        <v>1438</v>
      </c>
      <c r="Z11" t="s">
        <v>1367</v>
      </c>
      <c r="AA11" t="s">
        <v>1439</v>
      </c>
      <c r="AB11" t="s">
        <v>1440</v>
      </c>
      <c r="AC11" t="s">
        <v>1441</v>
      </c>
      <c r="AF11" t="s">
        <v>1437</v>
      </c>
      <c r="AG11" t="s">
        <v>1385</v>
      </c>
      <c r="AH11" t="s">
        <v>1438</v>
      </c>
      <c r="AK11">
        <v>0</v>
      </c>
      <c r="AO11" t="s">
        <v>1372</v>
      </c>
      <c r="AP11" t="s">
        <v>1373</v>
      </c>
    </row>
    <row r="12" hidden="1" spans="1:42">
      <c r="A12" t="s">
        <v>1442</v>
      </c>
      <c r="B12" t="s">
        <v>1356</v>
      </c>
      <c r="C12" t="s">
        <v>1375</v>
      </c>
      <c r="D12" t="s">
        <v>1358</v>
      </c>
      <c r="F12" t="s">
        <v>1377</v>
      </c>
      <c r="G12" s="45">
        <v>44808.9770138889</v>
      </c>
      <c r="H12" s="45">
        <v>44808.9772800926</v>
      </c>
      <c r="J12" t="s">
        <v>407</v>
      </c>
      <c r="M12">
        <v>249</v>
      </c>
      <c r="N12">
        <v>0</v>
      </c>
      <c r="O12">
        <v>0</v>
      </c>
      <c r="P12">
        <v>0</v>
      </c>
      <c r="Q12">
        <v>249</v>
      </c>
      <c r="R12">
        <v>249</v>
      </c>
      <c r="T12" t="s">
        <v>1443</v>
      </c>
      <c r="U12">
        <v>1</v>
      </c>
      <c r="V12" t="s">
        <v>1364</v>
      </c>
      <c r="X12" t="s">
        <v>427</v>
      </c>
      <c r="Y12" t="s">
        <v>1401</v>
      </c>
      <c r="Z12" t="s">
        <v>1367</v>
      </c>
      <c r="AA12" t="s">
        <v>1402</v>
      </c>
      <c r="AB12" t="s">
        <v>1403</v>
      </c>
      <c r="AC12" t="s">
        <v>1404</v>
      </c>
      <c r="AF12" t="s">
        <v>1405</v>
      </c>
      <c r="AG12" t="s">
        <v>1372</v>
      </c>
      <c r="AH12" t="s">
        <v>1401</v>
      </c>
      <c r="AK12">
        <v>0</v>
      </c>
      <c r="AO12" t="s">
        <v>1372</v>
      </c>
      <c r="AP12" t="s">
        <v>1373</v>
      </c>
    </row>
    <row r="13" hidden="1" spans="1:42">
      <c r="A13" t="s">
        <v>1444</v>
      </c>
      <c r="B13" t="s">
        <v>1356</v>
      </c>
      <c r="C13" t="s">
        <v>1375</v>
      </c>
      <c r="D13" t="s">
        <v>1358</v>
      </c>
      <c r="F13" t="s">
        <v>1377</v>
      </c>
      <c r="G13" s="45">
        <v>44808.9766203704</v>
      </c>
      <c r="H13" s="45">
        <v>44808.9769328704</v>
      </c>
      <c r="J13" t="s">
        <v>407</v>
      </c>
      <c r="M13">
        <v>219</v>
      </c>
      <c r="N13">
        <v>0</v>
      </c>
      <c r="O13">
        <v>0</v>
      </c>
      <c r="P13">
        <v>0</v>
      </c>
      <c r="Q13">
        <v>219</v>
      </c>
      <c r="R13">
        <v>219</v>
      </c>
      <c r="T13" t="s">
        <v>1445</v>
      </c>
      <c r="U13">
        <v>1</v>
      </c>
      <c r="V13" t="s">
        <v>1364</v>
      </c>
      <c r="X13" t="s">
        <v>436</v>
      </c>
      <c r="Y13" t="s">
        <v>1446</v>
      </c>
      <c r="Z13" t="s">
        <v>1447</v>
      </c>
      <c r="AA13" t="s">
        <v>1448</v>
      </c>
      <c r="AB13" t="s">
        <v>1449</v>
      </c>
      <c r="AC13" t="s">
        <v>1450</v>
      </c>
      <c r="AF13" t="s">
        <v>1451</v>
      </c>
      <c r="AG13" t="s">
        <v>1385</v>
      </c>
      <c r="AH13" t="s">
        <v>1446</v>
      </c>
      <c r="AK13">
        <v>0</v>
      </c>
      <c r="AO13" t="s">
        <v>1372</v>
      </c>
      <c r="AP13" t="s">
        <v>1373</v>
      </c>
    </row>
    <row r="14" hidden="1" spans="1:42">
      <c r="A14" t="s">
        <v>1452</v>
      </c>
      <c r="B14" t="s">
        <v>1356</v>
      </c>
      <c r="C14" t="s">
        <v>1375</v>
      </c>
      <c r="D14" t="s">
        <v>1358</v>
      </c>
      <c r="F14" t="s">
        <v>1377</v>
      </c>
      <c r="G14" s="45">
        <v>44808.976412037</v>
      </c>
      <c r="H14" s="45">
        <v>44808.976724537</v>
      </c>
      <c r="J14" t="s">
        <v>407</v>
      </c>
      <c r="M14">
        <v>249</v>
      </c>
      <c r="N14">
        <v>0</v>
      </c>
      <c r="O14">
        <v>0</v>
      </c>
      <c r="P14">
        <v>0</v>
      </c>
      <c r="Q14">
        <v>249</v>
      </c>
      <c r="R14">
        <v>249</v>
      </c>
      <c r="T14" t="s">
        <v>1453</v>
      </c>
      <c r="U14">
        <v>1</v>
      </c>
      <c r="V14" t="s">
        <v>1364</v>
      </c>
      <c r="X14" t="s">
        <v>447</v>
      </c>
      <c r="Y14" t="s">
        <v>1454</v>
      </c>
      <c r="Z14" t="s">
        <v>1380</v>
      </c>
      <c r="AA14" t="s">
        <v>1455</v>
      </c>
      <c r="AB14" t="s">
        <v>1456</v>
      </c>
      <c r="AC14" t="s">
        <v>1457</v>
      </c>
      <c r="AF14" t="s">
        <v>1458</v>
      </c>
      <c r="AG14" t="s">
        <v>1372</v>
      </c>
      <c r="AH14" t="s">
        <v>1459</v>
      </c>
      <c r="AK14">
        <v>0</v>
      </c>
      <c r="AO14" t="s">
        <v>1372</v>
      </c>
      <c r="AP14" t="s">
        <v>1373</v>
      </c>
    </row>
    <row r="15" hidden="1" spans="1:42">
      <c r="A15" t="s">
        <v>1460</v>
      </c>
      <c r="B15" t="s">
        <v>1356</v>
      </c>
      <c r="C15" t="s">
        <v>1375</v>
      </c>
      <c r="D15" t="s">
        <v>1358</v>
      </c>
      <c r="F15" t="s">
        <v>1377</v>
      </c>
      <c r="G15" s="45">
        <v>44808.9754976852</v>
      </c>
      <c r="H15" s="45">
        <v>44808.9755902778</v>
      </c>
      <c r="J15" t="s">
        <v>407</v>
      </c>
      <c r="M15">
        <v>246.51</v>
      </c>
      <c r="N15">
        <v>0</v>
      </c>
      <c r="O15">
        <v>-4</v>
      </c>
      <c r="P15">
        <v>0</v>
      </c>
      <c r="Q15">
        <v>242.51</v>
      </c>
      <c r="R15">
        <v>242.51</v>
      </c>
      <c r="S15" t="s">
        <v>1388</v>
      </c>
      <c r="T15" t="s">
        <v>1461</v>
      </c>
      <c r="U15">
        <v>1</v>
      </c>
      <c r="V15" t="s">
        <v>1364</v>
      </c>
      <c r="X15" t="s">
        <v>425</v>
      </c>
      <c r="Y15" t="s">
        <v>1390</v>
      </c>
      <c r="Z15" t="s">
        <v>1391</v>
      </c>
      <c r="AA15" t="s">
        <v>1392</v>
      </c>
      <c r="AB15" t="s">
        <v>1393</v>
      </c>
      <c r="AC15" t="s">
        <v>1394</v>
      </c>
      <c r="AF15" t="s">
        <v>1395</v>
      </c>
      <c r="AG15" t="s">
        <v>1385</v>
      </c>
      <c r="AH15" t="s">
        <v>1390</v>
      </c>
      <c r="AK15">
        <v>0</v>
      </c>
      <c r="AO15" t="s">
        <v>1372</v>
      </c>
      <c r="AP15" t="s">
        <v>1373</v>
      </c>
    </row>
    <row r="16" hidden="1" spans="1:42">
      <c r="A16" t="s">
        <v>1462</v>
      </c>
      <c r="B16" t="s">
        <v>1356</v>
      </c>
      <c r="C16" t="s">
        <v>1375</v>
      </c>
      <c r="D16" t="s">
        <v>1358</v>
      </c>
      <c r="F16" t="s">
        <v>1377</v>
      </c>
      <c r="G16" s="45">
        <v>44808.9746759259</v>
      </c>
      <c r="H16" s="45">
        <v>44808.9748148148</v>
      </c>
      <c r="J16" t="s">
        <v>407</v>
      </c>
      <c r="M16">
        <v>249</v>
      </c>
      <c r="N16">
        <v>0</v>
      </c>
      <c r="O16">
        <v>-6</v>
      </c>
      <c r="P16">
        <v>0</v>
      </c>
      <c r="Q16">
        <v>243</v>
      </c>
      <c r="R16">
        <v>243</v>
      </c>
      <c r="S16" t="s">
        <v>1463</v>
      </c>
      <c r="T16" t="s">
        <v>1464</v>
      </c>
      <c r="U16">
        <v>1</v>
      </c>
      <c r="V16" t="s">
        <v>1364</v>
      </c>
      <c r="X16" t="s">
        <v>380</v>
      </c>
      <c r="Y16" t="s">
        <v>1465</v>
      </c>
      <c r="Z16" t="s">
        <v>1466</v>
      </c>
      <c r="AA16" t="s">
        <v>1467</v>
      </c>
      <c r="AB16" t="s">
        <v>1468</v>
      </c>
      <c r="AC16" t="s">
        <v>1469</v>
      </c>
      <c r="AF16" t="s">
        <v>1470</v>
      </c>
      <c r="AG16" t="s">
        <v>1372</v>
      </c>
      <c r="AH16" t="s">
        <v>1465</v>
      </c>
      <c r="AK16">
        <v>0</v>
      </c>
      <c r="AO16" t="s">
        <v>1372</v>
      </c>
      <c r="AP16" t="s">
        <v>1373</v>
      </c>
    </row>
    <row r="17" hidden="1" spans="1:42">
      <c r="A17" t="s">
        <v>1471</v>
      </c>
      <c r="B17" t="s">
        <v>1356</v>
      </c>
      <c r="C17" t="s">
        <v>1375</v>
      </c>
      <c r="D17" t="s">
        <v>1376</v>
      </c>
      <c r="F17" t="s">
        <v>1377</v>
      </c>
      <c r="G17" s="45">
        <v>44808.9742476852</v>
      </c>
      <c r="M17">
        <v>219</v>
      </c>
      <c r="N17">
        <v>0</v>
      </c>
      <c r="O17">
        <v>-1</v>
      </c>
      <c r="P17">
        <v>0</v>
      </c>
      <c r="Q17">
        <v>218</v>
      </c>
      <c r="R17">
        <v>0</v>
      </c>
      <c r="S17" t="s">
        <v>1414</v>
      </c>
      <c r="T17" t="s">
        <v>1472</v>
      </c>
      <c r="U17">
        <v>1</v>
      </c>
      <c r="V17" t="s">
        <v>1364</v>
      </c>
      <c r="X17" t="s">
        <v>436</v>
      </c>
      <c r="Y17" t="s">
        <v>1446</v>
      </c>
      <c r="Z17" t="s">
        <v>1447</v>
      </c>
      <c r="AA17" t="s">
        <v>1448</v>
      </c>
      <c r="AB17" t="s">
        <v>1449</v>
      </c>
      <c r="AC17" t="s">
        <v>1450</v>
      </c>
      <c r="AF17" t="s">
        <v>1451</v>
      </c>
      <c r="AG17" t="s">
        <v>1385</v>
      </c>
      <c r="AH17" t="s">
        <v>1446</v>
      </c>
      <c r="AK17">
        <v>0</v>
      </c>
      <c r="AO17" t="s">
        <v>1372</v>
      </c>
      <c r="AP17" t="s">
        <v>1373</v>
      </c>
    </row>
    <row r="18" hidden="1" spans="1:42">
      <c r="A18" t="s">
        <v>1473</v>
      </c>
      <c r="B18" t="s">
        <v>1356</v>
      </c>
      <c r="C18" t="s">
        <v>1357</v>
      </c>
      <c r="D18" t="s">
        <v>1358</v>
      </c>
      <c r="F18" t="s">
        <v>1359</v>
      </c>
      <c r="G18" s="45">
        <v>44808.9710185185</v>
      </c>
      <c r="H18" s="45">
        <v>44808.9711226852</v>
      </c>
      <c r="J18" t="s">
        <v>1360</v>
      </c>
      <c r="K18" t="s">
        <v>1474</v>
      </c>
      <c r="L18" t="s">
        <v>1475</v>
      </c>
      <c r="M18">
        <v>59</v>
      </c>
      <c r="N18">
        <v>0</v>
      </c>
      <c r="O18">
        <v>0</v>
      </c>
      <c r="P18">
        <v>0</v>
      </c>
      <c r="Q18">
        <v>59</v>
      </c>
      <c r="R18">
        <v>59</v>
      </c>
      <c r="T18" t="s">
        <v>1363</v>
      </c>
      <c r="U18">
        <v>1</v>
      </c>
      <c r="V18" t="s">
        <v>1364</v>
      </c>
      <c r="X18" t="s">
        <v>1476</v>
      </c>
      <c r="Y18" t="s">
        <v>1477</v>
      </c>
      <c r="Z18" t="s">
        <v>1478</v>
      </c>
      <c r="AA18" t="s">
        <v>1479</v>
      </c>
      <c r="AB18" t="s">
        <v>1480</v>
      </c>
      <c r="AC18" t="s">
        <v>1481</v>
      </c>
      <c r="AF18" t="s">
        <v>1482</v>
      </c>
      <c r="AG18" t="s">
        <v>1372</v>
      </c>
      <c r="AH18" t="s">
        <v>1477</v>
      </c>
      <c r="AK18">
        <v>0</v>
      </c>
      <c r="AO18" t="s">
        <v>1372</v>
      </c>
      <c r="AP18" t="s">
        <v>1373</v>
      </c>
    </row>
    <row r="19" hidden="1" spans="1:42">
      <c r="A19" t="s">
        <v>1483</v>
      </c>
      <c r="B19" t="s">
        <v>1356</v>
      </c>
      <c r="C19" t="s">
        <v>1375</v>
      </c>
      <c r="D19" t="s">
        <v>1358</v>
      </c>
      <c r="F19" t="s">
        <v>1377</v>
      </c>
      <c r="G19" s="45">
        <v>44808.9708564815</v>
      </c>
      <c r="H19" s="45">
        <v>44808.9710416667</v>
      </c>
      <c r="J19" t="s">
        <v>407</v>
      </c>
      <c r="M19">
        <v>19.9</v>
      </c>
      <c r="N19">
        <v>0</v>
      </c>
      <c r="O19">
        <v>0</v>
      </c>
      <c r="P19">
        <v>0</v>
      </c>
      <c r="Q19">
        <v>19.9</v>
      </c>
      <c r="R19">
        <v>19.9</v>
      </c>
      <c r="T19" t="s">
        <v>1484</v>
      </c>
      <c r="U19">
        <v>1</v>
      </c>
      <c r="V19" t="s">
        <v>1364</v>
      </c>
      <c r="X19" t="s">
        <v>641</v>
      </c>
      <c r="Y19" t="s">
        <v>1485</v>
      </c>
      <c r="Z19" t="s">
        <v>1367</v>
      </c>
      <c r="AA19" t="s">
        <v>1486</v>
      </c>
      <c r="AB19" t="s">
        <v>1487</v>
      </c>
      <c r="AC19" t="s">
        <v>1488</v>
      </c>
      <c r="AF19" t="s">
        <v>1489</v>
      </c>
      <c r="AG19" t="s">
        <v>1372</v>
      </c>
      <c r="AK19">
        <v>0</v>
      </c>
      <c r="AO19" t="s">
        <v>1372</v>
      </c>
      <c r="AP19" t="s">
        <v>1373</v>
      </c>
    </row>
    <row r="20" hidden="1" spans="1:42">
      <c r="A20" t="s">
        <v>1490</v>
      </c>
      <c r="B20" t="s">
        <v>1356</v>
      </c>
      <c r="C20" t="s">
        <v>1375</v>
      </c>
      <c r="D20" t="s">
        <v>1358</v>
      </c>
      <c r="F20" t="s">
        <v>1377</v>
      </c>
      <c r="G20" s="45">
        <v>44808.9687037037</v>
      </c>
      <c r="H20" s="45">
        <v>44808.9689583333</v>
      </c>
      <c r="J20" t="s">
        <v>407</v>
      </c>
      <c r="M20">
        <v>39.9</v>
      </c>
      <c r="N20">
        <v>0</v>
      </c>
      <c r="O20">
        <v>0</v>
      </c>
      <c r="P20">
        <v>0</v>
      </c>
      <c r="Q20">
        <v>39.9</v>
      </c>
      <c r="R20">
        <v>39.9</v>
      </c>
      <c r="T20" t="s">
        <v>1491</v>
      </c>
      <c r="U20">
        <v>1</v>
      </c>
      <c r="V20" t="s">
        <v>1364</v>
      </c>
      <c r="X20" t="s">
        <v>427</v>
      </c>
      <c r="Y20" t="s">
        <v>1401</v>
      </c>
      <c r="Z20" t="s">
        <v>1367</v>
      </c>
      <c r="AA20" t="s">
        <v>1402</v>
      </c>
      <c r="AB20" t="s">
        <v>1403</v>
      </c>
      <c r="AC20" t="s">
        <v>1404</v>
      </c>
      <c r="AF20" t="s">
        <v>1405</v>
      </c>
      <c r="AG20" t="s">
        <v>1372</v>
      </c>
      <c r="AH20" t="s">
        <v>1401</v>
      </c>
      <c r="AK20">
        <v>0</v>
      </c>
      <c r="AO20" t="s">
        <v>1372</v>
      </c>
      <c r="AP20" t="s">
        <v>1373</v>
      </c>
    </row>
    <row r="21" hidden="1" spans="1:42">
      <c r="A21" t="s">
        <v>1492</v>
      </c>
      <c r="B21" t="s">
        <v>1356</v>
      </c>
      <c r="C21" t="s">
        <v>1375</v>
      </c>
      <c r="D21" t="s">
        <v>1358</v>
      </c>
      <c r="F21" t="s">
        <v>1377</v>
      </c>
      <c r="G21" s="45">
        <v>44808.9686805556</v>
      </c>
      <c r="H21" s="45">
        <v>44808.9688657407</v>
      </c>
      <c r="J21" t="s">
        <v>407</v>
      </c>
      <c r="M21">
        <v>39.9</v>
      </c>
      <c r="N21">
        <v>0</v>
      </c>
      <c r="O21">
        <v>-3</v>
      </c>
      <c r="P21">
        <v>0</v>
      </c>
      <c r="Q21">
        <v>36.9</v>
      </c>
      <c r="R21">
        <v>36.9</v>
      </c>
      <c r="S21" t="s">
        <v>1397</v>
      </c>
      <c r="T21" t="s">
        <v>1493</v>
      </c>
      <c r="U21">
        <v>1</v>
      </c>
      <c r="V21" t="s">
        <v>1364</v>
      </c>
      <c r="X21" t="s">
        <v>458</v>
      </c>
      <c r="Y21" t="s">
        <v>1494</v>
      </c>
      <c r="Z21" t="s">
        <v>1495</v>
      </c>
      <c r="AA21" t="s">
        <v>1496</v>
      </c>
      <c r="AB21" t="s">
        <v>1497</v>
      </c>
      <c r="AC21" t="s">
        <v>1498</v>
      </c>
      <c r="AF21" t="s">
        <v>1499</v>
      </c>
      <c r="AG21" t="s">
        <v>1385</v>
      </c>
      <c r="AH21" t="s">
        <v>1494</v>
      </c>
      <c r="AK21">
        <v>0</v>
      </c>
      <c r="AO21" t="s">
        <v>1372</v>
      </c>
      <c r="AP21" t="s">
        <v>1373</v>
      </c>
    </row>
    <row r="22" hidden="1" spans="1:42">
      <c r="A22" t="s">
        <v>1500</v>
      </c>
      <c r="B22" t="s">
        <v>1356</v>
      </c>
      <c r="C22" t="s">
        <v>1375</v>
      </c>
      <c r="D22" t="s">
        <v>1358</v>
      </c>
      <c r="F22" t="s">
        <v>1377</v>
      </c>
      <c r="G22" s="45">
        <v>44808.9681712963</v>
      </c>
      <c r="H22" s="45">
        <v>44808.9684837963</v>
      </c>
      <c r="J22" t="s">
        <v>407</v>
      </c>
      <c r="M22">
        <v>39.9</v>
      </c>
      <c r="N22">
        <v>0</v>
      </c>
      <c r="O22">
        <v>0</v>
      </c>
      <c r="P22">
        <v>0</v>
      </c>
      <c r="Q22">
        <v>39.9</v>
      </c>
      <c r="R22">
        <v>39.9</v>
      </c>
      <c r="T22" t="s">
        <v>1501</v>
      </c>
      <c r="U22">
        <v>1</v>
      </c>
      <c r="V22" t="s">
        <v>1364</v>
      </c>
      <c r="X22" t="s">
        <v>502</v>
      </c>
      <c r="Y22" t="s">
        <v>1416</v>
      </c>
      <c r="Z22" t="s">
        <v>1367</v>
      </c>
      <c r="AA22" t="s">
        <v>1417</v>
      </c>
      <c r="AB22" t="s">
        <v>1418</v>
      </c>
      <c r="AC22" t="s">
        <v>1419</v>
      </c>
      <c r="AF22" t="s">
        <v>1420</v>
      </c>
      <c r="AG22" t="s">
        <v>1372</v>
      </c>
      <c r="AH22" t="s">
        <v>1416</v>
      </c>
      <c r="AK22">
        <v>0</v>
      </c>
      <c r="AO22" t="s">
        <v>1372</v>
      </c>
      <c r="AP22" t="s">
        <v>1373</v>
      </c>
    </row>
    <row r="23" hidden="1" spans="1:42">
      <c r="A23" t="s">
        <v>1502</v>
      </c>
      <c r="B23" t="s">
        <v>1356</v>
      </c>
      <c r="C23" t="s">
        <v>1375</v>
      </c>
      <c r="D23" t="s">
        <v>1358</v>
      </c>
      <c r="F23" t="s">
        <v>1377</v>
      </c>
      <c r="G23" s="45">
        <v>44808.9675231481</v>
      </c>
      <c r="H23" s="45">
        <v>44808.9676157407</v>
      </c>
      <c r="J23" t="s">
        <v>407</v>
      </c>
      <c r="M23">
        <v>39.9</v>
      </c>
      <c r="N23">
        <v>0</v>
      </c>
      <c r="O23">
        <v>-3</v>
      </c>
      <c r="P23">
        <v>0</v>
      </c>
      <c r="Q23">
        <v>36.9</v>
      </c>
      <c r="R23">
        <v>36.9</v>
      </c>
      <c r="S23" t="s">
        <v>1397</v>
      </c>
      <c r="T23" t="s">
        <v>1501</v>
      </c>
      <c r="U23">
        <v>1</v>
      </c>
      <c r="V23" t="s">
        <v>1364</v>
      </c>
      <c r="X23" t="s">
        <v>425</v>
      </c>
      <c r="Y23" t="s">
        <v>1390</v>
      </c>
      <c r="Z23" t="s">
        <v>1391</v>
      </c>
      <c r="AA23" t="s">
        <v>1392</v>
      </c>
      <c r="AB23" t="s">
        <v>1393</v>
      </c>
      <c r="AC23" t="s">
        <v>1394</v>
      </c>
      <c r="AF23" t="s">
        <v>1395</v>
      </c>
      <c r="AG23" t="s">
        <v>1385</v>
      </c>
      <c r="AH23" t="s">
        <v>1390</v>
      </c>
      <c r="AK23">
        <v>0</v>
      </c>
      <c r="AO23" t="s">
        <v>1372</v>
      </c>
      <c r="AP23" t="s">
        <v>1373</v>
      </c>
    </row>
    <row r="24" hidden="1" spans="1:42">
      <c r="A24" t="s">
        <v>1503</v>
      </c>
      <c r="B24" t="s">
        <v>1356</v>
      </c>
      <c r="C24" t="s">
        <v>1375</v>
      </c>
      <c r="D24" t="s">
        <v>1358</v>
      </c>
      <c r="F24" t="s">
        <v>1377</v>
      </c>
      <c r="G24" s="45">
        <v>44808.9666666667</v>
      </c>
      <c r="H24" s="45">
        <v>44808.9670138889</v>
      </c>
      <c r="J24" t="s">
        <v>407</v>
      </c>
      <c r="M24">
        <v>19.9</v>
      </c>
      <c r="N24">
        <v>0</v>
      </c>
      <c r="O24">
        <v>0</v>
      </c>
      <c r="P24">
        <v>0</v>
      </c>
      <c r="Q24">
        <v>19.9</v>
      </c>
      <c r="R24">
        <v>19.9</v>
      </c>
      <c r="T24" t="s">
        <v>1504</v>
      </c>
      <c r="U24">
        <v>1</v>
      </c>
      <c r="V24" t="s">
        <v>1364</v>
      </c>
      <c r="X24" t="s">
        <v>571</v>
      </c>
      <c r="Y24" t="s">
        <v>1505</v>
      </c>
      <c r="Z24" t="s">
        <v>1380</v>
      </c>
      <c r="AA24" t="s">
        <v>1506</v>
      </c>
      <c r="AB24" t="s">
        <v>1507</v>
      </c>
      <c r="AC24" t="s">
        <v>1508</v>
      </c>
      <c r="AF24" t="s">
        <v>1509</v>
      </c>
      <c r="AG24" t="s">
        <v>1372</v>
      </c>
      <c r="AH24" t="s">
        <v>1505</v>
      </c>
      <c r="AK24">
        <v>0</v>
      </c>
      <c r="AO24" t="s">
        <v>1372</v>
      </c>
      <c r="AP24" t="s">
        <v>1373</v>
      </c>
    </row>
    <row r="25" hidden="1" spans="1:42">
      <c r="A25" t="s">
        <v>1510</v>
      </c>
      <c r="B25" t="s">
        <v>1356</v>
      </c>
      <c r="C25" t="s">
        <v>1375</v>
      </c>
      <c r="D25" t="s">
        <v>1358</v>
      </c>
      <c r="F25" t="s">
        <v>1377</v>
      </c>
      <c r="G25" s="45">
        <v>44808.966400463</v>
      </c>
      <c r="H25" s="45">
        <v>44808.9665393519</v>
      </c>
      <c r="J25" t="s">
        <v>407</v>
      </c>
      <c r="M25">
        <v>39.9</v>
      </c>
      <c r="N25">
        <v>0</v>
      </c>
      <c r="O25">
        <v>-1</v>
      </c>
      <c r="P25">
        <v>0</v>
      </c>
      <c r="Q25">
        <v>38.9</v>
      </c>
      <c r="R25">
        <v>38.9</v>
      </c>
      <c r="S25" t="s">
        <v>1414</v>
      </c>
      <c r="T25" t="s">
        <v>1511</v>
      </c>
      <c r="U25">
        <v>1</v>
      </c>
      <c r="V25" t="s">
        <v>1364</v>
      </c>
      <c r="X25" t="s">
        <v>549</v>
      </c>
      <c r="Y25" t="s">
        <v>1512</v>
      </c>
      <c r="Z25" t="s">
        <v>1513</v>
      </c>
      <c r="AA25" t="s">
        <v>1514</v>
      </c>
      <c r="AB25" t="s">
        <v>1515</v>
      </c>
      <c r="AC25" t="s">
        <v>1516</v>
      </c>
      <c r="AF25" t="s">
        <v>1517</v>
      </c>
      <c r="AG25" t="s">
        <v>1385</v>
      </c>
      <c r="AH25" t="s">
        <v>1512</v>
      </c>
      <c r="AK25">
        <v>0</v>
      </c>
      <c r="AO25" t="s">
        <v>1372</v>
      </c>
      <c r="AP25" t="s">
        <v>1373</v>
      </c>
    </row>
    <row r="26" hidden="1" spans="1:42">
      <c r="A26" t="s">
        <v>1518</v>
      </c>
      <c r="B26" t="s">
        <v>1356</v>
      </c>
      <c r="C26" t="s">
        <v>1375</v>
      </c>
      <c r="D26" t="s">
        <v>1358</v>
      </c>
      <c r="F26" t="s">
        <v>1377</v>
      </c>
      <c r="G26" s="45">
        <v>44808.966412037</v>
      </c>
      <c r="H26" s="45">
        <v>44808.9665625</v>
      </c>
      <c r="J26" t="s">
        <v>407</v>
      </c>
      <c r="M26">
        <v>19.9</v>
      </c>
      <c r="N26">
        <v>0</v>
      </c>
      <c r="O26">
        <v>0</v>
      </c>
      <c r="P26">
        <v>0</v>
      </c>
      <c r="Q26">
        <v>19.9</v>
      </c>
      <c r="R26">
        <v>19.9</v>
      </c>
      <c r="T26" t="s">
        <v>1519</v>
      </c>
      <c r="U26">
        <v>1</v>
      </c>
      <c r="V26" t="s">
        <v>1364</v>
      </c>
      <c r="X26" t="s">
        <v>458</v>
      </c>
      <c r="Y26" t="s">
        <v>1494</v>
      </c>
      <c r="Z26" t="s">
        <v>1495</v>
      </c>
      <c r="AA26" t="s">
        <v>1496</v>
      </c>
      <c r="AB26" t="s">
        <v>1497</v>
      </c>
      <c r="AC26" t="s">
        <v>1498</v>
      </c>
      <c r="AF26" t="s">
        <v>1499</v>
      </c>
      <c r="AG26" t="s">
        <v>1385</v>
      </c>
      <c r="AH26" t="s">
        <v>1494</v>
      </c>
      <c r="AK26">
        <v>0</v>
      </c>
      <c r="AO26" t="s">
        <v>1372</v>
      </c>
      <c r="AP26" t="s">
        <v>1373</v>
      </c>
    </row>
    <row r="27" hidden="1" spans="1:42">
      <c r="A27" t="s">
        <v>1520</v>
      </c>
      <c r="B27" t="s">
        <v>1356</v>
      </c>
      <c r="C27" t="s">
        <v>1375</v>
      </c>
      <c r="D27" t="s">
        <v>1358</v>
      </c>
      <c r="F27" t="s">
        <v>1377</v>
      </c>
      <c r="G27" s="45">
        <v>44808.9659375</v>
      </c>
      <c r="H27" s="45">
        <v>44808.9660532407</v>
      </c>
      <c r="J27" t="s">
        <v>407</v>
      </c>
      <c r="M27">
        <v>19.9</v>
      </c>
      <c r="N27">
        <v>0</v>
      </c>
      <c r="O27">
        <v>0</v>
      </c>
      <c r="P27">
        <v>0</v>
      </c>
      <c r="Q27">
        <v>19.9</v>
      </c>
      <c r="R27">
        <v>19.9</v>
      </c>
      <c r="T27" t="s">
        <v>1521</v>
      </c>
      <c r="U27">
        <v>1</v>
      </c>
      <c r="V27" t="s">
        <v>1364</v>
      </c>
      <c r="X27" t="s">
        <v>426</v>
      </c>
      <c r="Y27" t="s">
        <v>1522</v>
      </c>
      <c r="Z27" t="s">
        <v>1367</v>
      </c>
      <c r="AA27" t="s">
        <v>1417</v>
      </c>
      <c r="AB27" t="s">
        <v>1523</v>
      </c>
      <c r="AC27" t="s">
        <v>1524</v>
      </c>
      <c r="AF27" t="s">
        <v>1525</v>
      </c>
      <c r="AG27" t="s">
        <v>1372</v>
      </c>
      <c r="AH27" t="s">
        <v>1522</v>
      </c>
      <c r="AK27">
        <v>0</v>
      </c>
      <c r="AO27" t="s">
        <v>1372</v>
      </c>
      <c r="AP27" t="s">
        <v>1373</v>
      </c>
    </row>
    <row r="28" hidden="1" spans="1:42">
      <c r="A28" t="s">
        <v>1526</v>
      </c>
      <c r="B28" t="s">
        <v>1356</v>
      </c>
      <c r="C28" t="s">
        <v>1375</v>
      </c>
      <c r="D28" t="s">
        <v>1358</v>
      </c>
      <c r="F28" t="s">
        <v>1377</v>
      </c>
      <c r="G28" s="45">
        <v>44808.9659259259</v>
      </c>
      <c r="H28" s="45">
        <v>44808.9660300926</v>
      </c>
      <c r="J28" t="s">
        <v>407</v>
      </c>
      <c r="M28">
        <v>19.9</v>
      </c>
      <c r="N28">
        <v>0</v>
      </c>
      <c r="O28">
        <v>0</v>
      </c>
      <c r="P28">
        <v>0</v>
      </c>
      <c r="Q28">
        <v>19.9</v>
      </c>
      <c r="R28">
        <v>19.9</v>
      </c>
      <c r="T28" t="s">
        <v>1527</v>
      </c>
      <c r="U28">
        <v>1</v>
      </c>
      <c r="V28" t="s">
        <v>1364</v>
      </c>
      <c r="X28" t="s">
        <v>458</v>
      </c>
      <c r="Y28" t="s">
        <v>1494</v>
      </c>
      <c r="Z28" t="s">
        <v>1495</v>
      </c>
      <c r="AA28" t="s">
        <v>1496</v>
      </c>
      <c r="AB28" t="s">
        <v>1497</v>
      </c>
      <c r="AC28" t="s">
        <v>1498</v>
      </c>
      <c r="AF28" t="s">
        <v>1499</v>
      </c>
      <c r="AG28" t="s">
        <v>1385</v>
      </c>
      <c r="AH28" t="s">
        <v>1494</v>
      </c>
      <c r="AK28">
        <v>0</v>
      </c>
      <c r="AO28" t="s">
        <v>1372</v>
      </c>
      <c r="AP28" t="s">
        <v>1373</v>
      </c>
    </row>
    <row r="29" hidden="1" spans="1:42">
      <c r="A29" t="s">
        <v>1528</v>
      </c>
      <c r="B29" t="s">
        <v>1356</v>
      </c>
      <c r="C29" t="s">
        <v>1375</v>
      </c>
      <c r="D29" t="s">
        <v>1358</v>
      </c>
      <c r="F29" t="s">
        <v>1377</v>
      </c>
      <c r="G29" s="45">
        <v>44808.9656365741</v>
      </c>
      <c r="H29" s="45">
        <v>44808.9657291667</v>
      </c>
      <c r="J29" t="s">
        <v>407</v>
      </c>
      <c r="M29">
        <v>19.9</v>
      </c>
      <c r="N29">
        <v>0</v>
      </c>
      <c r="O29">
        <v>0</v>
      </c>
      <c r="P29">
        <v>0</v>
      </c>
      <c r="Q29">
        <v>19.9</v>
      </c>
      <c r="R29">
        <v>19.9</v>
      </c>
      <c r="T29" t="s">
        <v>1529</v>
      </c>
      <c r="U29">
        <v>1</v>
      </c>
      <c r="V29" t="s">
        <v>1364</v>
      </c>
      <c r="X29" t="s">
        <v>425</v>
      </c>
      <c r="Y29" t="s">
        <v>1390</v>
      </c>
      <c r="Z29" t="s">
        <v>1391</v>
      </c>
      <c r="AA29" t="s">
        <v>1392</v>
      </c>
      <c r="AB29" t="s">
        <v>1393</v>
      </c>
      <c r="AC29" t="s">
        <v>1394</v>
      </c>
      <c r="AF29" t="s">
        <v>1395</v>
      </c>
      <c r="AG29" t="s">
        <v>1385</v>
      </c>
      <c r="AH29" t="s">
        <v>1390</v>
      </c>
      <c r="AK29">
        <v>0</v>
      </c>
      <c r="AO29" t="s">
        <v>1372</v>
      </c>
      <c r="AP29" t="s">
        <v>1373</v>
      </c>
    </row>
    <row r="30" hidden="1" spans="1:42">
      <c r="A30" t="s">
        <v>1530</v>
      </c>
      <c r="B30" t="s">
        <v>1356</v>
      </c>
      <c r="C30" t="s">
        <v>1375</v>
      </c>
      <c r="D30" t="s">
        <v>1358</v>
      </c>
      <c r="F30" t="s">
        <v>1377</v>
      </c>
      <c r="G30" s="45">
        <v>44808.9655555556</v>
      </c>
      <c r="H30" s="45">
        <v>44808.9656481482</v>
      </c>
      <c r="J30" t="s">
        <v>407</v>
      </c>
      <c r="M30">
        <v>19.9</v>
      </c>
      <c r="N30">
        <v>0</v>
      </c>
      <c r="O30">
        <v>0</v>
      </c>
      <c r="P30">
        <v>0</v>
      </c>
      <c r="Q30">
        <v>19.9</v>
      </c>
      <c r="R30">
        <v>19.9</v>
      </c>
      <c r="T30" t="s">
        <v>1531</v>
      </c>
      <c r="U30">
        <v>1</v>
      </c>
      <c r="V30" t="s">
        <v>1364</v>
      </c>
      <c r="X30" t="s">
        <v>402</v>
      </c>
      <c r="Y30" t="s">
        <v>1532</v>
      </c>
      <c r="Z30" t="s">
        <v>1533</v>
      </c>
      <c r="AA30" t="s">
        <v>1534</v>
      </c>
      <c r="AB30" t="s">
        <v>1535</v>
      </c>
      <c r="AC30" t="s">
        <v>1536</v>
      </c>
      <c r="AF30" t="s">
        <v>1537</v>
      </c>
      <c r="AG30" t="s">
        <v>1372</v>
      </c>
      <c r="AK30">
        <v>0</v>
      </c>
      <c r="AO30" t="s">
        <v>1372</v>
      </c>
      <c r="AP30" t="s">
        <v>1373</v>
      </c>
    </row>
    <row r="31" hidden="1" spans="1:42">
      <c r="A31" t="s">
        <v>1538</v>
      </c>
      <c r="B31" t="s">
        <v>1356</v>
      </c>
      <c r="C31" t="s">
        <v>1375</v>
      </c>
      <c r="D31" t="s">
        <v>1358</v>
      </c>
      <c r="F31" t="s">
        <v>1377</v>
      </c>
      <c r="G31" s="45">
        <v>44808.9653356482</v>
      </c>
      <c r="H31" s="45">
        <v>44808.9655324074</v>
      </c>
      <c r="J31" t="s">
        <v>407</v>
      </c>
      <c r="M31">
        <v>19.9</v>
      </c>
      <c r="N31">
        <v>0</v>
      </c>
      <c r="O31">
        <v>0</v>
      </c>
      <c r="P31">
        <v>0</v>
      </c>
      <c r="Q31">
        <v>19.9</v>
      </c>
      <c r="R31">
        <v>19.9</v>
      </c>
      <c r="T31" t="s">
        <v>1529</v>
      </c>
      <c r="U31">
        <v>1</v>
      </c>
      <c r="V31" t="s">
        <v>1364</v>
      </c>
      <c r="X31" t="s">
        <v>502</v>
      </c>
      <c r="Y31" t="s">
        <v>1416</v>
      </c>
      <c r="Z31" t="s">
        <v>1367</v>
      </c>
      <c r="AA31" t="s">
        <v>1417</v>
      </c>
      <c r="AB31" t="s">
        <v>1418</v>
      </c>
      <c r="AC31" t="s">
        <v>1419</v>
      </c>
      <c r="AF31" t="s">
        <v>1420</v>
      </c>
      <c r="AG31" t="s">
        <v>1372</v>
      </c>
      <c r="AH31" t="s">
        <v>1416</v>
      </c>
      <c r="AK31">
        <v>0</v>
      </c>
      <c r="AO31" t="s">
        <v>1372</v>
      </c>
      <c r="AP31" t="s">
        <v>1373</v>
      </c>
    </row>
    <row r="32" hidden="1" spans="1:42">
      <c r="A32" t="s">
        <v>1539</v>
      </c>
      <c r="B32" t="s">
        <v>1356</v>
      </c>
      <c r="C32" t="s">
        <v>1375</v>
      </c>
      <c r="D32" t="s">
        <v>1358</v>
      </c>
      <c r="F32" t="s">
        <v>1377</v>
      </c>
      <c r="G32" s="45">
        <v>44808.9653240741</v>
      </c>
      <c r="H32" s="45">
        <v>44808.9654398148</v>
      </c>
      <c r="J32" t="s">
        <v>407</v>
      </c>
      <c r="M32">
        <v>19.9</v>
      </c>
      <c r="N32">
        <v>0</v>
      </c>
      <c r="O32">
        <v>0</v>
      </c>
      <c r="P32">
        <v>0</v>
      </c>
      <c r="Q32">
        <v>19.9</v>
      </c>
      <c r="R32">
        <v>19.9</v>
      </c>
      <c r="T32" t="s">
        <v>1540</v>
      </c>
      <c r="U32">
        <v>1</v>
      </c>
      <c r="V32" t="s">
        <v>1364</v>
      </c>
      <c r="X32" t="s">
        <v>426</v>
      </c>
      <c r="Y32" t="s">
        <v>1522</v>
      </c>
      <c r="Z32" t="s">
        <v>1367</v>
      </c>
      <c r="AA32" t="s">
        <v>1417</v>
      </c>
      <c r="AB32" t="s">
        <v>1523</v>
      </c>
      <c r="AC32" t="s">
        <v>1524</v>
      </c>
      <c r="AF32" t="s">
        <v>1525</v>
      </c>
      <c r="AG32" t="s">
        <v>1372</v>
      </c>
      <c r="AH32" t="s">
        <v>1522</v>
      </c>
      <c r="AK32">
        <v>0</v>
      </c>
      <c r="AO32" t="s">
        <v>1372</v>
      </c>
      <c r="AP32" t="s">
        <v>1373</v>
      </c>
    </row>
    <row r="33" hidden="1" spans="1:42">
      <c r="A33" t="s">
        <v>1541</v>
      </c>
      <c r="B33" t="s">
        <v>1356</v>
      </c>
      <c r="C33" t="s">
        <v>1375</v>
      </c>
      <c r="D33" t="s">
        <v>1358</v>
      </c>
      <c r="F33" t="s">
        <v>1377</v>
      </c>
      <c r="G33" s="45">
        <v>44808.9650347222</v>
      </c>
      <c r="H33" s="45">
        <v>44808.9651273148</v>
      </c>
      <c r="J33" t="s">
        <v>407</v>
      </c>
      <c r="M33">
        <v>19.9</v>
      </c>
      <c r="N33">
        <v>0</v>
      </c>
      <c r="O33">
        <v>0</v>
      </c>
      <c r="P33">
        <v>0</v>
      </c>
      <c r="Q33">
        <v>19.9</v>
      </c>
      <c r="R33">
        <v>19.9</v>
      </c>
      <c r="T33" t="s">
        <v>1519</v>
      </c>
      <c r="U33">
        <v>1</v>
      </c>
      <c r="V33" t="s">
        <v>1364</v>
      </c>
      <c r="X33" t="s">
        <v>485</v>
      </c>
      <c r="Y33" t="s">
        <v>1542</v>
      </c>
      <c r="Z33" t="s">
        <v>1447</v>
      </c>
      <c r="AA33" t="s">
        <v>1543</v>
      </c>
      <c r="AB33" t="s">
        <v>1544</v>
      </c>
      <c r="AC33" t="s">
        <v>1545</v>
      </c>
      <c r="AF33" t="s">
        <v>1546</v>
      </c>
      <c r="AG33" t="s">
        <v>1372</v>
      </c>
      <c r="AK33">
        <v>0</v>
      </c>
      <c r="AO33" t="s">
        <v>1372</v>
      </c>
      <c r="AP33" t="s">
        <v>1373</v>
      </c>
    </row>
    <row r="34" hidden="1" spans="1:42">
      <c r="A34" t="s">
        <v>1547</v>
      </c>
      <c r="B34" t="s">
        <v>1356</v>
      </c>
      <c r="C34" t="s">
        <v>1375</v>
      </c>
      <c r="D34" t="s">
        <v>1358</v>
      </c>
      <c r="F34" t="s">
        <v>1548</v>
      </c>
      <c r="G34" s="45">
        <v>44808.9635185185</v>
      </c>
      <c r="H34" s="45">
        <v>44808.9636111111</v>
      </c>
      <c r="J34" t="s">
        <v>407</v>
      </c>
      <c r="M34">
        <v>348</v>
      </c>
      <c r="N34">
        <v>0</v>
      </c>
      <c r="O34">
        <v>-5</v>
      </c>
      <c r="P34">
        <v>0</v>
      </c>
      <c r="Q34">
        <v>343</v>
      </c>
      <c r="R34">
        <v>343</v>
      </c>
      <c r="S34" t="s">
        <v>1422</v>
      </c>
      <c r="T34" t="s">
        <v>1549</v>
      </c>
      <c r="U34">
        <v>1</v>
      </c>
      <c r="V34" t="s">
        <v>1364</v>
      </c>
      <c r="X34" t="s">
        <v>379</v>
      </c>
      <c r="Y34" t="s">
        <v>1550</v>
      </c>
      <c r="Z34" t="s">
        <v>1367</v>
      </c>
      <c r="AA34" t="s">
        <v>1551</v>
      </c>
      <c r="AB34" t="s">
        <v>1552</v>
      </c>
      <c r="AC34" t="s">
        <v>1553</v>
      </c>
      <c r="AF34" t="s">
        <v>1554</v>
      </c>
      <c r="AG34" t="s">
        <v>1372</v>
      </c>
      <c r="AH34" t="s">
        <v>1550</v>
      </c>
      <c r="AK34">
        <v>0</v>
      </c>
      <c r="AO34" t="s">
        <v>1372</v>
      </c>
      <c r="AP34" t="s">
        <v>1373</v>
      </c>
    </row>
    <row r="35" hidden="1" spans="1:42">
      <c r="A35" t="s">
        <v>1555</v>
      </c>
      <c r="B35" t="s">
        <v>1356</v>
      </c>
      <c r="C35" t="s">
        <v>1375</v>
      </c>
      <c r="D35" t="s">
        <v>1358</v>
      </c>
      <c r="F35" t="s">
        <v>1377</v>
      </c>
      <c r="G35" s="45">
        <v>44808.9629398148</v>
      </c>
      <c r="H35" s="45">
        <v>44808.9630555556</v>
      </c>
      <c r="J35" t="s">
        <v>407</v>
      </c>
      <c r="M35">
        <v>219</v>
      </c>
      <c r="N35">
        <v>0</v>
      </c>
      <c r="O35">
        <v>-5</v>
      </c>
      <c r="P35">
        <v>0</v>
      </c>
      <c r="Q35">
        <v>214</v>
      </c>
      <c r="R35">
        <v>214</v>
      </c>
      <c r="S35" t="s">
        <v>1422</v>
      </c>
      <c r="T35" t="s">
        <v>1445</v>
      </c>
      <c r="U35">
        <v>1</v>
      </c>
      <c r="V35" t="s">
        <v>1364</v>
      </c>
      <c r="X35" t="s">
        <v>426</v>
      </c>
      <c r="Y35" t="s">
        <v>1522</v>
      </c>
      <c r="Z35" t="s">
        <v>1367</v>
      </c>
      <c r="AA35" t="s">
        <v>1417</v>
      </c>
      <c r="AB35" t="s">
        <v>1523</v>
      </c>
      <c r="AC35" t="s">
        <v>1524</v>
      </c>
      <c r="AF35" t="s">
        <v>1525</v>
      </c>
      <c r="AG35" t="s">
        <v>1372</v>
      </c>
      <c r="AH35" t="s">
        <v>1522</v>
      </c>
      <c r="AK35">
        <v>0</v>
      </c>
      <c r="AO35" t="s">
        <v>1372</v>
      </c>
      <c r="AP35" t="s">
        <v>1373</v>
      </c>
    </row>
    <row r="36" hidden="1" spans="1:42">
      <c r="A36" t="s">
        <v>1556</v>
      </c>
      <c r="B36" t="s">
        <v>1356</v>
      </c>
      <c r="C36" t="s">
        <v>1375</v>
      </c>
      <c r="D36" t="s">
        <v>1358</v>
      </c>
      <c r="F36" t="s">
        <v>1377</v>
      </c>
      <c r="G36" s="45">
        <v>44808.9617013889</v>
      </c>
      <c r="H36" s="45">
        <v>44808.9618634259</v>
      </c>
      <c r="J36" t="s">
        <v>407</v>
      </c>
      <c r="M36">
        <v>219</v>
      </c>
      <c r="N36">
        <v>0</v>
      </c>
      <c r="O36">
        <v>-18</v>
      </c>
      <c r="P36">
        <v>0</v>
      </c>
      <c r="Q36">
        <v>201</v>
      </c>
      <c r="R36">
        <v>201</v>
      </c>
      <c r="S36" t="s">
        <v>1557</v>
      </c>
      <c r="T36" t="s">
        <v>1558</v>
      </c>
      <c r="U36">
        <v>1</v>
      </c>
      <c r="V36" t="s">
        <v>1364</v>
      </c>
      <c r="X36" t="s">
        <v>455</v>
      </c>
      <c r="Y36" t="s">
        <v>1559</v>
      </c>
      <c r="Z36" t="s">
        <v>1560</v>
      </c>
      <c r="AA36" t="s">
        <v>1560</v>
      </c>
      <c r="AB36" t="s">
        <v>1561</v>
      </c>
      <c r="AC36" t="s">
        <v>1562</v>
      </c>
      <c r="AF36" t="s">
        <v>455</v>
      </c>
      <c r="AG36" t="s">
        <v>1385</v>
      </c>
      <c r="AH36" t="s">
        <v>1559</v>
      </c>
      <c r="AK36">
        <v>0</v>
      </c>
      <c r="AO36" t="s">
        <v>1372</v>
      </c>
      <c r="AP36" t="s">
        <v>1373</v>
      </c>
    </row>
    <row r="37" hidden="1" spans="1:42">
      <c r="A37" t="s">
        <v>1563</v>
      </c>
      <c r="B37" t="s">
        <v>1356</v>
      </c>
      <c r="C37" t="s">
        <v>1375</v>
      </c>
      <c r="D37" t="s">
        <v>1358</v>
      </c>
      <c r="F37" t="s">
        <v>1377</v>
      </c>
      <c r="G37" s="45">
        <v>44808.9603009259</v>
      </c>
      <c r="H37" s="45">
        <v>44808.9604050926</v>
      </c>
      <c r="J37" t="s">
        <v>407</v>
      </c>
      <c r="M37">
        <v>259</v>
      </c>
      <c r="N37">
        <v>0</v>
      </c>
      <c r="O37">
        <v>-1</v>
      </c>
      <c r="P37">
        <v>0</v>
      </c>
      <c r="Q37">
        <v>258</v>
      </c>
      <c r="R37">
        <v>258</v>
      </c>
      <c r="S37" t="s">
        <v>1414</v>
      </c>
      <c r="T37" t="s">
        <v>1564</v>
      </c>
      <c r="U37">
        <v>1</v>
      </c>
      <c r="V37" t="s">
        <v>1364</v>
      </c>
      <c r="X37" t="s">
        <v>425</v>
      </c>
      <c r="Y37" t="s">
        <v>1390</v>
      </c>
      <c r="Z37" t="s">
        <v>1391</v>
      </c>
      <c r="AA37" t="s">
        <v>1392</v>
      </c>
      <c r="AB37" t="s">
        <v>1393</v>
      </c>
      <c r="AC37" t="s">
        <v>1394</v>
      </c>
      <c r="AF37" t="s">
        <v>1395</v>
      </c>
      <c r="AG37" t="s">
        <v>1385</v>
      </c>
      <c r="AH37" t="s">
        <v>1390</v>
      </c>
      <c r="AK37">
        <v>0</v>
      </c>
      <c r="AO37" t="s">
        <v>1372</v>
      </c>
      <c r="AP37" t="s">
        <v>1373</v>
      </c>
    </row>
    <row r="38" hidden="1" spans="1:42">
      <c r="A38" t="s">
        <v>1565</v>
      </c>
      <c r="B38" t="s">
        <v>1356</v>
      </c>
      <c r="C38" t="s">
        <v>1375</v>
      </c>
      <c r="D38" t="s">
        <v>1358</v>
      </c>
      <c r="F38" t="s">
        <v>1359</v>
      </c>
      <c r="G38" s="45">
        <v>44808.9600462963</v>
      </c>
      <c r="H38" s="45">
        <v>44808.960162037</v>
      </c>
      <c r="J38" t="s">
        <v>1360</v>
      </c>
      <c r="K38" t="s">
        <v>1566</v>
      </c>
      <c r="L38" t="s">
        <v>1567</v>
      </c>
      <c r="M38">
        <v>58</v>
      </c>
      <c r="N38">
        <v>0</v>
      </c>
      <c r="O38">
        <v>0</v>
      </c>
      <c r="P38">
        <v>0</v>
      </c>
      <c r="Q38">
        <v>58</v>
      </c>
      <c r="R38">
        <v>58</v>
      </c>
      <c r="T38" t="s">
        <v>1568</v>
      </c>
      <c r="U38">
        <v>1</v>
      </c>
      <c r="V38" t="s">
        <v>1364</v>
      </c>
      <c r="X38" t="s">
        <v>1569</v>
      </c>
      <c r="Y38" t="s">
        <v>1570</v>
      </c>
      <c r="Z38" t="s">
        <v>1466</v>
      </c>
      <c r="AA38" t="s">
        <v>1571</v>
      </c>
      <c r="AB38" t="s">
        <v>1572</v>
      </c>
      <c r="AC38" t="s">
        <v>1573</v>
      </c>
      <c r="AF38" t="s">
        <v>1574</v>
      </c>
      <c r="AG38" t="s">
        <v>1372</v>
      </c>
      <c r="AH38" t="s">
        <v>1570</v>
      </c>
      <c r="AK38">
        <v>0</v>
      </c>
      <c r="AO38" t="s">
        <v>1372</v>
      </c>
      <c r="AP38" t="s">
        <v>1373</v>
      </c>
    </row>
    <row r="39" hidden="1" spans="1:42">
      <c r="A39" t="s">
        <v>1575</v>
      </c>
      <c r="B39" t="s">
        <v>1356</v>
      </c>
      <c r="C39" t="s">
        <v>1375</v>
      </c>
      <c r="D39" t="s">
        <v>1358</v>
      </c>
      <c r="F39" t="s">
        <v>1377</v>
      </c>
      <c r="G39" s="45">
        <v>44808.9600347222</v>
      </c>
      <c r="H39" s="45">
        <v>44808.9601273148</v>
      </c>
      <c r="J39" t="s">
        <v>407</v>
      </c>
      <c r="M39">
        <v>19.9</v>
      </c>
      <c r="N39">
        <v>0</v>
      </c>
      <c r="O39">
        <v>0</v>
      </c>
      <c r="P39">
        <v>0</v>
      </c>
      <c r="Q39">
        <v>19.9</v>
      </c>
      <c r="R39">
        <v>19.9</v>
      </c>
      <c r="T39" t="s">
        <v>1484</v>
      </c>
      <c r="U39">
        <v>1</v>
      </c>
      <c r="V39" t="s">
        <v>1364</v>
      </c>
      <c r="X39" t="s">
        <v>485</v>
      </c>
      <c r="Y39" t="s">
        <v>1542</v>
      </c>
      <c r="Z39" t="s">
        <v>1447</v>
      </c>
      <c r="AA39" t="s">
        <v>1543</v>
      </c>
      <c r="AB39" t="s">
        <v>1544</v>
      </c>
      <c r="AC39" t="s">
        <v>1545</v>
      </c>
      <c r="AF39" t="s">
        <v>1576</v>
      </c>
      <c r="AG39" t="s">
        <v>1372</v>
      </c>
      <c r="AK39">
        <v>0</v>
      </c>
      <c r="AO39" t="s">
        <v>1372</v>
      </c>
      <c r="AP39" t="s">
        <v>1373</v>
      </c>
    </row>
    <row r="40" hidden="1" spans="1:42">
      <c r="A40" t="s">
        <v>1577</v>
      </c>
      <c r="B40" t="s">
        <v>1356</v>
      </c>
      <c r="C40" t="s">
        <v>1375</v>
      </c>
      <c r="D40" t="s">
        <v>1358</v>
      </c>
      <c r="F40" t="s">
        <v>1359</v>
      </c>
      <c r="G40" s="45">
        <v>44808.95875</v>
      </c>
      <c r="H40" s="45">
        <v>44808.9588310185</v>
      </c>
      <c r="J40" t="s">
        <v>407</v>
      </c>
      <c r="M40">
        <v>19.9</v>
      </c>
      <c r="N40">
        <v>0</v>
      </c>
      <c r="O40">
        <v>0</v>
      </c>
      <c r="P40">
        <v>0</v>
      </c>
      <c r="Q40">
        <v>19.9</v>
      </c>
      <c r="R40">
        <v>19.9</v>
      </c>
      <c r="T40" t="s">
        <v>1578</v>
      </c>
      <c r="U40">
        <v>1</v>
      </c>
      <c r="V40" t="s">
        <v>1364</v>
      </c>
      <c r="X40" t="s">
        <v>485</v>
      </c>
      <c r="Y40" t="s">
        <v>1542</v>
      </c>
      <c r="Z40" t="s">
        <v>1447</v>
      </c>
      <c r="AA40" t="s">
        <v>1543</v>
      </c>
      <c r="AB40" t="s">
        <v>1544</v>
      </c>
      <c r="AC40" t="s">
        <v>1545</v>
      </c>
      <c r="AF40" t="s">
        <v>1576</v>
      </c>
      <c r="AG40" t="s">
        <v>1372</v>
      </c>
      <c r="AK40">
        <v>0</v>
      </c>
      <c r="AO40" t="s">
        <v>1372</v>
      </c>
      <c r="AP40" t="s">
        <v>1373</v>
      </c>
    </row>
    <row r="41" hidden="1" spans="1:42">
      <c r="A41" t="s">
        <v>1579</v>
      </c>
      <c r="B41" t="s">
        <v>1356</v>
      </c>
      <c r="C41" t="s">
        <v>1375</v>
      </c>
      <c r="D41" t="s">
        <v>1358</v>
      </c>
      <c r="F41" t="s">
        <v>1377</v>
      </c>
      <c r="G41" s="45">
        <v>44808.9584953704</v>
      </c>
      <c r="H41" s="45">
        <v>44808.958599537</v>
      </c>
      <c r="J41" t="s">
        <v>407</v>
      </c>
      <c r="M41">
        <v>259</v>
      </c>
      <c r="N41">
        <v>0</v>
      </c>
      <c r="O41">
        <v>0</v>
      </c>
      <c r="P41">
        <v>0</v>
      </c>
      <c r="Q41">
        <v>259</v>
      </c>
      <c r="R41">
        <v>259</v>
      </c>
      <c r="T41" t="s">
        <v>1580</v>
      </c>
      <c r="U41">
        <v>1</v>
      </c>
      <c r="V41" t="s">
        <v>1364</v>
      </c>
      <c r="X41" t="s">
        <v>379</v>
      </c>
      <c r="Y41" t="s">
        <v>1550</v>
      </c>
      <c r="Z41" t="s">
        <v>1367</v>
      </c>
      <c r="AA41" t="s">
        <v>1551</v>
      </c>
      <c r="AB41" t="s">
        <v>1552</v>
      </c>
      <c r="AC41" t="s">
        <v>1553</v>
      </c>
      <c r="AF41" t="s">
        <v>1554</v>
      </c>
      <c r="AG41" t="s">
        <v>1372</v>
      </c>
      <c r="AH41" t="s">
        <v>1550</v>
      </c>
      <c r="AK41">
        <v>0</v>
      </c>
      <c r="AO41" t="s">
        <v>1372</v>
      </c>
      <c r="AP41" t="s">
        <v>1373</v>
      </c>
    </row>
    <row r="42" hidden="1" spans="1:42">
      <c r="A42" t="s">
        <v>1581</v>
      </c>
      <c r="B42" t="s">
        <v>1356</v>
      </c>
      <c r="C42" t="s">
        <v>1375</v>
      </c>
      <c r="D42" t="s">
        <v>1358</v>
      </c>
      <c r="F42" t="s">
        <v>1359</v>
      </c>
      <c r="G42" s="45">
        <v>44808.9580902778</v>
      </c>
      <c r="H42" s="45">
        <v>44808.958599537</v>
      </c>
      <c r="J42" t="s">
        <v>1360</v>
      </c>
      <c r="K42" t="s">
        <v>1582</v>
      </c>
      <c r="L42" t="s">
        <v>1583</v>
      </c>
      <c r="M42">
        <v>38</v>
      </c>
      <c r="N42">
        <v>0</v>
      </c>
      <c r="O42">
        <v>0</v>
      </c>
      <c r="P42">
        <v>0</v>
      </c>
      <c r="Q42">
        <v>38</v>
      </c>
      <c r="R42">
        <v>38</v>
      </c>
      <c r="T42" t="s">
        <v>1584</v>
      </c>
      <c r="U42">
        <v>1</v>
      </c>
      <c r="V42" t="s">
        <v>1364</v>
      </c>
      <c r="X42" t="s">
        <v>1585</v>
      </c>
      <c r="Y42" t="s">
        <v>1586</v>
      </c>
      <c r="Z42" t="s">
        <v>1478</v>
      </c>
      <c r="AA42" t="s">
        <v>1587</v>
      </c>
      <c r="AB42" t="s">
        <v>1588</v>
      </c>
      <c r="AC42" t="s">
        <v>1589</v>
      </c>
      <c r="AF42" t="s">
        <v>1590</v>
      </c>
      <c r="AG42" t="s">
        <v>1372</v>
      </c>
      <c r="AH42" t="s">
        <v>1586</v>
      </c>
      <c r="AK42">
        <v>0</v>
      </c>
      <c r="AO42" t="s">
        <v>1372</v>
      </c>
      <c r="AP42" t="s">
        <v>1373</v>
      </c>
    </row>
    <row r="43" hidden="1" spans="1:42">
      <c r="A43" t="s">
        <v>1591</v>
      </c>
      <c r="B43" t="s">
        <v>1356</v>
      </c>
      <c r="C43" t="s">
        <v>1375</v>
      </c>
      <c r="D43" t="s">
        <v>1358</v>
      </c>
      <c r="F43" t="s">
        <v>1377</v>
      </c>
      <c r="G43" s="45">
        <v>44808.9580902778</v>
      </c>
      <c r="H43" s="45">
        <v>44808.9581828704</v>
      </c>
      <c r="J43" t="s">
        <v>407</v>
      </c>
      <c r="M43">
        <v>259</v>
      </c>
      <c r="N43">
        <v>0</v>
      </c>
      <c r="O43">
        <v>-3</v>
      </c>
      <c r="P43">
        <v>0</v>
      </c>
      <c r="Q43">
        <v>256</v>
      </c>
      <c r="R43">
        <v>256</v>
      </c>
      <c r="S43" t="s">
        <v>1397</v>
      </c>
      <c r="T43" t="s">
        <v>1592</v>
      </c>
      <c r="U43">
        <v>1</v>
      </c>
      <c r="V43" t="s">
        <v>1364</v>
      </c>
      <c r="X43" t="s">
        <v>402</v>
      </c>
      <c r="Y43" t="s">
        <v>1532</v>
      </c>
      <c r="Z43" t="s">
        <v>1533</v>
      </c>
      <c r="AA43" t="s">
        <v>1534</v>
      </c>
      <c r="AB43" t="s">
        <v>1535</v>
      </c>
      <c r="AC43" t="s">
        <v>1536</v>
      </c>
      <c r="AF43" t="s">
        <v>1537</v>
      </c>
      <c r="AG43" t="s">
        <v>1372</v>
      </c>
      <c r="AK43">
        <v>0</v>
      </c>
      <c r="AL43" t="s">
        <v>1593</v>
      </c>
      <c r="AO43" t="s">
        <v>1372</v>
      </c>
      <c r="AP43" t="s">
        <v>1373</v>
      </c>
    </row>
    <row r="44" hidden="1" spans="1:42">
      <c r="A44" t="s">
        <v>1594</v>
      </c>
      <c r="B44" t="s">
        <v>1356</v>
      </c>
      <c r="C44" t="s">
        <v>1375</v>
      </c>
      <c r="D44" t="s">
        <v>1358</v>
      </c>
      <c r="F44" t="s">
        <v>1377</v>
      </c>
      <c r="G44" s="45">
        <v>44808.9573842593</v>
      </c>
      <c r="H44" s="45">
        <v>44808.9574884259</v>
      </c>
      <c r="J44" t="s">
        <v>407</v>
      </c>
      <c r="M44">
        <v>259</v>
      </c>
      <c r="N44">
        <v>0</v>
      </c>
      <c r="O44">
        <v>0</v>
      </c>
      <c r="P44">
        <v>0</v>
      </c>
      <c r="Q44">
        <v>259</v>
      </c>
      <c r="R44">
        <v>259</v>
      </c>
      <c r="T44" t="s">
        <v>1592</v>
      </c>
      <c r="U44">
        <v>1</v>
      </c>
      <c r="V44" t="s">
        <v>1364</v>
      </c>
      <c r="X44" t="s">
        <v>438</v>
      </c>
      <c r="Y44" t="s">
        <v>1595</v>
      </c>
      <c r="Z44" t="s">
        <v>1513</v>
      </c>
      <c r="AA44" t="s">
        <v>1596</v>
      </c>
      <c r="AB44" t="s">
        <v>1597</v>
      </c>
      <c r="AC44" t="s">
        <v>1598</v>
      </c>
      <c r="AF44" t="s">
        <v>1599</v>
      </c>
      <c r="AG44" t="s">
        <v>1385</v>
      </c>
      <c r="AH44" t="s">
        <v>1595</v>
      </c>
      <c r="AK44">
        <v>0</v>
      </c>
      <c r="AO44" t="s">
        <v>1372</v>
      </c>
      <c r="AP44" t="s">
        <v>1373</v>
      </c>
    </row>
    <row r="45" hidden="1" spans="1:42">
      <c r="A45" t="s">
        <v>1600</v>
      </c>
      <c r="B45" t="s">
        <v>1356</v>
      </c>
      <c r="C45" t="s">
        <v>1375</v>
      </c>
      <c r="D45" t="s">
        <v>1358</v>
      </c>
      <c r="F45" t="s">
        <v>1359</v>
      </c>
      <c r="G45" s="45">
        <v>44808.956412037</v>
      </c>
      <c r="H45" s="45">
        <v>44808.9578587963</v>
      </c>
      <c r="J45" t="s">
        <v>407</v>
      </c>
      <c r="M45">
        <v>259</v>
      </c>
      <c r="N45">
        <v>0</v>
      </c>
      <c r="O45">
        <v>-4</v>
      </c>
      <c r="P45">
        <v>0</v>
      </c>
      <c r="Q45">
        <v>255</v>
      </c>
      <c r="R45">
        <v>255</v>
      </c>
      <c r="S45" t="s">
        <v>1388</v>
      </c>
      <c r="T45" t="s">
        <v>1592</v>
      </c>
      <c r="U45">
        <v>1</v>
      </c>
      <c r="V45" t="s">
        <v>1364</v>
      </c>
      <c r="X45" t="s">
        <v>380</v>
      </c>
      <c r="Y45" t="s">
        <v>1465</v>
      </c>
      <c r="Z45" t="s">
        <v>1466</v>
      </c>
      <c r="AA45" t="s">
        <v>1467</v>
      </c>
      <c r="AB45" t="s">
        <v>1468</v>
      </c>
      <c r="AC45" t="s">
        <v>1469</v>
      </c>
      <c r="AF45" t="s">
        <v>1470</v>
      </c>
      <c r="AG45" t="s">
        <v>1372</v>
      </c>
      <c r="AH45" t="s">
        <v>1465</v>
      </c>
      <c r="AK45">
        <v>0</v>
      </c>
      <c r="AO45" t="s">
        <v>1372</v>
      </c>
      <c r="AP45" t="s">
        <v>1373</v>
      </c>
    </row>
    <row r="46" hidden="1" spans="1:42">
      <c r="A46" t="s">
        <v>1601</v>
      </c>
      <c r="B46" t="s">
        <v>1356</v>
      </c>
      <c r="C46" t="s">
        <v>1375</v>
      </c>
      <c r="D46" t="s">
        <v>1358</v>
      </c>
      <c r="F46" t="s">
        <v>1377</v>
      </c>
      <c r="G46" s="45">
        <v>44808.9563657407</v>
      </c>
      <c r="H46" s="45">
        <v>44808.9565046296</v>
      </c>
      <c r="J46" t="s">
        <v>407</v>
      </c>
      <c r="M46">
        <v>259</v>
      </c>
      <c r="N46">
        <v>0</v>
      </c>
      <c r="O46">
        <v>0</v>
      </c>
      <c r="P46">
        <v>0</v>
      </c>
      <c r="Q46">
        <v>259</v>
      </c>
      <c r="R46">
        <v>259</v>
      </c>
      <c r="T46" t="s">
        <v>1602</v>
      </c>
      <c r="U46">
        <v>1</v>
      </c>
      <c r="V46" t="s">
        <v>1364</v>
      </c>
      <c r="X46" t="s">
        <v>426</v>
      </c>
      <c r="Y46" t="s">
        <v>1522</v>
      </c>
      <c r="Z46" t="s">
        <v>1367</v>
      </c>
      <c r="AA46" t="s">
        <v>1417</v>
      </c>
      <c r="AB46" t="s">
        <v>1523</v>
      </c>
      <c r="AC46" t="s">
        <v>1524</v>
      </c>
      <c r="AF46" t="s">
        <v>1525</v>
      </c>
      <c r="AG46" t="s">
        <v>1372</v>
      </c>
      <c r="AH46" t="s">
        <v>1522</v>
      </c>
      <c r="AK46">
        <v>0</v>
      </c>
      <c r="AO46" t="s">
        <v>1372</v>
      </c>
      <c r="AP46" t="s">
        <v>1373</v>
      </c>
    </row>
    <row r="47" hidden="1" spans="1:42">
      <c r="A47" t="s">
        <v>1603</v>
      </c>
      <c r="B47" t="s">
        <v>1356</v>
      </c>
      <c r="C47" t="s">
        <v>1375</v>
      </c>
      <c r="D47" t="s">
        <v>1358</v>
      </c>
      <c r="F47" t="s">
        <v>1377</v>
      </c>
      <c r="G47" s="45">
        <v>44808.9559953704</v>
      </c>
      <c r="H47" s="45">
        <v>44808.9561226852</v>
      </c>
      <c r="J47" t="s">
        <v>407</v>
      </c>
      <c r="M47">
        <v>219</v>
      </c>
      <c r="N47">
        <v>0</v>
      </c>
      <c r="O47">
        <v>0</v>
      </c>
      <c r="P47">
        <v>0</v>
      </c>
      <c r="Q47">
        <v>219</v>
      </c>
      <c r="R47">
        <v>219</v>
      </c>
      <c r="T47" t="s">
        <v>1604</v>
      </c>
      <c r="U47">
        <v>1</v>
      </c>
      <c r="V47" t="s">
        <v>1364</v>
      </c>
      <c r="X47" t="s">
        <v>452</v>
      </c>
      <c r="Y47" t="s">
        <v>1605</v>
      </c>
      <c r="Z47" t="s">
        <v>1606</v>
      </c>
      <c r="AA47" t="s">
        <v>1607</v>
      </c>
      <c r="AB47" t="s">
        <v>1608</v>
      </c>
      <c r="AC47" t="s">
        <v>1609</v>
      </c>
      <c r="AF47" t="s">
        <v>1610</v>
      </c>
      <c r="AG47" t="s">
        <v>1372</v>
      </c>
      <c r="AK47">
        <v>0</v>
      </c>
      <c r="AL47" t="s">
        <v>1611</v>
      </c>
      <c r="AO47" t="s">
        <v>1372</v>
      </c>
      <c r="AP47" t="s">
        <v>1373</v>
      </c>
    </row>
    <row r="48" hidden="1" spans="1:42">
      <c r="A48" t="s">
        <v>1612</v>
      </c>
      <c r="B48" t="s">
        <v>1356</v>
      </c>
      <c r="C48" t="s">
        <v>1375</v>
      </c>
      <c r="D48" t="s">
        <v>1358</v>
      </c>
      <c r="F48" t="s">
        <v>1377</v>
      </c>
      <c r="G48" s="45">
        <v>44808.9531828704</v>
      </c>
      <c r="H48" s="45">
        <v>44808.9534953704</v>
      </c>
      <c r="J48" t="s">
        <v>407</v>
      </c>
      <c r="M48">
        <v>19.9</v>
      </c>
      <c r="N48">
        <v>0</v>
      </c>
      <c r="O48">
        <v>0</v>
      </c>
      <c r="P48">
        <v>0</v>
      </c>
      <c r="Q48">
        <v>19.9</v>
      </c>
      <c r="R48">
        <v>19.9</v>
      </c>
      <c r="T48" t="s">
        <v>1613</v>
      </c>
      <c r="U48">
        <v>1</v>
      </c>
      <c r="V48" t="s">
        <v>1364</v>
      </c>
      <c r="X48" t="s">
        <v>591</v>
      </c>
      <c r="Y48" t="s">
        <v>1614</v>
      </c>
      <c r="Z48" t="s">
        <v>1367</v>
      </c>
      <c r="AA48" t="s">
        <v>1615</v>
      </c>
      <c r="AB48" t="s">
        <v>1616</v>
      </c>
      <c r="AC48" t="s">
        <v>1617</v>
      </c>
      <c r="AF48" t="s">
        <v>1618</v>
      </c>
      <c r="AG48" t="s">
        <v>1372</v>
      </c>
      <c r="AK48">
        <v>0</v>
      </c>
      <c r="AO48" t="s">
        <v>1372</v>
      </c>
      <c r="AP48" t="s">
        <v>1373</v>
      </c>
    </row>
    <row r="49" hidden="1" spans="1:42">
      <c r="A49" t="s">
        <v>1619</v>
      </c>
      <c r="B49" t="s">
        <v>1356</v>
      </c>
      <c r="C49" t="s">
        <v>1375</v>
      </c>
      <c r="D49" t="s">
        <v>1358</v>
      </c>
      <c r="F49" t="s">
        <v>1377</v>
      </c>
      <c r="G49" s="45">
        <v>44808.9523842593</v>
      </c>
      <c r="H49" s="45">
        <v>44808.9526967593</v>
      </c>
      <c r="J49" t="s">
        <v>407</v>
      </c>
      <c r="M49">
        <v>219</v>
      </c>
      <c r="N49">
        <v>0</v>
      </c>
      <c r="O49">
        <v>-4</v>
      </c>
      <c r="P49">
        <v>0</v>
      </c>
      <c r="Q49">
        <v>215</v>
      </c>
      <c r="R49">
        <v>215</v>
      </c>
      <c r="S49" t="s">
        <v>1388</v>
      </c>
      <c r="T49" t="s">
        <v>1620</v>
      </c>
      <c r="U49">
        <v>1</v>
      </c>
      <c r="V49" t="s">
        <v>1364</v>
      </c>
      <c r="X49" t="s">
        <v>380</v>
      </c>
      <c r="Y49" t="s">
        <v>1465</v>
      </c>
      <c r="Z49" t="s">
        <v>1466</v>
      </c>
      <c r="AA49" t="s">
        <v>1467</v>
      </c>
      <c r="AB49" t="s">
        <v>1468</v>
      </c>
      <c r="AC49" t="s">
        <v>1469</v>
      </c>
      <c r="AF49" t="s">
        <v>1470</v>
      </c>
      <c r="AG49" t="s">
        <v>1372</v>
      </c>
      <c r="AH49" t="s">
        <v>1465</v>
      </c>
      <c r="AK49">
        <v>0</v>
      </c>
      <c r="AO49" t="s">
        <v>1372</v>
      </c>
      <c r="AP49" t="s">
        <v>1373</v>
      </c>
    </row>
    <row r="50" hidden="1" spans="1:42">
      <c r="A50" t="s">
        <v>1621</v>
      </c>
      <c r="B50" t="s">
        <v>1356</v>
      </c>
      <c r="C50" t="s">
        <v>1375</v>
      </c>
      <c r="D50" t="s">
        <v>1358</v>
      </c>
      <c r="F50" t="s">
        <v>1377</v>
      </c>
      <c r="G50" s="45">
        <v>44808.952349537</v>
      </c>
      <c r="H50" s="45">
        <v>44808.9524884259</v>
      </c>
      <c r="J50" t="s">
        <v>407</v>
      </c>
      <c r="M50">
        <v>99</v>
      </c>
      <c r="N50">
        <v>0</v>
      </c>
      <c r="O50">
        <v>-1</v>
      </c>
      <c r="P50">
        <v>0</v>
      </c>
      <c r="Q50">
        <v>98</v>
      </c>
      <c r="R50">
        <v>98</v>
      </c>
      <c r="S50" t="s">
        <v>1414</v>
      </c>
      <c r="T50" t="s">
        <v>1622</v>
      </c>
      <c r="U50">
        <v>1</v>
      </c>
      <c r="V50" t="s">
        <v>1364</v>
      </c>
      <c r="X50" t="s">
        <v>458</v>
      </c>
      <c r="Y50" t="s">
        <v>1494</v>
      </c>
      <c r="Z50" t="s">
        <v>1495</v>
      </c>
      <c r="AA50" t="s">
        <v>1496</v>
      </c>
      <c r="AB50" t="s">
        <v>1497</v>
      </c>
      <c r="AC50" t="s">
        <v>1498</v>
      </c>
      <c r="AF50" t="s">
        <v>1499</v>
      </c>
      <c r="AG50" t="s">
        <v>1385</v>
      </c>
      <c r="AH50" t="s">
        <v>1494</v>
      </c>
      <c r="AK50">
        <v>0</v>
      </c>
      <c r="AO50" t="s">
        <v>1372</v>
      </c>
      <c r="AP50" t="s">
        <v>1373</v>
      </c>
    </row>
    <row r="51" hidden="1" spans="1:42">
      <c r="A51" t="s">
        <v>1623</v>
      </c>
      <c r="B51" t="s">
        <v>1356</v>
      </c>
      <c r="C51" t="s">
        <v>1375</v>
      </c>
      <c r="D51" t="s">
        <v>1358</v>
      </c>
      <c r="F51" t="s">
        <v>1377</v>
      </c>
      <c r="G51" s="45">
        <v>44808.9515740741</v>
      </c>
      <c r="H51" s="45">
        <v>44808.9517592593</v>
      </c>
      <c r="J51" t="s">
        <v>407</v>
      </c>
      <c r="M51">
        <v>39.9</v>
      </c>
      <c r="N51">
        <v>0</v>
      </c>
      <c r="O51">
        <v>-2</v>
      </c>
      <c r="P51">
        <v>0</v>
      </c>
      <c r="Q51">
        <v>37.9</v>
      </c>
      <c r="R51">
        <v>37.9</v>
      </c>
      <c r="S51" t="s">
        <v>1400</v>
      </c>
      <c r="T51" t="s">
        <v>1624</v>
      </c>
      <c r="U51">
        <v>1</v>
      </c>
      <c r="V51" t="s">
        <v>1364</v>
      </c>
      <c r="X51" t="s">
        <v>553</v>
      </c>
      <c r="Y51" t="s">
        <v>1625</v>
      </c>
      <c r="Z51" t="s">
        <v>1626</v>
      </c>
      <c r="AA51" t="s">
        <v>1627</v>
      </c>
      <c r="AB51" t="s">
        <v>1628</v>
      </c>
      <c r="AC51" t="s">
        <v>1629</v>
      </c>
      <c r="AF51" t="s">
        <v>1630</v>
      </c>
      <c r="AG51" t="s">
        <v>1372</v>
      </c>
      <c r="AH51" t="s">
        <v>1625</v>
      </c>
      <c r="AK51">
        <v>0</v>
      </c>
      <c r="AO51" t="s">
        <v>1372</v>
      </c>
      <c r="AP51" t="s">
        <v>1373</v>
      </c>
    </row>
    <row r="52" hidden="1" spans="1:42">
      <c r="A52" t="s">
        <v>1631</v>
      </c>
      <c r="B52" t="s">
        <v>1356</v>
      </c>
      <c r="C52" t="s">
        <v>1375</v>
      </c>
      <c r="D52" t="s">
        <v>1358</v>
      </c>
      <c r="F52" t="s">
        <v>1632</v>
      </c>
      <c r="G52" s="45">
        <v>44808.9513425926</v>
      </c>
      <c r="H52" s="45">
        <v>44808.9514236111</v>
      </c>
      <c r="J52" t="s">
        <v>1360</v>
      </c>
      <c r="K52" t="s">
        <v>1633</v>
      </c>
      <c r="L52" t="s">
        <v>1634</v>
      </c>
      <c r="M52">
        <v>79</v>
      </c>
      <c r="N52">
        <v>0</v>
      </c>
      <c r="O52">
        <v>0</v>
      </c>
      <c r="P52">
        <v>0</v>
      </c>
      <c r="Q52">
        <v>79</v>
      </c>
      <c r="R52">
        <v>79</v>
      </c>
      <c r="T52" t="s">
        <v>1635</v>
      </c>
      <c r="U52">
        <v>1</v>
      </c>
      <c r="V52" t="s">
        <v>1364</v>
      </c>
      <c r="X52" t="s">
        <v>1636</v>
      </c>
      <c r="Y52" t="s">
        <v>1637</v>
      </c>
      <c r="Z52" t="s">
        <v>1380</v>
      </c>
      <c r="AA52" t="s">
        <v>1638</v>
      </c>
      <c r="AB52" t="s">
        <v>1639</v>
      </c>
      <c r="AC52" t="s">
        <v>1640</v>
      </c>
      <c r="AF52" t="s">
        <v>1641</v>
      </c>
      <c r="AG52" t="s">
        <v>1372</v>
      </c>
      <c r="AH52" t="s">
        <v>1637</v>
      </c>
      <c r="AK52">
        <v>0</v>
      </c>
      <c r="AO52" t="s">
        <v>1372</v>
      </c>
      <c r="AP52" t="s">
        <v>1373</v>
      </c>
    </row>
    <row r="53" hidden="1" spans="1:42">
      <c r="A53" t="s">
        <v>1642</v>
      </c>
      <c r="B53" t="s">
        <v>1356</v>
      </c>
      <c r="C53" t="s">
        <v>1375</v>
      </c>
      <c r="D53" t="s">
        <v>1358</v>
      </c>
      <c r="F53" t="s">
        <v>1377</v>
      </c>
      <c r="G53" s="45">
        <v>44808.9509259259</v>
      </c>
      <c r="H53" s="45">
        <v>44808.9518171296</v>
      </c>
      <c r="J53" t="s">
        <v>407</v>
      </c>
      <c r="M53">
        <v>219</v>
      </c>
      <c r="N53">
        <v>0</v>
      </c>
      <c r="O53">
        <v>0</v>
      </c>
      <c r="P53">
        <v>0</v>
      </c>
      <c r="Q53">
        <v>219</v>
      </c>
      <c r="R53">
        <v>219</v>
      </c>
      <c r="T53" t="s">
        <v>1643</v>
      </c>
      <c r="U53">
        <v>1</v>
      </c>
      <c r="V53" t="s">
        <v>1364</v>
      </c>
      <c r="X53" t="s">
        <v>380</v>
      </c>
      <c r="Y53" t="s">
        <v>1465</v>
      </c>
      <c r="Z53" t="s">
        <v>1466</v>
      </c>
      <c r="AA53" t="s">
        <v>1467</v>
      </c>
      <c r="AB53" t="s">
        <v>1468</v>
      </c>
      <c r="AC53" t="s">
        <v>1469</v>
      </c>
      <c r="AF53" t="s">
        <v>1470</v>
      </c>
      <c r="AG53" t="s">
        <v>1372</v>
      </c>
      <c r="AH53" t="s">
        <v>1465</v>
      </c>
      <c r="AK53">
        <v>0</v>
      </c>
      <c r="AO53" t="s">
        <v>1372</v>
      </c>
      <c r="AP53" t="s">
        <v>1373</v>
      </c>
    </row>
    <row r="54" hidden="1" spans="1:42">
      <c r="A54" t="s">
        <v>1644</v>
      </c>
      <c r="B54" t="s">
        <v>1356</v>
      </c>
      <c r="C54" t="s">
        <v>1375</v>
      </c>
      <c r="D54" t="s">
        <v>1358</v>
      </c>
      <c r="F54" t="s">
        <v>1377</v>
      </c>
      <c r="G54" s="45">
        <v>44808.9507407407</v>
      </c>
      <c r="H54" s="45">
        <v>44808.951087963</v>
      </c>
      <c r="J54" t="s">
        <v>407</v>
      </c>
      <c r="M54">
        <v>219</v>
      </c>
      <c r="N54">
        <v>0</v>
      </c>
      <c r="O54">
        <v>0</v>
      </c>
      <c r="P54">
        <v>0</v>
      </c>
      <c r="Q54">
        <v>219</v>
      </c>
      <c r="R54">
        <v>219</v>
      </c>
      <c r="T54" t="s">
        <v>1645</v>
      </c>
      <c r="U54">
        <v>1</v>
      </c>
      <c r="V54" t="s">
        <v>1364</v>
      </c>
      <c r="X54" t="s">
        <v>453</v>
      </c>
      <c r="Y54" t="s">
        <v>1646</v>
      </c>
      <c r="Z54" t="s">
        <v>1367</v>
      </c>
      <c r="AA54" t="s">
        <v>1551</v>
      </c>
      <c r="AB54" t="s">
        <v>1647</v>
      </c>
      <c r="AC54" t="s">
        <v>1648</v>
      </c>
      <c r="AF54" t="s">
        <v>453</v>
      </c>
      <c r="AG54" t="s">
        <v>1372</v>
      </c>
      <c r="AH54" t="s">
        <v>1646</v>
      </c>
      <c r="AJ54" t="s">
        <v>1649</v>
      </c>
      <c r="AK54">
        <v>0</v>
      </c>
      <c r="AO54" t="s">
        <v>1372</v>
      </c>
      <c r="AP54" t="s">
        <v>1373</v>
      </c>
    </row>
    <row r="55" hidden="1" spans="1:42">
      <c r="A55" t="s">
        <v>1650</v>
      </c>
      <c r="B55" t="s">
        <v>1356</v>
      </c>
      <c r="C55" t="s">
        <v>1375</v>
      </c>
      <c r="D55" t="s">
        <v>1376</v>
      </c>
      <c r="F55" t="s">
        <v>1377</v>
      </c>
      <c r="G55" s="45">
        <v>44808.9504861111</v>
      </c>
      <c r="M55">
        <v>99</v>
      </c>
      <c r="N55">
        <v>0</v>
      </c>
      <c r="O55">
        <v>0</v>
      </c>
      <c r="P55">
        <v>0</v>
      </c>
      <c r="Q55">
        <v>99</v>
      </c>
      <c r="R55">
        <v>0</v>
      </c>
      <c r="T55" t="s">
        <v>1651</v>
      </c>
      <c r="U55">
        <v>1</v>
      </c>
      <c r="V55" t="s">
        <v>1364</v>
      </c>
      <c r="X55" t="s">
        <v>496</v>
      </c>
      <c r="Y55" t="s">
        <v>1652</v>
      </c>
      <c r="Z55" t="s">
        <v>1380</v>
      </c>
      <c r="AA55" t="s">
        <v>1506</v>
      </c>
      <c r="AB55" t="s">
        <v>1653</v>
      </c>
      <c r="AC55" t="s">
        <v>1654</v>
      </c>
      <c r="AF55" t="s">
        <v>1655</v>
      </c>
      <c r="AG55" t="s">
        <v>1372</v>
      </c>
      <c r="AH55" t="s">
        <v>1652</v>
      </c>
      <c r="AK55">
        <v>0</v>
      </c>
      <c r="AO55" t="s">
        <v>1372</v>
      </c>
      <c r="AP55" t="s">
        <v>1373</v>
      </c>
    </row>
    <row r="56" hidden="1" spans="1:42">
      <c r="A56" t="s">
        <v>1656</v>
      </c>
      <c r="B56" t="s">
        <v>1356</v>
      </c>
      <c r="C56" t="s">
        <v>1375</v>
      </c>
      <c r="D56" t="s">
        <v>1376</v>
      </c>
      <c r="F56" t="s">
        <v>1377</v>
      </c>
      <c r="G56" s="45">
        <v>44808.9498842593</v>
      </c>
      <c r="M56">
        <v>99</v>
      </c>
      <c r="N56">
        <v>0</v>
      </c>
      <c r="O56">
        <v>-5</v>
      </c>
      <c r="P56">
        <v>0</v>
      </c>
      <c r="Q56">
        <v>94</v>
      </c>
      <c r="R56">
        <v>0</v>
      </c>
      <c r="S56" t="s">
        <v>1422</v>
      </c>
      <c r="T56" t="s">
        <v>1651</v>
      </c>
      <c r="U56">
        <v>1</v>
      </c>
      <c r="V56" t="s">
        <v>1364</v>
      </c>
      <c r="X56" t="s">
        <v>496</v>
      </c>
      <c r="Y56" t="s">
        <v>1652</v>
      </c>
      <c r="Z56" t="s">
        <v>1380</v>
      </c>
      <c r="AA56" t="s">
        <v>1506</v>
      </c>
      <c r="AB56" t="s">
        <v>1653</v>
      </c>
      <c r="AC56" t="s">
        <v>1657</v>
      </c>
      <c r="AF56" t="s">
        <v>1655</v>
      </c>
      <c r="AG56" t="s">
        <v>1372</v>
      </c>
      <c r="AH56" t="s">
        <v>1652</v>
      </c>
      <c r="AK56">
        <v>0</v>
      </c>
      <c r="AO56" t="s">
        <v>1372</v>
      </c>
      <c r="AP56" t="s">
        <v>1373</v>
      </c>
    </row>
    <row r="57" hidden="1" spans="1:42">
      <c r="A57" t="s">
        <v>1658</v>
      </c>
      <c r="B57" t="s">
        <v>1356</v>
      </c>
      <c r="C57" t="s">
        <v>1375</v>
      </c>
      <c r="D57" t="s">
        <v>1358</v>
      </c>
      <c r="F57" t="s">
        <v>1377</v>
      </c>
      <c r="G57" s="45">
        <v>44808.94875</v>
      </c>
      <c r="H57" s="45">
        <v>44808.9489583333</v>
      </c>
      <c r="J57" t="s">
        <v>407</v>
      </c>
      <c r="M57">
        <v>39.9</v>
      </c>
      <c r="N57">
        <v>0</v>
      </c>
      <c r="O57">
        <v>-1</v>
      </c>
      <c r="P57">
        <v>0</v>
      </c>
      <c r="Q57">
        <v>38.9</v>
      </c>
      <c r="R57">
        <v>38.9</v>
      </c>
      <c r="S57" t="s">
        <v>1414</v>
      </c>
      <c r="T57" t="s">
        <v>1659</v>
      </c>
      <c r="U57">
        <v>1</v>
      </c>
      <c r="V57" t="s">
        <v>1364</v>
      </c>
      <c r="X57" t="s">
        <v>374</v>
      </c>
      <c r="Y57" t="s">
        <v>1660</v>
      </c>
      <c r="Z57" t="s">
        <v>1367</v>
      </c>
      <c r="AA57" t="s">
        <v>1661</v>
      </c>
      <c r="AB57" t="s">
        <v>1662</v>
      </c>
      <c r="AC57" t="s">
        <v>1663</v>
      </c>
      <c r="AF57" t="s">
        <v>1664</v>
      </c>
      <c r="AG57" t="s">
        <v>1385</v>
      </c>
      <c r="AH57" t="s">
        <v>1665</v>
      </c>
      <c r="AK57">
        <v>0</v>
      </c>
      <c r="AO57" t="s">
        <v>1372</v>
      </c>
      <c r="AP57" t="s">
        <v>1373</v>
      </c>
    </row>
    <row r="58" hidden="1" spans="1:42">
      <c r="A58" t="s">
        <v>1666</v>
      </c>
      <c r="B58" t="s">
        <v>1356</v>
      </c>
      <c r="C58" t="s">
        <v>1357</v>
      </c>
      <c r="D58" t="s">
        <v>1358</v>
      </c>
      <c r="F58" t="s">
        <v>1359</v>
      </c>
      <c r="G58" s="45">
        <v>44808.9483564815</v>
      </c>
      <c r="H58" s="45">
        <v>44808.9484490741</v>
      </c>
      <c r="J58" t="s">
        <v>1360</v>
      </c>
      <c r="K58" t="s">
        <v>1667</v>
      </c>
      <c r="L58" t="s">
        <v>1668</v>
      </c>
      <c r="M58">
        <v>69</v>
      </c>
      <c r="N58">
        <v>0</v>
      </c>
      <c r="O58">
        <v>0</v>
      </c>
      <c r="P58">
        <v>0</v>
      </c>
      <c r="Q58">
        <v>69</v>
      </c>
      <c r="R58">
        <v>69</v>
      </c>
      <c r="T58" t="s">
        <v>1669</v>
      </c>
      <c r="U58">
        <v>1</v>
      </c>
      <c r="V58" t="s">
        <v>1364</v>
      </c>
      <c r="X58" t="s">
        <v>1670</v>
      </c>
      <c r="Y58" t="s">
        <v>1671</v>
      </c>
      <c r="Z58" t="s">
        <v>1626</v>
      </c>
      <c r="AA58" t="s">
        <v>1627</v>
      </c>
      <c r="AB58" t="s">
        <v>1672</v>
      </c>
      <c r="AC58" t="s">
        <v>1673</v>
      </c>
      <c r="AF58" t="s">
        <v>1674</v>
      </c>
      <c r="AG58" t="s">
        <v>1372</v>
      </c>
      <c r="AH58" t="s">
        <v>1671</v>
      </c>
      <c r="AK58">
        <v>0</v>
      </c>
      <c r="AO58" t="s">
        <v>1372</v>
      </c>
      <c r="AP58" t="s">
        <v>1373</v>
      </c>
    </row>
    <row r="59" hidden="1" spans="1:42">
      <c r="A59" t="s">
        <v>1675</v>
      </c>
      <c r="B59" t="s">
        <v>1356</v>
      </c>
      <c r="C59" t="s">
        <v>1375</v>
      </c>
      <c r="D59" t="s">
        <v>1358</v>
      </c>
      <c r="F59" t="s">
        <v>1377</v>
      </c>
      <c r="G59" s="45">
        <v>44808.9477662037</v>
      </c>
      <c r="H59" s="45">
        <v>44808.9478587963</v>
      </c>
      <c r="J59" t="s">
        <v>407</v>
      </c>
      <c r="M59">
        <v>39.9</v>
      </c>
      <c r="N59">
        <v>0</v>
      </c>
      <c r="O59">
        <v>-2</v>
      </c>
      <c r="P59">
        <v>0</v>
      </c>
      <c r="Q59">
        <v>37.9</v>
      </c>
      <c r="R59">
        <v>37.9</v>
      </c>
      <c r="S59" t="s">
        <v>1400</v>
      </c>
      <c r="T59" t="s">
        <v>1676</v>
      </c>
      <c r="U59">
        <v>1</v>
      </c>
      <c r="V59" t="s">
        <v>1364</v>
      </c>
      <c r="X59" t="s">
        <v>461</v>
      </c>
      <c r="Y59" t="s">
        <v>1677</v>
      </c>
      <c r="Z59" t="s">
        <v>1678</v>
      </c>
      <c r="AA59" t="s">
        <v>1679</v>
      </c>
      <c r="AB59" t="s">
        <v>1680</v>
      </c>
      <c r="AC59" t="s">
        <v>1681</v>
      </c>
      <c r="AF59" t="s">
        <v>461</v>
      </c>
      <c r="AG59" t="s">
        <v>1372</v>
      </c>
      <c r="AH59" t="s">
        <v>1677</v>
      </c>
      <c r="AK59">
        <v>0</v>
      </c>
      <c r="AO59" t="s">
        <v>1372</v>
      </c>
      <c r="AP59" t="s">
        <v>1373</v>
      </c>
    </row>
    <row r="60" hidden="1" spans="1:42">
      <c r="A60" t="s">
        <v>1682</v>
      </c>
      <c r="B60" t="s">
        <v>1356</v>
      </c>
      <c r="C60" t="s">
        <v>1357</v>
      </c>
      <c r="D60" t="s">
        <v>1358</v>
      </c>
      <c r="F60" t="s">
        <v>1359</v>
      </c>
      <c r="G60" s="45">
        <v>44808.9475694444</v>
      </c>
      <c r="H60" s="45">
        <v>44808.9477199074</v>
      </c>
      <c r="J60" t="s">
        <v>1360</v>
      </c>
      <c r="K60" t="s">
        <v>1683</v>
      </c>
      <c r="L60" t="s">
        <v>1684</v>
      </c>
      <c r="M60">
        <v>59</v>
      </c>
      <c r="N60">
        <v>0</v>
      </c>
      <c r="O60">
        <v>0</v>
      </c>
      <c r="P60">
        <v>0</v>
      </c>
      <c r="Q60">
        <v>59</v>
      </c>
      <c r="R60">
        <v>59</v>
      </c>
      <c r="T60" t="s">
        <v>1685</v>
      </c>
      <c r="U60">
        <v>1</v>
      </c>
      <c r="V60" t="s">
        <v>1364</v>
      </c>
      <c r="X60" t="s">
        <v>1686</v>
      </c>
      <c r="Y60" t="s">
        <v>1687</v>
      </c>
      <c r="Z60" t="s">
        <v>1430</v>
      </c>
      <c r="AA60" t="s">
        <v>1688</v>
      </c>
      <c r="AB60" t="s">
        <v>1689</v>
      </c>
      <c r="AC60" t="s">
        <v>1690</v>
      </c>
      <c r="AF60" t="s">
        <v>1691</v>
      </c>
      <c r="AG60" t="s">
        <v>1372</v>
      </c>
      <c r="AH60" t="s">
        <v>1687</v>
      </c>
      <c r="AK60">
        <v>0</v>
      </c>
      <c r="AO60" t="s">
        <v>1372</v>
      </c>
      <c r="AP60" t="s">
        <v>1373</v>
      </c>
    </row>
    <row r="61" hidden="1" spans="1:42">
      <c r="A61" t="s">
        <v>1692</v>
      </c>
      <c r="B61" t="s">
        <v>1356</v>
      </c>
      <c r="C61" t="s">
        <v>1375</v>
      </c>
      <c r="D61" t="s">
        <v>1376</v>
      </c>
      <c r="F61" t="s">
        <v>1377</v>
      </c>
      <c r="G61" s="45">
        <v>44808.9461111111</v>
      </c>
      <c r="M61">
        <v>39.9</v>
      </c>
      <c r="N61">
        <v>0</v>
      </c>
      <c r="O61">
        <v>0</v>
      </c>
      <c r="P61">
        <v>0</v>
      </c>
      <c r="Q61">
        <v>39.9</v>
      </c>
      <c r="R61">
        <v>0</v>
      </c>
      <c r="T61" t="s">
        <v>1693</v>
      </c>
      <c r="U61">
        <v>1</v>
      </c>
      <c r="V61" t="s">
        <v>1364</v>
      </c>
      <c r="X61" t="s">
        <v>569</v>
      </c>
      <c r="Y61" t="s">
        <v>1694</v>
      </c>
      <c r="Z61" t="s">
        <v>1695</v>
      </c>
      <c r="AA61" t="s">
        <v>1696</v>
      </c>
      <c r="AB61" t="s">
        <v>1697</v>
      </c>
      <c r="AC61" t="s">
        <v>1698</v>
      </c>
      <c r="AF61" t="s">
        <v>569</v>
      </c>
      <c r="AG61" t="s">
        <v>1372</v>
      </c>
      <c r="AH61" t="s">
        <v>1694</v>
      </c>
      <c r="AK61">
        <v>0</v>
      </c>
      <c r="AO61" t="s">
        <v>1372</v>
      </c>
      <c r="AP61" t="s">
        <v>1373</v>
      </c>
    </row>
    <row r="62" hidden="1" spans="1:42">
      <c r="A62" t="s">
        <v>1699</v>
      </c>
      <c r="B62" t="s">
        <v>1356</v>
      </c>
      <c r="C62" t="s">
        <v>1375</v>
      </c>
      <c r="D62" t="s">
        <v>1376</v>
      </c>
      <c r="F62" t="s">
        <v>1359</v>
      </c>
      <c r="G62" s="45">
        <v>44808.946087963</v>
      </c>
      <c r="M62">
        <v>39.9</v>
      </c>
      <c r="N62">
        <v>0</v>
      </c>
      <c r="O62">
        <v>0</v>
      </c>
      <c r="P62">
        <v>0</v>
      </c>
      <c r="Q62">
        <v>39.9</v>
      </c>
      <c r="R62">
        <v>0</v>
      </c>
      <c r="T62" t="s">
        <v>1676</v>
      </c>
      <c r="U62">
        <v>1</v>
      </c>
      <c r="V62" t="s">
        <v>1364</v>
      </c>
      <c r="X62" t="s">
        <v>426</v>
      </c>
      <c r="Y62" t="s">
        <v>1700</v>
      </c>
      <c r="Z62" t="s">
        <v>1367</v>
      </c>
      <c r="AA62" t="s">
        <v>1417</v>
      </c>
      <c r="AB62" t="s">
        <v>1523</v>
      </c>
      <c r="AC62" t="s">
        <v>1524</v>
      </c>
      <c r="AF62" t="s">
        <v>1525</v>
      </c>
      <c r="AG62" t="s">
        <v>1372</v>
      </c>
      <c r="AH62" t="s">
        <v>1522</v>
      </c>
      <c r="AK62">
        <v>0</v>
      </c>
      <c r="AO62" t="s">
        <v>1372</v>
      </c>
      <c r="AP62" t="s">
        <v>1373</v>
      </c>
    </row>
    <row r="63" hidden="1" spans="1:42">
      <c r="A63" t="s">
        <v>1701</v>
      </c>
      <c r="B63" t="s">
        <v>1356</v>
      </c>
      <c r="C63" t="s">
        <v>1375</v>
      </c>
      <c r="D63" t="s">
        <v>1358</v>
      </c>
      <c r="F63" t="s">
        <v>1377</v>
      </c>
      <c r="G63" s="45">
        <v>44808.9450925926</v>
      </c>
      <c r="H63" s="45">
        <v>44808.9452314815</v>
      </c>
      <c r="J63" t="s">
        <v>407</v>
      </c>
      <c r="M63">
        <v>39.9</v>
      </c>
      <c r="N63">
        <v>0</v>
      </c>
      <c r="O63">
        <v>0</v>
      </c>
      <c r="P63">
        <v>0</v>
      </c>
      <c r="Q63">
        <v>39.9</v>
      </c>
      <c r="R63">
        <v>39.9</v>
      </c>
      <c r="T63" t="s">
        <v>1493</v>
      </c>
      <c r="U63">
        <v>1</v>
      </c>
      <c r="V63" t="s">
        <v>1364</v>
      </c>
      <c r="X63" t="s">
        <v>525</v>
      </c>
      <c r="Y63" t="s">
        <v>1702</v>
      </c>
      <c r="Z63" t="s">
        <v>1367</v>
      </c>
      <c r="AA63" t="s">
        <v>1703</v>
      </c>
      <c r="AB63" t="s">
        <v>1704</v>
      </c>
      <c r="AC63" t="s">
        <v>1705</v>
      </c>
      <c r="AF63" t="s">
        <v>1706</v>
      </c>
      <c r="AG63" t="s">
        <v>1372</v>
      </c>
      <c r="AH63" t="s">
        <v>1702</v>
      </c>
      <c r="AK63">
        <v>0</v>
      </c>
      <c r="AO63" t="s">
        <v>1372</v>
      </c>
      <c r="AP63" t="s">
        <v>1373</v>
      </c>
    </row>
    <row r="64" hidden="1" spans="1:42">
      <c r="A64" t="s">
        <v>1707</v>
      </c>
      <c r="B64" t="s">
        <v>1356</v>
      </c>
      <c r="C64" t="s">
        <v>1375</v>
      </c>
      <c r="D64" t="s">
        <v>1358</v>
      </c>
      <c r="F64" t="s">
        <v>1548</v>
      </c>
      <c r="G64" s="45">
        <v>44808.9450231481</v>
      </c>
      <c r="H64" s="45">
        <v>44808.945162037</v>
      </c>
      <c r="J64" t="s">
        <v>407</v>
      </c>
      <c r="M64">
        <v>249</v>
      </c>
      <c r="N64">
        <v>0</v>
      </c>
      <c r="O64">
        <v>0</v>
      </c>
      <c r="P64">
        <v>0</v>
      </c>
      <c r="Q64">
        <v>249</v>
      </c>
      <c r="R64">
        <v>249</v>
      </c>
      <c r="T64" t="s">
        <v>1708</v>
      </c>
      <c r="U64">
        <v>1</v>
      </c>
      <c r="V64" t="s">
        <v>1364</v>
      </c>
      <c r="X64" t="s">
        <v>444</v>
      </c>
      <c r="Y64" t="s">
        <v>1709</v>
      </c>
      <c r="Z64" t="s">
        <v>1710</v>
      </c>
      <c r="AA64" t="s">
        <v>1711</v>
      </c>
      <c r="AB64" t="s">
        <v>1712</v>
      </c>
      <c r="AC64" t="s">
        <v>1713</v>
      </c>
      <c r="AF64" t="s">
        <v>1714</v>
      </c>
      <c r="AG64" t="s">
        <v>1372</v>
      </c>
      <c r="AH64" t="s">
        <v>1709</v>
      </c>
      <c r="AK64">
        <v>0</v>
      </c>
      <c r="AO64" t="s">
        <v>1372</v>
      </c>
      <c r="AP64" t="s">
        <v>1373</v>
      </c>
    </row>
    <row r="65" hidden="1" spans="1:42">
      <c r="A65" t="s">
        <v>1715</v>
      </c>
      <c r="B65" t="s">
        <v>1356</v>
      </c>
      <c r="C65" t="s">
        <v>1375</v>
      </c>
      <c r="D65" t="s">
        <v>1376</v>
      </c>
      <c r="F65" t="s">
        <v>1548</v>
      </c>
      <c r="G65" s="45">
        <v>44808.945</v>
      </c>
      <c r="M65">
        <v>249</v>
      </c>
      <c r="N65">
        <v>0</v>
      </c>
      <c r="O65">
        <v>0</v>
      </c>
      <c r="P65">
        <v>0</v>
      </c>
      <c r="Q65">
        <v>249</v>
      </c>
      <c r="R65">
        <v>0</v>
      </c>
      <c r="T65" t="s">
        <v>1708</v>
      </c>
      <c r="U65">
        <v>1</v>
      </c>
      <c r="V65" t="s">
        <v>1364</v>
      </c>
      <c r="X65" t="s">
        <v>444</v>
      </c>
      <c r="Y65" t="s">
        <v>1709</v>
      </c>
      <c r="Z65" t="s">
        <v>1710</v>
      </c>
      <c r="AA65" t="s">
        <v>1711</v>
      </c>
      <c r="AB65" t="s">
        <v>1712</v>
      </c>
      <c r="AC65" t="s">
        <v>1713</v>
      </c>
      <c r="AF65" t="s">
        <v>1714</v>
      </c>
      <c r="AG65" t="s">
        <v>1372</v>
      </c>
      <c r="AH65" t="s">
        <v>1709</v>
      </c>
      <c r="AK65">
        <v>0</v>
      </c>
      <c r="AO65" t="s">
        <v>1372</v>
      </c>
      <c r="AP65" t="s">
        <v>1373</v>
      </c>
    </row>
    <row r="66" hidden="1" spans="1:42">
      <c r="A66" t="s">
        <v>1716</v>
      </c>
      <c r="B66" t="s">
        <v>1356</v>
      </c>
      <c r="C66" t="s">
        <v>1375</v>
      </c>
      <c r="D66" t="s">
        <v>1376</v>
      </c>
      <c r="F66" t="s">
        <v>1548</v>
      </c>
      <c r="G66" s="45">
        <v>44808.9448958333</v>
      </c>
      <c r="M66">
        <v>249</v>
      </c>
      <c r="N66">
        <v>0</v>
      </c>
      <c r="O66">
        <v>-2</v>
      </c>
      <c r="P66">
        <v>0</v>
      </c>
      <c r="Q66">
        <v>247</v>
      </c>
      <c r="R66">
        <v>0</v>
      </c>
      <c r="S66" t="s">
        <v>1400</v>
      </c>
      <c r="T66" t="s">
        <v>1708</v>
      </c>
      <c r="U66">
        <v>1</v>
      </c>
      <c r="V66" t="s">
        <v>1364</v>
      </c>
      <c r="X66" t="s">
        <v>444</v>
      </c>
      <c r="Y66" t="s">
        <v>1709</v>
      </c>
      <c r="Z66" t="s">
        <v>1710</v>
      </c>
      <c r="AA66" t="s">
        <v>1711</v>
      </c>
      <c r="AB66" t="s">
        <v>1712</v>
      </c>
      <c r="AC66" t="s">
        <v>1713</v>
      </c>
      <c r="AF66" t="s">
        <v>1714</v>
      </c>
      <c r="AG66" t="s">
        <v>1372</v>
      </c>
      <c r="AH66" t="s">
        <v>1709</v>
      </c>
      <c r="AK66">
        <v>0</v>
      </c>
      <c r="AO66" t="s">
        <v>1372</v>
      </c>
      <c r="AP66" t="s">
        <v>1373</v>
      </c>
    </row>
    <row r="67" hidden="1" spans="1:42">
      <c r="A67" t="s">
        <v>1717</v>
      </c>
      <c r="B67" t="s">
        <v>1356</v>
      </c>
      <c r="C67" t="s">
        <v>1375</v>
      </c>
      <c r="D67" t="s">
        <v>1358</v>
      </c>
      <c r="F67" t="s">
        <v>1377</v>
      </c>
      <c r="G67" s="45">
        <v>44808.944837963</v>
      </c>
      <c r="H67" s="45">
        <v>44808.9449652778</v>
      </c>
      <c r="J67" t="s">
        <v>407</v>
      </c>
      <c r="M67">
        <v>39.9</v>
      </c>
      <c r="N67">
        <v>0</v>
      </c>
      <c r="O67">
        <v>0</v>
      </c>
      <c r="P67">
        <v>0</v>
      </c>
      <c r="Q67">
        <v>39.9</v>
      </c>
      <c r="R67">
        <v>39.9</v>
      </c>
      <c r="T67" t="s">
        <v>1718</v>
      </c>
      <c r="U67">
        <v>1</v>
      </c>
      <c r="V67" t="s">
        <v>1364</v>
      </c>
      <c r="X67" t="s">
        <v>438</v>
      </c>
      <c r="Y67" t="s">
        <v>1595</v>
      </c>
      <c r="Z67" t="s">
        <v>1513</v>
      </c>
      <c r="AA67" t="s">
        <v>1596</v>
      </c>
      <c r="AB67" t="s">
        <v>1597</v>
      </c>
      <c r="AC67" t="s">
        <v>1598</v>
      </c>
      <c r="AF67" t="s">
        <v>1599</v>
      </c>
      <c r="AG67" t="s">
        <v>1385</v>
      </c>
      <c r="AH67" t="s">
        <v>1595</v>
      </c>
      <c r="AK67">
        <v>0</v>
      </c>
      <c r="AO67" t="s">
        <v>1372</v>
      </c>
      <c r="AP67" t="s">
        <v>1373</v>
      </c>
    </row>
    <row r="68" hidden="1" spans="1:42">
      <c r="A68" t="s">
        <v>1719</v>
      </c>
      <c r="B68" t="s">
        <v>1356</v>
      </c>
      <c r="C68" t="s">
        <v>1375</v>
      </c>
      <c r="D68" t="s">
        <v>1376</v>
      </c>
      <c r="F68" t="s">
        <v>1377</v>
      </c>
      <c r="G68" s="45">
        <v>44808.9447337963</v>
      </c>
      <c r="M68">
        <v>39.9</v>
      </c>
      <c r="N68">
        <v>0</v>
      </c>
      <c r="O68">
        <v>0</v>
      </c>
      <c r="P68">
        <v>0</v>
      </c>
      <c r="Q68">
        <v>39.9</v>
      </c>
      <c r="R68">
        <v>0</v>
      </c>
      <c r="T68" t="s">
        <v>1693</v>
      </c>
      <c r="U68">
        <v>1</v>
      </c>
      <c r="V68" t="s">
        <v>1364</v>
      </c>
      <c r="X68" t="s">
        <v>569</v>
      </c>
      <c r="Y68" t="s">
        <v>1694</v>
      </c>
      <c r="Z68" t="s">
        <v>1695</v>
      </c>
      <c r="AA68" t="s">
        <v>1696</v>
      </c>
      <c r="AB68" t="s">
        <v>1697</v>
      </c>
      <c r="AC68" t="s">
        <v>1698</v>
      </c>
      <c r="AF68" t="s">
        <v>569</v>
      </c>
      <c r="AG68" t="s">
        <v>1372</v>
      </c>
      <c r="AH68" t="s">
        <v>1694</v>
      </c>
      <c r="AK68">
        <v>0</v>
      </c>
      <c r="AO68" t="s">
        <v>1372</v>
      </c>
      <c r="AP68" t="s">
        <v>1373</v>
      </c>
    </row>
    <row r="69" hidden="1" spans="1:42">
      <c r="A69" t="s">
        <v>1720</v>
      </c>
      <c r="B69" t="s">
        <v>1356</v>
      </c>
      <c r="C69" t="s">
        <v>1375</v>
      </c>
      <c r="D69" t="s">
        <v>1358</v>
      </c>
      <c r="F69" t="s">
        <v>1377</v>
      </c>
      <c r="G69" s="45">
        <v>44808.9444675926</v>
      </c>
      <c r="H69" s="45">
        <v>44808.9445833333</v>
      </c>
      <c r="J69" t="s">
        <v>407</v>
      </c>
      <c r="M69">
        <v>39.9</v>
      </c>
      <c r="N69">
        <v>0</v>
      </c>
      <c r="O69">
        <v>-1</v>
      </c>
      <c r="P69">
        <v>0</v>
      </c>
      <c r="Q69">
        <v>38.9</v>
      </c>
      <c r="R69">
        <v>38.9</v>
      </c>
      <c r="S69" t="s">
        <v>1414</v>
      </c>
      <c r="T69" t="s">
        <v>1721</v>
      </c>
      <c r="U69">
        <v>1</v>
      </c>
      <c r="V69" t="s">
        <v>1364</v>
      </c>
      <c r="X69" t="s">
        <v>460</v>
      </c>
      <c r="Y69" t="s">
        <v>1722</v>
      </c>
      <c r="Z69" t="s">
        <v>1513</v>
      </c>
      <c r="AA69" t="s">
        <v>1596</v>
      </c>
      <c r="AB69" t="s">
        <v>1597</v>
      </c>
      <c r="AC69" t="s">
        <v>1723</v>
      </c>
      <c r="AF69" t="s">
        <v>1724</v>
      </c>
      <c r="AG69" t="s">
        <v>1372</v>
      </c>
      <c r="AK69">
        <v>0</v>
      </c>
      <c r="AO69" t="s">
        <v>1372</v>
      </c>
      <c r="AP69" t="s">
        <v>1373</v>
      </c>
    </row>
    <row r="70" hidden="1" spans="1:42">
      <c r="A70" t="s">
        <v>1725</v>
      </c>
      <c r="B70" t="s">
        <v>1356</v>
      </c>
      <c r="C70" t="s">
        <v>1375</v>
      </c>
      <c r="D70" t="s">
        <v>1376</v>
      </c>
      <c r="F70" t="s">
        <v>1377</v>
      </c>
      <c r="G70" s="45">
        <v>44808.9443055556</v>
      </c>
      <c r="M70">
        <v>19.9</v>
      </c>
      <c r="N70">
        <v>0</v>
      </c>
      <c r="O70">
        <v>0</v>
      </c>
      <c r="P70">
        <v>0</v>
      </c>
      <c r="Q70">
        <v>19.9</v>
      </c>
      <c r="R70">
        <v>0</v>
      </c>
      <c r="T70" t="s">
        <v>1726</v>
      </c>
      <c r="U70">
        <v>1</v>
      </c>
      <c r="V70" t="s">
        <v>1364</v>
      </c>
      <c r="X70" t="s">
        <v>752</v>
      </c>
      <c r="Y70" t="s">
        <v>1727</v>
      </c>
      <c r="Z70" t="s">
        <v>1367</v>
      </c>
      <c r="AA70" t="s">
        <v>1615</v>
      </c>
      <c r="AB70" t="s">
        <v>1728</v>
      </c>
      <c r="AC70" t="s">
        <v>1729</v>
      </c>
      <c r="AF70" t="s">
        <v>1730</v>
      </c>
      <c r="AG70" t="s">
        <v>1372</v>
      </c>
      <c r="AH70" t="s">
        <v>1731</v>
      </c>
      <c r="AK70">
        <v>0</v>
      </c>
      <c r="AO70" t="s">
        <v>1372</v>
      </c>
      <c r="AP70" t="s">
        <v>1373</v>
      </c>
    </row>
    <row r="71" hidden="1" spans="1:42">
      <c r="A71" t="s">
        <v>1732</v>
      </c>
      <c r="B71" t="s">
        <v>1356</v>
      </c>
      <c r="C71" t="s">
        <v>1375</v>
      </c>
      <c r="D71" t="s">
        <v>1376</v>
      </c>
      <c r="F71" t="s">
        <v>1377</v>
      </c>
      <c r="G71" s="45">
        <v>44808.9439236111</v>
      </c>
      <c r="M71">
        <v>69</v>
      </c>
      <c r="N71">
        <v>0</v>
      </c>
      <c r="O71">
        <v>0</v>
      </c>
      <c r="P71">
        <v>0</v>
      </c>
      <c r="Q71">
        <v>69</v>
      </c>
      <c r="R71">
        <v>0</v>
      </c>
      <c r="T71" t="s">
        <v>1733</v>
      </c>
      <c r="U71">
        <v>1</v>
      </c>
      <c r="V71" t="s">
        <v>1364</v>
      </c>
      <c r="X71" t="s">
        <v>752</v>
      </c>
      <c r="Y71" t="s">
        <v>1727</v>
      </c>
      <c r="Z71" t="s">
        <v>1367</v>
      </c>
      <c r="AA71" t="s">
        <v>1615</v>
      </c>
      <c r="AB71" t="s">
        <v>1728</v>
      </c>
      <c r="AC71" t="s">
        <v>1729</v>
      </c>
      <c r="AF71" t="s">
        <v>1730</v>
      </c>
      <c r="AG71" t="s">
        <v>1372</v>
      </c>
      <c r="AH71" t="s">
        <v>1731</v>
      </c>
      <c r="AK71">
        <v>0</v>
      </c>
      <c r="AO71" t="s">
        <v>1372</v>
      </c>
      <c r="AP71" t="s">
        <v>1373</v>
      </c>
    </row>
    <row r="72" hidden="1" spans="1:42">
      <c r="A72" t="s">
        <v>1734</v>
      </c>
      <c r="B72" t="s">
        <v>1356</v>
      </c>
      <c r="C72" t="s">
        <v>1375</v>
      </c>
      <c r="D72" t="s">
        <v>1358</v>
      </c>
      <c r="F72" t="s">
        <v>1359</v>
      </c>
      <c r="G72" s="45">
        <v>44808.9426273148</v>
      </c>
      <c r="H72" s="45">
        <v>44808.9427777778</v>
      </c>
      <c r="J72" t="s">
        <v>407</v>
      </c>
      <c r="M72">
        <v>19.9</v>
      </c>
      <c r="N72">
        <v>0</v>
      </c>
      <c r="O72">
        <v>0</v>
      </c>
      <c r="P72">
        <v>0</v>
      </c>
      <c r="Q72">
        <v>19.9</v>
      </c>
      <c r="R72">
        <v>19.9</v>
      </c>
      <c r="T72" t="s">
        <v>1527</v>
      </c>
      <c r="U72">
        <v>1</v>
      </c>
      <c r="V72" t="s">
        <v>1364</v>
      </c>
      <c r="X72" t="s">
        <v>588</v>
      </c>
      <c r="Y72" t="s">
        <v>1735</v>
      </c>
      <c r="Z72" t="s">
        <v>1495</v>
      </c>
      <c r="AA72" t="s">
        <v>1736</v>
      </c>
      <c r="AB72" t="s">
        <v>1737</v>
      </c>
      <c r="AC72" t="s">
        <v>1738</v>
      </c>
      <c r="AF72" t="s">
        <v>1739</v>
      </c>
      <c r="AG72" t="s">
        <v>1385</v>
      </c>
      <c r="AH72" t="s">
        <v>1735</v>
      </c>
      <c r="AK72">
        <v>0</v>
      </c>
      <c r="AO72" t="s">
        <v>1372</v>
      </c>
      <c r="AP72" t="s">
        <v>1373</v>
      </c>
    </row>
    <row r="73" hidden="1" spans="1:42">
      <c r="A73" t="s">
        <v>1740</v>
      </c>
      <c r="B73" t="s">
        <v>1356</v>
      </c>
      <c r="C73" t="s">
        <v>1375</v>
      </c>
      <c r="D73" t="s">
        <v>1358</v>
      </c>
      <c r="F73" t="s">
        <v>1377</v>
      </c>
      <c r="G73" s="45">
        <v>44808.9420601852</v>
      </c>
      <c r="H73" s="45">
        <v>44808.9422916667</v>
      </c>
      <c r="J73" t="s">
        <v>407</v>
      </c>
      <c r="M73">
        <v>19.9</v>
      </c>
      <c r="N73">
        <v>0</v>
      </c>
      <c r="O73">
        <v>0</v>
      </c>
      <c r="P73">
        <v>0</v>
      </c>
      <c r="Q73">
        <v>19.9</v>
      </c>
      <c r="R73">
        <v>19.9</v>
      </c>
      <c r="T73" t="s">
        <v>1529</v>
      </c>
      <c r="U73">
        <v>1</v>
      </c>
      <c r="V73" t="s">
        <v>1364</v>
      </c>
      <c r="X73" t="s">
        <v>615</v>
      </c>
      <c r="Y73" t="s">
        <v>1741</v>
      </c>
      <c r="Z73" t="s">
        <v>1478</v>
      </c>
      <c r="AA73" t="s">
        <v>1742</v>
      </c>
      <c r="AB73" t="s">
        <v>1743</v>
      </c>
      <c r="AC73" t="s">
        <v>1744</v>
      </c>
      <c r="AF73" t="s">
        <v>1745</v>
      </c>
      <c r="AG73" t="s">
        <v>1372</v>
      </c>
      <c r="AH73" t="s">
        <v>1741</v>
      </c>
      <c r="AK73">
        <v>0</v>
      </c>
      <c r="AO73" t="s">
        <v>1372</v>
      </c>
      <c r="AP73" t="s">
        <v>1373</v>
      </c>
    </row>
    <row r="74" hidden="1" spans="1:42">
      <c r="A74" t="s">
        <v>1746</v>
      </c>
      <c r="B74" t="s">
        <v>1356</v>
      </c>
      <c r="C74" t="s">
        <v>1375</v>
      </c>
      <c r="D74" t="s">
        <v>1358</v>
      </c>
      <c r="F74" t="s">
        <v>1377</v>
      </c>
      <c r="G74" s="45">
        <v>44808.9413541667</v>
      </c>
      <c r="H74" s="45">
        <v>44808.9414583333</v>
      </c>
      <c r="J74" t="s">
        <v>407</v>
      </c>
      <c r="M74">
        <v>19.9</v>
      </c>
      <c r="N74">
        <v>0</v>
      </c>
      <c r="O74">
        <v>0</v>
      </c>
      <c r="P74">
        <v>0</v>
      </c>
      <c r="Q74">
        <v>19.9</v>
      </c>
      <c r="R74">
        <v>19.9</v>
      </c>
      <c r="T74" t="s">
        <v>1540</v>
      </c>
      <c r="U74">
        <v>1</v>
      </c>
      <c r="V74" t="s">
        <v>1364</v>
      </c>
      <c r="X74" t="s">
        <v>541</v>
      </c>
      <c r="Y74" t="s">
        <v>1747</v>
      </c>
      <c r="Z74" t="s">
        <v>1748</v>
      </c>
      <c r="AA74" t="s">
        <v>1749</v>
      </c>
      <c r="AB74" t="s">
        <v>1750</v>
      </c>
      <c r="AC74" t="s">
        <v>1751</v>
      </c>
      <c r="AF74" t="s">
        <v>1752</v>
      </c>
      <c r="AG74" t="s">
        <v>1372</v>
      </c>
      <c r="AK74">
        <v>0</v>
      </c>
      <c r="AO74" t="s">
        <v>1372</v>
      </c>
      <c r="AP74" t="s">
        <v>1373</v>
      </c>
    </row>
    <row r="75" hidden="1" spans="1:42">
      <c r="A75" t="s">
        <v>1753</v>
      </c>
      <c r="B75" t="s">
        <v>1356</v>
      </c>
      <c r="C75" t="s">
        <v>1375</v>
      </c>
      <c r="D75" t="s">
        <v>1358</v>
      </c>
      <c r="F75" t="s">
        <v>1377</v>
      </c>
      <c r="G75" s="45">
        <v>44808.9409490741</v>
      </c>
      <c r="H75" s="45">
        <v>44808.9410416667</v>
      </c>
      <c r="J75" t="s">
        <v>407</v>
      </c>
      <c r="M75">
        <v>19.9</v>
      </c>
      <c r="N75">
        <v>0</v>
      </c>
      <c r="O75">
        <v>0</v>
      </c>
      <c r="P75">
        <v>0</v>
      </c>
      <c r="Q75">
        <v>19.9</v>
      </c>
      <c r="R75">
        <v>19.9</v>
      </c>
      <c r="T75" t="s">
        <v>1529</v>
      </c>
      <c r="U75">
        <v>1</v>
      </c>
      <c r="V75" t="s">
        <v>1364</v>
      </c>
      <c r="X75" t="s">
        <v>461</v>
      </c>
      <c r="Y75" t="s">
        <v>1677</v>
      </c>
      <c r="Z75" t="s">
        <v>1678</v>
      </c>
      <c r="AA75" t="s">
        <v>1679</v>
      </c>
      <c r="AB75" t="s">
        <v>1680</v>
      </c>
      <c r="AC75" t="s">
        <v>1681</v>
      </c>
      <c r="AF75" t="s">
        <v>461</v>
      </c>
      <c r="AG75" t="s">
        <v>1372</v>
      </c>
      <c r="AH75" t="s">
        <v>1677</v>
      </c>
      <c r="AK75">
        <v>0</v>
      </c>
      <c r="AO75" t="s">
        <v>1372</v>
      </c>
      <c r="AP75" t="s">
        <v>1373</v>
      </c>
    </row>
    <row r="76" hidden="1" spans="1:42">
      <c r="A76" t="s">
        <v>1754</v>
      </c>
      <c r="B76" t="s">
        <v>1356</v>
      </c>
      <c r="C76" t="s">
        <v>1375</v>
      </c>
      <c r="D76" t="s">
        <v>1358</v>
      </c>
      <c r="F76" t="s">
        <v>1548</v>
      </c>
      <c r="G76" s="45">
        <v>44808.9386921296</v>
      </c>
      <c r="H76" s="45">
        <v>44808.9388541667</v>
      </c>
      <c r="J76" t="s">
        <v>407</v>
      </c>
      <c r="M76">
        <v>39.9</v>
      </c>
      <c r="N76">
        <v>0</v>
      </c>
      <c r="O76">
        <v>-3</v>
      </c>
      <c r="P76">
        <v>0</v>
      </c>
      <c r="Q76">
        <v>36.9</v>
      </c>
      <c r="R76">
        <v>36.9</v>
      </c>
      <c r="S76" t="s">
        <v>1397</v>
      </c>
      <c r="T76" t="s">
        <v>1755</v>
      </c>
      <c r="U76">
        <v>1</v>
      </c>
      <c r="V76" t="s">
        <v>1364</v>
      </c>
      <c r="X76" t="s">
        <v>561</v>
      </c>
      <c r="Y76" t="s">
        <v>1756</v>
      </c>
      <c r="Z76" t="s">
        <v>1495</v>
      </c>
      <c r="AA76" t="s">
        <v>1757</v>
      </c>
      <c r="AB76" t="s">
        <v>1758</v>
      </c>
      <c r="AC76" t="s">
        <v>1759</v>
      </c>
      <c r="AF76" t="s">
        <v>1760</v>
      </c>
      <c r="AG76" t="s">
        <v>1385</v>
      </c>
      <c r="AH76" t="s">
        <v>1756</v>
      </c>
      <c r="AK76">
        <v>0</v>
      </c>
      <c r="AO76" t="s">
        <v>1372</v>
      </c>
      <c r="AP76" t="s">
        <v>1373</v>
      </c>
    </row>
    <row r="77" hidden="1" spans="1:42">
      <c r="A77" t="s">
        <v>1761</v>
      </c>
      <c r="B77" t="s">
        <v>1356</v>
      </c>
      <c r="C77" t="s">
        <v>1375</v>
      </c>
      <c r="D77" t="s">
        <v>1376</v>
      </c>
      <c r="F77" t="s">
        <v>1377</v>
      </c>
      <c r="G77" s="45">
        <v>44808.9368287037</v>
      </c>
      <c r="M77">
        <v>99</v>
      </c>
      <c r="N77">
        <v>0</v>
      </c>
      <c r="O77">
        <v>-6</v>
      </c>
      <c r="P77">
        <v>0</v>
      </c>
      <c r="Q77">
        <v>93</v>
      </c>
      <c r="R77">
        <v>0</v>
      </c>
      <c r="S77" t="s">
        <v>1463</v>
      </c>
      <c r="T77" t="s">
        <v>1762</v>
      </c>
      <c r="U77">
        <v>1</v>
      </c>
      <c r="V77" t="s">
        <v>1364</v>
      </c>
      <c r="X77" t="s">
        <v>380</v>
      </c>
      <c r="Y77" t="s">
        <v>1465</v>
      </c>
      <c r="Z77" t="s">
        <v>1466</v>
      </c>
      <c r="AA77" t="s">
        <v>1467</v>
      </c>
      <c r="AB77" t="s">
        <v>1468</v>
      </c>
      <c r="AC77" t="s">
        <v>1469</v>
      </c>
      <c r="AF77" t="s">
        <v>1470</v>
      </c>
      <c r="AG77" t="s">
        <v>1372</v>
      </c>
      <c r="AH77" t="s">
        <v>1465</v>
      </c>
      <c r="AK77">
        <v>0</v>
      </c>
      <c r="AO77" t="s">
        <v>1372</v>
      </c>
      <c r="AP77" t="s">
        <v>1373</v>
      </c>
    </row>
    <row r="78" hidden="1" spans="1:42">
      <c r="A78" t="s">
        <v>1763</v>
      </c>
      <c r="B78" t="s">
        <v>1356</v>
      </c>
      <c r="C78" t="s">
        <v>1375</v>
      </c>
      <c r="D78" t="s">
        <v>1358</v>
      </c>
      <c r="F78" t="s">
        <v>1377</v>
      </c>
      <c r="G78" s="45">
        <v>44808.9364351852</v>
      </c>
      <c r="H78" s="45">
        <v>44808.9365393519</v>
      </c>
      <c r="J78" t="s">
        <v>407</v>
      </c>
      <c r="M78">
        <v>99</v>
      </c>
      <c r="N78">
        <v>0</v>
      </c>
      <c r="O78">
        <v>-4</v>
      </c>
      <c r="P78">
        <v>0</v>
      </c>
      <c r="Q78">
        <v>95</v>
      </c>
      <c r="R78">
        <v>95</v>
      </c>
      <c r="S78" t="s">
        <v>1388</v>
      </c>
      <c r="T78" t="s">
        <v>1764</v>
      </c>
      <c r="U78">
        <v>1</v>
      </c>
      <c r="V78" t="s">
        <v>1364</v>
      </c>
      <c r="X78" t="s">
        <v>433</v>
      </c>
      <c r="Y78" t="s">
        <v>1709</v>
      </c>
      <c r="Z78" t="s">
        <v>1710</v>
      </c>
      <c r="AA78" t="s">
        <v>1711</v>
      </c>
      <c r="AB78" t="s">
        <v>1712</v>
      </c>
      <c r="AC78" t="s">
        <v>1765</v>
      </c>
      <c r="AF78" t="s">
        <v>1766</v>
      </c>
      <c r="AG78" t="s">
        <v>1372</v>
      </c>
      <c r="AK78">
        <v>0</v>
      </c>
      <c r="AO78" t="s">
        <v>1372</v>
      </c>
      <c r="AP78" t="s">
        <v>1373</v>
      </c>
    </row>
    <row r="79" hidden="1" spans="1:42">
      <c r="A79" t="s">
        <v>1767</v>
      </c>
      <c r="B79" t="s">
        <v>1356</v>
      </c>
      <c r="C79" t="s">
        <v>1375</v>
      </c>
      <c r="D79" t="s">
        <v>1358</v>
      </c>
      <c r="F79" t="s">
        <v>1377</v>
      </c>
      <c r="G79" s="45">
        <v>44808.9363310185</v>
      </c>
      <c r="H79" s="45">
        <v>44808.9365509259</v>
      </c>
      <c r="J79" t="s">
        <v>407</v>
      </c>
      <c r="M79">
        <v>99</v>
      </c>
      <c r="N79">
        <v>0</v>
      </c>
      <c r="O79">
        <v>0</v>
      </c>
      <c r="P79">
        <v>0</v>
      </c>
      <c r="Q79">
        <v>99</v>
      </c>
      <c r="R79">
        <v>99</v>
      </c>
      <c r="T79" t="s">
        <v>1768</v>
      </c>
      <c r="U79">
        <v>1</v>
      </c>
      <c r="V79" t="s">
        <v>1364</v>
      </c>
      <c r="X79" t="s">
        <v>461</v>
      </c>
      <c r="Y79" t="s">
        <v>1677</v>
      </c>
      <c r="Z79" t="s">
        <v>1678</v>
      </c>
      <c r="AA79" t="s">
        <v>1679</v>
      </c>
      <c r="AB79" t="s">
        <v>1680</v>
      </c>
      <c r="AC79" t="s">
        <v>1681</v>
      </c>
      <c r="AF79" t="s">
        <v>461</v>
      </c>
      <c r="AG79" t="s">
        <v>1372</v>
      </c>
      <c r="AH79" t="s">
        <v>1677</v>
      </c>
      <c r="AK79">
        <v>0</v>
      </c>
      <c r="AO79" t="s">
        <v>1372</v>
      </c>
      <c r="AP79" t="s">
        <v>1373</v>
      </c>
    </row>
    <row r="80" hidden="1" spans="1:42">
      <c r="A80" t="s">
        <v>1769</v>
      </c>
      <c r="B80" t="s">
        <v>1356</v>
      </c>
      <c r="C80" t="s">
        <v>1375</v>
      </c>
      <c r="D80" t="s">
        <v>1358</v>
      </c>
      <c r="F80" t="s">
        <v>1377</v>
      </c>
      <c r="G80" s="45">
        <v>44808.935787037</v>
      </c>
      <c r="H80" s="45">
        <v>44808.9359837963</v>
      </c>
      <c r="J80" t="s">
        <v>407</v>
      </c>
      <c r="M80">
        <v>99</v>
      </c>
      <c r="N80">
        <v>0</v>
      </c>
      <c r="O80">
        <v>-6</v>
      </c>
      <c r="P80">
        <v>0</v>
      </c>
      <c r="Q80">
        <v>93</v>
      </c>
      <c r="R80">
        <v>93</v>
      </c>
      <c r="S80" t="s">
        <v>1463</v>
      </c>
      <c r="T80" t="s">
        <v>1770</v>
      </c>
      <c r="U80">
        <v>1</v>
      </c>
      <c r="V80" t="s">
        <v>1364</v>
      </c>
      <c r="X80" t="s">
        <v>432</v>
      </c>
      <c r="Y80" t="s">
        <v>1771</v>
      </c>
      <c r="Z80" t="s">
        <v>1447</v>
      </c>
      <c r="AA80" t="s">
        <v>1448</v>
      </c>
      <c r="AB80" t="s">
        <v>1772</v>
      </c>
      <c r="AC80" t="s">
        <v>1773</v>
      </c>
      <c r="AF80" t="s">
        <v>432</v>
      </c>
      <c r="AG80" t="s">
        <v>1372</v>
      </c>
      <c r="AH80" t="s">
        <v>1774</v>
      </c>
      <c r="AK80">
        <v>0</v>
      </c>
      <c r="AO80" t="s">
        <v>1372</v>
      </c>
      <c r="AP80" t="s">
        <v>1373</v>
      </c>
    </row>
    <row r="81" hidden="1" spans="1:42">
      <c r="A81" t="s">
        <v>1775</v>
      </c>
      <c r="B81" t="s">
        <v>1356</v>
      </c>
      <c r="C81" t="s">
        <v>1375</v>
      </c>
      <c r="D81" t="s">
        <v>1376</v>
      </c>
      <c r="F81" t="s">
        <v>1377</v>
      </c>
      <c r="G81" s="45">
        <v>44808.9353472222</v>
      </c>
      <c r="M81">
        <v>99</v>
      </c>
      <c r="N81">
        <v>0</v>
      </c>
      <c r="O81">
        <v>0</v>
      </c>
      <c r="P81">
        <v>0</v>
      </c>
      <c r="Q81">
        <v>99</v>
      </c>
      <c r="R81">
        <v>0</v>
      </c>
      <c r="T81" t="s">
        <v>1776</v>
      </c>
      <c r="U81">
        <v>1</v>
      </c>
      <c r="V81" t="s">
        <v>1364</v>
      </c>
      <c r="X81" t="s">
        <v>541</v>
      </c>
      <c r="Y81" t="s">
        <v>1747</v>
      </c>
      <c r="Z81" t="s">
        <v>1748</v>
      </c>
      <c r="AA81" t="s">
        <v>1749</v>
      </c>
      <c r="AB81" t="s">
        <v>1750</v>
      </c>
      <c r="AC81" t="s">
        <v>1751</v>
      </c>
      <c r="AF81" t="s">
        <v>1752</v>
      </c>
      <c r="AG81" t="s">
        <v>1372</v>
      </c>
      <c r="AK81">
        <v>0</v>
      </c>
      <c r="AO81" t="s">
        <v>1372</v>
      </c>
      <c r="AP81" t="s">
        <v>1373</v>
      </c>
    </row>
    <row r="82" hidden="1" spans="1:42">
      <c r="A82" t="s">
        <v>1777</v>
      </c>
      <c r="B82" t="s">
        <v>1356</v>
      </c>
      <c r="C82" t="s">
        <v>1375</v>
      </c>
      <c r="D82" t="s">
        <v>1358</v>
      </c>
      <c r="F82" t="s">
        <v>1377</v>
      </c>
      <c r="G82" s="45">
        <v>44808.9348842593</v>
      </c>
      <c r="H82" s="45">
        <v>44808.9350578704</v>
      </c>
      <c r="J82" t="s">
        <v>407</v>
      </c>
      <c r="M82">
        <v>39.9</v>
      </c>
      <c r="N82">
        <v>0</v>
      </c>
      <c r="O82">
        <v>-1</v>
      </c>
      <c r="P82">
        <v>0</v>
      </c>
      <c r="Q82">
        <v>38.9</v>
      </c>
      <c r="R82">
        <v>38.9</v>
      </c>
      <c r="S82" t="s">
        <v>1414</v>
      </c>
      <c r="T82" t="s">
        <v>1778</v>
      </c>
      <c r="U82">
        <v>1</v>
      </c>
      <c r="V82" t="s">
        <v>1364</v>
      </c>
      <c r="X82" t="s">
        <v>460</v>
      </c>
      <c r="Y82" t="s">
        <v>1722</v>
      </c>
      <c r="Z82" t="s">
        <v>1513</v>
      </c>
      <c r="AA82" t="s">
        <v>1596</v>
      </c>
      <c r="AB82" t="s">
        <v>1597</v>
      </c>
      <c r="AC82" t="s">
        <v>1723</v>
      </c>
      <c r="AF82" t="s">
        <v>1724</v>
      </c>
      <c r="AG82" t="s">
        <v>1372</v>
      </c>
      <c r="AK82">
        <v>0</v>
      </c>
      <c r="AO82" t="s">
        <v>1372</v>
      </c>
      <c r="AP82" t="s">
        <v>1373</v>
      </c>
    </row>
    <row r="83" hidden="1" spans="1:42">
      <c r="A83" t="s">
        <v>1779</v>
      </c>
      <c r="B83" t="s">
        <v>1356</v>
      </c>
      <c r="C83" t="s">
        <v>1375</v>
      </c>
      <c r="D83" t="s">
        <v>1780</v>
      </c>
      <c r="F83" t="s">
        <v>1377</v>
      </c>
      <c r="G83" s="45">
        <v>44808.9348611111</v>
      </c>
      <c r="M83">
        <v>39.9</v>
      </c>
      <c r="N83">
        <v>0</v>
      </c>
      <c r="O83">
        <v>-3</v>
      </c>
      <c r="P83">
        <v>0</v>
      </c>
      <c r="Q83">
        <v>36.9</v>
      </c>
      <c r="R83">
        <v>0</v>
      </c>
      <c r="S83" t="s">
        <v>1397</v>
      </c>
      <c r="T83" t="s">
        <v>1755</v>
      </c>
      <c r="U83">
        <v>1</v>
      </c>
      <c r="V83" t="s">
        <v>1364</v>
      </c>
      <c r="X83" t="s">
        <v>1781</v>
      </c>
      <c r="Y83" t="s">
        <v>1782</v>
      </c>
      <c r="Z83" t="s">
        <v>1495</v>
      </c>
      <c r="AA83" t="s">
        <v>1757</v>
      </c>
      <c r="AB83" t="s">
        <v>1783</v>
      </c>
      <c r="AC83" t="s">
        <v>1784</v>
      </c>
      <c r="AF83" t="s">
        <v>1760</v>
      </c>
      <c r="AG83" t="s">
        <v>1385</v>
      </c>
      <c r="AH83" t="s">
        <v>1756</v>
      </c>
      <c r="AK83">
        <v>0</v>
      </c>
      <c r="AO83" t="s">
        <v>1372</v>
      </c>
      <c r="AP83" t="s">
        <v>1373</v>
      </c>
    </row>
    <row r="84" hidden="1" spans="1:42">
      <c r="A84" t="s">
        <v>1785</v>
      </c>
      <c r="B84" t="s">
        <v>1356</v>
      </c>
      <c r="C84" t="s">
        <v>1375</v>
      </c>
      <c r="D84" t="s">
        <v>1358</v>
      </c>
      <c r="F84" t="s">
        <v>1377</v>
      </c>
      <c r="G84" s="45">
        <v>44808.9331018518</v>
      </c>
      <c r="H84" s="45">
        <v>44808.9332175926</v>
      </c>
      <c r="J84" t="s">
        <v>407</v>
      </c>
      <c r="M84">
        <v>39.9</v>
      </c>
      <c r="N84">
        <v>0</v>
      </c>
      <c r="O84">
        <v>-2</v>
      </c>
      <c r="P84">
        <v>0</v>
      </c>
      <c r="Q84">
        <v>37.9</v>
      </c>
      <c r="R84">
        <v>37.9</v>
      </c>
      <c r="S84" t="s">
        <v>1400</v>
      </c>
      <c r="T84" t="s">
        <v>1786</v>
      </c>
      <c r="U84">
        <v>1</v>
      </c>
      <c r="V84" t="s">
        <v>1364</v>
      </c>
      <c r="X84" t="s">
        <v>555</v>
      </c>
      <c r="Y84" t="s">
        <v>1787</v>
      </c>
      <c r="Z84" t="s">
        <v>1367</v>
      </c>
      <c r="AA84" t="s">
        <v>1402</v>
      </c>
      <c r="AB84" t="s">
        <v>1788</v>
      </c>
      <c r="AC84" t="s">
        <v>1789</v>
      </c>
      <c r="AF84" t="s">
        <v>1790</v>
      </c>
      <c r="AG84" t="s">
        <v>1385</v>
      </c>
      <c r="AH84" t="s">
        <v>1787</v>
      </c>
      <c r="AK84">
        <v>0</v>
      </c>
      <c r="AO84" t="s">
        <v>1372</v>
      </c>
      <c r="AP84" t="s">
        <v>1373</v>
      </c>
    </row>
    <row r="85" hidden="1" spans="1:42">
      <c r="A85" t="s">
        <v>1791</v>
      </c>
      <c r="B85" t="s">
        <v>1356</v>
      </c>
      <c r="C85" t="s">
        <v>1375</v>
      </c>
      <c r="D85" t="s">
        <v>1358</v>
      </c>
      <c r="F85" t="s">
        <v>1377</v>
      </c>
      <c r="G85" s="45">
        <v>44808.9328009259</v>
      </c>
      <c r="H85" s="45">
        <v>44808.9329282407</v>
      </c>
      <c r="J85" t="s">
        <v>407</v>
      </c>
      <c r="M85">
        <v>39.9</v>
      </c>
      <c r="N85">
        <v>0</v>
      </c>
      <c r="O85">
        <v>-1</v>
      </c>
      <c r="P85">
        <v>0</v>
      </c>
      <c r="Q85">
        <v>38.9</v>
      </c>
      <c r="R85">
        <v>38.9</v>
      </c>
      <c r="S85" t="s">
        <v>1414</v>
      </c>
      <c r="T85" t="s">
        <v>1792</v>
      </c>
      <c r="U85">
        <v>1</v>
      </c>
      <c r="V85" t="s">
        <v>1364</v>
      </c>
      <c r="X85" t="s">
        <v>477</v>
      </c>
      <c r="Y85" t="s">
        <v>1793</v>
      </c>
      <c r="Z85" t="s">
        <v>1794</v>
      </c>
      <c r="AA85" t="s">
        <v>1795</v>
      </c>
      <c r="AB85" t="s">
        <v>1796</v>
      </c>
      <c r="AC85" t="s">
        <v>1797</v>
      </c>
      <c r="AF85" t="s">
        <v>1798</v>
      </c>
      <c r="AG85" t="s">
        <v>1372</v>
      </c>
      <c r="AH85" t="s">
        <v>1793</v>
      </c>
      <c r="AK85">
        <v>0</v>
      </c>
      <c r="AO85" t="s">
        <v>1372</v>
      </c>
      <c r="AP85" t="s">
        <v>1373</v>
      </c>
    </row>
    <row r="86" hidden="1" spans="1:42">
      <c r="A86" t="s">
        <v>1799</v>
      </c>
      <c r="B86" t="s">
        <v>1356</v>
      </c>
      <c r="C86" t="s">
        <v>1375</v>
      </c>
      <c r="D86" t="s">
        <v>1376</v>
      </c>
      <c r="F86" t="s">
        <v>1377</v>
      </c>
      <c r="G86" s="45">
        <v>44808.9325462963</v>
      </c>
      <c r="M86">
        <v>39.9</v>
      </c>
      <c r="N86">
        <v>0</v>
      </c>
      <c r="O86">
        <v>-3</v>
      </c>
      <c r="P86">
        <v>0</v>
      </c>
      <c r="Q86">
        <v>36.9</v>
      </c>
      <c r="R86">
        <v>0</v>
      </c>
      <c r="S86" t="s">
        <v>1397</v>
      </c>
      <c r="T86" t="s">
        <v>1800</v>
      </c>
      <c r="U86">
        <v>1</v>
      </c>
      <c r="V86" t="s">
        <v>1364</v>
      </c>
      <c r="X86" t="s">
        <v>555</v>
      </c>
      <c r="Y86" t="s">
        <v>1787</v>
      </c>
      <c r="Z86" t="s">
        <v>1367</v>
      </c>
      <c r="AA86" t="s">
        <v>1402</v>
      </c>
      <c r="AB86" t="s">
        <v>1788</v>
      </c>
      <c r="AC86" t="s">
        <v>1789</v>
      </c>
      <c r="AF86" t="s">
        <v>1790</v>
      </c>
      <c r="AG86" t="s">
        <v>1385</v>
      </c>
      <c r="AH86" t="s">
        <v>1787</v>
      </c>
      <c r="AK86">
        <v>0</v>
      </c>
      <c r="AO86" t="s">
        <v>1372</v>
      </c>
      <c r="AP86" t="s">
        <v>1373</v>
      </c>
    </row>
    <row r="87" hidden="1" spans="1:42">
      <c r="A87" t="s">
        <v>1801</v>
      </c>
      <c r="B87" t="s">
        <v>1356</v>
      </c>
      <c r="C87" t="s">
        <v>1375</v>
      </c>
      <c r="D87" t="s">
        <v>1358</v>
      </c>
      <c r="F87" t="s">
        <v>1377</v>
      </c>
      <c r="G87" s="45">
        <v>44808.9297453704</v>
      </c>
      <c r="H87" s="45">
        <v>44808.9301273148</v>
      </c>
      <c r="J87" t="s">
        <v>407</v>
      </c>
      <c r="M87">
        <v>19.9</v>
      </c>
      <c r="N87">
        <v>0</v>
      </c>
      <c r="O87">
        <v>0</v>
      </c>
      <c r="P87">
        <v>0</v>
      </c>
      <c r="Q87">
        <v>19.9</v>
      </c>
      <c r="R87">
        <v>19.9</v>
      </c>
      <c r="T87" t="s">
        <v>1802</v>
      </c>
      <c r="U87">
        <v>1</v>
      </c>
      <c r="V87" t="s">
        <v>1364</v>
      </c>
      <c r="X87" t="s">
        <v>622</v>
      </c>
      <c r="Y87" t="s">
        <v>1803</v>
      </c>
      <c r="Z87" t="s">
        <v>1804</v>
      </c>
      <c r="AA87" t="s">
        <v>1805</v>
      </c>
      <c r="AB87" t="s">
        <v>1806</v>
      </c>
      <c r="AC87" t="s">
        <v>1807</v>
      </c>
      <c r="AF87" t="s">
        <v>1808</v>
      </c>
      <c r="AG87" t="s">
        <v>1372</v>
      </c>
      <c r="AH87" t="s">
        <v>1803</v>
      </c>
      <c r="AK87">
        <v>0</v>
      </c>
      <c r="AO87" t="s">
        <v>1372</v>
      </c>
      <c r="AP87" t="s">
        <v>1373</v>
      </c>
    </row>
    <row r="88" hidden="1" spans="1:42">
      <c r="A88" t="s">
        <v>1809</v>
      </c>
      <c r="B88" t="s">
        <v>1356</v>
      </c>
      <c r="C88" t="s">
        <v>1375</v>
      </c>
      <c r="D88" t="s">
        <v>1376</v>
      </c>
      <c r="F88" t="s">
        <v>1377</v>
      </c>
      <c r="G88" s="45">
        <v>44808.928900463</v>
      </c>
      <c r="M88">
        <v>99</v>
      </c>
      <c r="N88">
        <v>0</v>
      </c>
      <c r="O88">
        <v>0</v>
      </c>
      <c r="P88">
        <v>0</v>
      </c>
      <c r="Q88">
        <v>99</v>
      </c>
      <c r="R88">
        <v>0</v>
      </c>
      <c r="T88" t="s">
        <v>1693</v>
      </c>
      <c r="U88">
        <v>1</v>
      </c>
      <c r="V88" t="s">
        <v>1364</v>
      </c>
      <c r="X88" t="s">
        <v>569</v>
      </c>
      <c r="Y88" t="s">
        <v>1694</v>
      </c>
      <c r="Z88" t="s">
        <v>1695</v>
      </c>
      <c r="AA88" t="s">
        <v>1696</v>
      </c>
      <c r="AB88" t="s">
        <v>1697</v>
      </c>
      <c r="AC88" t="s">
        <v>1698</v>
      </c>
      <c r="AF88" t="s">
        <v>569</v>
      </c>
      <c r="AG88" t="s">
        <v>1372</v>
      </c>
      <c r="AH88" t="s">
        <v>1694</v>
      </c>
      <c r="AK88">
        <v>0</v>
      </c>
      <c r="AO88" t="s">
        <v>1372</v>
      </c>
      <c r="AP88" t="s">
        <v>1373</v>
      </c>
    </row>
    <row r="89" hidden="1" spans="1:42">
      <c r="A89" t="s">
        <v>1810</v>
      </c>
      <c r="B89" t="s">
        <v>1356</v>
      </c>
      <c r="C89" t="s">
        <v>1375</v>
      </c>
      <c r="D89" t="s">
        <v>1376</v>
      </c>
      <c r="F89" t="s">
        <v>1377</v>
      </c>
      <c r="G89" s="45">
        <v>44808.9285648148</v>
      </c>
      <c r="M89">
        <v>39.9</v>
      </c>
      <c r="N89">
        <v>0</v>
      </c>
      <c r="O89">
        <v>0</v>
      </c>
      <c r="P89">
        <v>0</v>
      </c>
      <c r="Q89">
        <v>39.9</v>
      </c>
      <c r="R89">
        <v>0</v>
      </c>
      <c r="T89" t="s">
        <v>1811</v>
      </c>
      <c r="U89">
        <v>1</v>
      </c>
      <c r="V89" t="s">
        <v>1364</v>
      </c>
      <c r="X89" t="s">
        <v>541</v>
      </c>
      <c r="Y89" t="s">
        <v>1747</v>
      </c>
      <c r="Z89" t="s">
        <v>1748</v>
      </c>
      <c r="AA89" t="s">
        <v>1749</v>
      </c>
      <c r="AB89" t="s">
        <v>1750</v>
      </c>
      <c r="AC89" t="s">
        <v>1751</v>
      </c>
      <c r="AF89" t="s">
        <v>1752</v>
      </c>
      <c r="AG89" t="s">
        <v>1372</v>
      </c>
      <c r="AK89">
        <v>0</v>
      </c>
      <c r="AO89" t="s">
        <v>1372</v>
      </c>
      <c r="AP89" t="s">
        <v>1373</v>
      </c>
    </row>
    <row r="90" hidden="1" spans="1:42">
      <c r="A90" t="s">
        <v>1812</v>
      </c>
      <c r="B90" t="s">
        <v>1356</v>
      </c>
      <c r="C90" t="s">
        <v>1375</v>
      </c>
      <c r="D90" t="s">
        <v>1358</v>
      </c>
      <c r="F90" t="s">
        <v>1377</v>
      </c>
      <c r="G90" s="45">
        <v>44808.9283101852</v>
      </c>
      <c r="H90" s="45">
        <v>44808.9284027778</v>
      </c>
      <c r="J90" t="s">
        <v>407</v>
      </c>
      <c r="M90">
        <v>39.9</v>
      </c>
      <c r="N90">
        <v>0</v>
      </c>
      <c r="O90">
        <v>-3</v>
      </c>
      <c r="P90">
        <v>0</v>
      </c>
      <c r="Q90">
        <v>36.9</v>
      </c>
      <c r="R90">
        <v>36.9</v>
      </c>
      <c r="S90" t="s">
        <v>1397</v>
      </c>
      <c r="T90" t="s">
        <v>1813</v>
      </c>
      <c r="U90">
        <v>1</v>
      </c>
      <c r="V90" t="s">
        <v>1364</v>
      </c>
      <c r="X90" t="s">
        <v>402</v>
      </c>
      <c r="Y90" t="s">
        <v>1532</v>
      </c>
      <c r="Z90" t="s">
        <v>1533</v>
      </c>
      <c r="AA90" t="s">
        <v>1534</v>
      </c>
      <c r="AB90" t="s">
        <v>1535</v>
      </c>
      <c r="AC90" t="s">
        <v>1536</v>
      </c>
      <c r="AF90" t="s">
        <v>1537</v>
      </c>
      <c r="AG90" t="s">
        <v>1372</v>
      </c>
      <c r="AK90">
        <v>0</v>
      </c>
      <c r="AO90" t="s">
        <v>1372</v>
      </c>
      <c r="AP90" t="s">
        <v>1373</v>
      </c>
    </row>
    <row r="91" hidden="1" spans="1:42">
      <c r="A91" t="s">
        <v>1814</v>
      </c>
      <c r="B91" t="s">
        <v>1356</v>
      </c>
      <c r="C91" t="s">
        <v>1375</v>
      </c>
      <c r="D91" t="s">
        <v>1358</v>
      </c>
      <c r="F91" t="s">
        <v>1377</v>
      </c>
      <c r="G91" s="45">
        <v>44808.9277430556</v>
      </c>
      <c r="H91" s="45">
        <v>44808.928275463</v>
      </c>
      <c r="J91" t="s">
        <v>407</v>
      </c>
      <c r="M91">
        <v>79.8</v>
      </c>
      <c r="N91">
        <v>0</v>
      </c>
      <c r="O91">
        <v>-2</v>
      </c>
      <c r="P91">
        <v>0</v>
      </c>
      <c r="Q91">
        <v>77.8</v>
      </c>
      <c r="R91">
        <v>77.8</v>
      </c>
      <c r="S91" t="s">
        <v>1400</v>
      </c>
      <c r="T91" t="s">
        <v>1815</v>
      </c>
      <c r="U91">
        <v>1</v>
      </c>
      <c r="V91" t="s">
        <v>1364</v>
      </c>
      <c r="X91" t="s">
        <v>396</v>
      </c>
      <c r="Y91" t="s">
        <v>1816</v>
      </c>
      <c r="Z91" t="s">
        <v>1678</v>
      </c>
      <c r="AA91" t="s">
        <v>1817</v>
      </c>
      <c r="AB91" t="s">
        <v>1818</v>
      </c>
      <c r="AC91" t="s">
        <v>1819</v>
      </c>
      <c r="AD91" t="s">
        <v>1820</v>
      </c>
      <c r="AF91" t="s">
        <v>1821</v>
      </c>
      <c r="AG91" t="s">
        <v>1385</v>
      </c>
      <c r="AH91" t="s">
        <v>1816</v>
      </c>
      <c r="AK91">
        <v>0</v>
      </c>
      <c r="AO91" t="s">
        <v>1372</v>
      </c>
      <c r="AP91" t="s">
        <v>1373</v>
      </c>
    </row>
    <row r="92" hidden="1" spans="1:42">
      <c r="A92" t="s">
        <v>1822</v>
      </c>
      <c r="B92" t="s">
        <v>1356</v>
      </c>
      <c r="C92" t="s">
        <v>1375</v>
      </c>
      <c r="D92" t="s">
        <v>1358</v>
      </c>
      <c r="F92" t="s">
        <v>1377</v>
      </c>
      <c r="G92" s="45">
        <v>44808.9272337963</v>
      </c>
      <c r="H92" s="45">
        <v>44808.927349537</v>
      </c>
      <c r="J92" t="s">
        <v>407</v>
      </c>
      <c r="M92">
        <v>39.9</v>
      </c>
      <c r="N92">
        <v>0</v>
      </c>
      <c r="O92">
        <v>0</v>
      </c>
      <c r="P92">
        <v>0</v>
      </c>
      <c r="Q92">
        <v>39.9</v>
      </c>
      <c r="R92">
        <v>39.9</v>
      </c>
      <c r="T92" t="s">
        <v>1676</v>
      </c>
      <c r="U92">
        <v>1</v>
      </c>
      <c r="V92" t="s">
        <v>1364</v>
      </c>
      <c r="X92" t="s">
        <v>510</v>
      </c>
      <c r="Y92" t="s">
        <v>1823</v>
      </c>
      <c r="Z92" t="s">
        <v>1824</v>
      </c>
      <c r="AA92" t="s">
        <v>1825</v>
      </c>
      <c r="AB92" t="s">
        <v>1826</v>
      </c>
      <c r="AC92" t="s">
        <v>1827</v>
      </c>
      <c r="AF92" t="s">
        <v>1828</v>
      </c>
      <c r="AG92" t="s">
        <v>1372</v>
      </c>
      <c r="AH92" t="s">
        <v>1829</v>
      </c>
      <c r="AK92">
        <v>0</v>
      </c>
      <c r="AO92" t="s">
        <v>1372</v>
      </c>
      <c r="AP92" t="s">
        <v>1373</v>
      </c>
    </row>
    <row r="93" hidden="1" spans="1:42">
      <c r="A93" t="s">
        <v>1830</v>
      </c>
      <c r="B93" t="s">
        <v>1356</v>
      </c>
      <c r="C93" t="s">
        <v>1375</v>
      </c>
      <c r="D93" t="s">
        <v>1358</v>
      </c>
      <c r="F93" t="s">
        <v>1359</v>
      </c>
      <c r="G93" s="45">
        <v>44808.9246296296</v>
      </c>
      <c r="H93" s="45">
        <v>44808.9247453704</v>
      </c>
      <c r="J93" t="s">
        <v>407</v>
      </c>
      <c r="M93">
        <v>19.9</v>
      </c>
      <c r="N93">
        <v>0</v>
      </c>
      <c r="O93">
        <v>0</v>
      </c>
      <c r="P93">
        <v>0</v>
      </c>
      <c r="Q93">
        <v>19.9</v>
      </c>
      <c r="R93">
        <v>19.9</v>
      </c>
      <c r="T93" t="s">
        <v>1831</v>
      </c>
      <c r="U93">
        <v>1</v>
      </c>
      <c r="V93" t="s">
        <v>1364</v>
      </c>
      <c r="X93" t="s">
        <v>541</v>
      </c>
      <c r="Y93" t="s">
        <v>1747</v>
      </c>
      <c r="Z93" t="s">
        <v>1748</v>
      </c>
      <c r="AA93" t="s">
        <v>1749</v>
      </c>
      <c r="AB93" t="s">
        <v>1750</v>
      </c>
      <c r="AC93" t="s">
        <v>1751</v>
      </c>
      <c r="AF93" t="s">
        <v>1752</v>
      </c>
      <c r="AG93" t="s">
        <v>1372</v>
      </c>
      <c r="AK93">
        <v>0</v>
      </c>
      <c r="AO93" t="s">
        <v>1372</v>
      </c>
      <c r="AP93" t="s">
        <v>1373</v>
      </c>
    </row>
    <row r="94" hidden="1" spans="1:42">
      <c r="A94" t="s">
        <v>1832</v>
      </c>
      <c r="B94" t="s">
        <v>1356</v>
      </c>
      <c r="C94" t="s">
        <v>1375</v>
      </c>
      <c r="D94" t="s">
        <v>1358</v>
      </c>
      <c r="F94" t="s">
        <v>1377</v>
      </c>
      <c r="G94" s="45">
        <v>44808.9241319444</v>
      </c>
      <c r="H94" s="45">
        <v>44808.9243171296</v>
      </c>
      <c r="J94" t="s">
        <v>407</v>
      </c>
      <c r="M94">
        <v>19.9</v>
      </c>
      <c r="N94">
        <v>0</v>
      </c>
      <c r="O94">
        <v>0</v>
      </c>
      <c r="P94">
        <v>0</v>
      </c>
      <c r="Q94">
        <v>19.9</v>
      </c>
      <c r="R94">
        <v>19.9</v>
      </c>
      <c r="T94" t="s">
        <v>1833</v>
      </c>
      <c r="U94">
        <v>1</v>
      </c>
      <c r="V94" t="s">
        <v>1364</v>
      </c>
      <c r="X94" t="s">
        <v>626</v>
      </c>
      <c r="Y94" t="s">
        <v>1834</v>
      </c>
      <c r="Z94" t="s">
        <v>1466</v>
      </c>
      <c r="AA94" t="s">
        <v>1835</v>
      </c>
      <c r="AB94" t="s">
        <v>1836</v>
      </c>
      <c r="AC94" t="s">
        <v>1837</v>
      </c>
      <c r="AF94" t="s">
        <v>1838</v>
      </c>
      <c r="AG94" t="s">
        <v>1385</v>
      </c>
      <c r="AH94" t="s">
        <v>1834</v>
      </c>
      <c r="AK94">
        <v>0</v>
      </c>
      <c r="AO94" t="s">
        <v>1372</v>
      </c>
      <c r="AP94" t="s">
        <v>1373</v>
      </c>
    </row>
    <row r="95" hidden="1" spans="1:42">
      <c r="A95" t="s">
        <v>1839</v>
      </c>
      <c r="B95" t="s">
        <v>1356</v>
      </c>
      <c r="C95" t="s">
        <v>1375</v>
      </c>
      <c r="D95" t="s">
        <v>1358</v>
      </c>
      <c r="F95" t="s">
        <v>1377</v>
      </c>
      <c r="G95" s="45">
        <v>44808.9237384259</v>
      </c>
      <c r="H95" s="45">
        <v>44808.9238194444</v>
      </c>
      <c r="J95" t="s">
        <v>407</v>
      </c>
      <c r="M95">
        <v>19.9</v>
      </c>
      <c r="N95">
        <v>0</v>
      </c>
      <c r="O95">
        <v>0</v>
      </c>
      <c r="P95">
        <v>0</v>
      </c>
      <c r="Q95">
        <v>19.9</v>
      </c>
      <c r="R95">
        <v>19.9</v>
      </c>
      <c r="T95" t="s">
        <v>1529</v>
      </c>
      <c r="U95">
        <v>1</v>
      </c>
      <c r="V95" t="s">
        <v>1364</v>
      </c>
      <c r="X95" t="s">
        <v>441</v>
      </c>
      <c r="Y95" t="s">
        <v>1840</v>
      </c>
      <c r="Z95" t="s">
        <v>1824</v>
      </c>
      <c r="AA95" t="s">
        <v>1841</v>
      </c>
      <c r="AB95" t="s">
        <v>1842</v>
      </c>
      <c r="AC95" t="s">
        <v>1843</v>
      </c>
      <c r="AF95" t="s">
        <v>441</v>
      </c>
      <c r="AG95" t="s">
        <v>1372</v>
      </c>
      <c r="AH95" t="s">
        <v>1840</v>
      </c>
      <c r="AK95">
        <v>0</v>
      </c>
      <c r="AO95" t="s">
        <v>1372</v>
      </c>
      <c r="AP95" t="s">
        <v>1373</v>
      </c>
    </row>
    <row r="96" hidden="1" spans="1:42">
      <c r="A96" t="s">
        <v>1844</v>
      </c>
      <c r="B96" t="s">
        <v>1356</v>
      </c>
      <c r="C96" t="s">
        <v>1375</v>
      </c>
      <c r="D96" t="s">
        <v>1358</v>
      </c>
      <c r="F96" t="s">
        <v>1377</v>
      </c>
      <c r="G96" s="45">
        <v>44808.9236689815</v>
      </c>
      <c r="H96" s="45">
        <v>44808.92375</v>
      </c>
      <c r="J96" t="s">
        <v>407</v>
      </c>
      <c r="M96">
        <v>19.9</v>
      </c>
      <c r="N96">
        <v>0</v>
      </c>
      <c r="O96">
        <v>0</v>
      </c>
      <c r="P96">
        <v>0</v>
      </c>
      <c r="Q96">
        <v>19.9</v>
      </c>
      <c r="R96">
        <v>19.9</v>
      </c>
      <c r="T96" t="s">
        <v>1845</v>
      </c>
      <c r="U96">
        <v>1</v>
      </c>
      <c r="V96" t="s">
        <v>1364</v>
      </c>
      <c r="X96" t="s">
        <v>440</v>
      </c>
      <c r="Y96" t="s">
        <v>1846</v>
      </c>
      <c r="Z96" t="s">
        <v>1367</v>
      </c>
      <c r="AA96" t="s">
        <v>1551</v>
      </c>
      <c r="AB96" t="s">
        <v>1647</v>
      </c>
      <c r="AC96" t="s">
        <v>1847</v>
      </c>
      <c r="AF96" t="s">
        <v>1848</v>
      </c>
      <c r="AG96" t="s">
        <v>1372</v>
      </c>
      <c r="AH96" t="s">
        <v>1846</v>
      </c>
      <c r="AJ96" t="s">
        <v>1649</v>
      </c>
      <c r="AK96">
        <v>0</v>
      </c>
      <c r="AO96" t="s">
        <v>1372</v>
      </c>
      <c r="AP96" t="s">
        <v>1373</v>
      </c>
    </row>
    <row r="97" hidden="1" spans="1:42">
      <c r="A97" t="s">
        <v>1849</v>
      </c>
      <c r="B97" t="s">
        <v>1356</v>
      </c>
      <c r="C97" t="s">
        <v>1375</v>
      </c>
      <c r="D97" t="s">
        <v>1358</v>
      </c>
      <c r="F97" t="s">
        <v>1377</v>
      </c>
      <c r="G97" s="45">
        <v>44808.9235763889</v>
      </c>
      <c r="H97" s="45">
        <v>44808.9237268519</v>
      </c>
      <c r="J97" t="s">
        <v>407</v>
      </c>
      <c r="M97">
        <v>19.9</v>
      </c>
      <c r="N97">
        <v>0</v>
      </c>
      <c r="O97">
        <v>0</v>
      </c>
      <c r="P97">
        <v>0</v>
      </c>
      <c r="Q97">
        <v>19.9</v>
      </c>
      <c r="R97">
        <v>19.9</v>
      </c>
      <c r="T97" t="s">
        <v>1850</v>
      </c>
      <c r="U97">
        <v>1</v>
      </c>
      <c r="V97" t="s">
        <v>1364</v>
      </c>
      <c r="X97" t="s">
        <v>380</v>
      </c>
      <c r="Y97" t="s">
        <v>1465</v>
      </c>
      <c r="Z97" t="s">
        <v>1466</v>
      </c>
      <c r="AA97" t="s">
        <v>1467</v>
      </c>
      <c r="AB97" t="s">
        <v>1468</v>
      </c>
      <c r="AC97" t="s">
        <v>1469</v>
      </c>
      <c r="AF97" t="s">
        <v>1470</v>
      </c>
      <c r="AG97" t="s">
        <v>1372</v>
      </c>
      <c r="AH97" t="s">
        <v>1465</v>
      </c>
      <c r="AK97">
        <v>0</v>
      </c>
      <c r="AO97" t="s">
        <v>1372</v>
      </c>
      <c r="AP97" t="s">
        <v>1373</v>
      </c>
    </row>
    <row r="98" hidden="1" spans="1:42">
      <c r="A98" t="s">
        <v>1851</v>
      </c>
      <c r="B98" t="s">
        <v>1356</v>
      </c>
      <c r="C98" t="s">
        <v>1375</v>
      </c>
      <c r="D98" t="s">
        <v>1358</v>
      </c>
      <c r="F98" t="s">
        <v>1377</v>
      </c>
      <c r="G98" s="45">
        <v>44808.9231597222</v>
      </c>
      <c r="H98" s="45">
        <v>44808.923275463</v>
      </c>
      <c r="J98" t="s">
        <v>407</v>
      </c>
      <c r="M98">
        <v>19.9</v>
      </c>
      <c r="N98">
        <v>0</v>
      </c>
      <c r="O98">
        <v>0</v>
      </c>
      <c r="P98">
        <v>0</v>
      </c>
      <c r="Q98">
        <v>19.9</v>
      </c>
      <c r="R98">
        <v>19.9</v>
      </c>
      <c r="T98" t="s">
        <v>1527</v>
      </c>
      <c r="U98">
        <v>1</v>
      </c>
      <c r="V98" t="s">
        <v>1364</v>
      </c>
      <c r="X98" t="s">
        <v>639</v>
      </c>
      <c r="Y98" t="s">
        <v>1852</v>
      </c>
      <c r="Z98" t="s">
        <v>1853</v>
      </c>
      <c r="AA98" t="s">
        <v>1854</v>
      </c>
      <c r="AB98" t="s">
        <v>1855</v>
      </c>
      <c r="AC98" t="s">
        <v>1856</v>
      </c>
      <c r="AF98" t="s">
        <v>639</v>
      </c>
      <c r="AG98" t="s">
        <v>1372</v>
      </c>
      <c r="AH98" t="s">
        <v>1852</v>
      </c>
      <c r="AK98">
        <v>0</v>
      </c>
      <c r="AO98" t="s">
        <v>1372</v>
      </c>
      <c r="AP98" t="s">
        <v>1373</v>
      </c>
    </row>
    <row r="99" hidden="1" spans="1:42">
      <c r="A99" t="s">
        <v>1857</v>
      </c>
      <c r="B99" t="s">
        <v>1356</v>
      </c>
      <c r="C99" t="s">
        <v>1375</v>
      </c>
      <c r="D99" t="s">
        <v>1358</v>
      </c>
      <c r="F99" t="s">
        <v>1377</v>
      </c>
      <c r="G99" s="45">
        <v>44808.9231481481</v>
      </c>
      <c r="H99" s="45">
        <v>44808.9233217593</v>
      </c>
      <c r="J99" t="s">
        <v>407</v>
      </c>
      <c r="M99">
        <v>19.9</v>
      </c>
      <c r="N99">
        <v>0</v>
      </c>
      <c r="O99">
        <v>0</v>
      </c>
      <c r="P99">
        <v>0</v>
      </c>
      <c r="Q99">
        <v>19.9</v>
      </c>
      <c r="R99">
        <v>19.9</v>
      </c>
      <c r="T99" t="s">
        <v>1858</v>
      </c>
      <c r="U99">
        <v>1</v>
      </c>
      <c r="V99" t="s">
        <v>1364</v>
      </c>
      <c r="X99" t="s">
        <v>569</v>
      </c>
      <c r="Y99" t="s">
        <v>1694</v>
      </c>
      <c r="Z99" t="s">
        <v>1695</v>
      </c>
      <c r="AA99" t="s">
        <v>1696</v>
      </c>
      <c r="AB99" t="s">
        <v>1697</v>
      </c>
      <c r="AC99" t="s">
        <v>1698</v>
      </c>
      <c r="AF99" t="s">
        <v>569</v>
      </c>
      <c r="AG99" t="s">
        <v>1372</v>
      </c>
      <c r="AH99" t="s">
        <v>1694</v>
      </c>
      <c r="AK99">
        <v>0</v>
      </c>
      <c r="AO99" t="s">
        <v>1372</v>
      </c>
      <c r="AP99" t="s">
        <v>1373</v>
      </c>
    </row>
    <row r="100" hidden="1" spans="1:42">
      <c r="A100" t="s">
        <v>1859</v>
      </c>
      <c r="B100" t="s">
        <v>1356</v>
      </c>
      <c r="C100" t="s">
        <v>1375</v>
      </c>
      <c r="D100" t="s">
        <v>1358</v>
      </c>
      <c r="F100" t="s">
        <v>1377</v>
      </c>
      <c r="G100" s="45">
        <v>44808.9230555556</v>
      </c>
      <c r="H100" s="45">
        <v>44808.9231944444</v>
      </c>
      <c r="J100" t="s">
        <v>407</v>
      </c>
      <c r="M100">
        <v>19.9</v>
      </c>
      <c r="N100">
        <v>0</v>
      </c>
      <c r="O100">
        <v>0</v>
      </c>
      <c r="P100">
        <v>0</v>
      </c>
      <c r="Q100">
        <v>19.9</v>
      </c>
      <c r="R100">
        <v>19.9</v>
      </c>
      <c r="T100" t="s">
        <v>1845</v>
      </c>
      <c r="U100">
        <v>1</v>
      </c>
      <c r="V100" t="s">
        <v>1364</v>
      </c>
      <c r="X100" t="s">
        <v>477</v>
      </c>
      <c r="Y100" t="s">
        <v>1793</v>
      </c>
      <c r="Z100" t="s">
        <v>1794</v>
      </c>
      <c r="AA100" t="s">
        <v>1795</v>
      </c>
      <c r="AB100" t="s">
        <v>1796</v>
      </c>
      <c r="AC100" t="s">
        <v>1860</v>
      </c>
      <c r="AF100" t="s">
        <v>1798</v>
      </c>
      <c r="AG100" t="s">
        <v>1372</v>
      </c>
      <c r="AK100">
        <v>0</v>
      </c>
      <c r="AO100" t="s">
        <v>1372</v>
      </c>
      <c r="AP100" t="s">
        <v>1373</v>
      </c>
    </row>
    <row r="101" hidden="1" spans="1:42">
      <c r="A101" t="s">
        <v>1861</v>
      </c>
      <c r="B101" t="s">
        <v>1356</v>
      </c>
      <c r="C101" t="s">
        <v>1375</v>
      </c>
      <c r="D101" t="s">
        <v>1358</v>
      </c>
      <c r="F101" t="s">
        <v>1377</v>
      </c>
      <c r="G101" s="45">
        <v>44808.9143518519</v>
      </c>
      <c r="H101" s="45">
        <v>44808.9144560185</v>
      </c>
      <c r="J101" t="s">
        <v>407</v>
      </c>
      <c r="M101">
        <v>249</v>
      </c>
      <c r="N101">
        <v>0</v>
      </c>
      <c r="O101">
        <v>0</v>
      </c>
      <c r="P101">
        <v>0</v>
      </c>
      <c r="Q101">
        <v>249</v>
      </c>
      <c r="R101">
        <v>249</v>
      </c>
      <c r="T101" t="s">
        <v>1862</v>
      </c>
      <c r="U101">
        <v>1</v>
      </c>
      <c r="V101" t="s">
        <v>1364</v>
      </c>
      <c r="X101" t="s">
        <v>445</v>
      </c>
      <c r="Y101" t="s">
        <v>1863</v>
      </c>
      <c r="Z101" t="s">
        <v>1794</v>
      </c>
      <c r="AA101" t="s">
        <v>1795</v>
      </c>
      <c r="AB101" t="s">
        <v>1864</v>
      </c>
      <c r="AC101" t="s">
        <v>1865</v>
      </c>
      <c r="AF101" t="s">
        <v>445</v>
      </c>
      <c r="AG101" t="s">
        <v>1385</v>
      </c>
      <c r="AH101" t="s">
        <v>1863</v>
      </c>
      <c r="AK101">
        <v>0</v>
      </c>
      <c r="AO101" t="s">
        <v>1372</v>
      </c>
      <c r="AP101" t="s">
        <v>1373</v>
      </c>
    </row>
    <row r="102" hidden="1" spans="1:42">
      <c r="A102" t="s">
        <v>1866</v>
      </c>
      <c r="B102" t="s">
        <v>1356</v>
      </c>
      <c r="C102" t="s">
        <v>1375</v>
      </c>
      <c r="D102" t="s">
        <v>1358</v>
      </c>
      <c r="F102" t="s">
        <v>1377</v>
      </c>
      <c r="G102" s="45">
        <v>44808.9137384259</v>
      </c>
      <c r="H102" s="45">
        <v>44808.9138888889</v>
      </c>
      <c r="J102" t="s">
        <v>407</v>
      </c>
      <c r="M102">
        <v>249</v>
      </c>
      <c r="N102">
        <v>0</v>
      </c>
      <c r="O102">
        <v>0</v>
      </c>
      <c r="P102">
        <v>0</v>
      </c>
      <c r="Q102">
        <v>249</v>
      </c>
      <c r="R102">
        <v>249</v>
      </c>
      <c r="T102" t="s">
        <v>1867</v>
      </c>
      <c r="U102">
        <v>1</v>
      </c>
      <c r="V102" t="s">
        <v>1364</v>
      </c>
      <c r="X102" t="s">
        <v>440</v>
      </c>
      <c r="Y102" t="s">
        <v>1846</v>
      </c>
      <c r="Z102" t="s">
        <v>1367</v>
      </c>
      <c r="AA102" t="s">
        <v>1551</v>
      </c>
      <c r="AB102" t="s">
        <v>1647</v>
      </c>
      <c r="AC102" t="s">
        <v>1847</v>
      </c>
      <c r="AF102" t="s">
        <v>1848</v>
      </c>
      <c r="AG102" t="s">
        <v>1372</v>
      </c>
      <c r="AH102" t="s">
        <v>1846</v>
      </c>
      <c r="AJ102" t="s">
        <v>1649</v>
      </c>
      <c r="AK102">
        <v>0</v>
      </c>
      <c r="AO102" t="s">
        <v>1372</v>
      </c>
      <c r="AP102" t="s">
        <v>1373</v>
      </c>
    </row>
    <row r="103" hidden="1" spans="1:42">
      <c r="A103" t="s">
        <v>1868</v>
      </c>
      <c r="B103" t="s">
        <v>1356</v>
      </c>
      <c r="C103" t="s">
        <v>1375</v>
      </c>
      <c r="D103" t="s">
        <v>1358</v>
      </c>
      <c r="F103" t="s">
        <v>1377</v>
      </c>
      <c r="G103" s="45">
        <v>44808.9135648148</v>
      </c>
      <c r="H103" s="45">
        <v>44808.9136689815</v>
      </c>
      <c r="J103" t="s">
        <v>407</v>
      </c>
      <c r="M103">
        <v>249</v>
      </c>
      <c r="N103">
        <v>0</v>
      </c>
      <c r="O103">
        <v>0</v>
      </c>
      <c r="P103">
        <v>0</v>
      </c>
      <c r="Q103">
        <v>249</v>
      </c>
      <c r="R103">
        <v>249</v>
      </c>
      <c r="T103" t="s">
        <v>1862</v>
      </c>
      <c r="U103">
        <v>1</v>
      </c>
      <c r="V103" t="s">
        <v>1364</v>
      </c>
      <c r="X103" t="s">
        <v>441</v>
      </c>
      <c r="Y103" t="s">
        <v>1840</v>
      </c>
      <c r="Z103" t="s">
        <v>1824</v>
      </c>
      <c r="AA103" t="s">
        <v>1841</v>
      </c>
      <c r="AB103" t="s">
        <v>1842</v>
      </c>
      <c r="AC103" t="s">
        <v>1843</v>
      </c>
      <c r="AF103" t="s">
        <v>441</v>
      </c>
      <c r="AG103" t="s">
        <v>1372</v>
      </c>
      <c r="AH103" t="s">
        <v>1840</v>
      </c>
      <c r="AJ103" t="s">
        <v>1649</v>
      </c>
      <c r="AK103">
        <v>0</v>
      </c>
      <c r="AO103" t="s">
        <v>1372</v>
      </c>
      <c r="AP103" t="s">
        <v>1373</v>
      </c>
    </row>
    <row r="104" hidden="1" spans="1:42">
      <c r="A104" t="s">
        <v>1869</v>
      </c>
      <c r="B104" t="s">
        <v>1356</v>
      </c>
      <c r="C104" t="s">
        <v>1375</v>
      </c>
      <c r="D104" t="s">
        <v>1358</v>
      </c>
      <c r="F104" t="s">
        <v>1377</v>
      </c>
      <c r="G104" s="45">
        <v>44808.9134375</v>
      </c>
      <c r="H104" s="45">
        <v>44808.9140625</v>
      </c>
      <c r="J104" t="s">
        <v>407</v>
      </c>
      <c r="M104">
        <v>249</v>
      </c>
      <c r="N104">
        <v>0</v>
      </c>
      <c r="O104">
        <v>-2</v>
      </c>
      <c r="P104">
        <v>0</v>
      </c>
      <c r="Q104">
        <v>247</v>
      </c>
      <c r="R104">
        <v>247</v>
      </c>
      <c r="S104" t="s">
        <v>1400</v>
      </c>
      <c r="T104" t="s">
        <v>1870</v>
      </c>
      <c r="U104">
        <v>1</v>
      </c>
      <c r="V104" t="s">
        <v>1364</v>
      </c>
      <c r="X104" t="s">
        <v>380</v>
      </c>
      <c r="Y104" t="s">
        <v>1465</v>
      </c>
      <c r="Z104" t="s">
        <v>1466</v>
      </c>
      <c r="AA104" t="s">
        <v>1467</v>
      </c>
      <c r="AB104" t="s">
        <v>1468</v>
      </c>
      <c r="AC104" t="s">
        <v>1469</v>
      </c>
      <c r="AF104" t="s">
        <v>1470</v>
      </c>
      <c r="AG104" t="s">
        <v>1372</v>
      </c>
      <c r="AH104" t="s">
        <v>1465</v>
      </c>
      <c r="AK104">
        <v>0</v>
      </c>
      <c r="AO104" t="s">
        <v>1372</v>
      </c>
      <c r="AP104" t="s">
        <v>1373</v>
      </c>
    </row>
    <row r="105" hidden="1" spans="1:42">
      <c r="A105" t="s">
        <v>1871</v>
      </c>
      <c r="B105" t="s">
        <v>1356</v>
      </c>
      <c r="C105" t="s">
        <v>1375</v>
      </c>
      <c r="D105" t="s">
        <v>1358</v>
      </c>
      <c r="F105" t="s">
        <v>1377</v>
      </c>
      <c r="G105" s="45">
        <v>44808.9133796296</v>
      </c>
      <c r="H105" s="45">
        <v>44808.9134722222</v>
      </c>
      <c r="J105" t="s">
        <v>407</v>
      </c>
      <c r="M105">
        <v>249</v>
      </c>
      <c r="N105">
        <v>0</v>
      </c>
      <c r="O105">
        <v>-2</v>
      </c>
      <c r="P105">
        <v>0</v>
      </c>
      <c r="Q105">
        <v>247</v>
      </c>
      <c r="R105">
        <v>247</v>
      </c>
      <c r="S105" t="s">
        <v>1400</v>
      </c>
      <c r="T105" t="s">
        <v>1872</v>
      </c>
      <c r="U105">
        <v>1</v>
      </c>
      <c r="V105" t="s">
        <v>1364</v>
      </c>
      <c r="X105" t="s">
        <v>402</v>
      </c>
      <c r="Y105" t="s">
        <v>1532</v>
      </c>
      <c r="Z105" t="s">
        <v>1533</v>
      </c>
      <c r="AA105" t="s">
        <v>1534</v>
      </c>
      <c r="AB105" t="s">
        <v>1535</v>
      </c>
      <c r="AC105" t="s">
        <v>1536</v>
      </c>
      <c r="AF105" t="s">
        <v>1537</v>
      </c>
      <c r="AG105" t="s">
        <v>1372</v>
      </c>
      <c r="AK105">
        <v>0</v>
      </c>
      <c r="AO105" t="s">
        <v>1372</v>
      </c>
      <c r="AP105" t="s">
        <v>1373</v>
      </c>
    </row>
    <row r="106" hidden="1" spans="1:42">
      <c r="A106" t="s">
        <v>1873</v>
      </c>
      <c r="B106" t="s">
        <v>1356</v>
      </c>
      <c r="C106" t="s">
        <v>1375</v>
      </c>
      <c r="D106" t="s">
        <v>1376</v>
      </c>
      <c r="F106" t="s">
        <v>1377</v>
      </c>
      <c r="G106" s="45">
        <v>44808.9107523148</v>
      </c>
      <c r="M106">
        <v>39.9</v>
      </c>
      <c r="N106">
        <v>0</v>
      </c>
      <c r="O106">
        <v>-1</v>
      </c>
      <c r="P106">
        <v>0</v>
      </c>
      <c r="Q106">
        <v>38.9</v>
      </c>
      <c r="R106">
        <v>0</v>
      </c>
      <c r="S106" t="s">
        <v>1414</v>
      </c>
      <c r="T106" t="s">
        <v>1874</v>
      </c>
      <c r="U106">
        <v>1</v>
      </c>
      <c r="V106" t="s">
        <v>1364</v>
      </c>
      <c r="X106" t="s">
        <v>498</v>
      </c>
      <c r="Y106" t="s">
        <v>1875</v>
      </c>
      <c r="Z106" t="s">
        <v>1695</v>
      </c>
      <c r="AA106" t="s">
        <v>1876</v>
      </c>
      <c r="AB106" t="s">
        <v>1877</v>
      </c>
      <c r="AC106" t="s">
        <v>1878</v>
      </c>
      <c r="AF106" t="s">
        <v>1879</v>
      </c>
      <c r="AG106" t="s">
        <v>1372</v>
      </c>
      <c r="AH106" t="s">
        <v>1880</v>
      </c>
      <c r="AK106">
        <v>0</v>
      </c>
      <c r="AO106" t="s">
        <v>1372</v>
      </c>
      <c r="AP106" t="s">
        <v>1373</v>
      </c>
    </row>
    <row r="107" hidden="1" spans="1:42">
      <c r="A107" t="s">
        <v>1881</v>
      </c>
      <c r="B107" t="s">
        <v>1356</v>
      </c>
      <c r="C107" t="s">
        <v>1375</v>
      </c>
      <c r="D107" t="s">
        <v>1376</v>
      </c>
      <c r="F107" t="s">
        <v>1377</v>
      </c>
      <c r="G107" s="45">
        <v>44808.9101736111</v>
      </c>
      <c r="M107">
        <v>39.9</v>
      </c>
      <c r="N107">
        <v>0</v>
      </c>
      <c r="O107">
        <v>0</v>
      </c>
      <c r="P107">
        <v>0</v>
      </c>
      <c r="Q107">
        <v>39.9</v>
      </c>
      <c r="R107">
        <v>0</v>
      </c>
      <c r="T107" t="s">
        <v>1882</v>
      </c>
      <c r="U107">
        <v>1</v>
      </c>
      <c r="V107" t="s">
        <v>1364</v>
      </c>
      <c r="X107" t="s">
        <v>1883</v>
      </c>
      <c r="Y107" t="s">
        <v>1884</v>
      </c>
      <c r="Z107" t="s">
        <v>1466</v>
      </c>
      <c r="AA107" t="s">
        <v>1885</v>
      </c>
      <c r="AB107" t="s">
        <v>1886</v>
      </c>
      <c r="AC107" t="s">
        <v>1887</v>
      </c>
      <c r="AF107" t="s">
        <v>1888</v>
      </c>
      <c r="AG107" t="s">
        <v>1372</v>
      </c>
      <c r="AH107" t="s">
        <v>1884</v>
      </c>
      <c r="AK107">
        <v>0</v>
      </c>
      <c r="AO107" t="s">
        <v>1372</v>
      </c>
      <c r="AP107" t="s">
        <v>1373</v>
      </c>
    </row>
    <row r="108" hidden="1" spans="1:42">
      <c r="A108" t="s">
        <v>1889</v>
      </c>
      <c r="B108" t="s">
        <v>1356</v>
      </c>
      <c r="C108" t="s">
        <v>1375</v>
      </c>
      <c r="D108" t="s">
        <v>1358</v>
      </c>
      <c r="F108" t="s">
        <v>1548</v>
      </c>
      <c r="G108" s="45">
        <v>44808.909837963</v>
      </c>
      <c r="H108" s="45">
        <v>44808.9099768518</v>
      </c>
      <c r="J108" t="s">
        <v>407</v>
      </c>
      <c r="M108">
        <v>249</v>
      </c>
      <c r="N108">
        <v>0</v>
      </c>
      <c r="O108">
        <v>0</v>
      </c>
      <c r="P108">
        <v>0</v>
      </c>
      <c r="Q108">
        <v>249</v>
      </c>
      <c r="R108">
        <v>249</v>
      </c>
      <c r="T108" t="s">
        <v>1890</v>
      </c>
      <c r="U108">
        <v>1</v>
      </c>
      <c r="V108" t="s">
        <v>1364</v>
      </c>
      <c r="X108" t="s">
        <v>446</v>
      </c>
      <c r="Y108" t="s">
        <v>1891</v>
      </c>
      <c r="Z108" t="s">
        <v>1678</v>
      </c>
      <c r="AA108" t="s">
        <v>1892</v>
      </c>
      <c r="AB108" t="s">
        <v>1893</v>
      </c>
      <c r="AC108" t="s">
        <v>1894</v>
      </c>
      <c r="AF108" t="s">
        <v>1895</v>
      </c>
      <c r="AG108" t="s">
        <v>1372</v>
      </c>
      <c r="AK108">
        <v>0</v>
      </c>
      <c r="AO108" t="s">
        <v>1372</v>
      </c>
      <c r="AP108" t="s">
        <v>1373</v>
      </c>
    </row>
    <row r="109" hidden="1" spans="1:42">
      <c r="A109" t="s">
        <v>1896</v>
      </c>
      <c r="B109" t="s">
        <v>1356</v>
      </c>
      <c r="C109" t="s">
        <v>1375</v>
      </c>
      <c r="D109" t="s">
        <v>1358</v>
      </c>
      <c r="F109" t="s">
        <v>1377</v>
      </c>
      <c r="G109" s="45">
        <v>44808.9096064815</v>
      </c>
      <c r="H109" s="45">
        <v>44808.9097106481</v>
      </c>
      <c r="J109" t="s">
        <v>407</v>
      </c>
      <c r="M109">
        <v>39.9</v>
      </c>
      <c r="N109">
        <v>0</v>
      </c>
      <c r="O109">
        <v>-3</v>
      </c>
      <c r="P109">
        <v>0</v>
      </c>
      <c r="Q109">
        <v>36.9</v>
      </c>
      <c r="R109">
        <v>36.9</v>
      </c>
      <c r="S109" t="s">
        <v>1397</v>
      </c>
      <c r="T109" t="s">
        <v>1897</v>
      </c>
      <c r="U109">
        <v>1</v>
      </c>
      <c r="V109" t="s">
        <v>1364</v>
      </c>
      <c r="X109" t="s">
        <v>485</v>
      </c>
      <c r="Y109" t="s">
        <v>1898</v>
      </c>
      <c r="Z109" t="s">
        <v>1367</v>
      </c>
      <c r="AA109" t="s">
        <v>1899</v>
      </c>
      <c r="AB109" t="s">
        <v>1900</v>
      </c>
      <c r="AC109" t="s">
        <v>1901</v>
      </c>
      <c r="AF109" t="s">
        <v>1902</v>
      </c>
      <c r="AG109" t="s">
        <v>1385</v>
      </c>
      <c r="AH109" t="s">
        <v>1898</v>
      </c>
      <c r="AK109">
        <v>0</v>
      </c>
      <c r="AO109" t="s">
        <v>1372</v>
      </c>
      <c r="AP109" t="s">
        <v>1373</v>
      </c>
    </row>
    <row r="110" hidden="1" spans="1:42">
      <c r="A110" t="s">
        <v>1903</v>
      </c>
      <c r="B110" t="s">
        <v>1356</v>
      </c>
      <c r="C110" t="s">
        <v>1375</v>
      </c>
      <c r="D110" t="s">
        <v>1376</v>
      </c>
      <c r="F110" t="s">
        <v>1377</v>
      </c>
      <c r="G110" s="45">
        <v>44808.9069907407</v>
      </c>
      <c r="M110">
        <v>249</v>
      </c>
      <c r="N110">
        <v>0</v>
      </c>
      <c r="O110">
        <v>-1</v>
      </c>
      <c r="P110">
        <v>0</v>
      </c>
      <c r="Q110">
        <v>248</v>
      </c>
      <c r="R110">
        <v>0</v>
      </c>
      <c r="S110" t="s">
        <v>1414</v>
      </c>
      <c r="T110" t="s">
        <v>1867</v>
      </c>
      <c r="U110">
        <v>1</v>
      </c>
      <c r="V110" t="s">
        <v>1364</v>
      </c>
      <c r="X110" t="s">
        <v>445</v>
      </c>
      <c r="Y110" t="s">
        <v>1863</v>
      </c>
      <c r="Z110" t="s">
        <v>1794</v>
      </c>
      <c r="AA110" t="s">
        <v>1795</v>
      </c>
      <c r="AB110" t="s">
        <v>1864</v>
      </c>
      <c r="AC110" t="s">
        <v>1865</v>
      </c>
      <c r="AF110" t="s">
        <v>445</v>
      </c>
      <c r="AG110" t="s">
        <v>1385</v>
      </c>
      <c r="AH110" t="s">
        <v>1863</v>
      </c>
      <c r="AK110">
        <v>0</v>
      </c>
      <c r="AO110" t="s">
        <v>1372</v>
      </c>
      <c r="AP110" t="s">
        <v>1373</v>
      </c>
    </row>
    <row r="111" hidden="1" spans="1:42">
      <c r="A111" t="s">
        <v>1904</v>
      </c>
      <c r="B111" t="s">
        <v>1356</v>
      </c>
      <c r="C111" t="s">
        <v>1375</v>
      </c>
      <c r="D111" t="s">
        <v>1376</v>
      </c>
      <c r="F111" t="s">
        <v>1548</v>
      </c>
      <c r="G111" s="45">
        <v>44808.9064814815</v>
      </c>
      <c r="M111">
        <v>249</v>
      </c>
      <c r="N111">
        <v>0</v>
      </c>
      <c r="O111">
        <v>0</v>
      </c>
      <c r="P111">
        <v>0</v>
      </c>
      <c r="Q111">
        <v>249</v>
      </c>
      <c r="R111">
        <v>0</v>
      </c>
      <c r="T111" t="s">
        <v>1890</v>
      </c>
      <c r="U111">
        <v>1</v>
      </c>
      <c r="V111" t="s">
        <v>1364</v>
      </c>
      <c r="X111" t="s">
        <v>446</v>
      </c>
      <c r="Y111" t="s">
        <v>1891</v>
      </c>
      <c r="Z111" t="s">
        <v>1678</v>
      </c>
      <c r="AA111" t="s">
        <v>1892</v>
      </c>
      <c r="AB111" t="s">
        <v>1893</v>
      </c>
      <c r="AC111" t="s">
        <v>1894</v>
      </c>
      <c r="AF111" t="s">
        <v>1895</v>
      </c>
      <c r="AG111" t="s">
        <v>1372</v>
      </c>
      <c r="AK111">
        <v>0</v>
      </c>
      <c r="AO111" t="s">
        <v>1372</v>
      </c>
      <c r="AP111" t="s">
        <v>1373</v>
      </c>
    </row>
    <row r="112" hidden="1" spans="1:42">
      <c r="A112" t="s">
        <v>1905</v>
      </c>
      <c r="B112" t="s">
        <v>1356</v>
      </c>
      <c r="C112" t="s">
        <v>1375</v>
      </c>
      <c r="D112" t="s">
        <v>1376</v>
      </c>
      <c r="F112" t="s">
        <v>1377</v>
      </c>
      <c r="G112" s="45">
        <v>44808.9054861111</v>
      </c>
      <c r="M112">
        <v>99</v>
      </c>
      <c r="N112">
        <v>0</v>
      </c>
      <c r="O112">
        <v>0</v>
      </c>
      <c r="P112">
        <v>0</v>
      </c>
      <c r="Q112">
        <v>99</v>
      </c>
      <c r="R112">
        <v>0</v>
      </c>
      <c r="T112" t="s">
        <v>1676</v>
      </c>
      <c r="U112">
        <v>1</v>
      </c>
      <c r="V112" t="s">
        <v>1364</v>
      </c>
      <c r="X112" t="s">
        <v>510</v>
      </c>
      <c r="Y112" t="s">
        <v>1823</v>
      </c>
      <c r="Z112" t="s">
        <v>1824</v>
      </c>
      <c r="AA112" t="s">
        <v>1825</v>
      </c>
      <c r="AB112" t="s">
        <v>1826</v>
      </c>
      <c r="AC112" t="s">
        <v>1827</v>
      </c>
      <c r="AF112" t="s">
        <v>1828</v>
      </c>
      <c r="AG112" t="s">
        <v>1372</v>
      </c>
      <c r="AH112" t="s">
        <v>1829</v>
      </c>
      <c r="AK112">
        <v>0</v>
      </c>
      <c r="AO112" t="s">
        <v>1372</v>
      </c>
      <c r="AP112" t="s">
        <v>1373</v>
      </c>
    </row>
    <row r="113" hidden="1" spans="1:42">
      <c r="A113" t="s">
        <v>1906</v>
      </c>
      <c r="B113" t="s">
        <v>1356</v>
      </c>
      <c r="C113" t="s">
        <v>1375</v>
      </c>
      <c r="D113" t="s">
        <v>1358</v>
      </c>
      <c r="F113" t="s">
        <v>1377</v>
      </c>
      <c r="G113" s="45">
        <v>44808.9049884259</v>
      </c>
      <c r="H113" s="45">
        <v>44808.9059259259</v>
      </c>
      <c r="J113" t="s">
        <v>407</v>
      </c>
      <c r="M113">
        <v>39.9</v>
      </c>
      <c r="N113">
        <v>0</v>
      </c>
      <c r="O113">
        <v>0</v>
      </c>
      <c r="P113">
        <v>0</v>
      </c>
      <c r="Q113">
        <v>39.9</v>
      </c>
      <c r="R113">
        <v>39.9</v>
      </c>
      <c r="T113" t="s">
        <v>1907</v>
      </c>
      <c r="U113">
        <v>1</v>
      </c>
      <c r="V113" t="s">
        <v>1364</v>
      </c>
      <c r="X113" t="s">
        <v>508</v>
      </c>
      <c r="Y113" t="s">
        <v>1908</v>
      </c>
      <c r="Z113" t="s">
        <v>1678</v>
      </c>
      <c r="AA113" t="s">
        <v>1679</v>
      </c>
      <c r="AB113" t="s">
        <v>1909</v>
      </c>
      <c r="AC113" t="s">
        <v>1910</v>
      </c>
      <c r="AF113" t="s">
        <v>508</v>
      </c>
      <c r="AG113" t="s">
        <v>1372</v>
      </c>
      <c r="AH113" t="s">
        <v>1908</v>
      </c>
      <c r="AK113">
        <v>0</v>
      </c>
      <c r="AO113" t="s">
        <v>1372</v>
      </c>
      <c r="AP113" t="s">
        <v>1373</v>
      </c>
    </row>
    <row r="114" hidden="1" spans="1:42">
      <c r="A114" t="s">
        <v>1911</v>
      </c>
      <c r="B114" t="s">
        <v>1356</v>
      </c>
      <c r="C114" t="s">
        <v>1375</v>
      </c>
      <c r="D114" t="s">
        <v>1358</v>
      </c>
      <c r="F114" t="s">
        <v>1377</v>
      </c>
      <c r="G114" s="45">
        <v>44808.9040162037</v>
      </c>
      <c r="H114" s="45">
        <v>44808.9041087963</v>
      </c>
      <c r="J114" t="s">
        <v>407</v>
      </c>
      <c r="M114">
        <v>39.9</v>
      </c>
      <c r="N114">
        <v>0</v>
      </c>
      <c r="O114">
        <v>-3</v>
      </c>
      <c r="P114">
        <v>0</v>
      </c>
      <c r="Q114">
        <v>36.9</v>
      </c>
      <c r="R114">
        <v>36.9</v>
      </c>
      <c r="S114" t="s">
        <v>1397</v>
      </c>
      <c r="T114" t="s">
        <v>1907</v>
      </c>
      <c r="U114">
        <v>1</v>
      </c>
      <c r="V114" t="s">
        <v>1364</v>
      </c>
      <c r="X114" t="s">
        <v>496</v>
      </c>
      <c r="Y114" t="s">
        <v>1652</v>
      </c>
      <c r="Z114" t="s">
        <v>1380</v>
      </c>
      <c r="AA114" t="s">
        <v>1506</v>
      </c>
      <c r="AB114" t="s">
        <v>1653</v>
      </c>
      <c r="AC114" t="s">
        <v>1654</v>
      </c>
      <c r="AF114" t="s">
        <v>1655</v>
      </c>
      <c r="AG114" t="s">
        <v>1372</v>
      </c>
      <c r="AH114" t="s">
        <v>1652</v>
      </c>
      <c r="AK114">
        <v>0</v>
      </c>
      <c r="AO114" t="s">
        <v>1372</v>
      </c>
      <c r="AP114" t="s">
        <v>1373</v>
      </c>
    </row>
    <row r="115" hidden="1" spans="1:42">
      <c r="A115" t="s">
        <v>1912</v>
      </c>
      <c r="B115" t="s">
        <v>1356</v>
      </c>
      <c r="C115" t="s">
        <v>1375</v>
      </c>
      <c r="D115" t="s">
        <v>1358</v>
      </c>
      <c r="F115" t="s">
        <v>1377</v>
      </c>
      <c r="G115" s="45">
        <v>44808.90375</v>
      </c>
      <c r="H115" s="45">
        <v>44808.9040740741</v>
      </c>
      <c r="J115" t="s">
        <v>407</v>
      </c>
      <c r="M115">
        <v>39.9</v>
      </c>
      <c r="N115">
        <v>0</v>
      </c>
      <c r="O115">
        <v>-3</v>
      </c>
      <c r="P115">
        <v>0</v>
      </c>
      <c r="Q115">
        <v>36.9</v>
      </c>
      <c r="R115">
        <v>36.9</v>
      </c>
      <c r="S115" t="s">
        <v>1397</v>
      </c>
      <c r="T115" t="s">
        <v>1913</v>
      </c>
      <c r="U115">
        <v>1</v>
      </c>
      <c r="V115" t="s">
        <v>1364</v>
      </c>
      <c r="X115" t="s">
        <v>380</v>
      </c>
      <c r="Y115" t="s">
        <v>1465</v>
      </c>
      <c r="Z115" t="s">
        <v>1466</v>
      </c>
      <c r="AA115" t="s">
        <v>1467</v>
      </c>
      <c r="AB115" t="s">
        <v>1468</v>
      </c>
      <c r="AC115" t="s">
        <v>1469</v>
      </c>
      <c r="AF115" t="s">
        <v>1470</v>
      </c>
      <c r="AG115" t="s">
        <v>1372</v>
      </c>
      <c r="AH115" t="s">
        <v>1465</v>
      </c>
      <c r="AK115">
        <v>0</v>
      </c>
      <c r="AO115" t="s">
        <v>1372</v>
      </c>
      <c r="AP115" t="s">
        <v>1373</v>
      </c>
    </row>
    <row r="116" hidden="1" spans="1:42">
      <c r="A116" t="s">
        <v>1914</v>
      </c>
      <c r="B116" t="s">
        <v>1356</v>
      </c>
      <c r="C116" t="s">
        <v>1357</v>
      </c>
      <c r="D116" t="s">
        <v>1358</v>
      </c>
      <c r="F116" t="s">
        <v>1359</v>
      </c>
      <c r="G116" s="45">
        <v>44808.9030902778</v>
      </c>
      <c r="H116" s="45">
        <v>44808.9032638889</v>
      </c>
      <c r="J116" t="s">
        <v>1360</v>
      </c>
      <c r="K116" t="s">
        <v>1915</v>
      </c>
      <c r="L116" t="s">
        <v>1916</v>
      </c>
      <c r="M116">
        <v>69</v>
      </c>
      <c r="N116">
        <v>0</v>
      </c>
      <c r="O116">
        <v>0</v>
      </c>
      <c r="P116">
        <v>0</v>
      </c>
      <c r="Q116">
        <v>69</v>
      </c>
      <c r="R116">
        <v>69</v>
      </c>
      <c r="T116" t="s">
        <v>1669</v>
      </c>
      <c r="U116">
        <v>1</v>
      </c>
      <c r="V116" t="s">
        <v>1364</v>
      </c>
      <c r="X116" t="s">
        <v>1917</v>
      </c>
      <c r="Y116" t="s">
        <v>1918</v>
      </c>
      <c r="Z116" t="s">
        <v>1466</v>
      </c>
      <c r="AA116" t="s">
        <v>1919</v>
      </c>
      <c r="AB116" t="s">
        <v>1920</v>
      </c>
      <c r="AC116" t="s">
        <v>1921</v>
      </c>
      <c r="AF116" t="s">
        <v>1922</v>
      </c>
      <c r="AG116" t="s">
        <v>1372</v>
      </c>
      <c r="AH116" t="s">
        <v>1923</v>
      </c>
      <c r="AK116">
        <v>0</v>
      </c>
      <c r="AO116" t="s">
        <v>1372</v>
      </c>
      <c r="AP116" t="s">
        <v>1373</v>
      </c>
    </row>
    <row r="117" hidden="1" spans="1:42">
      <c r="A117" t="s">
        <v>1924</v>
      </c>
      <c r="B117" t="s">
        <v>1356</v>
      </c>
      <c r="C117" t="s">
        <v>1357</v>
      </c>
      <c r="D117" t="s">
        <v>1358</v>
      </c>
      <c r="F117" t="s">
        <v>1359</v>
      </c>
      <c r="G117" s="45">
        <v>44808.9028587963</v>
      </c>
      <c r="H117" s="45">
        <v>44808.9082407407</v>
      </c>
      <c r="J117" t="s">
        <v>1360</v>
      </c>
      <c r="K117" t="s">
        <v>1925</v>
      </c>
      <c r="L117" t="s">
        <v>1926</v>
      </c>
      <c r="M117">
        <v>59</v>
      </c>
      <c r="N117">
        <v>0</v>
      </c>
      <c r="O117">
        <v>0</v>
      </c>
      <c r="P117">
        <v>0</v>
      </c>
      <c r="Q117">
        <v>59</v>
      </c>
      <c r="R117">
        <v>59</v>
      </c>
      <c r="T117" t="s">
        <v>1685</v>
      </c>
      <c r="U117">
        <v>1</v>
      </c>
      <c r="V117" t="s">
        <v>1364</v>
      </c>
      <c r="X117" t="s">
        <v>1927</v>
      </c>
      <c r="Y117" t="s">
        <v>1928</v>
      </c>
      <c r="Z117" t="s">
        <v>1367</v>
      </c>
      <c r="AA117" t="s">
        <v>1615</v>
      </c>
      <c r="AB117" t="s">
        <v>1929</v>
      </c>
      <c r="AC117" t="s">
        <v>1930</v>
      </c>
      <c r="AF117" t="s">
        <v>1931</v>
      </c>
      <c r="AG117" t="s">
        <v>1372</v>
      </c>
      <c r="AH117" t="s">
        <v>1928</v>
      </c>
      <c r="AK117">
        <v>0</v>
      </c>
      <c r="AO117" t="s">
        <v>1372</v>
      </c>
      <c r="AP117" t="s">
        <v>1373</v>
      </c>
    </row>
    <row r="118" hidden="1" spans="1:42">
      <c r="A118" t="s">
        <v>1932</v>
      </c>
      <c r="B118" t="s">
        <v>1356</v>
      </c>
      <c r="C118" t="s">
        <v>1375</v>
      </c>
      <c r="D118" t="s">
        <v>1376</v>
      </c>
      <c r="F118" t="s">
        <v>1377</v>
      </c>
      <c r="G118" s="45">
        <v>44808.9016782407</v>
      </c>
      <c r="M118">
        <v>69</v>
      </c>
      <c r="N118">
        <v>0</v>
      </c>
      <c r="O118">
        <v>0</v>
      </c>
      <c r="P118">
        <v>0</v>
      </c>
      <c r="Q118">
        <v>69</v>
      </c>
      <c r="R118">
        <v>0</v>
      </c>
      <c r="T118" t="s">
        <v>1540</v>
      </c>
      <c r="U118">
        <v>1</v>
      </c>
      <c r="V118" t="s">
        <v>1364</v>
      </c>
      <c r="X118" t="s">
        <v>394</v>
      </c>
      <c r="Y118" t="s">
        <v>1933</v>
      </c>
      <c r="Z118" t="s">
        <v>1678</v>
      </c>
      <c r="AA118" t="s">
        <v>1934</v>
      </c>
      <c r="AB118" t="s">
        <v>1935</v>
      </c>
      <c r="AC118" t="s">
        <v>1936</v>
      </c>
      <c r="AF118" t="s">
        <v>1937</v>
      </c>
      <c r="AG118" t="s">
        <v>1372</v>
      </c>
      <c r="AK118">
        <v>0</v>
      </c>
      <c r="AO118" t="s">
        <v>1372</v>
      </c>
      <c r="AP118" t="s">
        <v>1373</v>
      </c>
    </row>
    <row r="119" hidden="1" spans="1:42">
      <c r="A119" t="s">
        <v>1938</v>
      </c>
      <c r="B119" t="s">
        <v>1356</v>
      </c>
      <c r="C119" t="s">
        <v>1375</v>
      </c>
      <c r="D119" t="s">
        <v>1358</v>
      </c>
      <c r="F119" t="s">
        <v>1377</v>
      </c>
      <c r="G119" s="45">
        <v>44808.9014930556</v>
      </c>
      <c r="H119" s="45">
        <v>44808.9018402778</v>
      </c>
      <c r="J119" t="s">
        <v>407</v>
      </c>
      <c r="M119">
        <v>69</v>
      </c>
      <c r="N119">
        <v>0</v>
      </c>
      <c r="O119">
        <v>0</v>
      </c>
      <c r="P119">
        <v>0</v>
      </c>
      <c r="Q119">
        <v>69</v>
      </c>
      <c r="R119">
        <v>69</v>
      </c>
      <c r="T119" t="s">
        <v>1527</v>
      </c>
      <c r="U119">
        <v>1</v>
      </c>
      <c r="V119" t="s">
        <v>1364</v>
      </c>
      <c r="X119" t="s">
        <v>498</v>
      </c>
      <c r="Y119" t="s">
        <v>1875</v>
      </c>
      <c r="Z119" t="s">
        <v>1695</v>
      </c>
      <c r="AA119" t="s">
        <v>1876</v>
      </c>
      <c r="AB119" t="s">
        <v>1877</v>
      </c>
      <c r="AC119" t="s">
        <v>1878</v>
      </c>
      <c r="AF119" t="s">
        <v>1879</v>
      </c>
      <c r="AG119" t="s">
        <v>1372</v>
      </c>
      <c r="AH119" t="s">
        <v>1880</v>
      </c>
      <c r="AJ119" t="s">
        <v>1649</v>
      </c>
      <c r="AK119">
        <v>0</v>
      </c>
      <c r="AO119" t="s">
        <v>1372</v>
      </c>
      <c r="AP119" t="s">
        <v>1373</v>
      </c>
    </row>
    <row r="120" hidden="1" spans="1:42">
      <c r="A120" t="s">
        <v>1939</v>
      </c>
      <c r="B120" t="s">
        <v>1356</v>
      </c>
      <c r="C120" t="s">
        <v>1375</v>
      </c>
      <c r="D120" t="s">
        <v>1358</v>
      </c>
      <c r="F120" t="s">
        <v>1377</v>
      </c>
      <c r="G120" s="45">
        <v>44808.9009953704</v>
      </c>
      <c r="H120" s="45">
        <v>44808.9011111111</v>
      </c>
      <c r="J120" t="s">
        <v>407</v>
      </c>
      <c r="M120">
        <v>19.9</v>
      </c>
      <c r="N120">
        <v>0</v>
      </c>
      <c r="O120">
        <v>0</v>
      </c>
      <c r="P120">
        <v>0</v>
      </c>
      <c r="Q120">
        <v>19.9</v>
      </c>
      <c r="R120">
        <v>19.9</v>
      </c>
      <c r="T120" t="s">
        <v>1940</v>
      </c>
      <c r="U120">
        <v>1</v>
      </c>
      <c r="V120" t="s">
        <v>1364</v>
      </c>
      <c r="X120" t="s">
        <v>496</v>
      </c>
      <c r="Y120" t="s">
        <v>1652</v>
      </c>
      <c r="Z120" t="s">
        <v>1380</v>
      </c>
      <c r="AA120" t="s">
        <v>1506</v>
      </c>
      <c r="AB120" t="s">
        <v>1653</v>
      </c>
      <c r="AC120" t="s">
        <v>1654</v>
      </c>
      <c r="AF120" t="s">
        <v>1655</v>
      </c>
      <c r="AG120" t="s">
        <v>1372</v>
      </c>
      <c r="AH120" t="s">
        <v>1652</v>
      </c>
      <c r="AK120">
        <v>0</v>
      </c>
      <c r="AO120" t="s">
        <v>1372</v>
      </c>
      <c r="AP120" t="s">
        <v>1373</v>
      </c>
    </row>
    <row r="121" hidden="1" spans="1:42">
      <c r="A121" t="s">
        <v>1941</v>
      </c>
      <c r="B121" t="s">
        <v>1356</v>
      </c>
      <c r="C121" t="s">
        <v>1375</v>
      </c>
      <c r="D121" t="s">
        <v>1358</v>
      </c>
      <c r="F121" t="s">
        <v>1377</v>
      </c>
      <c r="G121" s="45">
        <v>44808.9009837963</v>
      </c>
      <c r="H121" s="45">
        <v>44808.9011574074</v>
      </c>
      <c r="J121" t="s">
        <v>407</v>
      </c>
      <c r="M121">
        <v>19.9</v>
      </c>
      <c r="N121">
        <v>0</v>
      </c>
      <c r="O121">
        <v>0</v>
      </c>
      <c r="P121">
        <v>0</v>
      </c>
      <c r="Q121">
        <v>19.9</v>
      </c>
      <c r="R121">
        <v>19.9</v>
      </c>
      <c r="T121" t="s">
        <v>1527</v>
      </c>
      <c r="U121">
        <v>1</v>
      </c>
      <c r="V121" t="s">
        <v>1364</v>
      </c>
      <c r="X121" t="s">
        <v>580</v>
      </c>
      <c r="Y121" t="s">
        <v>1942</v>
      </c>
      <c r="Z121" t="s">
        <v>1367</v>
      </c>
      <c r="AA121" t="s">
        <v>1943</v>
      </c>
      <c r="AB121" t="s">
        <v>1944</v>
      </c>
      <c r="AC121" t="s">
        <v>1945</v>
      </c>
      <c r="AF121" t="s">
        <v>1946</v>
      </c>
      <c r="AG121" t="s">
        <v>1372</v>
      </c>
      <c r="AK121">
        <v>0</v>
      </c>
      <c r="AO121" t="s">
        <v>1372</v>
      </c>
      <c r="AP121" t="s">
        <v>1373</v>
      </c>
    </row>
    <row r="122" hidden="1" spans="1:42">
      <c r="A122" t="s">
        <v>1947</v>
      </c>
      <c r="B122" t="s">
        <v>1356</v>
      </c>
      <c r="C122" t="s">
        <v>1375</v>
      </c>
      <c r="D122" t="s">
        <v>1358</v>
      </c>
      <c r="F122" t="s">
        <v>1377</v>
      </c>
      <c r="G122" s="45">
        <v>44808.9009027778</v>
      </c>
      <c r="H122" s="45">
        <v>44808.9010300926</v>
      </c>
      <c r="J122" t="s">
        <v>407</v>
      </c>
      <c r="M122">
        <v>19.9</v>
      </c>
      <c r="N122">
        <v>0</v>
      </c>
      <c r="O122">
        <v>0</v>
      </c>
      <c r="P122">
        <v>0</v>
      </c>
      <c r="Q122">
        <v>19.9</v>
      </c>
      <c r="R122">
        <v>19.9</v>
      </c>
      <c r="T122" t="s">
        <v>1831</v>
      </c>
      <c r="U122">
        <v>1</v>
      </c>
      <c r="V122" t="s">
        <v>1364</v>
      </c>
      <c r="X122" t="s">
        <v>613</v>
      </c>
      <c r="Y122" t="s">
        <v>1948</v>
      </c>
      <c r="Z122" t="s">
        <v>1466</v>
      </c>
      <c r="AA122" t="s">
        <v>1885</v>
      </c>
      <c r="AB122" t="s">
        <v>1949</v>
      </c>
      <c r="AC122" t="s">
        <v>1950</v>
      </c>
      <c r="AF122" t="s">
        <v>1951</v>
      </c>
      <c r="AG122" t="s">
        <v>1372</v>
      </c>
      <c r="AK122">
        <v>0</v>
      </c>
      <c r="AO122" t="s">
        <v>1372</v>
      </c>
      <c r="AP122" t="s">
        <v>1373</v>
      </c>
    </row>
    <row r="123" hidden="1" spans="1:42">
      <c r="A123" t="s">
        <v>1952</v>
      </c>
      <c r="B123" t="s">
        <v>1356</v>
      </c>
      <c r="C123" t="s">
        <v>1357</v>
      </c>
      <c r="D123" t="s">
        <v>1358</v>
      </c>
      <c r="F123" t="s">
        <v>1359</v>
      </c>
      <c r="G123" s="45">
        <v>44808.900787037</v>
      </c>
      <c r="H123" s="45">
        <v>44808.9008912037</v>
      </c>
      <c r="J123" t="s">
        <v>1360</v>
      </c>
      <c r="K123" t="s">
        <v>1953</v>
      </c>
      <c r="L123" t="s">
        <v>1954</v>
      </c>
      <c r="M123">
        <v>59</v>
      </c>
      <c r="N123">
        <v>0</v>
      </c>
      <c r="O123">
        <v>0</v>
      </c>
      <c r="P123">
        <v>0</v>
      </c>
      <c r="Q123">
        <v>59</v>
      </c>
      <c r="R123">
        <v>59</v>
      </c>
      <c r="T123" t="s">
        <v>1955</v>
      </c>
      <c r="U123">
        <v>1</v>
      </c>
      <c r="V123" t="s">
        <v>1364</v>
      </c>
      <c r="X123" t="s">
        <v>1956</v>
      </c>
      <c r="Y123" t="s">
        <v>1957</v>
      </c>
      <c r="Z123" t="s">
        <v>1367</v>
      </c>
      <c r="AA123" t="s">
        <v>1368</v>
      </c>
      <c r="AB123" t="s">
        <v>1958</v>
      </c>
      <c r="AC123" t="s">
        <v>1959</v>
      </c>
      <c r="AF123" t="s">
        <v>1960</v>
      </c>
      <c r="AG123" t="s">
        <v>1385</v>
      </c>
      <c r="AH123" t="s">
        <v>1957</v>
      </c>
      <c r="AK123">
        <v>0</v>
      </c>
      <c r="AO123" t="s">
        <v>1372</v>
      </c>
      <c r="AP123" t="s">
        <v>1373</v>
      </c>
    </row>
    <row r="124" hidden="1" spans="1:42">
      <c r="A124" t="s">
        <v>1961</v>
      </c>
      <c r="B124" t="s">
        <v>1356</v>
      </c>
      <c r="C124" t="s">
        <v>1375</v>
      </c>
      <c r="D124" t="s">
        <v>1358</v>
      </c>
      <c r="F124" t="s">
        <v>1377</v>
      </c>
      <c r="G124" s="45">
        <v>44808.900625</v>
      </c>
      <c r="H124" s="45">
        <v>44808.9008217593</v>
      </c>
      <c r="J124" t="s">
        <v>407</v>
      </c>
      <c r="M124">
        <v>19.9</v>
      </c>
      <c r="N124">
        <v>0</v>
      </c>
      <c r="O124">
        <v>0</v>
      </c>
      <c r="P124">
        <v>0</v>
      </c>
      <c r="Q124">
        <v>19.9</v>
      </c>
      <c r="R124">
        <v>19.9</v>
      </c>
      <c r="T124" t="s">
        <v>1540</v>
      </c>
      <c r="U124">
        <v>1</v>
      </c>
      <c r="V124" t="s">
        <v>1364</v>
      </c>
      <c r="X124" t="s">
        <v>510</v>
      </c>
      <c r="Y124" t="s">
        <v>1823</v>
      </c>
      <c r="Z124" t="s">
        <v>1824</v>
      </c>
      <c r="AA124" t="s">
        <v>1825</v>
      </c>
      <c r="AB124" t="s">
        <v>1826</v>
      </c>
      <c r="AC124" t="s">
        <v>1827</v>
      </c>
      <c r="AF124" t="s">
        <v>1828</v>
      </c>
      <c r="AG124" t="s">
        <v>1372</v>
      </c>
      <c r="AH124" t="s">
        <v>1829</v>
      </c>
      <c r="AK124">
        <v>0</v>
      </c>
      <c r="AO124" t="s">
        <v>1372</v>
      </c>
      <c r="AP124" t="s">
        <v>1373</v>
      </c>
    </row>
    <row r="125" hidden="1" spans="1:42">
      <c r="A125" t="s">
        <v>1962</v>
      </c>
      <c r="B125" t="s">
        <v>1356</v>
      </c>
      <c r="C125" t="s">
        <v>1375</v>
      </c>
      <c r="D125" t="s">
        <v>1358</v>
      </c>
      <c r="F125" t="s">
        <v>1377</v>
      </c>
      <c r="G125" s="45">
        <v>44808.900625</v>
      </c>
      <c r="H125" s="45">
        <v>44808.9008912037</v>
      </c>
      <c r="J125" t="s">
        <v>407</v>
      </c>
      <c r="M125">
        <v>19.9</v>
      </c>
      <c r="N125">
        <v>0</v>
      </c>
      <c r="O125">
        <v>0</v>
      </c>
      <c r="P125">
        <v>0</v>
      </c>
      <c r="Q125">
        <v>19.9</v>
      </c>
      <c r="R125">
        <v>19.9</v>
      </c>
      <c r="T125" t="s">
        <v>1940</v>
      </c>
      <c r="U125">
        <v>1</v>
      </c>
      <c r="V125" t="s">
        <v>1364</v>
      </c>
      <c r="X125" t="s">
        <v>508</v>
      </c>
      <c r="Y125" t="s">
        <v>1908</v>
      </c>
      <c r="Z125" t="s">
        <v>1678</v>
      </c>
      <c r="AA125" t="s">
        <v>1679</v>
      </c>
      <c r="AB125" t="s">
        <v>1909</v>
      </c>
      <c r="AC125" t="s">
        <v>1910</v>
      </c>
      <c r="AF125" t="s">
        <v>508</v>
      </c>
      <c r="AG125" t="s">
        <v>1372</v>
      </c>
      <c r="AH125" t="s">
        <v>1908</v>
      </c>
      <c r="AK125">
        <v>0</v>
      </c>
      <c r="AO125" t="s">
        <v>1372</v>
      </c>
      <c r="AP125" t="s">
        <v>1373</v>
      </c>
    </row>
    <row r="126" hidden="1" spans="1:42">
      <c r="A126" t="s">
        <v>1963</v>
      </c>
      <c r="B126" t="s">
        <v>1356</v>
      </c>
      <c r="C126" t="s">
        <v>1375</v>
      </c>
      <c r="D126" t="s">
        <v>1358</v>
      </c>
      <c r="F126" t="s">
        <v>1377</v>
      </c>
      <c r="G126" s="45">
        <v>44808.9000925926</v>
      </c>
      <c r="H126" s="45">
        <v>44808.9003240741</v>
      </c>
      <c r="J126" t="s">
        <v>407</v>
      </c>
      <c r="M126">
        <v>19.9</v>
      </c>
      <c r="N126">
        <v>0</v>
      </c>
      <c r="O126">
        <v>0</v>
      </c>
      <c r="P126">
        <v>0</v>
      </c>
      <c r="Q126">
        <v>19.9</v>
      </c>
      <c r="R126">
        <v>19.9</v>
      </c>
      <c r="T126" t="s">
        <v>1733</v>
      </c>
      <c r="U126">
        <v>1</v>
      </c>
      <c r="V126" t="s">
        <v>1364</v>
      </c>
      <c r="X126" t="s">
        <v>544</v>
      </c>
      <c r="Y126" t="s">
        <v>1964</v>
      </c>
      <c r="Z126" t="s">
        <v>1430</v>
      </c>
      <c r="AA126" t="s">
        <v>1965</v>
      </c>
      <c r="AB126" t="s">
        <v>1966</v>
      </c>
      <c r="AC126" t="s">
        <v>1967</v>
      </c>
      <c r="AF126" t="s">
        <v>1968</v>
      </c>
      <c r="AG126" t="s">
        <v>1372</v>
      </c>
      <c r="AK126">
        <v>0</v>
      </c>
      <c r="AO126" t="s">
        <v>1372</v>
      </c>
      <c r="AP126" t="s">
        <v>1373</v>
      </c>
    </row>
    <row r="127" hidden="1" spans="1:42">
      <c r="A127" t="s">
        <v>1969</v>
      </c>
      <c r="B127" t="s">
        <v>1356</v>
      </c>
      <c r="C127" t="s">
        <v>1375</v>
      </c>
      <c r="D127" t="s">
        <v>1358</v>
      </c>
      <c r="F127" t="s">
        <v>1377</v>
      </c>
      <c r="G127" s="45">
        <v>44808.9001041667</v>
      </c>
      <c r="H127" s="45">
        <v>44808.9002430556</v>
      </c>
      <c r="J127" t="s">
        <v>407</v>
      </c>
      <c r="M127">
        <v>19.9</v>
      </c>
      <c r="N127">
        <v>0</v>
      </c>
      <c r="O127">
        <v>0</v>
      </c>
      <c r="P127">
        <v>0</v>
      </c>
      <c r="Q127">
        <v>19.9</v>
      </c>
      <c r="R127">
        <v>19.9</v>
      </c>
      <c r="T127" t="s">
        <v>1540</v>
      </c>
      <c r="U127">
        <v>1</v>
      </c>
      <c r="V127" t="s">
        <v>1364</v>
      </c>
      <c r="X127" t="s">
        <v>496</v>
      </c>
      <c r="Y127" t="s">
        <v>1652</v>
      </c>
      <c r="Z127" t="s">
        <v>1380</v>
      </c>
      <c r="AA127" t="s">
        <v>1506</v>
      </c>
      <c r="AB127" t="s">
        <v>1653</v>
      </c>
      <c r="AC127" t="s">
        <v>1654</v>
      </c>
      <c r="AF127" t="s">
        <v>1655</v>
      </c>
      <c r="AG127" t="s">
        <v>1372</v>
      </c>
      <c r="AH127" t="s">
        <v>1652</v>
      </c>
      <c r="AK127">
        <v>0</v>
      </c>
      <c r="AO127" t="s">
        <v>1372</v>
      </c>
      <c r="AP127" t="s">
        <v>1373</v>
      </c>
    </row>
    <row r="128" hidden="1" spans="1:42">
      <c r="A128" t="s">
        <v>1970</v>
      </c>
      <c r="B128" t="s">
        <v>1356</v>
      </c>
      <c r="C128" t="s">
        <v>1375</v>
      </c>
      <c r="D128" t="s">
        <v>1358</v>
      </c>
      <c r="F128" t="s">
        <v>1377</v>
      </c>
      <c r="G128" s="45">
        <v>44808.8999189815</v>
      </c>
      <c r="H128" s="45">
        <v>44808.9000231481</v>
      </c>
      <c r="J128" t="s">
        <v>407</v>
      </c>
      <c r="M128">
        <v>19.9</v>
      </c>
      <c r="N128">
        <v>0</v>
      </c>
      <c r="O128">
        <v>0</v>
      </c>
      <c r="P128">
        <v>0</v>
      </c>
      <c r="Q128">
        <v>19.9</v>
      </c>
      <c r="R128">
        <v>19.9</v>
      </c>
      <c r="T128" t="s">
        <v>1845</v>
      </c>
      <c r="U128">
        <v>1</v>
      </c>
      <c r="V128" t="s">
        <v>1364</v>
      </c>
      <c r="X128" t="s">
        <v>602</v>
      </c>
      <c r="Y128" t="s">
        <v>1971</v>
      </c>
      <c r="Z128" t="s">
        <v>1478</v>
      </c>
      <c r="AA128" t="s">
        <v>1972</v>
      </c>
      <c r="AB128" t="s">
        <v>1973</v>
      </c>
      <c r="AC128" t="s">
        <v>1974</v>
      </c>
      <c r="AF128" t="s">
        <v>1975</v>
      </c>
      <c r="AG128" t="s">
        <v>1385</v>
      </c>
      <c r="AH128" t="s">
        <v>1971</v>
      </c>
      <c r="AJ128" t="s">
        <v>1649</v>
      </c>
      <c r="AK128">
        <v>0</v>
      </c>
      <c r="AO128" t="s">
        <v>1372</v>
      </c>
      <c r="AP128" t="s">
        <v>1373</v>
      </c>
    </row>
    <row r="129" hidden="1" spans="1:42">
      <c r="A129" t="s">
        <v>1976</v>
      </c>
      <c r="B129" t="s">
        <v>1356</v>
      </c>
      <c r="C129" t="s">
        <v>1375</v>
      </c>
      <c r="D129" t="s">
        <v>1358</v>
      </c>
      <c r="F129" t="s">
        <v>1377</v>
      </c>
      <c r="G129" s="45">
        <v>44808.899837963</v>
      </c>
      <c r="H129" s="45">
        <v>44808.8999884259</v>
      </c>
      <c r="J129" t="s">
        <v>407</v>
      </c>
      <c r="M129">
        <v>19.9</v>
      </c>
      <c r="N129">
        <v>0</v>
      </c>
      <c r="O129">
        <v>0</v>
      </c>
      <c r="P129">
        <v>0</v>
      </c>
      <c r="Q129">
        <v>19.9</v>
      </c>
      <c r="R129">
        <v>19.9</v>
      </c>
      <c r="T129" t="s">
        <v>1529</v>
      </c>
      <c r="U129">
        <v>1</v>
      </c>
      <c r="V129" t="s">
        <v>1364</v>
      </c>
      <c r="X129" t="s">
        <v>432</v>
      </c>
      <c r="Y129" t="s">
        <v>1771</v>
      </c>
      <c r="Z129" t="s">
        <v>1447</v>
      </c>
      <c r="AA129" t="s">
        <v>1448</v>
      </c>
      <c r="AB129" t="s">
        <v>1772</v>
      </c>
      <c r="AC129" t="s">
        <v>1773</v>
      </c>
      <c r="AF129" t="s">
        <v>432</v>
      </c>
      <c r="AG129" t="s">
        <v>1372</v>
      </c>
      <c r="AH129" t="s">
        <v>1774</v>
      </c>
      <c r="AK129">
        <v>0</v>
      </c>
      <c r="AO129" t="s">
        <v>1372</v>
      </c>
      <c r="AP129" t="s">
        <v>1373</v>
      </c>
    </row>
    <row r="130" hidden="1" spans="1:42">
      <c r="A130" t="s">
        <v>1977</v>
      </c>
      <c r="B130" t="s">
        <v>1356</v>
      </c>
      <c r="C130" t="s">
        <v>1375</v>
      </c>
      <c r="D130" t="s">
        <v>1358</v>
      </c>
      <c r="F130" t="s">
        <v>1377</v>
      </c>
      <c r="G130" s="45">
        <v>44808.899525463</v>
      </c>
      <c r="H130" s="45">
        <v>44808.8996296296</v>
      </c>
      <c r="J130" t="s">
        <v>407</v>
      </c>
      <c r="M130">
        <v>19.9</v>
      </c>
      <c r="N130">
        <v>0</v>
      </c>
      <c r="O130">
        <v>0</v>
      </c>
      <c r="P130">
        <v>0</v>
      </c>
      <c r="Q130">
        <v>19.9</v>
      </c>
      <c r="R130">
        <v>19.9</v>
      </c>
      <c r="T130" t="s">
        <v>1845</v>
      </c>
      <c r="U130">
        <v>1</v>
      </c>
      <c r="V130" t="s">
        <v>1364</v>
      </c>
      <c r="X130" t="s">
        <v>515</v>
      </c>
      <c r="Y130" t="s">
        <v>1978</v>
      </c>
      <c r="Z130" t="s">
        <v>1678</v>
      </c>
      <c r="AA130" t="s">
        <v>1979</v>
      </c>
      <c r="AB130" t="s">
        <v>1980</v>
      </c>
      <c r="AC130" t="s">
        <v>1981</v>
      </c>
      <c r="AF130" t="s">
        <v>1982</v>
      </c>
      <c r="AG130" t="s">
        <v>1385</v>
      </c>
      <c r="AH130" t="s">
        <v>1978</v>
      </c>
      <c r="AK130">
        <v>0</v>
      </c>
      <c r="AO130" t="s">
        <v>1372</v>
      </c>
      <c r="AP130" t="s">
        <v>1373</v>
      </c>
    </row>
    <row r="131" hidden="1" spans="1:42">
      <c r="A131" t="s">
        <v>1983</v>
      </c>
      <c r="B131" t="s">
        <v>1356</v>
      </c>
      <c r="C131" t="s">
        <v>1375</v>
      </c>
      <c r="D131" t="s">
        <v>1358</v>
      </c>
      <c r="F131" t="s">
        <v>1377</v>
      </c>
      <c r="G131" s="45">
        <v>44808.897037037</v>
      </c>
      <c r="H131" s="45">
        <v>44808.8972800926</v>
      </c>
      <c r="J131" t="s">
        <v>407</v>
      </c>
      <c r="M131">
        <v>249</v>
      </c>
      <c r="N131">
        <v>0</v>
      </c>
      <c r="O131">
        <v>-1</v>
      </c>
      <c r="P131">
        <v>0</v>
      </c>
      <c r="Q131">
        <v>248</v>
      </c>
      <c r="R131">
        <v>248</v>
      </c>
      <c r="S131" t="s">
        <v>1414</v>
      </c>
      <c r="T131" t="s">
        <v>1984</v>
      </c>
      <c r="U131">
        <v>1</v>
      </c>
      <c r="V131" t="s">
        <v>1364</v>
      </c>
      <c r="X131" t="s">
        <v>432</v>
      </c>
      <c r="Y131" t="s">
        <v>1771</v>
      </c>
      <c r="Z131" t="s">
        <v>1447</v>
      </c>
      <c r="AA131" t="s">
        <v>1448</v>
      </c>
      <c r="AB131" t="s">
        <v>1772</v>
      </c>
      <c r="AC131" t="s">
        <v>1773</v>
      </c>
      <c r="AF131" t="s">
        <v>432</v>
      </c>
      <c r="AG131" t="s">
        <v>1372</v>
      </c>
      <c r="AH131" t="s">
        <v>1774</v>
      </c>
      <c r="AK131">
        <v>0</v>
      </c>
      <c r="AO131" t="s">
        <v>1372</v>
      </c>
      <c r="AP131" t="s">
        <v>1373</v>
      </c>
    </row>
    <row r="132" hidden="1" spans="1:42">
      <c r="A132" t="s">
        <v>1985</v>
      </c>
      <c r="B132" t="s">
        <v>1356</v>
      </c>
      <c r="C132" t="s">
        <v>1375</v>
      </c>
      <c r="D132" t="s">
        <v>1358</v>
      </c>
      <c r="F132" t="s">
        <v>1377</v>
      </c>
      <c r="G132" s="45">
        <v>44808.8961921296</v>
      </c>
      <c r="H132" s="45">
        <v>44808.8962847222</v>
      </c>
      <c r="J132" t="s">
        <v>407</v>
      </c>
      <c r="M132">
        <v>249</v>
      </c>
      <c r="N132">
        <v>0</v>
      </c>
      <c r="O132">
        <v>0</v>
      </c>
      <c r="P132">
        <v>0</v>
      </c>
      <c r="Q132">
        <v>249</v>
      </c>
      <c r="R132">
        <v>249</v>
      </c>
      <c r="T132" t="s">
        <v>1986</v>
      </c>
      <c r="U132">
        <v>1</v>
      </c>
      <c r="V132" t="s">
        <v>1364</v>
      </c>
      <c r="X132" t="s">
        <v>443</v>
      </c>
      <c r="Y132" t="s">
        <v>1987</v>
      </c>
      <c r="Z132" t="s">
        <v>1804</v>
      </c>
      <c r="AA132" t="s">
        <v>1988</v>
      </c>
      <c r="AB132" t="s">
        <v>1989</v>
      </c>
      <c r="AC132" t="s">
        <v>1990</v>
      </c>
      <c r="AF132" t="s">
        <v>1991</v>
      </c>
      <c r="AG132" t="s">
        <v>1372</v>
      </c>
      <c r="AK132">
        <v>0</v>
      </c>
      <c r="AO132" t="s">
        <v>1372</v>
      </c>
      <c r="AP132" t="s">
        <v>1373</v>
      </c>
    </row>
    <row r="133" hidden="1" spans="1:42">
      <c r="A133" t="s">
        <v>1992</v>
      </c>
      <c r="B133" t="s">
        <v>1356</v>
      </c>
      <c r="C133" t="s">
        <v>1375</v>
      </c>
      <c r="D133" t="s">
        <v>1358</v>
      </c>
      <c r="F133" t="s">
        <v>1359</v>
      </c>
      <c r="G133" s="45">
        <v>44808.8956712963</v>
      </c>
      <c r="H133" s="45">
        <v>44808.8957523148</v>
      </c>
      <c r="J133" t="s">
        <v>1360</v>
      </c>
      <c r="K133" t="s">
        <v>1993</v>
      </c>
      <c r="L133" t="s">
        <v>1994</v>
      </c>
      <c r="M133">
        <v>74.88</v>
      </c>
      <c r="N133">
        <v>0</v>
      </c>
      <c r="O133">
        <v>-3</v>
      </c>
      <c r="P133">
        <v>0</v>
      </c>
      <c r="Q133">
        <v>71.88</v>
      </c>
      <c r="R133">
        <v>71.88</v>
      </c>
      <c r="S133" t="s">
        <v>1397</v>
      </c>
      <c r="T133" t="s">
        <v>1995</v>
      </c>
      <c r="U133">
        <v>1</v>
      </c>
      <c r="V133" t="s">
        <v>1364</v>
      </c>
      <c r="X133" t="s">
        <v>1996</v>
      </c>
      <c r="Y133" t="s">
        <v>1997</v>
      </c>
      <c r="Z133" t="s">
        <v>1466</v>
      </c>
      <c r="AA133" t="s">
        <v>1919</v>
      </c>
      <c r="AB133" t="s">
        <v>1998</v>
      </c>
      <c r="AC133" t="s">
        <v>1999</v>
      </c>
      <c r="AF133" t="s">
        <v>2000</v>
      </c>
      <c r="AG133" t="s">
        <v>1385</v>
      </c>
      <c r="AH133" t="s">
        <v>1997</v>
      </c>
      <c r="AK133">
        <v>0</v>
      </c>
      <c r="AO133" t="s">
        <v>1372</v>
      </c>
      <c r="AP133" t="s">
        <v>1373</v>
      </c>
    </row>
    <row r="134" hidden="1" spans="1:42">
      <c r="A134" t="s">
        <v>2001</v>
      </c>
      <c r="B134" t="s">
        <v>1356</v>
      </c>
      <c r="C134" t="s">
        <v>1357</v>
      </c>
      <c r="D134" t="s">
        <v>1358</v>
      </c>
      <c r="F134" t="s">
        <v>1359</v>
      </c>
      <c r="G134" s="45">
        <v>44808.8956134259</v>
      </c>
      <c r="H134" s="45">
        <v>44808.8957060185</v>
      </c>
      <c r="J134" t="s">
        <v>1360</v>
      </c>
      <c r="K134" t="s">
        <v>2002</v>
      </c>
      <c r="L134" t="s">
        <v>2003</v>
      </c>
      <c r="M134">
        <v>29</v>
      </c>
      <c r="N134">
        <v>0</v>
      </c>
      <c r="O134">
        <v>0</v>
      </c>
      <c r="P134">
        <v>0</v>
      </c>
      <c r="Q134">
        <v>29</v>
      </c>
      <c r="R134">
        <v>29</v>
      </c>
      <c r="T134" t="s">
        <v>2004</v>
      </c>
      <c r="U134">
        <v>1</v>
      </c>
      <c r="V134" t="s">
        <v>1364</v>
      </c>
      <c r="X134" t="s">
        <v>2005</v>
      </c>
      <c r="Y134" t="s">
        <v>2006</v>
      </c>
      <c r="Z134" t="s">
        <v>1678</v>
      </c>
      <c r="AA134" t="s">
        <v>2007</v>
      </c>
      <c r="AB134" t="s">
        <v>2008</v>
      </c>
      <c r="AC134" t="s">
        <v>2009</v>
      </c>
      <c r="AF134" t="s">
        <v>2010</v>
      </c>
      <c r="AG134" t="s">
        <v>1372</v>
      </c>
      <c r="AH134" t="s">
        <v>2006</v>
      </c>
      <c r="AK134">
        <v>0</v>
      </c>
      <c r="AO134" t="s">
        <v>1372</v>
      </c>
      <c r="AP134" t="s">
        <v>1373</v>
      </c>
    </row>
    <row r="135" hidden="1" spans="1:42">
      <c r="A135" t="s">
        <v>2011</v>
      </c>
      <c r="B135" t="s">
        <v>1356</v>
      </c>
      <c r="C135" t="s">
        <v>1375</v>
      </c>
      <c r="D135" t="s">
        <v>1358</v>
      </c>
      <c r="F135" t="s">
        <v>1377</v>
      </c>
      <c r="G135" s="45">
        <v>44808.8923611111</v>
      </c>
      <c r="H135" s="45">
        <v>44808.8929050926</v>
      </c>
      <c r="J135" t="s">
        <v>407</v>
      </c>
      <c r="M135">
        <v>99</v>
      </c>
      <c r="N135">
        <v>0</v>
      </c>
      <c r="O135">
        <v>-5</v>
      </c>
      <c r="P135">
        <v>0</v>
      </c>
      <c r="Q135">
        <v>94</v>
      </c>
      <c r="R135">
        <v>94</v>
      </c>
      <c r="S135" t="s">
        <v>1422</v>
      </c>
      <c r="T135" t="s">
        <v>2012</v>
      </c>
      <c r="U135">
        <v>1</v>
      </c>
      <c r="V135" t="s">
        <v>1364</v>
      </c>
      <c r="X135" t="s">
        <v>434</v>
      </c>
      <c r="Y135" t="s">
        <v>2013</v>
      </c>
      <c r="Z135" t="s">
        <v>1466</v>
      </c>
      <c r="AA135" t="s">
        <v>1835</v>
      </c>
      <c r="AB135" t="s">
        <v>1836</v>
      </c>
      <c r="AC135" t="s">
        <v>2014</v>
      </c>
      <c r="AF135" t="s">
        <v>2015</v>
      </c>
      <c r="AG135" t="s">
        <v>1372</v>
      </c>
      <c r="AH135" t="s">
        <v>2016</v>
      </c>
      <c r="AK135">
        <v>0</v>
      </c>
      <c r="AO135" t="s">
        <v>1372</v>
      </c>
      <c r="AP135" t="s">
        <v>1373</v>
      </c>
    </row>
    <row r="136" hidden="1" spans="1:42">
      <c r="A136" t="s">
        <v>2017</v>
      </c>
      <c r="B136" t="s">
        <v>1356</v>
      </c>
      <c r="C136" t="s">
        <v>1375</v>
      </c>
      <c r="D136" t="s">
        <v>1358</v>
      </c>
      <c r="F136" t="s">
        <v>1359</v>
      </c>
      <c r="G136" s="45">
        <v>44808.8913541667</v>
      </c>
      <c r="H136" s="45">
        <v>44808.8918518519</v>
      </c>
      <c r="J136" t="s">
        <v>1360</v>
      </c>
      <c r="K136" t="s">
        <v>2018</v>
      </c>
      <c r="L136" t="s">
        <v>2019</v>
      </c>
      <c r="M136">
        <v>19.9</v>
      </c>
      <c r="N136">
        <v>0</v>
      </c>
      <c r="O136">
        <v>0</v>
      </c>
      <c r="P136">
        <v>0</v>
      </c>
      <c r="Q136">
        <v>19.9</v>
      </c>
      <c r="R136">
        <v>19.9</v>
      </c>
      <c r="T136" t="s">
        <v>1578</v>
      </c>
      <c r="U136">
        <v>1</v>
      </c>
      <c r="V136" t="s">
        <v>1364</v>
      </c>
      <c r="X136" t="s">
        <v>2020</v>
      </c>
      <c r="Y136" t="s">
        <v>2021</v>
      </c>
      <c r="Z136" t="s">
        <v>1367</v>
      </c>
      <c r="AA136" t="s">
        <v>1899</v>
      </c>
      <c r="AB136" t="s">
        <v>2022</v>
      </c>
      <c r="AC136" t="s">
        <v>2023</v>
      </c>
      <c r="AF136" t="s">
        <v>2024</v>
      </c>
      <c r="AG136" t="s">
        <v>1372</v>
      </c>
      <c r="AH136" t="s">
        <v>2025</v>
      </c>
      <c r="AK136">
        <v>0</v>
      </c>
      <c r="AO136" t="s">
        <v>1372</v>
      </c>
      <c r="AP136" t="s">
        <v>1373</v>
      </c>
    </row>
    <row r="137" hidden="1" spans="1:42">
      <c r="A137" t="s">
        <v>2026</v>
      </c>
      <c r="B137" t="s">
        <v>1356</v>
      </c>
      <c r="C137" t="s">
        <v>1375</v>
      </c>
      <c r="D137" t="s">
        <v>1376</v>
      </c>
      <c r="F137" t="s">
        <v>1377</v>
      </c>
      <c r="G137" s="45">
        <v>44808.8889351852</v>
      </c>
      <c r="M137">
        <v>99</v>
      </c>
      <c r="N137">
        <v>0</v>
      </c>
      <c r="O137">
        <v>0</v>
      </c>
      <c r="P137">
        <v>0</v>
      </c>
      <c r="Q137">
        <v>99</v>
      </c>
      <c r="R137">
        <v>0</v>
      </c>
      <c r="T137" t="s">
        <v>1651</v>
      </c>
      <c r="U137">
        <v>1</v>
      </c>
      <c r="V137" t="s">
        <v>1364</v>
      </c>
      <c r="X137" t="s">
        <v>606</v>
      </c>
      <c r="Y137" t="s">
        <v>2027</v>
      </c>
      <c r="Z137" t="s">
        <v>2028</v>
      </c>
      <c r="AA137" t="s">
        <v>2029</v>
      </c>
      <c r="AB137" t="s">
        <v>2030</v>
      </c>
      <c r="AC137" t="s">
        <v>2031</v>
      </c>
      <c r="AF137" t="s">
        <v>2032</v>
      </c>
      <c r="AG137" t="s">
        <v>1372</v>
      </c>
      <c r="AK137">
        <v>0</v>
      </c>
      <c r="AO137" t="s">
        <v>1372</v>
      </c>
      <c r="AP137" t="s">
        <v>1373</v>
      </c>
    </row>
    <row r="138" hidden="1" spans="1:42">
      <c r="A138" t="s">
        <v>2033</v>
      </c>
      <c r="B138" t="s">
        <v>1356</v>
      </c>
      <c r="C138" t="s">
        <v>1375</v>
      </c>
      <c r="D138" t="s">
        <v>1358</v>
      </c>
      <c r="F138" t="s">
        <v>1377</v>
      </c>
      <c r="G138" s="45">
        <v>44808.8885416667</v>
      </c>
      <c r="H138" s="45">
        <v>44808.8890856481</v>
      </c>
      <c r="J138" t="s">
        <v>407</v>
      </c>
      <c r="M138">
        <v>99</v>
      </c>
      <c r="N138">
        <v>0</v>
      </c>
      <c r="O138">
        <v>-5</v>
      </c>
      <c r="P138">
        <v>0</v>
      </c>
      <c r="Q138">
        <v>94</v>
      </c>
      <c r="R138">
        <v>94</v>
      </c>
      <c r="S138" t="s">
        <v>1422</v>
      </c>
      <c r="T138" t="s">
        <v>2034</v>
      </c>
      <c r="U138">
        <v>1</v>
      </c>
      <c r="V138" t="s">
        <v>1364</v>
      </c>
      <c r="X138" t="s">
        <v>429</v>
      </c>
      <c r="Y138" t="s">
        <v>2035</v>
      </c>
      <c r="Z138" t="s">
        <v>1367</v>
      </c>
      <c r="AA138" t="s">
        <v>1943</v>
      </c>
      <c r="AB138" t="s">
        <v>1944</v>
      </c>
      <c r="AC138" t="s">
        <v>2036</v>
      </c>
      <c r="AF138" t="s">
        <v>429</v>
      </c>
      <c r="AG138" t="s">
        <v>1372</v>
      </c>
      <c r="AH138" t="s">
        <v>2035</v>
      </c>
      <c r="AK138">
        <v>0</v>
      </c>
      <c r="AO138" t="s">
        <v>1372</v>
      </c>
      <c r="AP138" t="s">
        <v>1373</v>
      </c>
    </row>
    <row r="139" hidden="1" spans="1:42">
      <c r="A139" t="s">
        <v>2037</v>
      </c>
      <c r="B139" t="s">
        <v>1356</v>
      </c>
      <c r="C139" t="s">
        <v>1375</v>
      </c>
      <c r="D139" t="s">
        <v>1376</v>
      </c>
      <c r="F139" t="s">
        <v>1377</v>
      </c>
      <c r="G139" s="45">
        <v>44808.8872569444</v>
      </c>
      <c r="M139">
        <v>99</v>
      </c>
      <c r="N139">
        <v>0</v>
      </c>
      <c r="O139">
        <v>-1</v>
      </c>
      <c r="P139">
        <v>0</v>
      </c>
      <c r="Q139">
        <v>98</v>
      </c>
      <c r="R139">
        <v>0</v>
      </c>
      <c r="S139" t="s">
        <v>1414</v>
      </c>
      <c r="T139" t="s">
        <v>2034</v>
      </c>
      <c r="U139">
        <v>1</v>
      </c>
      <c r="V139" t="s">
        <v>1364</v>
      </c>
      <c r="X139" t="s">
        <v>551</v>
      </c>
      <c r="Y139" t="s">
        <v>2038</v>
      </c>
      <c r="Z139" t="s">
        <v>1367</v>
      </c>
      <c r="AA139" t="s">
        <v>1943</v>
      </c>
      <c r="AB139" t="s">
        <v>2039</v>
      </c>
      <c r="AC139" t="s">
        <v>2040</v>
      </c>
      <c r="AF139" t="s">
        <v>2041</v>
      </c>
      <c r="AG139" t="s">
        <v>1385</v>
      </c>
      <c r="AH139" t="s">
        <v>2038</v>
      </c>
      <c r="AK139">
        <v>0</v>
      </c>
      <c r="AO139" t="s">
        <v>1372</v>
      </c>
      <c r="AP139" t="s">
        <v>1373</v>
      </c>
    </row>
    <row r="140" hidden="1" spans="1:42">
      <c r="A140" t="s">
        <v>2042</v>
      </c>
      <c r="B140" t="s">
        <v>1356</v>
      </c>
      <c r="C140" t="s">
        <v>1375</v>
      </c>
      <c r="D140" t="s">
        <v>1358</v>
      </c>
      <c r="F140" t="s">
        <v>1377</v>
      </c>
      <c r="G140" s="45">
        <v>44808.8872222222</v>
      </c>
      <c r="H140" s="45">
        <v>44808.8878125</v>
      </c>
      <c r="J140" t="s">
        <v>407</v>
      </c>
      <c r="M140">
        <v>99</v>
      </c>
      <c r="N140">
        <v>0</v>
      </c>
      <c r="O140">
        <v>0</v>
      </c>
      <c r="P140">
        <v>0</v>
      </c>
      <c r="Q140">
        <v>99</v>
      </c>
      <c r="R140">
        <v>99</v>
      </c>
      <c r="T140" t="s">
        <v>2043</v>
      </c>
      <c r="U140">
        <v>1</v>
      </c>
      <c r="V140" t="s">
        <v>1364</v>
      </c>
      <c r="X140" t="s">
        <v>405</v>
      </c>
      <c r="Y140" t="s">
        <v>2044</v>
      </c>
      <c r="Z140" t="s">
        <v>1367</v>
      </c>
      <c r="AA140" t="s">
        <v>1615</v>
      </c>
      <c r="AB140" t="s">
        <v>2045</v>
      </c>
      <c r="AC140" t="s">
        <v>2046</v>
      </c>
      <c r="AF140" t="s">
        <v>2047</v>
      </c>
      <c r="AG140" t="s">
        <v>1372</v>
      </c>
      <c r="AH140" t="s">
        <v>2044</v>
      </c>
      <c r="AK140">
        <v>0</v>
      </c>
      <c r="AO140" t="s">
        <v>1372</v>
      </c>
      <c r="AP140" t="s">
        <v>1373</v>
      </c>
    </row>
    <row r="141" hidden="1" spans="1:42">
      <c r="A141" t="s">
        <v>2048</v>
      </c>
      <c r="B141" t="s">
        <v>1356</v>
      </c>
      <c r="C141" t="s">
        <v>1375</v>
      </c>
      <c r="D141" t="s">
        <v>1358</v>
      </c>
      <c r="F141" t="s">
        <v>1377</v>
      </c>
      <c r="G141" s="45">
        <v>44808.8871527778</v>
      </c>
      <c r="H141" s="45">
        <v>44808.8873842593</v>
      </c>
      <c r="J141" t="s">
        <v>407</v>
      </c>
      <c r="M141">
        <v>99</v>
      </c>
      <c r="N141">
        <v>0</v>
      </c>
      <c r="O141">
        <v>-2</v>
      </c>
      <c r="P141">
        <v>0</v>
      </c>
      <c r="Q141">
        <v>97</v>
      </c>
      <c r="R141">
        <v>97</v>
      </c>
      <c r="S141" t="s">
        <v>1400</v>
      </c>
      <c r="T141" t="s">
        <v>2049</v>
      </c>
      <c r="U141">
        <v>1</v>
      </c>
      <c r="V141" t="s">
        <v>1364</v>
      </c>
      <c r="X141" t="s">
        <v>436</v>
      </c>
      <c r="Y141" t="s">
        <v>1446</v>
      </c>
      <c r="Z141" t="s">
        <v>1447</v>
      </c>
      <c r="AA141" t="s">
        <v>1448</v>
      </c>
      <c r="AB141" t="s">
        <v>1449</v>
      </c>
      <c r="AC141" t="s">
        <v>1450</v>
      </c>
      <c r="AF141" t="s">
        <v>1451</v>
      </c>
      <c r="AG141" t="s">
        <v>1385</v>
      </c>
      <c r="AH141" t="s">
        <v>1446</v>
      </c>
      <c r="AK141">
        <v>0</v>
      </c>
      <c r="AO141" t="s">
        <v>1372</v>
      </c>
      <c r="AP141" t="s">
        <v>1373</v>
      </c>
    </row>
    <row r="142" hidden="1" spans="1:42">
      <c r="A142" t="s">
        <v>2050</v>
      </c>
      <c r="B142" t="s">
        <v>1356</v>
      </c>
      <c r="C142" t="s">
        <v>1357</v>
      </c>
      <c r="D142" t="s">
        <v>1358</v>
      </c>
      <c r="F142" t="s">
        <v>1359</v>
      </c>
      <c r="G142" s="45">
        <v>44808.8871180556</v>
      </c>
      <c r="H142" s="45">
        <v>44808.8872106482</v>
      </c>
      <c r="J142" t="s">
        <v>1360</v>
      </c>
      <c r="K142" t="s">
        <v>2051</v>
      </c>
      <c r="L142" t="s">
        <v>2052</v>
      </c>
      <c r="M142">
        <v>69</v>
      </c>
      <c r="N142">
        <v>0</v>
      </c>
      <c r="O142">
        <v>0</v>
      </c>
      <c r="P142">
        <v>0</v>
      </c>
      <c r="Q142">
        <v>69</v>
      </c>
      <c r="R142">
        <v>69</v>
      </c>
      <c r="T142" t="s">
        <v>1669</v>
      </c>
      <c r="U142">
        <v>1</v>
      </c>
      <c r="V142" t="s">
        <v>1364</v>
      </c>
      <c r="X142" t="s">
        <v>2053</v>
      </c>
      <c r="Y142" t="s">
        <v>2054</v>
      </c>
      <c r="Z142" t="s">
        <v>1678</v>
      </c>
      <c r="AA142" t="s">
        <v>2007</v>
      </c>
      <c r="AB142" t="s">
        <v>2055</v>
      </c>
      <c r="AC142" t="s">
        <v>2056</v>
      </c>
      <c r="AF142" t="s">
        <v>2057</v>
      </c>
      <c r="AG142" t="s">
        <v>1385</v>
      </c>
      <c r="AH142" t="s">
        <v>2054</v>
      </c>
      <c r="AK142">
        <v>0</v>
      </c>
      <c r="AO142" t="s">
        <v>1372</v>
      </c>
      <c r="AP142" t="s">
        <v>1373</v>
      </c>
    </row>
    <row r="143" hidden="1" spans="1:42">
      <c r="A143" t="s">
        <v>2058</v>
      </c>
      <c r="B143" t="s">
        <v>1356</v>
      </c>
      <c r="C143" t="s">
        <v>1375</v>
      </c>
      <c r="D143" t="s">
        <v>1358</v>
      </c>
      <c r="F143" t="s">
        <v>1377</v>
      </c>
      <c r="G143" s="45">
        <v>44808.8867592593</v>
      </c>
      <c r="H143" s="45">
        <v>44808.8869097222</v>
      </c>
      <c r="J143" t="s">
        <v>407</v>
      </c>
      <c r="M143">
        <v>39.9</v>
      </c>
      <c r="N143">
        <v>0</v>
      </c>
      <c r="O143">
        <v>-3</v>
      </c>
      <c r="P143">
        <v>0</v>
      </c>
      <c r="Q143">
        <v>36.9</v>
      </c>
      <c r="R143">
        <v>36.9</v>
      </c>
      <c r="S143" t="s">
        <v>1397</v>
      </c>
      <c r="T143" t="s">
        <v>2059</v>
      </c>
      <c r="U143">
        <v>1</v>
      </c>
      <c r="V143" t="s">
        <v>1364</v>
      </c>
      <c r="X143" t="s">
        <v>563</v>
      </c>
      <c r="Y143" t="s">
        <v>2060</v>
      </c>
      <c r="Z143" t="s">
        <v>1391</v>
      </c>
      <c r="AA143" t="s">
        <v>2061</v>
      </c>
      <c r="AB143" t="s">
        <v>2062</v>
      </c>
      <c r="AC143" t="s">
        <v>2063</v>
      </c>
      <c r="AF143" t="s">
        <v>2064</v>
      </c>
      <c r="AG143" t="s">
        <v>1385</v>
      </c>
      <c r="AH143" t="s">
        <v>2060</v>
      </c>
      <c r="AK143">
        <v>0</v>
      </c>
      <c r="AO143" t="s">
        <v>1372</v>
      </c>
      <c r="AP143" t="s">
        <v>1373</v>
      </c>
    </row>
    <row r="144" hidden="1" spans="1:42">
      <c r="A144" t="s">
        <v>2065</v>
      </c>
      <c r="B144" t="s">
        <v>1356</v>
      </c>
      <c r="C144" t="s">
        <v>1375</v>
      </c>
      <c r="D144" t="s">
        <v>1376</v>
      </c>
      <c r="F144" t="s">
        <v>1377</v>
      </c>
      <c r="G144" s="45">
        <v>44808.8861689815</v>
      </c>
      <c r="M144">
        <v>39.9</v>
      </c>
      <c r="N144">
        <v>0</v>
      </c>
      <c r="O144">
        <v>-3</v>
      </c>
      <c r="P144">
        <v>0</v>
      </c>
      <c r="Q144">
        <v>36.9</v>
      </c>
      <c r="R144">
        <v>0</v>
      </c>
      <c r="S144" t="s">
        <v>1397</v>
      </c>
      <c r="T144" t="s">
        <v>2066</v>
      </c>
      <c r="U144">
        <v>1</v>
      </c>
      <c r="V144" t="s">
        <v>1364</v>
      </c>
      <c r="X144" t="s">
        <v>563</v>
      </c>
      <c r="Y144" t="s">
        <v>2060</v>
      </c>
      <c r="Z144" t="s">
        <v>1391</v>
      </c>
      <c r="AA144" t="s">
        <v>2061</v>
      </c>
      <c r="AB144" t="s">
        <v>2062</v>
      </c>
      <c r="AC144" t="s">
        <v>2063</v>
      </c>
      <c r="AF144" t="s">
        <v>2064</v>
      </c>
      <c r="AG144" t="s">
        <v>1385</v>
      </c>
      <c r="AH144" t="s">
        <v>2060</v>
      </c>
      <c r="AK144">
        <v>0</v>
      </c>
      <c r="AO144" t="s">
        <v>1372</v>
      </c>
      <c r="AP144" t="s">
        <v>1373</v>
      </c>
    </row>
    <row r="145" hidden="1" spans="1:42">
      <c r="A145" t="s">
        <v>2067</v>
      </c>
      <c r="B145" t="s">
        <v>1356</v>
      </c>
      <c r="C145" t="s">
        <v>1375</v>
      </c>
      <c r="D145" t="s">
        <v>1358</v>
      </c>
      <c r="F145" t="s">
        <v>1377</v>
      </c>
      <c r="G145" s="45">
        <v>44808.8857986111</v>
      </c>
      <c r="H145" s="45">
        <v>44808.8859027778</v>
      </c>
      <c r="J145" t="s">
        <v>407</v>
      </c>
      <c r="M145">
        <v>39.9</v>
      </c>
      <c r="N145">
        <v>0</v>
      </c>
      <c r="O145">
        <v>-1</v>
      </c>
      <c r="P145">
        <v>0</v>
      </c>
      <c r="Q145">
        <v>38.9</v>
      </c>
      <c r="R145">
        <v>38.9</v>
      </c>
      <c r="S145" t="s">
        <v>1414</v>
      </c>
      <c r="T145" t="s">
        <v>2068</v>
      </c>
      <c r="U145">
        <v>1</v>
      </c>
      <c r="V145" t="s">
        <v>1364</v>
      </c>
      <c r="X145" t="s">
        <v>551</v>
      </c>
      <c r="Y145" t="s">
        <v>2038</v>
      </c>
      <c r="Z145" t="s">
        <v>1367</v>
      </c>
      <c r="AA145" t="s">
        <v>1943</v>
      </c>
      <c r="AB145" t="s">
        <v>2039</v>
      </c>
      <c r="AC145" t="s">
        <v>2040</v>
      </c>
      <c r="AF145" t="s">
        <v>2041</v>
      </c>
      <c r="AG145" t="s">
        <v>1385</v>
      </c>
      <c r="AH145" t="s">
        <v>2038</v>
      </c>
      <c r="AK145">
        <v>0</v>
      </c>
      <c r="AO145" t="s">
        <v>1372</v>
      </c>
      <c r="AP145" t="s">
        <v>1373</v>
      </c>
    </row>
    <row r="146" hidden="1" spans="1:42">
      <c r="A146" t="s">
        <v>2069</v>
      </c>
      <c r="B146" t="s">
        <v>1356</v>
      </c>
      <c r="C146" t="s">
        <v>1375</v>
      </c>
      <c r="D146" t="s">
        <v>1358</v>
      </c>
      <c r="F146" t="s">
        <v>1359</v>
      </c>
      <c r="G146" s="45">
        <v>44808.885787037</v>
      </c>
      <c r="H146" s="45">
        <v>44808.8859143518</v>
      </c>
      <c r="J146" t="s">
        <v>407</v>
      </c>
      <c r="M146">
        <v>39.9</v>
      </c>
      <c r="N146">
        <v>0</v>
      </c>
      <c r="O146">
        <v>0</v>
      </c>
      <c r="P146">
        <v>0</v>
      </c>
      <c r="Q146">
        <v>39.9</v>
      </c>
      <c r="R146">
        <v>39.9</v>
      </c>
      <c r="T146" t="s">
        <v>2070</v>
      </c>
      <c r="U146">
        <v>1</v>
      </c>
      <c r="V146" t="s">
        <v>1364</v>
      </c>
      <c r="X146" t="s">
        <v>529</v>
      </c>
      <c r="Y146" t="s">
        <v>2071</v>
      </c>
      <c r="Z146" t="s">
        <v>1748</v>
      </c>
      <c r="AA146" t="s">
        <v>2072</v>
      </c>
      <c r="AB146" t="s">
        <v>2073</v>
      </c>
      <c r="AC146" t="s">
        <v>2074</v>
      </c>
      <c r="AF146" t="s">
        <v>2075</v>
      </c>
      <c r="AG146" t="s">
        <v>1372</v>
      </c>
      <c r="AK146">
        <v>0</v>
      </c>
      <c r="AO146" t="s">
        <v>1372</v>
      </c>
      <c r="AP146" t="s">
        <v>1373</v>
      </c>
    </row>
    <row r="147" hidden="1" spans="1:42">
      <c r="A147" t="s">
        <v>2076</v>
      </c>
      <c r="B147" t="s">
        <v>1356</v>
      </c>
      <c r="C147" t="s">
        <v>1375</v>
      </c>
      <c r="D147" t="s">
        <v>1358</v>
      </c>
      <c r="F147" t="s">
        <v>1359</v>
      </c>
      <c r="G147" s="45">
        <v>44808.8849074074</v>
      </c>
      <c r="H147" s="45">
        <v>44808.885162037</v>
      </c>
      <c r="J147" t="s">
        <v>407</v>
      </c>
      <c r="M147">
        <v>39.9</v>
      </c>
      <c r="N147">
        <v>0</v>
      </c>
      <c r="O147">
        <v>-2</v>
      </c>
      <c r="P147">
        <v>0</v>
      </c>
      <c r="Q147">
        <v>37.9</v>
      </c>
      <c r="R147">
        <v>37.9</v>
      </c>
      <c r="S147" t="s">
        <v>1400</v>
      </c>
      <c r="T147" t="s">
        <v>2077</v>
      </c>
      <c r="U147">
        <v>1</v>
      </c>
      <c r="V147" t="s">
        <v>1364</v>
      </c>
      <c r="X147" t="s">
        <v>515</v>
      </c>
      <c r="Y147" t="s">
        <v>1978</v>
      </c>
      <c r="Z147" t="s">
        <v>1678</v>
      </c>
      <c r="AA147" t="s">
        <v>1979</v>
      </c>
      <c r="AB147" t="s">
        <v>1980</v>
      </c>
      <c r="AC147" t="s">
        <v>1981</v>
      </c>
      <c r="AF147" t="s">
        <v>1982</v>
      </c>
      <c r="AG147" t="s">
        <v>1385</v>
      </c>
      <c r="AH147" t="s">
        <v>1978</v>
      </c>
      <c r="AK147">
        <v>0</v>
      </c>
      <c r="AO147" t="s">
        <v>1372</v>
      </c>
      <c r="AP147" t="s">
        <v>1373</v>
      </c>
    </row>
    <row r="148" hidden="1" spans="1:42">
      <c r="A148" t="s">
        <v>2078</v>
      </c>
      <c r="B148" t="s">
        <v>1356</v>
      </c>
      <c r="C148" t="s">
        <v>1375</v>
      </c>
      <c r="D148" t="s">
        <v>1358</v>
      </c>
      <c r="F148" t="s">
        <v>1377</v>
      </c>
      <c r="G148" s="45">
        <v>44808.8829513889</v>
      </c>
      <c r="H148" s="45">
        <v>44808.883125</v>
      </c>
      <c r="J148" t="s">
        <v>407</v>
      </c>
      <c r="M148">
        <v>39.9</v>
      </c>
      <c r="N148">
        <v>0</v>
      </c>
      <c r="O148">
        <v>-3</v>
      </c>
      <c r="P148">
        <v>0</v>
      </c>
      <c r="Q148">
        <v>36.9</v>
      </c>
      <c r="R148">
        <v>36.9</v>
      </c>
      <c r="S148" t="s">
        <v>1397</v>
      </c>
      <c r="T148" t="s">
        <v>1907</v>
      </c>
      <c r="U148">
        <v>1</v>
      </c>
      <c r="V148" t="s">
        <v>1364</v>
      </c>
      <c r="X148" t="s">
        <v>374</v>
      </c>
      <c r="Y148" t="s">
        <v>1660</v>
      </c>
      <c r="Z148" t="s">
        <v>1367</v>
      </c>
      <c r="AA148" t="s">
        <v>1661</v>
      </c>
      <c r="AB148" t="s">
        <v>1662</v>
      </c>
      <c r="AC148" t="s">
        <v>1663</v>
      </c>
      <c r="AF148" t="s">
        <v>1664</v>
      </c>
      <c r="AG148" t="s">
        <v>1385</v>
      </c>
      <c r="AH148" t="s">
        <v>1665</v>
      </c>
      <c r="AK148">
        <v>0</v>
      </c>
      <c r="AO148" t="s">
        <v>1372</v>
      </c>
      <c r="AP148" t="s">
        <v>1373</v>
      </c>
    </row>
    <row r="149" hidden="1" spans="1:42">
      <c r="A149" t="s">
        <v>2079</v>
      </c>
      <c r="B149" t="s">
        <v>1356</v>
      </c>
      <c r="C149" t="s">
        <v>1375</v>
      </c>
      <c r="D149" t="s">
        <v>1358</v>
      </c>
      <c r="F149" t="s">
        <v>1359</v>
      </c>
      <c r="G149" s="45">
        <v>44808.8827777778</v>
      </c>
      <c r="H149" s="45">
        <v>44808.8830208333</v>
      </c>
      <c r="J149" t="s">
        <v>407</v>
      </c>
      <c r="M149">
        <v>39.9</v>
      </c>
      <c r="N149">
        <v>0</v>
      </c>
      <c r="O149">
        <v>0</v>
      </c>
      <c r="P149">
        <v>0</v>
      </c>
      <c r="Q149">
        <v>39.9</v>
      </c>
      <c r="R149">
        <v>39.9</v>
      </c>
      <c r="T149" t="s">
        <v>2080</v>
      </c>
      <c r="U149">
        <v>1</v>
      </c>
      <c r="V149" t="s">
        <v>1364</v>
      </c>
      <c r="X149" t="s">
        <v>533</v>
      </c>
      <c r="Y149" t="s">
        <v>2081</v>
      </c>
      <c r="Z149" t="s">
        <v>1560</v>
      </c>
      <c r="AA149" t="s">
        <v>1560</v>
      </c>
      <c r="AB149" t="s">
        <v>1561</v>
      </c>
      <c r="AC149" t="s">
        <v>2082</v>
      </c>
      <c r="AF149" t="s">
        <v>2083</v>
      </c>
      <c r="AG149" t="s">
        <v>1372</v>
      </c>
      <c r="AK149">
        <v>0</v>
      </c>
      <c r="AO149" t="s">
        <v>1372</v>
      </c>
      <c r="AP149" t="s">
        <v>1373</v>
      </c>
    </row>
    <row r="150" hidden="1" spans="1:42">
      <c r="A150" t="s">
        <v>2084</v>
      </c>
      <c r="B150" t="s">
        <v>1356</v>
      </c>
      <c r="C150" t="s">
        <v>1375</v>
      </c>
      <c r="D150" t="s">
        <v>1376</v>
      </c>
      <c r="F150" t="s">
        <v>1377</v>
      </c>
      <c r="G150" s="45">
        <v>44808.8824189815</v>
      </c>
      <c r="M150">
        <v>39.9</v>
      </c>
      <c r="N150">
        <v>0</v>
      </c>
      <c r="O150">
        <v>0</v>
      </c>
      <c r="P150">
        <v>0</v>
      </c>
      <c r="Q150">
        <v>39.9</v>
      </c>
      <c r="R150">
        <v>0</v>
      </c>
      <c r="T150" t="s">
        <v>1493</v>
      </c>
      <c r="U150">
        <v>1</v>
      </c>
      <c r="V150" t="s">
        <v>1364</v>
      </c>
      <c r="X150" t="s">
        <v>525</v>
      </c>
      <c r="Y150" t="s">
        <v>1702</v>
      </c>
      <c r="Z150" t="s">
        <v>1367</v>
      </c>
      <c r="AA150" t="s">
        <v>1703</v>
      </c>
      <c r="AB150" t="s">
        <v>1704</v>
      </c>
      <c r="AC150" t="s">
        <v>1705</v>
      </c>
      <c r="AF150" t="s">
        <v>1706</v>
      </c>
      <c r="AG150" t="s">
        <v>1372</v>
      </c>
      <c r="AH150" t="s">
        <v>1702</v>
      </c>
      <c r="AK150">
        <v>0</v>
      </c>
      <c r="AO150" t="s">
        <v>1372</v>
      </c>
      <c r="AP150" t="s">
        <v>1373</v>
      </c>
    </row>
    <row r="151" hidden="1" spans="1:42">
      <c r="A151" t="s">
        <v>2085</v>
      </c>
      <c r="B151" t="s">
        <v>1356</v>
      </c>
      <c r="C151" t="s">
        <v>1375</v>
      </c>
      <c r="D151" t="s">
        <v>1358</v>
      </c>
      <c r="F151" t="s">
        <v>1377</v>
      </c>
      <c r="G151" s="45">
        <v>44808.8823263889</v>
      </c>
      <c r="H151" s="45">
        <v>44808.8824074074</v>
      </c>
      <c r="J151" t="s">
        <v>407</v>
      </c>
      <c r="M151">
        <v>39.9</v>
      </c>
      <c r="N151">
        <v>0</v>
      </c>
      <c r="O151">
        <v>-1</v>
      </c>
      <c r="P151">
        <v>0</v>
      </c>
      <c r="Q151">
        <v>38.9</v>
      </c>
      <c r="R151">
        <v>38.9</v>
      </c>
      <c r="S151" t="s">
        <v>1414</v>
      </c>
      <c r="T151" t="s">
        <v>2086</v>
      </c>
      <c r="U151">
        <v>1</v>
      </c>
      <c r="V151" t="s">
        <v>1364</v>
      </c>
      <c r="X151" t="s">
        <v>431</v>
      </c>
      <c r="Y151" t="s">
        <v>2087</v>
      </c>
      <c r="Z151" t="s">
        <v>1430</v>
      </c>
      <c r="AA151" t="s">
        <v>2088</v>
      </c>
      <c r="AB151" t="s">
        <v>2089</v>
      </c>
      <c r="AC151" t="s">
        <v>2090</v>
      </c>
      <c r="AF151" t="s">
        <v>2091</v>
      </c>
      <c r="AG151" t="s">
        <v>1372</v>
      </c>
      <c r="AH151" t="s">
        <v>2087</v>
      </c>
      <c r="AK151">
        <v>0</v>
      </c>
      <c r="AO151" t="s">
        <v>1372</v>
      </c>
      <c r="AP151" t="s">
        <v>1373</v>
      </c>
    </row>
    <row r="152" hidden="1" spans="1:42">
      <c r="A152" t="s">
        <v>2092</v>
      </c>
      <c r="B152" t="s">
        <v>1356</v>
      </c>
      <c r="C152" t="s">
        <v>1375</v>
      </c>
      <c r="D152" t="s">
        <v>1358</v>
      </c>
      <c r="F152" t="s">
        <v>1377</v>
      </c>
      <c r="G152" s="45">
        <v>44808.8820717593</v>
      </c>
      <c r="H152" s="45">
        <v>44808.8821875</v>
      </c>
      <c r="J152" t="s">
        <v>407</v>
      </c>
      <c r="M152">
        <v>39.9</v>
      </c>
      <c r="N152">
        <v>0</v>
      </c>
      <c r="O152">
        <v>0</v>
      </c>
      <c r="P152">
        <v>0</v>
      </c>
      <c r="Q152">
        <v>39.9</v>
      </c>
      <c r="R152">
        <v>39.9</v>
      </c>
      <c r="T152" t="s">
        <v>1493</v>
      </c>
      <c r="U152">
        <v>1</v>
      </c>
      <c r="V152" t="s">
        <v>1364</v>
      </c>
      <c r="X152" t="s">
        <v>527</v>
      </c>
      <c r="Y152" t="s">
        <v>2093</v>
      </c>
      <c r="Z152" t="s">
        <v>1367</v>
      </c>
      <c r="AA152" t="s">
        <v>1615</v>
      </c>
      <c r="AB152" t="s">
        <v>1616</v>
      </c>
      <c r="AC152" t="s">
        <v>2094</v>
      </c>
      <c r="AF152" t="s">
        <v>2095</v>
      </c>
      <c r="AG152" t="s">
        <v>1372</v>
      </c>
      <c r="AK152">
        <v>0</v>
      </c>
      <c r="AO152" t="s">
        <v>1372</v>
      </c>
      <c r="AP152" t="s">
        <v>1373</v>
      </c>
    </row>
    <row r="153" hidden="1" spans="1:42">
      <c r="A153" t="s">
        <v>2096</v>
      </c>
      <c r="B153" t="s">
        <v>1356</v>
      </c>
      <c r="C153" t="s">
        <v>1375</v>
      </c>
      <c r="D153" t="s">
        <v>1376</v>
      </c>
      <c r="F153" t="s">
        <v>1377</v>
      </c>
      <c r="G153" s="45">
        <v>44808.8815393519</v>
      </c>
      <c r="M153">
        <v>69</v>
      </c>
      <c r="N153">
        <v>0</v>
      </c>
      <c r="O153">
        <v>0</v>
      </c>
      <c r="P153">
        <v>0</v>
      </c>
      <c r="Q153">
        <v>69</v>
      </c>
      <c r="R153">
        <v>0</v>
      </c>
      <c r="T153" t="s">
        <v>1733</v>
      </c>
      <c r="U153">
        <v>1</v>
      </c>
      <c r="V153" t="s">
        <v>1364</v>
      </c>
      <c r="X153" t="s">
        <v>544</v>
      </c>
      <c r="Y153" t="s">
        <v>1964</v>
      </c>
      <c r="Z153" t="s">
        <v>1430</v>
      </c>
      <c r="AA153" t="s">
        <v>1965</v>
      </c>
      <c r="AB153" t="s">
        <v>1966</v>
      </c>
      <c r="AC153" t="s">
        <v>1967</v>
      </c>
      <c r="AF153" t="s">
        <v>1968</v>
      </c>
      <c r="AG153" t="s">
        <v>1372</v>
      </c>
      <c r="AK153">
        <v>0</v>
      </c>
      <c r="AO153" t="s">
        <v>1372</v>
      </c>
      <c r="AP153" t="s">
        <v>1373</v>
      </c>
    </row>
    <row r="154" hidden="1" spans="1:42">
      <c r="A154" t="s">
        <v>2097</v>
      </c>
      <c r="B154" t="s">
        <v>1356</v>
      </c>
      <c r="C154" t="s">
        <v>1375</v>
      </c>
      <c r="D154" t="s">
        <v>1358</v>
      </c>
      <c r="F154" t="s">
        <v>1377</v>
      </c>
      <c r="G154" s="45">
        <v>44808.8805671296</v>
      </c>
      <c r="H154" s="45">
        <v>44808.8814699074</v>
      </c>
      <c r="J154" t="s">
        <v>407</v>
      </c>
      <c r="M154">
        <v>249</v>
      </c>
      <c r="N154">
        <v>0</v>
      </c>
      <c r="O154">
        <v>-1</v>
      </c>
      <c r="P154">
        <v>0</v>
      </c>
      <c r="Q154">
        <v>248</v>
      </c>
      <c r="R154">
        <v>248</v>
      </c>
      <c r="S154" t="s">
        <v>1414</v>
      </c>
      <c r="T154" t="s">
        <v>2098</v>
      </c>
      <c r="U154">
        <v>1</v>
      </c>
      <c r="V154" t="s">
        <v>1364</v>
      </c>
      <c r="X154" t="s">
        <v>429</v>
      </c>
      <c r="Y154" t="s">
        <v>2035</v>
      </c>
      <c r="Z154" t="s">
        <v>1367</v>
      </c>
      <c r="AA154" t="s">
        <v>1943</v>
      </c>
      <c r="AB154" t="s">
        <v>1944</v>
      </c>
      <c r="AC154" t="s">
        <v>2036</v>
      </c>
      <c r="AF154" t="s">
        <v>429</v>
      </c>
      <c r="AG154" t="s">
        <v>1372</v>
      </c>
      <c r="AH154" t="s">
        <v>2035</v>
      </c>
      <c r="AK154">
        <v>0</v>
      </c>
      <c r="AO154" t="s">
        <v>1372</v>
      </c>
      <c r="AP154" t="s">
        <v>1373</v>
      </c>
    </row>
    <row r="155" hidden="1" spans="1:42">
      <c r="A155" t="s">
        <v>2099</v>
      </c>
      <c r="B155" t="s">
        <v>1356</v>
      </c>
      <c r="C155" t="s">
        <v>1375</v>
      </c>
      <c r="D155" t="s">
        <v>1358</v>
      </c>
      <c r="F155" t="s">
        <v>1377</v>
      </c>
      <c r="G155" s="45">
        <v>44808.8804976852</v>
      </c>
      <c r="H155" s="45">
        <v>44808.8806712963</v>
      </c>
      <c r="J155" t="s">
        <v>407</v>
      </c>
      <c r="M155">
        <v>19.9</v>
      </c>
      <c r="N155">
        <v>0</v>
      </c>
      <c r="O155">
        <v>0</v>
      </c>
      <c r="P155">
        <v>0</v>
      </c>
      <c r="Q155">
        <v>19.9</v>
      </c>
      <c r="R155">
        <v>19.9</v>
      </c>
      <c r="T155" t="s">
        <v>1845</v>
      </c>
      <c r="U155">
        <v>1</v>
      </c>
      <c r="V155" t="s">
        <v>1364</v>
      </c>
      <c r="X155" t="s">
        <v>606</v>
      </c>
      <c r="Y155" t="s">
        <v>2027</v>
      </c>
      <c r="Z155" t="s">
        <v>2028</v>
      </c>
      <c r="AA155" t="s">
        <v>2029</v>
      </c>
      <c r="AB155" t="s">
        <v>2030</v>
      </c>
      <c r="AC155" t="s">
        <v>2031</v>
      </c>
      <c r="AF155" t="s">
        <v>2032</v>
      </c>
      <c r="AG155" t="s">
        <v>1372</v>
      </c>
      <c r="AK155">
        <v>0</v>
      </c>
      <c r="AO155" t="s">
        <v>1372</v>
      </c>
      <c r="AP155" t="s">
        <v>1373</v>
      </c>
    </row>
    <row r="156" hidden="1" spans="1:42">
      <c r="A156" t="s">
        <v>2100</v>
      </c>
      <c r="B156" t="s">
        <v>1356</v>
      </c>
      <c r="C156" t="s">
        <v>1375</v>
      </c>
      <c r="D156" t="s">
        <v>1358</v>
      </c>
      <c r="F156" t="s">
        <v>1359</v>
      </c>
      <c r="G156" s="45">
        <v>44808.8804398148</v>
      </c>
      <c r="H156" s="45">
        <v>44808.8810532407</v>
      </c>
      <c r="J156" t="s">
        <v>407</v>
      </c>
      <c r="M156">
        <v>19.9</v>
      </c>
      <c r="N156">
        <v>0</v>
      </c>
      <c r="O156">
        <v>0</v>
      </c>
      <c r="P156">
        <v>0</v>
      </c>
      <c r="Q156">
        <v>19.9</v>
      </c>
      <c r="R156">
        <v>19.9</v>
      </c>
      <c r="T156" t="s">
        <v>1521</v>
      </c>
      <c r="U156">
        <v>1</v>
      </c>
      <c r="V156" t="s">
        <v>1364</v>
      </c>
      <c r="X156" t="s">
        <v>374</v>
      </c>
      <c r="Y156" t="s">
        <v>1660</v>
      </c>
      <c r="Z156" t="s">
        <v>1367</v>
      </c>
      <c r="AA156" t="s">
        <v>1661</v>
      </c>
      <c r="AB156" t="s">
        <v>1662</v>
      </c>
      <c r="AC156" t="s">
        <v>1663</v>
      </c>
      <c r="AF156" t="s">
        <v>1664</v>
      </c>
      <c r="AG156" t="s">
        <v>1385</v>
      </c>
      <c r="AH156" t="s">
        <v>1665</v>
      </c>
      <c r="AK156">
        <v>0</v>
      </c>
      <c r="AO156" t="s">
        <v>1372</v>
      </c>
      <c r="AP156" t="s">
        <v>1373</v>
      </c>
    </row>
    <row r="157" hidden="1" spans="1:42">
      <c r="A157" t="s">
        <v>2101</v>
      </c>
      <c r="B157" t="s">
        <v>1356</v>
      </c>
      <c r="C157" t="s">
        <v>1375</v>
      </c>
      <c r="D157" t="s">
        <v>1358</v>
      </c>
      <c r="F157" t="s">
        <v>1377</v>
      </c>
      <c r="G157" s="45">
        <v>44808.8804050926</v>
      </c>
      <c r="H157" s="45">
        <v>44808.8804976852</v>
      </c>
      <c r="J157" t="s">
        <v>407</v>
      </c>
      <c r="M157">
        <v>19.9</v>
      </c>
      <c r="N157">
        <v>0</v>
      </c>
      <c r="O157">
        <v>0</v>
      </c>
      <c r="P157">
        <v>0</v>
      </c>
      <c r="Q157">
        <v>19.9</v>
      </c>
      <c r="R157">
        <v>19.9</v>
      </c>
      <c r="T157" t="s">
        <v>2102</v>
      </c>
      <c r="U157">
        <v>1</v>
      </c>
      <c r="V157" t="s">
        <v>1364</v>
      </c>
      <c r="X157" t="s">
        <v>460</v>
      </c>
      <c r="Y157" t="s">
        <v>1722</v>
      </c>
      <c r="Z157" t="s">
        <v>1513</v>
      </c>
      <c r="AA157" t="s">
        <v>1596</v>
      </c>
      <c r="AB157" t="s">
        <v>1597</v>
      </c>
      <c r="AC157" t="s">
        <v>1723</v>
      </c>
      <c r="AF157" t="s">
        <v>1724</v>
      </c>
      <c r="AG157" t="s">
        <v>1372</v>
      </c>
      <c r="AK157">
        <v>0</v>
      </c>
      <c r="AO157" t="s">
        <v>1372</v>
      </c>
      <c r="AP157" t="s">
        <v>1373</v>
      </c>
    </row>
    <row r="158" hidden="1" spans="1:42">
      <c r="A158" t="s">
        <v>2103</v>
      </c>
      <c r="B158" t="s">
        <v>1356</v>
      </c>
      <c r="C158" t="s">
        <v>1375</v>
      </c>
      <c r="D158" t="s">
        <v>1358</v>
      </c>
      <c r="F158" t="s">
        <v>1377</v>
      </c>
      <c r="G158" s="45">
        <v>44808.8798958333</v>
      </c>
      <c r="H158" s="45">
        <v>44808.8799768519</v>
      </c>
      <c r="J158" t="s">
        <v>407</v>
      </c>
      <c r="M158">
        <v>19.9</v>
      </c>
      <c r="N158">
        <v>0</v>
      </c>
      <c r="O158">
        <v>0</v>
      </c>
      <c r="P158">
        <v>0</v>
      </c>
      <c r="Q158">
        <v>19.9</v>
      </c>
      <c r="R158">
        <v>19.9</v>
      </c>
      <c r="T158" t="s">
        <v>1733</v>
      </c>
      <c r="U158">
        <v>1</v>
      </c>
      <c r="V158" t="s">
        <v>1364</v>
      </c>
      <c r="X158" t="s">
        <v>431</v>
      </c>
      <c r="Y158" t="s">
        <v>2087</v>
      </c>
      <c r="Z158" t="s">
        <v>1430</v>
      </c>
      <c r="AA158" t="s">
        <v>2088</v>
      </c>
      <c r="AB158" t="s">
        <v>2089</v>
      </c>
      <c r="AC158" t="s">
        <v>2090</v>
      </c>
      <c r="AF158" t="s">
        <v>2091</v>
      </c>
      <c r="AG158" t="s">
        <v>1372</v>
      </c>
      <c r="AH158" t="s">
        <v>2087</v>
      </c>
      <c r="AK158">
        <v>0</v>
      </c>
      <c r="AO158" t="s">
        <v>1372</v>
      </c>
      <c r="AP158" t="s">
        <v>1373</v>
      </c>
    </row>
    <row r="159" hidden="1" spans="1:42">
      <c r="A159" t="s">
        <v>2104</v>
      </c>
      <c r="B159" t="s">
        <v>1356</v>
      </c>
      <c r="C159" t="s">
        <v>1375</v>
      </c>
      <c r="D159" t="s">
        <v>1358</v>
      </c>
      <c r="F159" t="s">
        <v>1377</v>
      </c>
      <c r="G159" s="45">
        <v>44808.8795023148</v>
      </c>
      <c r="H159" s="45">
        <v>44808.8795949074</v>
      </c>
      <c r="J159" t="s">
        <v>407</v>
      </c>
      <c r="M159">
        <v>19.9</v>
      </c>
      <c r="N159">
        <v>0</v>
      </c>
      <c r="O159">
        <v>0</v>
      </c>
      <c r="P159">
        <v>0</v>
      </c>
      <c r="Q159">
        <v>19.9</v>
      </c>
      <c r="R159">
        <v>19.9</v>
      </c>
      <c r="T159" t="s">
        <v>1733</v>
      </c>
      <c r="U159">
        <v>1</v>
      </c>
      <c r="V159" t="s">
        <v>1364</v>
      </c>
      <c r="X159" t="s">
        <v>460</v>
      </c>
      <c r="Y159" t="s">
        <v>1722</v>
      </c>
      <c r="Z159" t="s">
        <v>1513</v>
      </c>
      <c r="AA159" t="s">
        <v>1596</v>
      </c>
      <c r="AB159" t="s">
        <v>1597</v>
      </c>
      <c r="AC159" t="s">
        <v>1723</v>
      </c>
      <c r="AF159" t="s">
        <v>1724</v>
      </c>
      <c r="AG159" t="s">
        <v>1372</v>
      </c>
      <c r="AK159">
        <v>0</v>
      </c>
      <c r="AO159" t="s">
        <v>1372</v>
      </c>
      <c r="AP159" t="s">
        <v>1373</v>
      </c>
    </row>
    <row r="160" hidden="1" spans="1:42">
      <c r="A160" t="s">
        <v>2105</v>
      </c>
      <c r="B160" t="s">
        <v>1356</v>
      </c>
      <c r="C160" t="s">
        <v>1375</v>
      </c>
      <c r="D160" t="s">
        <v>1358</v>
      </c>
      <c r="F160" t="s">
        <v>1377</v>
      </c>
      <c r="G160" s="45">
        <v>44808.8785416667</v>
      </c>
      <c r="H160" s="45">
        <v>44808.8786921296</v>
      </c>
      <c r="J160" t="s">
        <v>407</v>
      </c>
      <c r="M160">
        <v>249</v>
      </c>
      <c r="N160">
        <v>0</v>
      </c>
      <c r="O160">
        <v>-5</v>
      </c>
      <c r="P160">
        <v>0</v>
      </c>
      <c r="Q160">
        <v>244</v>
      </c>
      <c r="R160">
        <v>244</v>
      </c>
      <c r="S160" t="s">
        <v>1422</v>
      </c>
      <c r="T160" t="s">
        <v>2106</v>
      </c>
      <c r="U160">
        <v>1</v>
      </c>
      <c r="V160" t="s">
        <v>1364</v>
      </c>
      <c r="X160" t="s">
        <v>449</v>
      </c>
      <c r="Y160" t="s">
        <v>2107</v>
      </c>
      <c r="Z160" t="s">
        <v>1367</v>
      </c>
      <c r="AA160" t="s">
        <v>1486</v>
      </c>
      <c r="AB160" t="s">
        <v>1487</v>
      </c>
      <c r="AC160" t="s">
        <v>2108</v>
      </c>
      <c r="AF160" t="s">
        <v>2109</v>
      </c>
      <c r="AG160" t="s">
        <v>1385</v>
      </c>
      <c r="AH160" t="s">
        <v>2107</v>
      </c>
      <c r="AK160">
        <v>0</v>
      </c>
      <c r="AO160" t="s">
        <v>1372</v>
      </c>
      <c r="AP160" t="s">
        <v>1373</v>
      </c>
    </row>
    <row r="161" hidden="1" spans="1:42">
      <c r="A161" t="s">
        <v>2110</v>
      </c>
      <c r="B161" t="s">
        <v>1356</v>
      </c>
      <c r="C161" t="s">
        <v>1375</v>
      </c>
      <c r="D161" t="s">
        <v>1358</v>
      </c>
      <c r="F161" t="s">
        <v>1377</v>
      </c>
      <c r="G161" s="45">
        <v>44808.8768055556</v>
      </c>
      <c r="H161" s="45">
        <v>44808.8775810185</v>
      </c>
      <c r="J161" t="s">
        <v>407</v>
      </c>
      <c r="M161">
        <v>249</v>
      </c>
      <c r="N161">
        <v>0</v>
      </c>
      <c r="O161">
        <v>0</v>
      </c>
      <c r="P161">
        <v>0</v>
      </c>
      <c r="Q161">
        <v>249</v>
      </c>
      <c r="R161">
        <v>249</v>
      </c>
      <c r="T161" t="s">
        <v>1984</v>
      </c>
      <c r="U161">
        <v>1</v>
      </c>
      <c r="V161" t="s">
        <v>1364</v>
      </c>
      <c r="X161" t="s">
        <v>434</v>
      </c>
      <c r="Y161" t="s">
        <v>2013</v>
      </c>
      <c r="Z161" t="s">
        <v>1466</v>
      </c>
      <c r="AA161" t="s">
        <v>1835</v>
      </c>
      <c r="AB161" t="s">
        <v>1836</v>
      </c>
      <c r="AC161" t="s">
        <v>2014</v>
      </c>
      <c r="AF161" t="s">
        <v>2111</v>
      </c>
      <c r="AG161" t="s">
        <v>1372</v>
      </c>
      <c r="AK161">
        <v>0</v>
      </c>
      <c r="AO161" t="s">
        <v>1372</v>
      </c>
      <c r="AP161" t="s">
        <v>1373</v>
      </c>
    </row>
    <row r="162" hidden="1" spans="1:42">
      <c r="A162" t="s">
        <v>2112</v>
      </c>
      <c r="B162" t="s">
        <v>1356</v>
      </c>
      <c r="C162" t="s">
        <v>1375</v>
      </c>
      <c r="D162" t="s">
        <v>1358</v>
      </c>
      <c r="F162" t="s">
        <v>1377</v>
      </c>
      <c r="G162" s="45">
        <v>44808.8731828704</v>
      </c>
      <c r="H162" s="45">
        <v>44808.873275463</v>
      </c>
      <c r="J162" t="s">
        <v>407</v>
      </c>
      <c r="M162">
        <v>39.9</v>
      </c>
      <c r="N162">
        <v>0</v>
      </c>
      <c r="O162">
        <v>-3</v>
      </c>
      <c r="P162">
        <v>0</v>
      </c>
      <c r="Q162">
        <v>36.9</v>
      </c>
      <c r="R162">
        <v>36.9</v>
      </c>
      <c r="S162" t="s">
        <v>1397</v>
      </c>
      <c r="T162" t="s">
        <v>1874</v>
      </c>
      <c r="U162">
        <v>1</v>
      </c>
      <c r="V162" t="s">
        <v>1364</v>
      </c>
      <c r="X162" t="s">
        <v>425</v>
      </c>
      <c r="Y162" t="s">
        <v>1390</v>
      </c>
      <c r="Z162" t="s">
        <v>1391</v>
      </c>
      <c r="AA162" t="s">
        <v>1392</v>
      </c>
      <c r="AB162" t="s">
        <v>1393</v>
      </c>
      <c r="AC162" t="s">
        <v>1394</v>
      </c>
      <c r="AF162" t="s">
        <v>1395</v>
      </c>
      <c r="AG162" t="s">
        <v>1385</v>
      </c>
      <c r="AH162" t="s">
        <v>1390</v>
      </c>
      <c r="AK162">
        <v>0</v>
      </c>
      <c r="AO162" t="s">
        <v>1372</v>
      </c>
      <c r="AP162" t="s">
        <v>1373</v>
      </c>
    </row>
    <row r="163" hidden="1" spans="1:42">
      <c r="A163" t="s">
        <v>2113</v>
      </c>
      <c r="B163" t="s">
        <v>1356</v>
      </c>
      <c r="C163" t="s">
        <v>1375</v>
      </c>
      <c r="D163" t="s">
        <v>1358</v>
      </c>
      <c r="F163" t="s">
        <v>1377</v>
      </c>
      <c r="G163" s="45">
        <v>44808.8707291667</v>
      </c>
      <c r="H163" s="45">
        <v>44808.8709259259</v>
      </c>
      <c r="J163" t="s">
        <v>407</v>
      </c>
      <c r="M163">
        <v>39.9</v>
      </c>
      <c r="N163">
        <v>0</v>
      </c>
      <c r="O163">
        <v>-3</v>
      </c>
      <c r="P163">
        <v>0</v>
      </c>
      <c r="Q163">
        <v>36.9</v>
      </c>
      <c r="R163">
        <v>36.9</v>
      </c>
      <c r="S163" t="s">
        <v>1397</v>
      </c>
      <c r="T163" t="s">
        <v>1676</v>
      </c>
      <c r="U163">
        <v>1</v>
      </c>
      <c r="V163" t="s">
        <v>1364</v>
      </c>
      <c r="X163" t="s">
        <v>425</v>
      </c>
      <c r="Y163" t="s">
        <v>1390</v>
      </c>
      <c r="Z163" t="s">
        <v>1391</v>
      </c>
      <c r="AA163" t="s">
        <v>1392</v>
      </c>
      <c r="AB163" t="s">
        <v>1393</v>
      </c>
      <c r="AC163" t="s">
        <v>1394</v>
      </c>
      <c r="AF163" t="s">
        <v>1395</v>
      </c>
      <c r="AG163" t="s">
        <v>1385</v>
      </c>
      <c r="AH163" t="s">
        <v>1390</v>
      </c>
      <c r="AK163">
        <v>0</v>
      </c>
      <c r="AO163" t="s">
        <v>1372</v>
      </c>
      <c r="AP163" t="s">
        <v>1373</v>
      </c>
    </row>
    <row r="164" hidden="1" spans="1:42">
      <c r="A164" t="s">
        <v>2114</v>
      </c>
      <c r="B164" t="s">
        <v>1356</v>
      </c>
      <c r="C164" t="s">
        <v>1375</v>
      </c>
      <c r="D164" t="s">
        <v>1358</v>
      </c>
      <c r="F164" t="s">
        <v>1377</v>
      </c>
      <c r="G164" s="45">
        <v>44808.8702199074</v>
      </c>
      <c r="H164" s="45">
        <v>44808.8703125</v>
      </c>
      <c r="J164" t="s">
        <v>407</v>
      </c>
      <c r="M164">
        <v>39.9</v>
      </c>
      <c r="N164">
        <v>0</v>
      </c>
      <c r="O164">
        <v>-3</v>
      </c>
      <c r="P164">
        <v>0</v>
      </c>
      <c r="Q164">
        <v>36.9</v>
      </c>
      <c r="R164">
        <v>36.9</v>
      </c>
      <c r="S164" t="s">
        <v>1397</v>
      </c>
      <c r="T164" t="s">
        <v>2115</v>
      </c>
      <c r="U164">
        <v>1</v>
      </c>
      <c r="V164" t="s">
        <v>1364</v>
      </c>
      <c r="X164" t="s">
        <v>489</v>
      </c>
      <c r="Y164" t="s">
        <v>2116</v>
      </c>
      <c r="Z164" t="s">
        <v>1466</v>
      </c>
      <c r="AA164" t="s">
        <v>1467</v>
      </c>
      <c r="AB164" t="s">
        <v>2117</v>
      </c>
      <c r="AC164" t="s">
        <v>2118</v>
      </c>
      <c r="AF164" t="s">
        <v>489</v>
      </c>
      <c r="AG164" t="s">
        <v>1385</v>
      </c>
      <c r="AH164" t="s">
        <v>2116</v>
      </c>
      <c r="AK164">
        <v>0</v>
      </c>
      <c r="AO164" t="s">
        <v>1372</v>
      </c>
      <c r="AP164" t="s">
        <v>1373</v>
      </c>
    </row>
    <row r="165" hidden="1" spans="1:42">
      <c r="A165" t="s">
        <v>2119</v>
      </c>
      <c r="B165" t="s">
        <v>1356</v>
      </c>
      <c r="C165" t="s">
        <v>1375</v>
      </c>
      <c r="D165" t="s">
        <v>1358</v>
      </c>
      <c r="F165" t="s">
        <v>1359</v>
      </c>
      <c r="G165" s="45">
        <v>44808.8699189815</v>
      </c>
      <c r="H165" s="45">
        <v>44808.8700578704</v>
      </c>
      <c r="J165" t="s">
        <v>1360</v>
      </c>
      <c r="K165" t="s">
        <v>2120</v>
      </c>
      <c r="L165" t="s">
        <v>2121</v>
      </c>
      <c r="M165">
        <v>233.24</v>
      </c>
      <c r="N165">
        <v>0</v>
      </c>
      <c r="O165">
        <v>-4</v>
      </c>
      <c r="P165">
        <v>0</v>
      </c>
      <c r="Q165">
        <v>229.24</v>
      </c>
      <c r="R165">
        <v>229.24</v>
      </c>
      <c r="S165" t="s">
        <v>1388</v>
      </c>
      <c r="T165" t="s">
        <v>2122</v>
      </c>
      <c r="U165">
        <v>1</v>
      </c>
      <c r="V165" t="s">
        <v>1364</v>
      </c>
      <c r="X165" t="s">
        <v>480</v>
      </c>
      <c r="Y165" t="s">
        <v>2123</v>
      </c>
      <c r="Z165" t="s">
        <v>1367</v>
      </c>
      <c r="AA165" t="s">
        <v>2124</v>
      </c>
      <c r="AB165" t="s">
        <v>2124</v>
      </c>
      <c r="AC165" t="s">
        <v>2125</v>
      </c>
      <c r="AF165" t="s">
        <v>2126</v>
      </c>
      <c r="AG165" t="s">
        <v>1385</v>
      </c>
      <c r="AH165" t="s">
        <v>2127</v>
      </c>
      <c r="AK165">
        <v>0</v>
      </c>
      <c r="AO165" t="s">
        <v>1372</v>
      </c>
      <c r="AP165" t="s">
        <v>1373</v>
      </c>
    </row>
    <row r="166" hidden="1" spans="1:42">
      <c r="A166" t="s">
        <v>2128</v>
      </c>
      <c r="B166" t="s">
        <v>1356</v>
      </c>
      <c r="C166" t="s">
        <v>1375</v>
      </c>
      <c r="D166" t="s">
        <v>1358</v>
      </c>
      <c r="F166" t="s">
        <v>1377</v>
      </c>
      <c r="G166" s="45">
        <v>44808.8698726852</v>
      </c>
      <c r="H166" s="45">
        <v>44808.8699884259</v>
      </c>
      <c r="J166" t="s">
        <v>407</v>
      </c>
      <c r="M166">
        <v>19.9</v>
      </c>
      <c r="N166">
        <v>0</v>
      </c>
      <c r="O166">
        <v>0</v>
      </c>
      <c r="P166">
        <v>0</v>
      </c>
      <c r="Q166">
        <v>19.9</v>
      </c>
      <c r="R166">
        <v>19.9</v>
      </c>
      <c r="T166" t="s">
        <v>1484</v>
      </c>
      <c r="U166">
        <v>1</v>
      </c>
      <c r="V166" t="s">
        <v>1364</v>
      </c>
      <c r="X166" t="s">
        <v>460</v>
      </c>
      <c r="Y166" t="s">
        <v>1722</v>
      </c>
      <c r="Z166" t="s">
        <v>1513</v>
      </c>
      <c r="AA166" t="s">
        <v>1596</v>
      </c>
      <c r="AB166" t="s">
        <v>1597</v>
      </c>
      <c r="AC166" t="s">
        <v>1723</v>
      </c>
      <c r="AF166" t="s">
        <v>2129</v>
      </c>
      <c r="AG166" t="s">
        <v>1372</v>
      </c>
      <c r="AK166">
        <v>0</v>
      </c>
      <c r="AO166" t="s">
        <v>1372</v>
      </c>
      <c r="AP166" t="s">
        <v>1373</v>
      </c>
    </row>
    <row r="167" hidden="1" spans="1:42">
      <c r="A167" t="s">
        <v>2130</v>
      </c>
      <c r="B167" t="s">
        <v>1356</v>
      </c>
      <c r="C167" t="s">
        <v>1375</v>
      </c>
      <c r="D167" t="s">
        <v>1358</v>
      </c>
      <c r="F167" t="s">
        <v>1377</v>
      </c>
      <c r="G167" s="45">
        <v>44808.8674189815</v>
      </c>
      <c r="H167" s="45">
        <v>44808.8675462963</v>
      </c>
      <c r="J167" t="s">
        <v>407</v>
      </c>
      <c r="M167">
        <v>19.9</v>
      </c>
      <c r="N167">
        <v>0</v>
      </c>
      <c r="O167">
        <v>0</v>
      </c>
      <c r="P167">
        <v>0</v>
      </c>
      <c r="Q167">
        <v>19.9</v>
      </c>
      <c r="R167">
        <v>19.9</v>
      </c>
      <c r="T167" t="s">
        <v>1858</v>
      </c>
      <c r="U167">
        <v>1</v>
      </c>
      <c r="V167" t="s">
        <v>1364</v>
      </c>
      <c r="X167" t="s">
        <v>611</v>
      </c>
      <c r="Y167" t="s">
        <v>2131</v>
      </c>
      <c r="Z167" t="s">
        <v>1367</v>
      </c>
      <c r="AA167" t="s">
        <v>2124</v>
      </c>
      <c r="AB167" t="s">
        <v>2132</v>
      </c>
      <c r="AC167" t="s">
        <v>2133</v>
      </c>
      <c r="AF167" t="s">
        <v>2134</v>
      </c>
      <c r="AG167" t="s">
        <v>1372</v>
      </c>
      <c r="AK167">
        <v>0</v>
      </c>
      <c r="AO167" t="s">
        <v>1372</v>
      </c>
      <c r="AP167" t="s">
        <v>1373</v>
      </c>
    </row>
    <row r="168" hidden="1" spans="1:42">
      <c r="A168" t="s">
        <v>2135</v>
      </c>
      <c r="B168" t="s">
        <v>1356</v>
      </c>
      <c r="C168" t="s">
        <v>1375</v>
      </c>
      <c r="D168" t="s">
        <v>1358</v>
      </c>
      <c r="F168" t="s">
        <v>1377</v>
      </c>
      <c r="G168" s="45">
        <v>44808.8669097222</v>
      </c>
      <c r="H168" s="45">
        <v>44808.8670138889</v>
      </c>
      <c r="J168" t="s">
        <v>407</v>
      </c>
      <c r="M168">
        <v>249</v>
      </c>
      <c r="N168">
        <v>0</v>
      </c>
      <c r="O168">
        <v>0</v>
      </c>
      <c r="P168">
        <v>0</v>
      </c>
      <c r="Q168">
        <v>249</v>
      </c>
      <c r="R168">
        <v>249</v>
      </c>
      <c r="T168" t="s">
        <v>1862</v>
      </c>
      <c r="U168">
        <v>1</v>
      </c>
      <c r="V168" t="s">
        <v>1364</v>
      </c>
      <c r="X168" t="s">
        <v>433</v>
      </c>
      <c r="Y168" t="s">
        <v>1709</v>
      </c>
      <c r="Z168" t="s">
        <v>1710</v>
      </c>
      <c r="AA168" t="s">
        <v>1711</v>
      </c>
      <c r="AB168" t="s">
        <v>1712</v>
      </c>
      <c r="AC168" t="s">
        <v>1765</v>
      </c>
      <c r="AF168" t="s">
        <v>1766</v>
      </c>
      <c r="AG168" t="s">
        <v>1372</v>
      </c>
      <c r="AJ168" t="s">
        <v>1649</v>
      </c>
      <c r="AK168">
        <v>0</v>
      </c>
      <c r="AO168" t="s">
        <v>1372</v>
      </c>
      <c r="AP168" t="s">
        <v>1373</v>
      </c>
    </row>
    <row r="169" hidden="1" spans="1:42">
      <c r="A169" t="s">
        <v>2136</v>
      </c>
      <c r="B169" t="s">
        <v>1356</v>
      </c>
      <c r="C169" t="s">
        <v>1375</v>
      </c>
      <c r="D169" t="s">
        <v>1358</v>
      </c>
      <c r="F169" t="s">
        <v>1377</v>
      </c>
      <c r="G169" s="45">
        <v>44808.8668287037</v>
      </c>
      <c r="H169" s="45">
        <v>44808.8669444444</v>
      </c>
      <c r="J169" t="s">
        <v>407</v>
      </c>
      <c r="M169">
        <v>19.9</v>
      </c>
      <c r="N169">
        <v>0</v>
      </c>
      <c r="O169">
        <v>0</v>
      </c>
      <c r="P169">
        <v>0</v>
      </c>
      <c r="Q169">
        <v>19.9</v>
      </c>
      <c r="R169">
        <v>19.9</v>
      </c>
      <c r="T169" t="s">
        <v>1858</v>
      </c>
      <c r="U169">
        <v>1</v>
      </c>
      <c r="V169" t="s">
        <v>1364</v>
      </c>
      <c r="X169" t="s">
        <v>629</v>
      </c>
      <c r="Y169" t="s">
        <v>2137</v>
      </c>
      <c r="Z169" t="s">
        <v>1513</v>
      </c>
      <c r="AA169" t="s">
        <v>2138</v>
      </c>
      <c r="AB169" t="s">
        <v>2139</v>
      </c>
      <c r="AC169" t="s">
        <v>2140</v>
      </c>
      <c r="AF169" t="s">
        <v>2141</v>
      </c>
      <c r="AG169" t="s">
        <v>1385</v>
      </c>
      <c r="AH169" t="s">
        <v>2137</v>
      </c>
      <c r="AK169">
        <v>0</v>
      </c>
      <c r="AO169" t="s">
        <v>1372</v>
      </c>
      <c r="AP169" t="s">
        <v>1373</v>
      </c>
    </row>
    <row r="170" hidden="1" spans="1:42">
      <c r="A170" t="s">
        <v>2142</v>
      </c>
      <c r="B170" t="s">
        <v>1356</v>
      </c>
      <c r="C170" t="s">
        <v>1375</v>
      </c>
      <c r="D170" t="s">
        <v>1358</v>
      </c>
      <c r="F170" t="s">
        <v>1359</v>
      </c>
      <c r="G170" s="45">
        <v>44808.8667708333</v>
      </c>
      <c r="H170" s="45">
        <v>44808.8668981481</v>
      </c>
      <c r="J170" t="s">
        <v>407</v>
      </c>
      <c r="M170">
        <v>19.9</v>
      </c>
      <c r="N170">
        <v>0</v>
      </c>
      <c r="O170">
        <v>0</v>
      </c>
      <c r="P170">
        <v>0</v>
      </c>
      <c r="Q170">
        <v>19.9</v>
      </c>
      <c r="R170">
        <v>19.9</v>
      </c>
      <c r="T170" t="s">
        <v>1527</v>
      </c>
      <c r="U170">
        <v>1</v>
      </c>
      <c r="V170" t="s">
        <v>1364</v>
      </c>
      <c r="X170" t="s">
        <v>620</v>
      </c>
      <c r="Y170" t="s">
        <v>2143</v>
      </c>
      <c r="Z170" t="s">
        <v>1466</v>
      </c>
      <c r="AA170" t="s">
        <v>1835</v>
      </c>
      <c r="AB170" t="s">
        <v>2144</v>
      </c>
      <c r="AC170" t="s">
        <v>2145</v>
      </c>
      <c r="AF170" t="s">
        <v>2146</v>
      </c>
      <c r="AG170" t="s">
        <v>1372</v>
      </c>
      <c r="AK170">
        <v>0</v>
      </c>
      <c r="AO170" t="s">
        <v>1372</v>
      </c>
      <c r="AP170" t="s">
        <v>1373</v>
      </c>
    </row>
    <row r="171" hidden="1" spans="1:42">
      <c r="A171" t="s">
        <v>2147</v>
      </c>
      <c r="B171" t="s">
        <v>1356</v>
      </c>
      <c r="C171" t="s">
        <v>1375</v>
      </c>
      <c r="D171" t="s">
        <v>1358</v>
      </c>
      <c r="F171" t="s">
        <v>1377</v>
      </c>
      <c r="G171" s="45">
        <v>44808.8667013889</v>
      </c>
      <c r="H171" s="45">
        <v>44808.8674768519</v>
      </c>
      <c r="J171" t="s">
        <v>407</v>
      </c>
      <c r="M171">
        <v>19.9</v>
      </c>
      <c r="N171">
        <v>0</v>
      </c>
      <c r="O171">
        <v>0</v>
      </c>
      <c r="P171">
        <v>0</v>
      </c>
      <c r="Q171">
        <v>19.9</v>
      </c>
      <c r="R171">
        <v>19.9</v>
      </c>
      <c r="T171" t="s">
        <v>1540</v>
      </c>
      <c r="U171">
        <v>1</v>
      </c>
      <c r="V171" t="s">
        <v>1364</v>
      </c>
      <c r="X171" t="s">
        <v>624</v>
      </c>
      <c r="Y171" t="s">
        <v>2148</v>
      </c>
      <c r="Z171" t="s">
        <v>1626</v>
      </c>
      <c r="AA171" t="s">
        <v>2149</v>
      </c>
      <c r="AB171" t="s">
        <v>2150</v>
      </c>
      <c r="AC171" t="s">
        <v>2151</v>
      </c>
      <c r="AF171" t="s">
        <v>2152</v>
      </c>
      <c r="AG171" t="s">
        <v>1385</v>
      </c>
      <c r="AH171" t="s">
        <v>2148</v>
      </c>
      <c r="AJ171" t="s">
        <v>1649</v>
      </c>
      <c r="AK171">
        <v>0</v>
      </c>
      <c r="AO171" t="s">
        <v>1372</v>
      </c>
      <c r="AP171" t="s">
        <v>1373</v>
      </c>
    </row>
    <row r="172" hidden="1" spans="1:42">
      <c r="A172" t="s">
        <v>2153</v>
      </c>
      <c r="B172" t="s">
        <v>1356</v>
      </c>
      <c r="C172" t="s">
        <v>1375</v>
      </c>
      <c r="D172" t="s">
        <v>1358</v>
      </c>
      <c r="F172" t="s">
        <v>1377</v>
      </c>
      <c r="G172" s="45">
        <v>44808.8665162037</v>
      </c>
      <c r="H172" s="45">
        <v>44808.8666435185</v>
      </c>
      <c r="J172" t="s">
        <v>407</v>
      </c>
      <c r="M172">
        <v>19.9</v>
      </c>
      <c r="N172">
        <v>0</v>
      </c>
      <c r="O172">
        <v>0</v>
      </c>
      <c r="P172">
        <v>0</v>
      </c>
      <c r="Q172">
        <v>19.9</v>
      </c>
      <c r="R172">
        <v>19.9</v>
      </c>
      <c r="T172" t="s">
        <v>1527</v>
      </c>
      <c r="U172">
        <v>1</v>
      </c>
      <c r="V172" t="s">
        <v>1364</v>
      </c>
      <c r="X172" t="s">
        <v>500</v>
      </c>
      <c r="Y172" t="s">
        <v>2154</v>
      </c>
      <c r="Z172" t="s">
        <v>1380</v>
      </c>
      <c r="AA172" t="s">
        <v>1409</v>
      </c>
      <c r="AB172" t="s">
        <v>2155</v>
      </c>
      <c r="AC172" t="s">
        <v>2156</v>
      </c>
      <c r="AF172" t="s">
        <v>2157</v>
      </c>
      <c r="AG172" t="s">
        <v>1372</v>
      </c>
      <c r="AK172">
        <v>0</v>
      </c>
      <c r="AO172" t="s">
        <v>1372</v>
      </c>
      <c r="AP172" t="s">
        <v>1373</v>
      </c>
    </row>
    <row r="173" hidden="1" spans="1:42">
      <c r="A173" t="s">
        <v>2158</v>
      </c>
      <c r="B173" t="s">
        <v>1356</v>
      </c>
      <c r="C173" t="s">
        <v>1375</v>
      </c>
      <c r="D173" t="s">
        <v>1358</v>
      </c>
      <c r="F173" t="s">
        <v>1377</v>
      </c>
      <c r="G173" s="45">
        <v>44808.8659722222</v>
      </c>
      <c r="H173" s="45">
        <v>44808.8660648148</v>
      </c>
      <c r="J173" t="s">
        <v>407</v>
      </c>
      <c r="M173">
        <v>19.9</v>
      </c>
      <c r="N173">
        <v>0</v>
      </c>
      <c r="O173">
        <v>0</v>
      </c>
      <c r="P173">
        <v>0</v>
      </c>
      <c r="Q173">
        <v>19.9</v>
      </c>
      <c r="R173">
        <v>19.9</v>
      </c>
      <c r="T173" t="s">
        <v>1504</v>
      </c>
      <c r="U173">
        <v>1</v>
      </c>
      <c r="V173" t="s">
        <v>1364</v>
      </c>
      <c r="X173" t="s">
        <v>489</v>
      </c>
      <c r="Y173" t="s">
        <v>2116</v>
      </c>
      <c r="Z173" t="s">
        <v>1466</v>
      </c>
      <c r="AA173" t="s">
        <v>1467</v>
      </c>
      <c r="AB173" t="s">
        <v>2117</v>
      </c>
      <c r="AC173" t="s">
        <v>2118</v>
      </c>
      <c r="AF173" t="s">
        <v>489</v>
      </c>
      <c r="AG173" t="s">
        <v>1385</v>
      </c>
      <c r="AH173" t="s">
        <v>2116</v>
      </c>
      <c r="AK173">
        <v>0</v>
      </c>
      <c r="AO173" t="s">
        <v>1372</v>
      </c>
      <c r="AP173" t="s">
        <v>1373</v>
      </c>
    </row>
    <row r="174" hidden="1" spans="1:42">
      <c r="A174" t="s">
        <v>2159</v>
      </c>
      <c r="B174" t="s">
        <v>1356</v>
      </c>
      <c r="C174" t="s">
        <v>1375</v>
      </c>
      <c r="D174" t="s">
        <v>1358</v>
      </c>
      <c r="F174" t="s">
        <v>1377</v>
      </c>
      <c r="G174" s="45">
        <v>44808.8654861111</v>
      </c>
      <c r="H174" s="45">
        <v>44808.8655671296</v>
      </c>
      <c r="J174" t="s">
        <v>407</v>
      </c>
      <c r="M174">
        <v>249</v>
      </c>
      <c r="N174">
        <v>0</v>
      </c>
      <c r="O174">
        <v>-1</v>
      </c>
      <c r="P174">
        <v>0</v>
      </c>
      <c r="Q174">
        <v>248</v>
      </c>
      <c r="R174">
        <v>248</v>
      </c>
      <c r="S174" t="s">
        <v>1414</v>
      </c>
      <c r="T174" t="s">
        <v>2160</v>
      </c>
      <c r="U174">
        <v>1</v>
      </c>
      <c r="V174" t="s">
        <v>1364</v>
      </c>
      <c r="X174" t="s">
        <v>401</v>
      </c>
      <c r="Y174" t="s">
        <v>2161</v>
      </c>
      <c r="Z174" t="s">
        <v>2028</v>
      </c>
      <c r="AA174" t="s">
        <v>2162</v>
      </c>
      <c r="AB174" t="s">
        <v>2163</v>
      </c>
      <c r="AC174" t="s">
        <v>2164</v>
      </c>
      <c r="AF174" t="s">
        <v>401</v>
      </c>
      <c r="AG174" t="s">
        <v>1385</v>
      </c>
      <c r="AH174" t="s">
        <v>2161</v>
      </c>
      <c r="AK174">
        <v>0</v>
      </c>
      <c r="AO174" t="s">
        <v>1372</v>
      </c>
      <c r="AP174" t="s">
        <v>1373</v>
      </c>
    </row>
    <row r="175" hidden="1" spans="1:42">
      <c r="A175" t="s">
        <v>2165</v>
      </c>
      <c r="B175" t="s">
        <v>1356</v>
      </c>
      <c r="C175" t="s">
        <v>1375</v>
      </c>
      <c r="D175" t="s">
        <v>1358</v>
      </c>
      <c r="F175" t="s">
        <v>1377</v>
      </c>
      <c r="G175" s="45">
        <v>44808.8636805556</v>
      </c>
      <c r="H175" s="45">
        <v>44808.8638078704</v>
      </c>
      <c r="J175" t="s">
        <v>407</v>
      </c>
      <c r="M175">
        <v>249</v>
      </c>
      <c r="N175">
        <v>0</v>
      </c>
      <c r="O175">
        <v>-1</v>
      </c>
      <c r="P175">
        <v>0</v>
      </c>
      <c r="Q175">
        <v>248</v>
      </c>
      <c r="R175">
        <v>248</v>
      </c>
      <c r="S175" t="s">
        <v>1414</v>
      </c>
      <c r="T175" t="s">
        <v>2166</v>
      </c>
      <c r="U175">
        <v>1</v>
      </c>
      <c r="V175" t="s">
        <v>1364</v>
      </c>
      <c r="X175" t="s">
        <v>435</v>
      </c>
      <c r="Y175" t="s">
        <v>2167</v>
      </c>
      <c r="Z175" t="s">
        <v>1380</v>
      </c>
      <c r="AA175" t="s">
        <v>1455</v>
      </c>
      <c r="AB175" t="s">
        <v>2168</v>
      </c>
      <c r="AC175" t="s">
        <v>2169</v>
      </c>
      <c r="AF175" t="s">
        <v>2170</v>
      </c>
      <c r="AG175" t="s">
        <v>1385</v>
      </c>
      <c r="AH175" t="s">
        <v>2167</v>
      </c>
      <c r="AK175">
        <v>0</v>
      </c>
      <c r="AO175" t="s">
        <v>1372</v>
      </c>
      <c r="AP175" t="s">
        <v>1373</v>
      </c>
    </row>
    <row r="176" hidden="1" spans="1:42">
      <c r="A176" t="s">
        <v>2171</v>
      </c>
      <c r="B176" t="s">
        <v>1356</v>
      </c>
      <c r="C176" t="s">
        <v>1357</v>
      </c>
      <c r="D176" t="s">
        <v>1358</v>
      </c>
      <c r="F176" t="s">
        <v>1359</v>
      </c>
      <c r="G176" s="45">
        <v>44808.8602893519</v>
      </c>
      <c r="H176" s="45">
        <v>44808.8604513889</v>
      </c>
      <c r="J176" t="s">
        <v>1360</v>
      </c>
      <c r="K176" t="s">
        <v>2172</v>
      </c>
      <c r="L176" t="s">
        <v>2173</v>
      </c>
      <c r="M176">
        <v>69</v>
      </c>
      <c r="N176">
        <v>0</v>
      </c>
      <c r="O176">
        <v>0</v>
      </c>
      <c r="P176">
        <v>0</v>
      </c>
      <c r="Q176">
        <v>69</v>
      </c>
      <c r="R176">
        <v>69</v>
      </c>
      <c r="T176" t="s">
        <v>1669</v>
      </c>
      <c r="U176">
        <v>1</v>
      </c>
      <c r="V176" t="s">
        <v>1364</v>
      </c>
      <c r="X176" t="s">
        <v>2174</v>
      </c>
      <c r="Y176" t="s">
        <v>2175</v>
      </c>
      <c r="Z176" t="s">
        <v>1430</v>
      </c>
      <c r="AA176" t="s">
        <v>1688</v>
      </c>
      <c r="AB176" t="s">
        <v>2176</v>
      </c>
      <c r="AC176" t="s">
        <v>2177</v>
      </c>
      <c r="AF176" t="s">
        <v>2178</v>
      </c>
      <c r="AG176" t="s">
        <v>1385</v>
      </c>
      <c r="AH176" t="s">
        <v>2175</v>
      </c>
      <c r="AK176">
        <v>0</v>
      </c>
      <c r="AO176" t="s">
        <v>1372</v>
      </c>
      <c r="AP176" t="s">
        <v>1373</v>
      </c>
    </row>
    <row r="177" hidden="1" spans="1:42">
      <c r="A177" t="s">
        <v>2179</v>
      </c>
      <c r="B177" t="s">
        <v>1356</v>
      </c>
      <c r="C177" t="s">
        <v>1375</v>
      </c>
      <c r="D177" t="s">
        <v>1358</v>
      </c>
      <c r="F177" t="s">
        <v>1377</v>
      </c>
      <c r="G177" s="45">
        <v>44808.8599537037</v>
      </c>
      <c r="H177" s="45">
        <v>44808.8603472222</v>
      </c>
      <c r="J177" t="s">
        <v>407</v>
      </c>
      <c r="M177">
        <v>39.9</v>
      </c>
      <c r="N177">
        <v>0</v>
      </c>
      <c r="O177">
        <v>0</v>
      </c>
      <c r="P177">
        <v>0</v>
      </c>
      <c r="Q177">
        <v>39.9</v>
      </c>
      <c r="R177">
        <v>39.9</v>
      </c>
      <c r="T177" t="s">
        <v>2180</v>
      </c>
      <c r="U177">
        <v>1</v>
      </c>
      <c r="V177" t="s">
        <v>1364</v>
      </c>
      <c r="X177" t="s">
        <v>429</v>
      </c>
      <c r="Y177" t="s">
        <v>2035</v>
      </c>
      <c r="Z177" t="s">
        <v>1367</v>
      </c>
      <c r="AA177" t="s">
        <v>1943</v>
      </c>
      <c r="AB177" t="s">
        <v>1944</v>
      </c>
      <c r="AC177" t="s">
        <v>2036</v>
      </c>
      <c r="AF177" t="s">
        <v>429</v>
      </c>
      <c r="AG177" t="s">
        <v>1372</v>
      </c>
      <c r="AH177" t="s">
        <v>2035</v>
      </c>
      <c r="AK177">
        <v>0</v>
      </c>
      <c r="AO177" t="s">
        <v>1372</v>
      </c>
      <c r="AP177" t="s">
        <v>1373</v>
      </c>
    </row>
    <row r="178" hidden="1" spans="1:42">
      <c r="A178" t="s">
        <v>2181</v>
      </c>
      <c r="B178" t="s">
        <v>1356</v>
      </c>
      <c r="C178" t="s">
        <v>1375</v>
      </c>
      <c r="D178" t="s">
        <v>1358</v>
      </c>
      <c r="F178" t="s">
        <v>1359</v>
      </c>
      <c r="G178" s="45">
        <v>44808.8598726852</v>
      </c>
      <c r="H178" s="45">
        <v>44808.86</v>
      </c>
      <c r="J178" t="s">
        <v>407</v>
      </c>
      <c r="M178">
        <v>39.9</v>
      </c>
      <c r="N178">
        <v>0</v>
      </c>
      <c r="O178">
        <v>-1</v>
      </c>
      <c r="P178">
        <v>0</v>
      </c>
      <c r="Q178">
        <v>38.9</v>
      </c>
      <c r="R178">
        <v>38.9</v>
      </c>
      <c r="S178" t="s">
        <v>1414</v>
      </c>
      <c r="T178" t="s">
        <v>2182</v>
      </c>
      <c r="U178">
        <v>1</v>
      </c>
      <c r="V178" t="s">
        <v>1364</v>
      </c>
      <c r="X178" t="s">
        <v>405</v>
      </c>
      <c r="Y178" t="s">
        <v>2183</v>
      </c>
      <c r="Z178" t="s">
        <v>1626</v>
      </c>
      <c r="AA178" t="s">
        <v>1627</v>
      </c>
      <c r="AB178" t="s">
        <v>2184</v>
      </c>
      <c r="AC178" t="s">
        <v>2185</v>
      </c>
      <c r="AF178" t="s">
        <v>2186</v>
      </c>
      <c r="AG178" t="s">
        <v>1385</v>
      </c>
      <c r="AH178" t="s">
        <v>2183</v>
      </c>
      <c r="AK178">
        <v>0</v>
      </c>
      <c r="AO178" t="s">
        <v>1372</v>
      </c>
      <c r="AP178" t="s">
        <v>1373</v>
      </c>
    </row>
    <row r="179" hidden="1" spans="1:42">
      <c r="A179" t="s">
        <v>2187</v>
      </c>
      <c r="B179" t="s">
        <v>1356</v>
      </c>
      <c r="C179" t="s">
        <v>1375</v>
      </c>
      <c r="D179" t="s">
        <v>1358</v>
      </c>
      <c r="F179" t="s">
        <v>1377</v>
      </c>
      <c r="G179" s="45">
        <v>44808.8598032407</v>
      </c>
      <c r="H179" s="45">
        <v>44808.8599768519</v>
      </c>
      <c r="J179" t="s">
        <v>407</v>
      </c>
      <c r="M179">
        <v>39.9</v>
      </c>
      <c r="N179">
        <v>0</v>
      </c>
      <c r="O179">
        <v>0</v>
      </c>
      <c r="P179">
        <v>0</v>
      </c>
      <c r="Q179">
        <v>39.9</v>
      </c>
      <c r="R179">
        <v>39.9</v>
      </c>
      <c r="T179" t="s">
        <v>2059</v>
      </c>
      <c r="U179">
        <v>1</v>
      </c>
      <c r="V179" t="s">
        <v>1364</v>
      </c>
      <c r="X179" t="s">
        <v>500</v>
      </c>
      <c r="Y179" t="s">
        <v>2154</v>
      </c>
      <c r="Z179" t="s">
        <v>1380</v>
      </c>
      <c r="AA179" t="s">
        <v>1409</v>
      </c>
      <c r="AB179" t="s">
        <v>2155</v>
      </c>
      <c r="AC179" t="s">
        <v>2156</v>
      </c>
      <c r="AF179" t="s">
        <v>2157</v>
      </c>
      <c r="AG179" t="s">
        <v>1372</v>
      </c>
      <c r="AK179">
        <v>0</v>
      </c>
      <c r="AO179" t="s">
        <v>1372</v>
      </c>
      <c r="AP179" t="s">
        <v>1373</v>
      </c>
    </row>
    <row r="180" hidden="1" spans="1:42">
      <c r="A180" t="s">
        <v>2188</v>
      </c>
      <c r="B180" t="s">
        <v>1356</v>
      </c>
      <c r="C180" t="s">
        <v>1375</v>
      </c>
      <c r="D180" t="s">
        <v>1358</v>
      </c>
      <c r="F180" t="s">
        <v>1359</v>
      </c>
      <c r="G180" s="45">
        <v>44808.8597453704</v>
      </c>
      <c r="H180" s="45">
        <v>44808.8599421296</v>
      </c>
      <c r="J180" t="s">
        <v>407</v>
      </c>
      <c r="M180">
        <v>39.9</v>
      </c>
      <c r="N180">
        <v>0</v>
      </c>
      <c r="O180">
        <v>0</v>
      </c>
      <c r="P180">
        <v>0</v>
      </c>
      <c r="Q180">
        <v>39.9</v>
      </c>
      <c r="R180">
        <v>39.9</v>
      </c>
      <c r="T180" t="s">
        <v>2189</v>
      </c>
      <c r="U180">
        <v>1</v>
      </c>
      <c r="V180" t="s">
        <v>1364</v>
      </c>
      <c r="X180" t="s">
        <v>519</v>
      </c>
      <c r="Y180" t="s">
        <v>2190</v>
      </c>
      <c r="Z180" t="s">
        <v>1466</v>
      </c>
      <c r="AA180" t="s">
        <v>1835</v>
      </c>
      <c r="AB180" t="s">
        <v>2191</v>
      </c>
      <c r="AC180" t="s">
        <v>2192</v>
      </c>
      <c r="AF180" t="s">
        <v>2193</v>
      </c>
      <c r="AG180" t="s">
        <v>1372</v>
      </c>
      <c r="AK180">
        <v>0</v>
      </c>
      <c r="AO180" t="s">
        <v>1372</v>
      </c>
      <c r="AP180" t="s">
        <v>1373</v>
      </c>
    </row>
    <row r="181" hidden="1" spans="1:42">
      <c r="A181" t="s">
        <v>2194</v>
      </c>
      <c r="B181" t="s">
        <v>1356</v>
      </c>
      <c r="C181" t="s">
        <v>1375</v>
      </c>
      <c r="D181" t="s">
        <v>1358</v>
      </c>
      <c r="F181" t="s">
        <v>1377</v>
      </c>
      <c r="G181" s="45">
        <v>44808.8594907407</v>
      </c>
      <c r="H181" s="45">
        <v>44808.8598958333</v>
      </c>
      <c r="J181" t="s">
        <v>407</v>
      </c>
      <c r="M181">
        <v>39.9</v>
      </c>
      <c r="N181">
        <v>0</v>
      </c>
      <c r="O181">
        <v>-1</v>
      </c>
      <c r="P181">
        <v>0</v>
      </c>
      <c r="Q181">
        <v>38.9</v>
      </c>
      <c r="R181">
        <v>38.9</v>
      </c>
      <c r="S181" t="s">
        <v>1414</v>
      </c>
      <c r="T181" t="s">
        <v>2195</v>
      </c>
      <c r="U181">
        <v>1</v>
      </c>
      <c r="V181" t="s">
        <v>1364</v>
      </c>
      <c r="X181" t="s">
        <v>475</v>
      </c>
      <c r="Y181" t="s">
        <v>2196</v>
      </c>
      <c r="Z181" t="s">
        <v>1495</v>
      </c>
      <c r="AA181" t="s">
        <v>2197</v>
      </c>
      <c r="AB181" t="s">
        <v>2198</v>
      </c>
      <c r="AC181" t="s">
        <v>2199</v>
      </c>
      <c r="AF181" t="s">
        <v>475</v>
      </c>
      <c r="AG181" t="s">
        <v>1372</v>
      </c>
      <c r="AH181" t="s">
        <v>2196</v>
      </c>
      <c r="AK181">
        <v>0</v>
      </c>
      <c r="AO181" t="s">
        <v>1372</v>
      </c>
      <c r="AP181" t="s">
        <v>1373</v>
      </c>
    </row>
    <row r="182" hidden="1" spans="1:42">
      <c r="A182" t="s">
        <v>2200</v>
      </c>
      <c r="B182" t="s">
        <v>1356</v>
      </c>
      <c r="C182" t="s">
        <v>1375</v>
      </c>
      <c r="D182" t="s">
        <v>1358</v>
      </c>
      <c r="F182" t="s">
        <v>1377</v>
      </c>
      <c r="G182" s="45">
        <v>44808.8593287037</v>
      </c>
      <c r="H182" s="45">
        <v>44808.8594907407</v>
      </c>
      <c r="J182" t="s">
        <v>407</v>
      </c>
      <c r="M182">
        <v>39.9</v>
      </c>
      <c r="N182">
        <v>0</v>
      </c>
      <c r="O182">
        <v>-3</v>
      </c>
      <c r="P182">
        <v>0</v>
      </c>
      <c r="Q182">
        <v>36.9</v>
      </c>
      <c r="R182">
        <v>36.9</v>
      </c>
      <c r="S182" t="s">
        <v>1397</v>
      </c>
      <c r="T182" t="s">
        <v>2068</v>
      </c>
      <c r="U182">
        <v>1</v>
      </c>
      <c r="V182" t="s">
        <v>1364</v>
      </c>
      <c r="X182" t="s">
        <v>435</v>
      </c>
      <c r="Y182" t="s">
        <v>2167</v>
      </c>
      <c r="Z182" t="s">
        <v>1380</v>
      </c>
      <c r="AA182" t="s">
        <v>1455</v>
      </c>
      <c r="AB182" t="s">
        <v>2168</v>
      </c>
      <c r="AC182" t="s">
        <v>2169</v>
      </c>
      <c r="AF182" t="s">
        <v>2170</v>
      </c>
      <c r="AG182" t="s">
        <v>1385</v>
      </c>
      <c r="AH182" t="s">
        <v>2167</v>
      </c>
      <c r="AJ182" t="s">
        <v>1649</v>
      </c>
      <c r="AK182">
        <v>0</v>
      </c>
      <c r="AO182" t="s">
        <v>1372</v>
      </c>
      <c r="AP182" t="s">
        <v>1373</v>
      </c>
    </row>
    <row r="183" hidden="1" spans="1:42">
      <c r="A183" t="s">
        <v>2201</v>
      </c>
      <c r="B183" t="s">
        <v>1356</v>
      </c>
      <c r="C183" t="s">
        <v>1375</v>
      </c>
      <c r="D183" t="s">
        <v>1358</v>
      </c>
      <c r="F183" t="s">
        <v>1377</v>
      </c>
      <c r="G183" s="45">
        <v>44808.8591666667</v>
      </c>
      <c r="H183" s="45">
        <v>44808.8593518519</v>
      </c>
      <c r="J183" t="s">
        <v>407</v>
      </c>
      <c r="M183">
        <v>19.9</v>
      </c>
      <c r="N183">
        <v>0</v>
      </c>
      <c r="O183">
        <v>0</v>
      </c>
      <c r="P183">
        <v>0</v>
      </c>
      <c r="Q183">
        <v>19.9</v>
      </c>
      <c r="R183">
        <v>19.9</v>
      </c>
      <c r="T183" t="s">
        <v>1484</v>
      </c>
      <c r="U183">
        <v>1</v>
      </c>
      <c r="V183" t="s">
        <v>1364</v>
      </c>
      <c r="X183" t="s">
        <v>544</v>
      </c>
      <c r="Y183" t="s">
        <v>1964</v>
      </c>
      <c r="Z183" t="s">
        <v>1430</v>
      </c>
      <c r="AA183" t="s">
        <v>1965</v>
      </c>
      <c r="AB183" t="s">
        <v>1966</v>
      </c>
      <c r="AC183" t="s">
        <v>1967</v>
      </c>
      <c r="AF183" t="s">
        <v>1968</v>
      </c>
      <c r="AG183" t="s">
        <v>1372</v>
      </c>
      <c r="AK183">
        <v>0</v>
      </c>
      <c r="AO183" t="s">
        <v>1372</v>
      </c>
      <c r="AP183" t="s">
        <v>1373</v>
      </c>
    </row>
    <row r="184" hidden="1" spans="1:42">
      <c r="A184" t="s">
        <v>2202</v>
      </c>
      <c r="B184" t="s">
        <v>1356</v>
      </c>
      <c r="C184" t="s">
        <v>1375</v>
      </c>
      <c r="D184" t="s">
        <v>1358</v>
      </c>
      <c r="F184" t="s">
        <v>1377</v>
      </c>
      <c r="G184" s="45">
        <v>44808.8590277778</v>
      </c>
      <c r="H184" s="45">
        <v>44808.8591550926</v>
      </c>
      <c r="J184" t="s">
        <v>407</v>
      </c>
      <c r="M184">
        <v>39.9</v>
      </c>
      <c r="N184">
        <v>0</v>
      </c>
      <c r="O184">
        <v>-1</v>
      </c>
      <c r="P184">
        <v>0</v>
      </c>
      <c r="Q184">
        <v>38.9</v>
      </c>
      <c r="R184">
        <v>38.9</v>
      </c>
      <c r="S184" t="s">
        <v>1414</v>
      </c>
      <c r="T184" t="s">
        <v>1897</v>
      </c>
      <c r="U184">
        <v>1</v>
      </c>
      <c r="V184" t="s">
        <v>1364</v>
      </c>
      <c r="X184" t="s">
        <v>511</v>
      </c>
      <c r="Y184" t="s">
        <v>2203</v>
      </c>
      <c r="Z184" t="s">
        <v>1606</v>
      </c>
      <c r="AA184" t="s">
        <v>2204</v>
      </c>
      <c r="AB184" t="s">
        <v>2205</v>
      </c>
      <c r="AC184" t="s">
        <v>2206</v>
      </c>
      <c r="AF184" t="s">
        <v>2207</v>
      </c>
      <c r="AG184" t="s">
        <v>1372</v>
      </c>
      <c r="AH184" t="s">
        <v>2203</v>
      </c>
      <c r="AK184">
        <v>0</v>
      </c>
      <c r="AO184" t="s">
        <v>1372</v>
      </c>
      <c r="AP184" t="s">
        <v>1373</v>
      </c>
    </row>
    <row r="185" hidden="1" spans="1:42">
      <c r="A185" t="s">
        <v>2208</v>
      </c>
      <c r="B185" t="s">
        <v>1356</v>
      </c>
      <c r="C185" t="s">
        <v>1375</v>
      </c>
      <c r="D185" t="s">
        <v>1358</v>
      </c>
      <c r="F185" t="s">
        <v>1377</v>
      </c>
      <c r="G185" s="45">
        <v>44808.8589583333</v>
      </c>
      <c r="H185" s="45">
        <v>44808.8591435185</v>
      </c>
      <c r="J185" t="s">
        <v>407</v>
      </c>
      <c r="M185">
        <v>39.9</v>
      </c>
      <c r="N185">
        <v>0</v>
      </c>
      <c r="O185">
        <v>0</v>
      </c>
      <c r="P185">
        <v>0</v>
      </c>
      <c r="Q185">
        <v>39.9</v>
      </c>
      <c r="R185">
        <v>39.9</v>
      </c>
      <c r="T185" t="s">
        <v>2066</v>
      </c>
      <c r="U185">
        <v>1</v>
      </c>
      <c r="V185" t="s">
        <v>1364</v>
      </c>
      <c r="X185" t="s">
        <v>506</v>
      </c>
      <c r="Y185" t="s">
        <v>2209</v>
      </c>
      <c r="Z185" t="s">
        <v>1430</v>
      </c>
      <c r="AA185" t="s">
        <v>2210</v>
      </c>
      <c r="AB185" t="s">
        <v>2211</v>
      </c>
      <c r="AC185" t="s">
        <v>2212</v>
      </c>
      <c r="AF185" t="s">
        <v>2213</v>
      </c>
      <c r="AG185" t="s">
        <v>1372</v>
      </c>
      <c r="AK185">
        <v>0</v>
      </c>
      <c r="AO185" t="s">
        <v>1372</v>
      </c>
      <c r="AP185" t="s">
        <v>1373</v>
      </c>
    </row>
    <row r="186" hidden="1" spans="1:42">
      <c r="A186" t="s">
        <v>2214</v>
      </c>
      <c r="B186" t="s">
        <v>1356</v>
      </c>
      <c r="C186" t="s">
        <v>1375</v>
      </c>
      <c r="D186" t="s">
        <v>1358</v>
      </c>
      <c r="F186" t="s">
        <v>1377</v>
      </c>
      <c r="G186" s="45">
        <v>44808.8587152778</v>
      </c>
      <c r="H186" s="45">
        <v>44808.8588425926</v>
      </c>
      <c r="J186" t="s">
        <v>407</v>
      </c>
      <c r="M186">
        <v>39.9</v>
      </c>
      <c r="N186">
        <v>0</v>
      </c>
      <c r="O186">
        <v>-3</v>
      </c>
      <c r="P186">
        <v>0</v>
      </c>
      <c r="Q186">
        <v>36.9</v>
      </c>
      <c r="R186">
        <v>36.9</v>
      </c>
      <c r="S186" t="s">
        <v>1397</v>
      </c>
      <c r="T186" t="s">
        <v>2215</v>
      </c>
      <c r="U186">
        <v>1</v>
      </c>
      <c r="V186" t="s">
        <v>1364</v>
      </c>
      <c r="X186" t="s">
        <v>435</v>
      </c>
      <c r="Y186" t="s">
        <v>2167</v>
      </c>
      <c r="Z186" t="s">
        <v>1380</v>
      </c>
      <c r="AA186" t="s">
        <v>1455</v>
      </c>
      <c r="AB186" t="s">
        <v>2168</v>
      </c>
      <c r="AC186" t="s">
        <v>2169</v>
      </c>
      <c r="AF186" t="s">
        <v>2170</v>
      </c>
      <c r="AG186" t="s">
        <v>1385</v>
      </c>
      <c r="AH186" t="s">
        <v>2167</v>
      </c>
      <c r="AK186">
        <v>0</v>
      </c>
      <c r="AO186" t="s">
        <v>1372</v>
      </c>
      <c r="AP186" t="s">
        <v>1373</v>
      </c>
    </row>
    <row r="187" hidden="1" spans="1:42">
      <c r="A187" t="s">
        <v>2216</v>
      </c>
      <c r="B187" t="s">
        <v>1356</v>
      </c>
      <c r="C187" t="s">
        <v>1375</v>
      </c>
      <c r="D187" t="s">
        <v>1358</v>
      </c>
      <c r="F187" t="s">
        <v>1377</v>
      </c>
      <c r="G187" s="45">
        <v>44808.8587152778</v>
      </c>
      <c r="H187" s="45">
        <v>44808.8588078704</v>
      </c>
      <c r="J187" t="s">
        <v>407</v>
      </c>
      <c r="M187">
        <v>39.9</v>
      </c>
      <c r="N187">
        <v>0</v>
      </c>
      <c r="O187">
        <v>-1</v>
      </c>
      <c r="P187">
        <v>0</v>
      </c>
      <c r="Q187">
        <v>38.9</v>
      </c>
      <c r="R187">
        <v>38.9</v>
      </c>
      <c r="S187" t="s">
        <v>1414</v>
      </c>
      <c r="T187" t="s">
        <v>2059</v>
      </c>
      <c r="U187">
        <v>1</v>
      </c>
      <c r="V187" t="s">
        <v>1364</v>
      </c>
      <c r="X187" t="s">
        <v>478</v>
      </c>
      <c r="Y187" t="s">
        <v>2217</v>
      </c>
      <c r="Z187" t="s">
        <v>1367</v>
      </c>
      <c r="AA187" t="s">
        <v>1943</v>
      </c>
      <c r="AB187" t="s">
        <v>2039</v>
      </c>
      <c r="AC187" t="s">
        <v>2218</v>
      </c>
      <c r="AF187" t="s">
        <v>2219</v>
      </c>
      <c r="AG187" t="s">
        <v>1372</v>
      </c>
      <c r="AH187" t="s">
        <v>2217</v>
      </c>
      <c r="AK187">
        <v>0</v>
      </c>
      <c r="AO187" t="s">
        <v>1372</v>
      </c>
      <c r="AP187" t="s">
        <v>1373</v>
      </c>
    </row>
    <row r="188" hidden="1" spans="1:42">
      <c r="A188" t="s">
        <v>2220</v>
      </c>
      <c r="B188" t="s">
        <v>1356</v>
      </c>
      <c r="C188" t="s">
        <v>1375</v>
      </c>
      <c r="D188" t="s">
        <v>1358</v>
      </c>
      <c r="F188" t="s">
        <v>1377</v>
      </c>
      <c r="G188" s="45">
        <v>44808.857337963</v>
      </c>
      <c r="H188" s="45">
        <v>44808.8575</v>
      </c>
      <c r="J188" t="s">
        <v>407</v>
      </c>
      <c r="M188">
        <v>19.9</v>
      </c>
      <c r="N188">
        <v>0</v>
      </c>
      <c r="O188">
        <v>0</v>
      </c>
      <c r="P188">
        <v>0</v>
      </c>
      <c r="Q188">
        <v>19.9</v>
      </c>
      <c r="R188">
        <v>19.9</v>
      </c>
      <c r="T188" t="s">
        <v>1578</v>
      </c>
      <c r="U188">
        <v>1</v>
      </c>
      <c r="V188" t="s">
        <v>1364</v>
      </c>
      <c r="X188" t="s">
        <v>460</v>
      </c>
      <c r="Y188" t="s">
        <v>1722</v>
      </c>
      <c r="Z188" t="s">
        <v>1513</v>
      </c>
      <c r="AA188" t="s">
        <v>1596</v>
      </c>
      <c r="AB188" t="s">
        <v>1597</v>
      </c>
      <c r="AC188" t="s">
        <v>1723</v>
      </c>
      <c r="AF188" t="s">
        <v>2129</v>
      </c>
      <c r="AG188" t="s">
        <v>1372</v>
      </c>
      <c r="AK188">
        <v>0</v>
      </c>
      <c r="AO188" t="s">
        <v>1372</v>
      </c>
      <c r="AP188" t="s">
        <v>1373</v>
      </c>
    </row>
    <row r="189" hidden="1" spans="1:42">
      <c r="A189" t="s">
        <v>2221</v>
      </c>
      <c r="B189" t="s">
        <v>1356</v>
      </c>
      <c r="C189" t="s">
        <v>1375</v>
      </c>
      <c r="D189" t="s">
        <v>1358</v>
      </c>
      <c r="F189" t="s">
        <v>1359</v>
      </c>
      <c r="G189" s="45">
        <v>44808.8562268519</v>
      </c>
      <c r="H189" s="45">
        <v>44808.8564236111</v>
      </c>
      <c r="J189" t="s">
        <v>407</v>
      </c>
      <c r="M189">
        <v>39.9</v>
      </c>
      <c r="N189">
        <v>0</v>
      </c>
      <c r="O189">
        <v>-3</v>
      </c>
      <c r="P189">
        <v>0</v>
      </c>
      <c r="Q189">
        <v>36.9</v>
      </c>
      <c r="R189">
        <v>36.9</v>
      </c>
      <c r="S189" t="s">
        <v>1397</v>
      </c>
      <c r="T189" t="s">
        <v>1907</v>
      </c>
      <c r="U189">
        <v>1</v>
      </c>
      <c r="V189" t="s">
        <v>1364</v>
      </c>
      <c r="X189" t="s">
        <v>557</v>
      </c>
      <c r="Y189" t="s">
        <v>2222</v>
      </c>
      <c r="Z189" t="s">
        <v>1367</v>
      </c>
      <c r="AA189" t="s">
        <v>1368</v>
      </c>
      <c r="AB189" t="s">
        <v>2223</v>
      </c>
      <c r="AC189" t="s">
        <v>2224</v>
      </c>
      <c r="AF189" t="s">
        <v>2225</v>
      </c>
      <c r="AG189" t="s">
        <v>1385</v>
      </c>
      <c r="AH189" t="s">
        <v>2222</v>
      </c>
      <c r="AK189">
        <v>0</v>
      </c>
      <c r="AO189" t="s">
        <v>1372</v>
      </c>
      <c r="AP189" t="s">
        <v>1373</v>
      </c>
    </row>
    <row r="190" hidden="1" spans="1:42">
      <c r="A190" t="s">
        <v>2226</v>
      </c>
      <c r="B190" t="s">
        <v>1356</v>
      </c>
      <c r="C190" t="s">
        <v>1375</v>
      </c>
      <c r="D190" t="s">
        <v>1358</v>
      </c>
      <c r="F190" t="s">
        <v>1377</v>
      </c>
      <c r="G190" s="45">
        <v>44808.8556944444</v>
      </c>
      <c r="H190" s="45">
        <v>44808.8562152778</v>
      </c>
      <c r="J190" t="s">
        <v>407</v>
      </c>
      <c r="M190">
        <v>39.9</v>
      </c>
      <c r="N190">
        <v>0</v>
      </c>
      <c r="O190">
        <v>0</v>
      </c>
      <c r="P190">
        <v>0</v>
      </c>
      <c r="Q190">
        <v>39.9</v>
      </c>
      <c r="R190">
        <v>39.9</v>
      </c>
      <c r="T190" t="s">
        <v>1907</v>
      </c>
      <c r="U190">
        <v>1</v>
      </c>
      <c r="V190" t="s">
        <v>1364</v>
      </c>
      <c r="X190" t="s">
        <v>539</v>
      </c>
      <c r="Y190" t="s">
        <v>2227</v>
      </c>
      <c r="Z190" t="s">
        <v>1367</v>
      </c>
      <c r="AA190" t="s">
        <v>1615</v>
      </c>
      <c r="AB190" t="s">
        <v>1929</v>
      </c>
      <c r="AC190" t="s">
        <v>2228</v>
      </c>
      <c r="AF190" t="s">
        <v>2229</v>
      </c>
      <c r="AG190" t="s">
        <v>1372</v>
      </c>
      <c r="AK190">
        <v>0</v>
      </c>
      <c r="AO190" t="s">
        <v>1372</v>
      </c>
      <c r="AP190" t="s">
        <v>1373</v>
      </c>
    </row>
    <row r="191" hidden="1" spans="1:42">
      <c r="A191" t="s">
        <v>2230</v>
      </c>
      <c r="B191" t="s">
        <v>1356</v>
      </c>
      <c r="C191" t="s">
        <v>1375</v>
      </c>
      <c r="D191" t="s">
        <v>1358</v>
      </c>
      <c r="F191" t="s">
        <v>1377</v>
      </c>
      <c r="G191" s="45">
        <v>44808.8556481482</v>
      </c>
      <c r="H191" s="45">
        <v>44808.8559606482</v>
      </c>
      <c r="J191" t="s">
        <v>407</v>
      </c>
      <c r="M191">
        <v>39.9</v>
      </c>
      <c r="N191">
        <v>0</v>
      </c>
      <c r="O191">
        <v>-1</v>
      </c>
      <c r="P191">
        <v>0</v>
      </c>
      <c r="Q191">
        <v>38.9</v>
      </c>
      <c r="R191">
        <v>38.9</v>
      </c>
      <c r="S191" t="s">
        <v>1414</v>
      </c>
      <c r="T191" t="s">
        <v>2231</v>
      </c>
      <c r="U191">
        <v>1</v>
      </c>
      <c r="V191" t="s">
        <v>1364</v>
      </c>
      <c r="X191" t="s">
        <v>545</v>
      </c>
      <c r="Y191" t="s">
        <v>2232</v>
      </c>
      <c r="Z191" t="s">
        <v>1367</v>
      </c>
      <c r="AA191" t="s">
        <v>1899</v>
      </c>
      <c r="AB191" t="s">
        <v>1900</v>
      </c>
      <c r="AC191" t="s">
        <v>2233</v>
      </c>
      <c r="AF191" t="s">
        <v>2234</v>
      </c>
      <c r="AG191" t="s">
        <v>1385</v>
      </c>
      <c r="AH191" t="s">
        <v>2232</v>
      </c>
      <c r="AK191">
        <v>0</v>
      </c>
      <c r="AO191" t="s">
        <v>1372</v>
      </c>
      <c r="AP191" t="s">
        <v>1373</v>
      </c>
    </row>
    <row r="192" hidden="1" spans="1:42">
      <c r="A192" t="s">
        <v>2235</v>
      </c>
      <c r="B192" t="s">
        <v>1356</v>
      </c>
      <c r="C192" t="s">
        <v>1375</v>
      </c>
      <c r="D192" t="s">
        <v>1358</v>
      </c>
      <c r="F192" t="s">
        <v>1377</v>
      </c>
      <c r="G192" s="45">
        <v>44808.8556018519</v>
      </c>
      <c r="H192" s="45">
        <v>44808.8557291667</v>
      </c>
      <c r="J192" t="s">
        <v>407</v>
      </c>
      <c r="M192">
        <v>39.9</v>
      </c>
      <c r="N192">
        <v>0</v>
      </c>
      <c r="O192">
        <v>-3</v>
      </c>
      <c r="P192">
        <v>0</v>
      </c>
      <c r="Q192">
        <v>36.9</v>
      </c>
      <c r="R192">
        <v>36.9</v>
      </c>
      <c r="S192" t="s">
        <v>1397</v>
      </c>
      <c r="T192" t="s">
        <v>1491</v>
      </c>
      <c r="U192">
        <v>1</v>
      </c>
      <c r="V192" t="s">
        <v>1364</v>
      </c>
      <c r="X192" t="s">
        <v>428</v>
      </c>
      <c r="Y192" t="s">
        <v>2236</v>
      </c>
      <c r="Z192" t="s">
        <v>2028</v>
      </c>
      <c r="AA192" t="s">
        <v>2237</v>
      </c>
      <c r="AB192" t="s">
        <v>2238</v>
      </c>
      <c r="AC192" t="s">
        <v>2239</v>
      </c>
      <c r="AF192" t="s">
        <v>2236</v>
      </c>
      <c r="AG192" t="s">
        <v>1372</v>
      </c>
      <c r="AH192" t="s">
        <v>2236</v>
      </c>
      <c r="AK192">
        <v>0</v>
      </c>
      <c r="AO192" t="s">
        <v>1372</v>
      </c>
      <c r="AP192" t="s">
        <v>1373</v>
      </c>
    </row>
    <row r="193" hidden="1" spans="1:42">
      <c r="A193" t="s">
        <v>2240</v>
      </c>
      <c r="B193" t="s">
        <v>1356</v>
      </c>
      <c r="C193" t="s">
        <v>1375</v>
      </c>
      <c r="D193" t="s">
        <v>1358</v>
      </c>
      <c r="F193" t="s">
        <v>1377</v>
      </c>
      <c r="G193" s="45">
        <v>44808.855474537</v>
      </c>
      <c r="H193" s="45">
        <v>44808.8559027778</v>
      </c>
      <c r="J193" t="s">
        <v>407</v>
      </c>
      <c r="M193">
        <v>39.9</v>
      </c>
      <c r="N193">
        <v>0</v>
      </c>
      <c r="O193">
        <v>0</v>
      </c>
      <c r="P193">
        <v>0</v>
      </c>
      <c r="Q193">
        <v>39.9</v>
      </c>
      <c r="R193">
        <v>39.9</v>
      </c>
      <c r="T193" t="s">
        <v>2241</v>
      </c>
      <c r="U193">
        <v>1</v>
      </c>
      <c r="V193" t="s">
        <v>1364</v>
      </c>
      <c r="X193" t="s">
        <v>475</v>
      </c>
      <c r="Y193" t="s">
        <v>2196</v>
      </c>
      <c r="Z193" t="s">
        <v>1495</v>
      </c>
      <c r="AA193" t="s">
        <v>2197</v>
      </c>
      <c r="AB193" t="s">
        <v>2198</v>
      </c>
      <c r="AC193" t="s">
        <v>2199</v>
      </c>
      <c r="AF193" t="s">
        <v>475</v>
      </c>
      <c r="AG193" t="s">
        <v>1372</v>
      </c>
      <c r="AH193" t="s">
        <v>2196</v>
      </c>
      <c r="AK193">
        <v>0</v>
      </c>
      <c r="AO193" t="s">
        <v>1372</v>
      </c>
      <c r="AP193" t="s">
        <v>1373</v>
      </c>
    </row>
    <row r="194" hidden="1" spans="1:42">
      <c r="A194" t="s">
        <v>2242</v>
      </c>
      <c r="B194" t="s">
        <v>1356</v>
      </c>
      <c r="C194" t="s">
        <v>1375</v>
      </c>
      <c r="D194" t="s">
        <v>1358</v>
      </c>
      <c r="F194" t="s">
        <v>1377</v>
      </c>
      <c r="G194" s="45">
        <v>44808.8553935185</v>
      </c>
      <c r="H194" s="45">
        <v>44808.8558912037</v>
      </c>
      <c r="J194" t="s">
        <v>407</v>
      </c>
      <c r="M194">
        <v>39.9</v>
      </c>
      <c r="N194">
        <v>0</v>
      </c>
      <c r="O194">
        <v>0</v>
      </c>
      <c r="P194">
        <v>0</v>
      </c>
      <c r="Q194">
        <v>39.9</v>
      </c>
      <c r="R194">
        <v>39.9</v>
      </c>
      <c r="T194" t="s">
        <v>1676</v>
      </c>
      <c r="U194">
        <v>1</v>
      </c>
      <c r="V194" t="s">
        <v>1364</v>
      </c>
      <c r="X194" t="s">
        <v>523</v>
      </c>
      <c r="Y194" t="s">
        <v>2243</v>
      </c>
      <c r="Z194" t="s">
        <v>1695</v>
      </c>
      <c r="AA194" t="s">
        <v>2244</v>
      </c>
      <c r="AB194" t="s">
        <v>2245</v>
      </c>
      <c r="AC194" t="s">
        <v>2246</v>
      </c>
      <c r="AF194" t="s">
        <v>2247</v>
      </c>
      <c r="AG194" t="s">
        <v>1372</v>
      </c>
      <c r="AH194" t="s">
        <v>2243</v>
      </c>
      <c r="AK194">
        <v>0</v>
      </c>
      <c r="AO194" t="s">
        <v>1372</v>
      </c>
      <c r="AP194" t="s">
        <v>1373</v>
      </c>
    </row>
    <row r="195" hidden="1" spans="1:42">
      <c r="A195" t="s">
        <v>2248</v>
      </c>
      <c r="B195" t="s">
        <v>1356</v>
      </c>
      <c r="C195" t="s">
        <v>1375</v>
      </c>
      <c r="D195" t="s">
        <v>1358</v>
      </c>
      <c r="F195" t="s">
        <v>1359</v>
      </c>
      <c r="G195" s="45">
        <v>44808.8553240741</v>
      </c>
      <c r="H195" s="45">
        <v>44808.8554513889</v>
      </c>
      <c r="J195" t="s">
        <v>407</v>
      </c>
      <c r="M195">
        <v>39.9</v>
      </c>
      <c r="N195">
        <v>0</v>
      </c>
      <c r="O195">
        <v>-3</v>
      </c>
      <c r="P195">
        <v>0</v>
      </c>
      <c r="Q195">
        <v>36.9</v>
      </c>
      <c r="R195">
        <v>36.9</v>
      </c>
      <c r="S195" t="s">
        <v>1397</v>
      </c>
      <c r="T195" t="s">
        <v>2249</v>
      </c>
      <c r="U195">
        <v>1</v>
      </c>
      <c r="V195" t="s">
        <v>1364</v>
      </c>
      <c r="X195" t="s">
        <v>559</v>
      </c>
      <c r="Y195" t="s">
        <v>2250</v>
      </c>
      <c r="Z195" t="s">
        <v>1794</v>
      </c>
      <c r="AA195" t="s">
        <v>2251</v>
      </c>
      <c r="AB195" t="s">
        <v>2252</v>
      </c>
      <c r="AC195" t="s">
        <v>2253</v>
      </c>
      <c r="AF195" t="s">
        <v>2254</v>
      </c>
      <c r="AG195" t="s">
        <v>1385</v>
      </c>
      <c r="AH195" t="s">
        <v>2250</v>
      </c>
      <c r="AK195">
        <v>0</v>
      </c>
      <c r="AO195" t="s">
        <v>1372</v>
      </c>
      <c r="AP195" t="s">
        <v>1373</v>
      </c>
    </row>
    <row r="196" hidden="1" spans="1:42">
      <c r="A196" t="s">
        <v>2255</v>
      </c>
      <c r="B196" t="s">
        <v>1356</v>
      </c>
      <c r="C196" t="s">
        <v>1375</v>
      </c>
      <c r="D196" t="s">
        <v>1358</v>
      </c>
      <c r="F196" t="s">
        <v>1377</v>
      </c>
      <c r="G196" s="45">
        <v>44808.8552662037</v>
      </c>
      <c r="H196" s="45">
        <v>44808.8553703704</v>
      </c>
      <c r="J196" t="s">
        <v>407</v>
      </c>
      <c r="M196">
        <v>39.9</v>
      </c>
      <c r="N196">
        <v>0</v>
      </c>
      <c r="O196">
        <v>-1</v>
      </c>
      <c r="P196">
        <v>0</v>
      </c>
      <c r="Q196">
        <v>38.9</v>
      </c>
      <c r="R196">
        <v>38.9</v>
      </c>
      <c r="S196" t="s">
        <v>1414</v>
      </c>
      <c r="T196" t="s">
        <v>2086</v>
      </c>
      <c r="U196">
        <v>1</v>
      </c>
      <c r="V196" t="s">
        <v>1364</v>
      </c>
      <c r="X196" t="s">
        <v>513</v>
      </c>
      <c r="Y196" t="s">
        <v>2256</v>
      </c>
      <c r="Z196" t="s">
        <v>1367</v>
      </c>
      <c r="AA196" t="s">
        <v>1486</v>
      </c>
      <c r="AB196" t="s">
        <v>1487</v>
      </c>
      <c r="AC196" t="s">
        <v>2257</v>
      </c>
      <c r="AF196" t="s">
        <v>2258</v>
      </c>
      <c r="AG196" t="s">
        <v>1385</v>
      </c>
      <c r="AH196" t="s">
        <v>2256</v>
      </c>
      <c r="AK196">
        <v>0</v>
      </c>
      <c r="AO196" t="s">
        <v>1372</v>
      </c>
      <c r="AP196" t="s">
        <v>1373</v>
      </c>
    </row>
    <row r="197" hidden="1" spans="1:42">
      <c r="A197" t="s">
        <v>2259</v>
      </c>
      <c r="B197" t="s">
        <v>1356</v>
      </c>
      <c r="C197" t="s">
        <v>1375</v>
      </c>
      <c r="D197" t="s">
        <v>1358</v>
      </c>
      <c r="F197" t="s">
        <v>1377</v>
      </c>
      <c r="G197" s="45">
        <v>44808.8551736111</v>
      </c>
      <c r="H197" s="45">
        <v>44808.8553240741</v>
      </c>
      <c r="J197" t="s">
        <v>407</v>
      </c>
      <c r="M197">
        <v>39.9</v>
      </c>
      <c r="N197">
        <v>0</v>
      </c>
      <c r="O197">
        <v>-3</v>
      </c>
      <c r="P197">
        <v>0</v>
      </c>
      <c r="Q197">
        <v>36.9</v>
      </c>
      <c r="R197">
        <v>36.9</v>
      </c>
      <c r="S197" t="s">
        <v>1397</v>
      </c>
      <c r="T197" t="s">
        <v>1811</v>
      </c>
      <c r="U197">
        <v>1</v>
      </c>
      <c r="V197" t="s">
        <v>1364</v>
      </c>
      <c r="X197" t="s">
        <v>565</v>
      </c>
      <c r="Y197" t="s">
        <v>2260</v>
      </c>
      <c r="Z197" t="s">
        <v>1380</v>
      </c>
      <c r="AA197" t="s">
        <v>1381</v>
      </c>
      <c r="AB197" t="s">
        <v>1382</v>
      </c>
      <c r="AC197" t="s">
        <v>2261</v>
      </c>
      <c r="AF197" t="s">
        <v>2262</v>
      </c>
      <c r="AG197" t="s">
        <v>1385</v>
      </c>
      <c r="AH197" t="s">
        <v>2260</v>
      </c>
      <c r="AK197">
        <v>0</v>
      </c>
      <c r="AO197" t="s">
        <v>1372</v>
      </c>
      <c r="AP197" t="s">
        <v>1373</v>
      </c>
    </row>
    <row r="198" hidden="1" spans="1:42">
      <c r="A198" t="s">
        <v>2263</v>
      </c>
      <c r="B198" t="s">
        <v>1356</v>
      </c>
      <c r="C198" t="s">
        <v>1375</v>
      </c>
      <c r="D198" t="s">
        <v>1376</v>
      </c>
      <c r="F198" t="s">
        <v>1377</v>
      </c>
      <c r="G198" s="45">
        <v>44808.8550115741</v>
      </c>
      <c r="M198">
        <v>39.9</v>
      </c>
      <c r="N198">
        <v>0</v>
      </c>
      <c r="O198">
        <v>-3</v>
      </c>
      <c r="P198">
        <v>0</v>
      </c>
      <c r="Q198">
        <v>36.9</v>
      </c>
      <c r="R198">
        <v>0</v>
      </c>
      <c r="S198" t="s">
        <v>1397</v>
      </c>
      <c r="T198" t="s">
        <v>2080</v>
      </c>
      <c r="U198">
        <v>1</v>
      </c>
      <c r="V198" t="s">
        <v>1364</v>
      </c>
      <c r="X198" t="s">
        <v>2264</v>
      </c>
      <c r="Y198" t="s">
        <v>2265</v>
      </c>
      <c r="Z198" t="s">
        <v>1466</v>
      </c>
      <c r="AA198" t="s">
        <v>2266</v>
      </c>
      <c r="AB198" t="s">
        <v>2267</v>
      </c>
      <c r="AC198" t="s">
        <v>2268</v>
      </c>
      <c r="AF198" t="s">
        <v>2269</v>
      </c>
      <c r="AG198" t="s">
        <v>1385</v>
      </c>
      <c r="AH198" t="s">
        <v>2265</v>
      </c>
      <c r="AK198">
        <v>0</v>
      </c>
      <c r="AO198" t="s">
        <v>1372</v>
      </c>
      <c r="AP198" t="s">
        <v>1373</v>
      </c>
    </row>
    <row r="199" hidden="1" spans="1:42">
      <c r="A199" t="s">
        <v>2270</v>
      </c>
      <c r="B199" t="s">
        <v>1356</v>
      </c>
      <c r="C199" t="s">
        <v>1375</v>
      </c>
      <c r="D199" t="s">
        <v>1358</v>
      </c>
      <c r="F199" t="s">
        <v>1377</v>
      </c>
      <c r="G199" s="45">
        <v>44808.8547916667</v>
      </c>
      <c r="H199" s="45">
        <v>44808.8548958333</v>
      </c>
      <c r="J199" t="s">
        <v>407</v>
      </c>
      <c r="M199">
        <v>39.9</v>
      </c>
      <c r="N199">
        <v>0</v>
      </c>
      <c r="O199">
        <v>-2</v>
      </c>
      <c r="P199">
        <v>0</v>
      </c>
      <c r="Q199">
        <v>37.9</v>
      </c>
      <c r="R199">
        <v>37.9</v>
      </c>
      <c r="S199" t="s">
        <v>1400</v>
      </c>
      <c r="T199" t="s">
        <v>1676</v>
      </c>
      <c r="U199">
        <v>1</v>
      </c>
      <c r="V199" t="s">
        <v>1364</v>
      </c>
      <c r="X199" t="s">
        <v>403</v>
      </c>
      <c r="Y199" t="s">
        <v>2271</v>
      </c>
      <c r="Z199" t="s">
        <v>1430</v>
      </c>
      <c r="AA199" t="s">
        <v>1965</v>
      </c>
      <c r="AB199" t="s">
        <v>1966</v>
      </c>
      <c r="AC199" t="s">
        <v>2272</v>
      </c>
      <c r="AF199" t="s">
        <v>2273</v>
      </c>
      <c r="AG199" t="s">
        <v>1385</v>
      </c>
      <c r="AH199" t="s">
        <v>2271</v>
      </c>
      <c r="AK199">
        <v>0</v>
      </c>
      <c r="AO199" t="s">
        <v>1372</v>
      </c>
      <c r="AP199" t="s">
        <v>1373</v>
      </c>
    </row>
    <row r="200" hidden="1" spans="1:42">
      <c r="A200" t="s">
        <v>2274</v>
      </c>
      <c r="B200" t="s">
        <v>1356</v>
      </c>
      <c r="C200" t="s">
        <v>1375</v>
      </c>
      <c r="D200" t="s">
        <v>1358</v>
      </c>
      <c r="F200" t="s">
        <v>1377</v>
      </c>
      <c r="G200" s="45">
        <v>44808.8546296296</v>
      </c>
      <c r="H200" s="45">
        <v>44808.8547106481</v>
      </c>
      <c r="J200" t="s">
        <v>407</v>
      </c>
      <c r="M200">
        <v>39.9</v>
      </c>
      <c r="N200">
        <v>0</v>
      </c>
      <c r="O200">
        <v>0</v>
      </c>
      <c r="P200">
        <v>0</v>
      </c>
      <c r="Q200">
        <v>39.9</v>
      </c>
      <c r="R200">
        <v>39.9</v>
      </c>
      <c r="T200" t="s">
        <v>2086</v>
      </c>
      <c r="U200">
        <v>1</v>
      </c>
      <c r="V200" t="s">
        <v>1364</v>
      </c>
      <c r="X200" t="s">
        <v>504</v>
      </c>
      <c r="Y200" t="s">
        <v>2275</v>
      </c>
      <c r="Z200" t="s">
        <v>1794</v>
      </c>
      <c r="AA200" t="s">
        <v>2276</v>
      </c>
      <c r="AB200" t="s">
        <v>2277</v>
      </c>
      <c r="AC200" t="s">
        <v>2278</v>
      </c>
      <c r="AF200" t="s">
        <v>2279</v>
      </c>
      <c r="AG200" t="s">
        <v>1372</v>
      </c>
      <c r="AK200">
        <v>0</v>
      </c>
      <c r="AO200" t="s">
        <v>1372</v>
      </c>
      <c r="AP200" t="s">
        <v>1373</v>
      </c>
    </row>
    <row r="201" hidden="1" spans="1:42">
      <c r="A201" t="s">
        <v>2280</v>
      </c>
      <c r="B201" t="s">
        <v>1356</v>
      </c>
      <c r="C201" t="s">
        <v>1375</v>
      </c>
      <c r="D201" t="s">
        <v>1358</v>
      </c>
      <c r="F201" t="s">
        <v>1377</v>
      </c>
      <c r="G201" s="45">
        <v>44808.8540162037</v>
      </c>
      <c r="H201" s="45">
        <v>44808.8541782407</v>
      </c>
      <c r="J201" t="s">
        <v>407</v>
      </c>
      <c r="M201">
        <v>19.9</v>
      </c>
      <c r="N201">
        <v>0</v>
      </c>
      <c r="O201">
        <v>0</v>
      </c>
      <c r="P201">
        <v>0</v>
      </c>
      <c r="Q201">
        <v>19.9</v>
      </c>
      <c r="R201">
        <v>19.9</v>
      </c>
      <c r="T201" t="s">
        <v>1519</v>
      </c>
      <c r="U201">
        <v>1</v>
      </c>
      <c r="V201" t="s">
        <v>1364</v>
      </c>
      <c r="X201" t="s">
        <v>578</v>
      </c>
      <c r="Y201" t="s">
        <v>2281</v>
      </c>
      <c r="Z201" t="s">
        <v>1430</v>
      </c>
      <c r="AA201" t="s">
        <v>2088</v>
      </c>
      <c r="AB201" t="s">
        <v>2282</v>
      </c>
      <c r="AC201" t="s">
        <v>2283</v>
      </c>
      <c r="AF201" t="s">
        <v>2284</v>
      </c>
      <c r="AG201" t="s">
        <v>1385</v>
      </c>
      <c r="AH201" t="s">
        <v>2285</v>
      </c>
      <c r="AK201">
        <v>0</v>
      </c>
      <c r="AO201" t="s">
        <v>1372</v>
      </c>
      <c r="AP201" t="s">
        <v>1373</v>
      </c>
    </row>
    <row r="202" hidden="1" spans="1:42">
      <c r="A202" t="s">
        <v>2286</v>
      </c>
      <c r="B202" t="s">
        <v>1356</v>
      </c>
      <c r="C202" t="s">
        <v>1375</v>
      </c>
      <c r="D202" t="s">
        <v>1358</v>
      </c>
      <c r="F202" t="s">
        <v>1377</v>
      </c>
      <c r="G202" s="45">
        <v>44808.8536226852</v>
      </c>
      <c r="H202" s="45">
        <v>44808.8538078704</v>
      </c>
      <c r="J202" t="s">
        <v>407</v>
      </c>
      <c r="M202">
        <v>19.9</v>
      </c>
      <c r="N202">
        <v>0</v>
      </c>
      <c r="O202">
        <v>0</v>
      </c>
      <c r="P202">
        <v>0</v>
      </c>
      <c r="Q202">
        <v>19.9</v>
      </c>
      <c r="R202">
        <v>19.9</v>
      </c>
      <c r="T202" t="s">
        <v>1858</v>
      </c>
      <c r="U202">
        <v>1</v>
      </c>
      <c r="V202" t="s">
        <v>1364</v>
      </c>
      <c r="X202" t="s">
        <v>618</v>
      </c>
      <c r="Y202" t="s">
        <v>2287</v>
      </c>
      <c r="Z202" t="s">
        <v>2028</v>
      </c>
      <c r="AA202" t="s">
        <v>2288</v>
      </c>
      <c r="AB202" t="s">
        <v>2289</v>
      </c>
      <c r="AC202" t="s">
        <v>2290</v>
      </c>
      <c r="AF202" t="s">
        <v>2291</v>
      </c>
      <c r="AG202" t="s">
        <v>1385</v>
      </c>
      <c r="AH202" t="s">
        <v>2287</v>
      </c>
      <c r="AK202">
        <v>0</v>
      </c>
      <c r="AO202" t="s">
        <v>1372</v>
      </c>
      <c r="AP202" t="s">
        <v>1373</v>
      </c>
    </row>
    <row r="203" hidden="1" spans="1:42">
      <c r="A203" t="s">
        <v>2292</v>
      </c>
      <c r="B203" t="s">
        <v>1356</v>
      </c>
      <c r="C203" t="s">
        <v>1375</v>
      </c>
      <c r="D203" t="s">
        <v>1358</v>
      </c>
      <c r="F203" t="s">
        <v>1377</v>
      </c>
      <c r="G203" s="45">
        <v>44808.852962963</v>
      </c>
      <c r="H203" s="45">
        <v>44808.853125</v>
      </c>
      <c r="J203" t="s">
        <v>407</v>
      </c>
      <c r="M203">
        <v>19.9</v>
      </c>
      <c r="N203">
        <v>0</v>
      </c>
      <c r="O203">
        <v>0</v>
      </c>
      <c r="P203">
        <v>0</v>
      </c>
      <c r="Q203">
        <v>19.9</v>
      </c>
      <c r="R203">
        <v>19.9</v>
      </c>
      <c r="T203" t="s">
        <v>1733</v>
      </c>
      <c r="U203">
        <v>1</v>
      </c>
      <c r="V203" t="s">
        <v>1364</v>
      </c>
      <c r="X203" t="s">
        <v>504</v>
      </c>
      <c r="Y203" t="s">
        <v>2275</v>
      </c>
      <c r="Z203" t="s">
        <v>1794</v>
      </c>
      <c r="AA203" t="s">
        <v>2276</v>
      </c>
      <c r="AB203" t="s">
        <v>2277</v>
      </c>
      <c r="AC203" t="s">
        <v>2278</v>
      </c>
      <c r="AF203" t="s">
        <v>2279</v>
      </c>
      <c r="AG203" t="s">
        <v>1372</v>
      </c>
      <c r="AK203">
        <v>0</v>
      </c>
      <c r="AO203" t="s">
        <v>1372</v>
      </c>
      <c r="AP203" t="s">
        <v>1373</v>
      </c>
    </row>
    <row r="204" hidden="1" spans="1:42">
      <c r="A204" t="s">
        <v>2293</v>
      </c>
      <c r="B204" t="s">
        <v>1356</v>
      </c>
      <c r="C204" t="s">
        <v>1375</v>
      </c>
      <c r="D204" t="s">
        <v>1358</v>
      </c>
      <c r="F204" t="s">
        <v>1377</v>
      </c>
      <c r="G204" s="45">
        <v>44808.8528009259</v>
      </c>
      <c r="H204" s="45">
        <v>44808.8530208333</v>
      </c>
      <c r="J204" t="s">
        <v>407</v>
      </c>
      <c r="M204">
        <v>19.9</v>
      </c>
      <c r="N204">
        <v>0</v>
      </c>
      <c r="O204">
        <v>0</v>
      </c>
      <c r="P204">
        <v>0</v>
      </c>
      <c r="Q204">
        <v>19.9</v>
      </c>
      <c r="R204">
        <v>19.9</v>
      </c>
      <c r="T204" t="s">
        <v>1529</v>
      </c>
      <c r="U204">
        <v>1</v>
      </c>
      <c r="V204" t="s">
        <v>1364</v>
      </c>
      <c r="X204" t="s">
        <v>429</v>
      </c>
      <c r="Y204" t="s">
        <v>2035</v>
      </c>
      <c r="Z204" t="s">
        <v>1367</v>
      </c>
      <c r="AA204" t="s">
        <v>1943</v>
      </c>
      <c r="AB204" t="s">
        <v>1944</v>
      </c>
      <c r="AC204" t="s">
        <v>2036</v>
      </c>
      <c r="AF204" t="s">
        <v>429</v>
      </c>
      <c r="AG204" t="s">
        <v>1372</v>
      </c>
      <c r="AH204" t="s">
        <v>2035</v>
      </c>
      <c r="AK204">
        <v>0</v>
      </c>
      <c r="AO204" t="s">
        <v>1372</v>
      </c>
      <c r="AP204" t="s">
        <v>1373</v>
      </c>
    </row>
    <row r="205" hidden="1" spans="1:42">
      <c r="A205" t="s">
        <v>2294</v>
      </c>
      <c r="B205" t="s">
        <v>1356</v>
      </c>
      <c r="C205" t="s">
        <v>1375</v>
      </c>
      <c r="D205" t="s">
        <v>1358</v>
      </c>
      <c r="F205" t="s">
        <v>1377</v>
      </c>
      <c r="G205" s="45">
        <v>44808.8526736111</v>
      </c>
      <c r="H205" s="45">
        <v>44808.852962963</v>
      </c>
      <c r="J205" t="s">
        <v>407</v>
      </c>
      <c r="M205">
        <v>19.9</v>
      </c>
      <c r="N205">
        <v>0</v>
      </c>
      <c r="O205">
        <v>0</v>
      </c>
      <c r="P205">
        <v>0</v>
      </c>
      <c r="Q205">
        <v>19.9</v>
      </c>
      <c r="R205">
        <v>19.9</v>
      </c>
      <c r="T205" t="s">
        <v>1540</v>
      </c>
      <c r="U205">
        <v>1</v>
      </c>
      <c r="V205" t="s">
        <v>1364</v>
      </c>
      <c r="X205" t="s">
        <v>475</v>
      </c>
      <c r="Y205" t="s">
        <v>2196</v>
      </c>
      <c r="Z205" t="s">
        <v>1495</v>
      </c>
      <c r="AA205" t="s">
        <v>2197</v>
      </c>
      <c r="AB205" t="s">
        <v>2198</v>
      </c>
      <c r="AC205" t="s">
        <v>2199</v>
      </c>
      <c r="AF205" t="s">
        <v>475</v>
      </c>
      <c r="AG205" t="s">
        <v>1372</v>
      </c>
      <c r="AH205" t="s">
        <v>2196</v>
      </c>
      <c r="AK205">
        <v>0</v>
      </c>
      <c r="AL205" t="s">
        <v>2295</v>
      </c>
      <c r="AO205" t="s">
        <v>1372</v>
      </c>
      <c r="AP205" t="s">
        <v>1373</v>
      </c>
    </row>
    <row r="206" hidden="1" spans="1:42">
      <c r="A206" t="s">
        <v>2296</v>
      </c>
      <c r="B206" t="s">
        <v>1356</v>
      </c>
      <c r="C206" t="s">
        <v>1375</v>
      </c>
      <c r="D206" t="s">
        <v>1358</v>
      </c>
      <c r="F206" t="s">
        <v>1377</v>
      </c>
      <c r="G206" s="45">
        <v>44808.8524537037</v>
      </c>
      <c r="H206" s="45">
        <v>44808.8525578704</v>
      </c>
      <c r="J206" t="s">
        <v>407</v>
      </c>
      <c r="M206">
        <v>19.9</v>
      </c>
      <c r="N206">
        <v>10</v>
      </c>
      <c r="O206">
        <v>0</v>
      </c>
      <c r="P206">
        <v>0</v>
      </c>
      <c r="Q206">
        <v>29.9</v>
      </c>
      <c r="R206">
        <v>29.9</v>
      </c>
      <c r="T206" t="s">
        <v>1540</v>
      </c>
      <c r="U206">
        <v>1</v>
      </c>
      <c r="V206" t="s">
        <v>1364</v>
      </c>
      <c r="X206" t="s">
        <v>430</v>
      </c>
      <c r="Y206" t="s">
        <v>2297</v>
      </c>
      <c r="Z206" t="s">
        <v>2298</v>
      </c>
      <c r="AA206" t="s">
        <v>2299</v>
      </c>
      <c r="AB206" t="s">
        <v>2300</v>
      </c>
      <c r="AC206" t="s">
        <v>2301</v>
      </c>
      <c r="AF206" t="s">
        <v>2302</v>
      </c>
      <c r="AG206" t="s">
        <v>1372</v>
      </c>
      <c r="AH206" t="s">
        <v>2297</v>
      </c>
      <c r="AK206">
        <v>0</v>
      </c>
      <c r="AO206" t="s">
        <v>1372</v>
      </c>
      <c r="AP206" t="s">
        <v>1373</v>
      </c>
    </row>
    <row r="207" hidden="1" spans="1:42">
      <c r="A207" t="s">
        <v>2303</v>
      </c>
      <c r="B207" t="s">
        <v>1356</v>
      </c>
      <c r="C207" t="s">
        <v>1375</v>
      </c>
      <c r="D207" t="s">
        <v>1358</v>
      </c>
      <c r="F207" t="s">
        <v>1377</v>
      </c>
      <c r="G207" s="45">
        <v>44808.8524421296</v>
      </c>
      <c r="H207" s="45">
        <v>44808.8527777778</v>
      </c>
      <c r="J207" t="s">
        <v>407</v>
      </c>
      <c r="M207">
        <v>19.9</v>
      </c>
      <c r="N207">
        <v>0</v>
      </c>
      <c r="O207">
        <v>0</v>
      </c>
      <c r="P207">
        <v>0</v>
      </c>
      <c r="Q207">
        <v>19.9</v>
      </c>
      <c r="R207">
        <v>19.9</v>
      </c>
      <c r="T207" t="s">
        <v>1529</v>
      </c>
      <c r="U207">
        <v>1</v>
      </c>
      <c r="V207" t="s">
        <v>1364</v>
      </c>
      <c r="X207" t="s">
        <v>511</v>
      </c>
      <c r="Y207" t="s">
        <v>2203</v>
      </c>
      <c r="Z207" t="s">
        <v>1606</v>
      </c>
      <c r="AA207" t="s">
        <v>2204</v>
      </c>
      <c r="AB207" t="s">
        <v>2205</v>
      </c>
      <c r="AC207" t="s">
        <v>2206</v>
      </c>
      <c r="AF207" t="s">
        <v>2207</v>
      </c>
      <c r="AG207" t="s">
        <v>1372</v>
      </c>
      <c r="AH207" t="s">
        <v>2203</v>
      </c>
      <c r="AK207">
        <v>0</v>
      </c>
      <c r="AO207" t="s">
        <v>1372</v>
      </c>
      <c r="AP207" t="s">
        <v>1373</v>
      </c>
    </row>
    <row r="208" hidden="1" spans="1:42">
      <c r="A208" t="s">
        <v>2304</v>
      </c>
      <c r="B208" t="s">
        <v>1356</v>
      </c>
      <c r="C208" t="s">
        <v>1375</v>
      </c>
      <c r="D208" t="s">
        <v>1358</v>
      </c>
      <c r="F208" t="s">
        <v>1377</v>
      </c>
      <c r="G208" s="45">
        <v>44808.8522685185</v>
      </c>
      <c r="H208" s="45">
        <v>44808.8523842593</v>
      </c>
      <c r="J208" t="s">
        <v>407</v>
      </c>
      <c r="M208">
        <v>19.9</v>
      </c>
      <c r="N208">
        <v>0</v>
      </c>
      <c r="O208">
        <v>0</v>
      </c>
      <c r="P208">
        <v>0</v>
      </c>
      <c r="Q208">
        <v>19.9</v>
      </c>
      <c r="R208">
        <v>19.9</v>
      </c>
      <c r="T208" t="s">
        <v>1831</v>
      </c>
      <c r="U208">
        <v>1</v>
      </c>
      <c r="V208" t="s">
        <v>1364</v>
      </c>
      <c r="X208" t="s">
        <v>594</v>
      </c>
      <c r="Y208" t="s">
        <v>2305</v>
      </c>
      <c r="Z208" t="s">
        <v>1678</v>
      </c>
      <c r="AA208" t="s">
        <v>1892</v>
      </c>
      <c r="AB208" t="s">
        <v>2306</v>
      </c>
      <c r="AC208" t="s">
        <v>2307</v>
      </c>
      <c r="AF208" t="s">
        <v>2308</v>
      </c>
      <c r="AG208" t="s">
        <v>1385</v>
      </c>
      <c r="AH208" t="s">
        <v>2305</v>
      </c>
      <c r="AK208">
        <v>0</v>
      </c>
      <c r="AO208" t="s">
        <v>1372</v>
      </c>
      <c r="AP208" t="s">
        <v>1373</v>
      </c>
    </row>
    <row r="209" hidden="1" spans="1:42">
      <c r="A209" t="s">
        <v>2309</v>
      </c>
      <c r="B209" t="s">
        <v>1356</v>
      </c>
      <c r="C209" t="s">
        <v>1357</v>
      </c>
      <c r="D209" t="s">
        <v>1358</v>
      </c>
      <c r="F209" t="s">
        <v>1359</v>
      </c>
      <c r="G209" s="45">
        <v>44808.8517708333</v>
      </c>
      <c r="H209" s="45">
        <v>44808.8519444444</v>
      </c>
      <c r="J209" t="s">
        <v>1360</v>
      </c>
      <c r="K209" t="s">
        <v>2310</v>
      </c>
      <c r="L209" t="s">
        <v>2311</v>
      </c>
      <c r="M209">
        <v>69</v>
      </c>
      <c r="N209">
        <v>0</v>
      </c>
      <c r="O209">
        <v>0</v>
      </c>
      <c r="P209">
        <v>0</v>
      </c>
      <c r="Q209">
        <v>69</v>
      </c>
      <c r="R209">
        <v>69</v>
      </c>
      <c r="T209" t="s">
        <v>1669</v>
      </c>
      <c r="U209">
        <v>1</v>
      </c>
      <c r="V209" t="s">
        <v>1364</v>
      </c>
      <c r="X209" t="s">
        <v>2312</v>
      </c>
      <c r="Y209" t="s">
        <v>2313</v>
      </c>
      <c r="Z209" t="s">
        <v>1678</v>
      </c>
      <c r="AA209" t="s">
        <v>1979</v>
      </c>
      <c r="AB209" t="s">
        <v>2314</v>
      </c>
      <c r="AC209" t="s">
        <v>2315</v>
      </c>
      <c r="AF209" t="s">
        <v>2316</v>
      </c>
      <c r="AG209" t="s">
        <v>1385</v>
      </c>
      <c r="AH209" t="s">
        <v>2313</v>
      </c>
      <c r="AK209">
        <v>0</v>
      </c>
      <c r="AO209" t="s">
        <v>1372</v>
      </c>
      <c r="AP209" t="s">
        <v>1373</v>
      </c>
    </row>
    <row r="210" hidden="1" spans="1:42">
      <c r="A210" t="s">
        <v>2317</v>
      </c>
      <c r="B210" t="s">
        <v>1356</v>
      </c>
      <c r="C210" t="s">
        <v>1375</v>
      </c>
      <c r="D210" t="s">
        <v>1376</v>
      </c>
      <c r="F210" t="s">
        <v>1377</v>
      </c>
      <c r="G210" s="45">
        <v>44808.850150463</v>
      </c>
      <c r="M210">
        <v>259</v>
      </c>
      <c r="N210">
        <v>0</v>
      </c>
      <c r="O210">
        <v>0</v>
      </c>
      <c r="P210">
        <v>0</v>
      </c>
      <c r="Q210">
        <v>259</v>
      </c>
      <c r="R210">
        <v>0</v>
      </c>
      <c r="T210" t="s">
        <v>1564</v>
      </c>
      <c r="U210">
        <v>1</v>
      </c>
      <c r="V210" t="s">
        <v>1364</v>
      </c>
      <c r="X210" t="s">
        <v>433</v>
      </c>
      <c r="Y210" t="s">
        <v>1709</v>
      </c>
      <c r="Z210" t="s">
        <v>1710</v>
      </c>
      <c r="AA210" t="s">
        <v>1711</v>
      </c>
      <c r="AB210" t="s">
        <v>1712</v>
      </c>
      <c r="AC210" t="s">
        <v>1765</v>
      </c>
      <c r="AF210" t="s">
        <v>1766</v>
      </c>
      <c r="AG210" t="s">
        <v>1372</v>
      </c>
      <c r="AK210">
        <v>0</v>
      </c>
      <c r="AO210" t="s">
        <v>1372</v>
      </c>
      <c r="AP210" t="s">
        <v>1373</v>
      </c>
    </row>
    <row r="211" hidden="1" spans="1:42">
      <c r="A211" t="s">
        <v>2318</v>
      </c>
      <c r="B211" t="s">
        <v>1356</v>
      </c>
      <c r="C211" t="s">
        <v>1375</v>
      </c>
      <c r="D211" t="s">
        <v>1358</v>
      </c>
      <c r="F211" t="s">
        <v>1359</v>
      </c>
      <c r="G211" s="45">
        <v>44808.8494097222</v>
      </c>
      <c r="H211" s="45">
        <v>44808.8498148148</v>
      </c>
      <c r="J211" t="s">
        <v>407</v>
      </c>
      <c r="M211">
        <v>259</v>
      </c>
      <c r="N211">
        <v>0</v>
      </c>
      <c r="O211">
        <v>0</v>
      </c>
      <c r="P211">
        <v>0</v>
      </c>
      <c r="Q211">
        <v>259</v>
      </c>
      <c r="R211">
        <v>259</v>
      </c>
      <c r="T211" t="s">
        <v>1564</v>
      </c>
      <c r="U211">
        <v>1</v>
      </c>
      <c r="V211" t="s">
        <v>1364</v>
      </c>
      <c r="X211" t="s">
        <v>442</v>
      </c>
      <c r="Y211" t="s">
        <v>2319</v>
      </c>
      <c r="Z211" t="s">
        <v>1367</v>
      </c>
      <c r="AA211" t="s">
        <v>1615</v>
      </c>
      <c r="AB211" t="s">
        <v>2320</v>
      </c>
      <c r="AC211" t="s">
        <v>2321</v>
      </c>
      <c r="AF211" t="s">
        <v>2322</v>
      </c>
      <c r="AG211" t="s">
        <v>1372</v>
      </c>
      <c r="AK211">
        <v>0</v>
      </c>
      <c r="AO211" t="s">
        <v>1372</v>
      </c>
      <c r="AP211" t="s">
        <v>1373</v>
      </c>
    </row>
    <row r="212" hidden="1" spans="1:42">
      <c r="A212" t="s">
        <v>2323</v>
      </c>
      <c r="B212" t="s">
        <v>1356</v>
      </c>
      <c r="C212" t="s">
        <v>1375</v>
      </c>
      <c r="D212" t="s">
        <v>1376</v>
      </c>
      <c r="F212" t="s">
        <v>1377</v>
      </c>
      <c r="G212" s="45">
        <v>44808.8489930556</v>
      </c>
      <c r="M212">
        <v>259</v>
      </c>
      <c r="N212">
        <v>0</v>
      </c>
      <c r="O212">
        <v>0</v>
      </c>
      <c r="P212">
        <v>0</v>
      </c>
      <c r="Q212">
        <v>259</v>
      </c>
      <c r="R212">
        <v>0</v>
      </c>
      <c r="T212" t="s">
        <v>1564</v>
      </c>
      <c r="U212">
        <v>1</v>
      </c>
      <c r="V212" t="s">
        <v>1364</v>
      </c>
      <c r="X212" t="s">
        <v>433</v>
      </c>
      <c r="Y212" t="s">
        <v>1709</v>
      </c>
      <c r="Z212" t="s">
        <v>1710</v>
      </c>
      <c r="AA212" t="s">
        <v>1711</v>
      </c>
      <c r="AB212" t="s">
        <v>1712</v>
      </c>
      <c r="AC212" t="s">
        <v>1765</v>
      </c>
      <c r="AF212" t="s">
        <v>1766</v>
      </c>
      <c r="AG212" t="s">
        <v>1372</v>
      </c>
      <c r="AK212">
        <v>0</v>
      </c>
      <c r="AO212" t="s">
        <v>1372</v>
      </c>
      <c r="AP212" t="s">
        <v>1373</v>
      </c>
    </row>
    <row r="213" hidden="1" spans="1:42">
      <c r="A213" t="s">
        <v>2324</v>
      </c>
      <c r="B213" t="s">
        <v>1356</v>
      </c>
      <c r="C213" t="s">
        <v>1375</v>
      </c>
      <c r="D213" t="s">
        <v>1358</v>
      </c>
      <c r="F213" t="s">
        <v>1359</v>
      </c>
      <c r="G213" s="45">
        <v>44808.8484722222</v>
      </c>
      <c r="H213" s="45">
        <v>44808.8492476852</v>
      </c>
      <c r="J213" t="s">
        <v>1360</v>
      </c>
      <c r="K213" t="s">
        <v>2325</v>
      </c>
      <c r="L213" t="s">
        <v>2326</v>
      </c>
      <c r="M213">
        <v>58</v>
      </c>
      <c r="N213">
        <v>0</v>
      </c>
      <c r="O213">
        <v>0</v>
      </c>
      <c r="P213">
        <v>0</v>
      </c>
      <c r="Q213">
        <v>58</v>
      </c>
      <c r="R213">
        <v>58</v>
      </c>
      <c r="T213" t="s">
        <v>2327</v>
      </c>
      <c r="U213">
        <v>1</v>
      </c>
      <c r="V213" t="s">
        <v>1364</v>
      </c>
      <c r="X213" t="s">
        <v>2328</v>
      </c>
      <c r="Y213" t="s">
        <v>2329</v>
      </c>
      <c r="Z213" t="s">
        <v>1478</v>
      </c>
      <c r="AA213" t="s">
        <v>2330</v>
      </c>
      <c r="AB213" t="s">
        <v>2331</v>
      </c>
      <c r="AC213" t="s">
        <v>2332</v>
      </c>
      <c r="AF213" t="s">
        <v>2333</v>
      </c>
      <c r="AG213" t="s">
        <v>1372</v>
      </c>
      <c r="AH213" t="s">
        <v>2329</v>
      </c>
      <c r="AK213">
        <v>0</v>
      </c>
      <c r="AO213" t="s">
        <v>1372</v>
      </c>
      <c r="AP213" t="s">
        <v>1373</v>
      </c>
    </row>
    <row r="214" hidden="1" spans="1:42">
      <c r="A214" t="s">
        <v>2334</v>
      </c>
      <c r="B214" t="s">
        <v>1356</v>
      </c>
      <c r="C214" t="s">
        <v>1375</v>
      </c>
      <c r="D214" t="s">
        <v>1358</v>
      </c>
      <c r="F214" t="s">
        <v>1377</v>
      </c>
      <c r="G214" s="45">
        <v>44808.8468981481</v>
      </c>
      <c r="H214" s="45">
        <v>44808.8470717593</v>
      </c>
      <c r="J214" t="s">
        <v>407</v>
      </c>
      <c r="M214">
        <v>99</v>
      </c>
      <c r="N214">
        <v>0</v>
      </c>
      <c r="O214">
        <v>-2</v>
      </c>
      <c r="P214">
        <v>0</v>
      </c>
      <c r="Q214">
        <v>97</v>
      </c>
      <c r="R214">
        <v>97</v>
      </c>
      <c r="S214" t="s">
        <v>1400</v>
      </c>
      <c r="T214" t="s">
        <v>1423</v>
      </c>
      <c r="U214">
        <v>1</v>
      </c>
      <c r="V214" t="s">
        <v>1364</v>
      </c>
      <c r="X214" t="s">
        <v>397</v>
      </c>
      <c r="Y214" t="s">
        <v>2335</v>
      </c>
      <c r="Z214" t="s">
        <v>2336</v>
      </c>
      <c r="AA214" t="s">
        <v>2336</v>
      </c>
      <c r="AB214" t="s">
        <v>2337</v>
      </c>
      <c r="AC214" t="s">
        <v>2338</v>
      </c>
      <c r="AF214" t="s">
        <v>2339</v>
      </c>
      <c r="AG214" t="s">
        <v>1385</v>
      </c>
      <c r="AH214" t="s">
        <v>2335</v>
      </c>
      <c r="AK214">
        <v>0</v>
      </c>
      <c r="AO214" t="s">
        <v>1372</v>
      </c>
      <c r="AP214" t="s">
        <v>1373</v>
      </c>
    </row>
    <row r="215" hidden="1" spans="1:42">
      <c r="A215" t="s">
        <v>2340</v>
      </c>
      <c r="B215" t="s">
        <v>1356</v>
      </c>
      <c r="C215" t="s">
        <v>1375</v>
      </c>
      <c r="D215" t="s">
        <v>1358</v>
      </c>
      <c r="F215" t="s">
        <v>1377</v>
      </c>
      <c r="G215" s="45">
        <v>44808.8455439815</v>
      </c>
      <c r="H215" s="45">
        <v>44808.845775463</v>
      </c>
      <c r="J215" t="s">
        <v>407</v>
      </c>
      <c r="M215">
        <v>99</v>
      </c>
      <c r="N215">
        <v>0</v>
      </c>
      <c r="O215">
        <v>-9</v>
      </c>
      <c r="P215">
        <v>0</v>
      </c>
      <c r="Q215">
        <v>90</v>
      </c>
      <c r="R215">
        <v>90</v>
      </c>
      <c r="S215" t="s">
        <v>2341</v>
      </c>
      <c r="T215" t="s">
        <v>1423</v>
      </c>
      <c r="U215">
        <v>1</v>
      </c>
      <c r="V215" t="s">
        <v>1364</v>
      </c>
      <c r="X215" t="s">
        <v>400</v>
      </c>
      <c r="Y215" t="s">
        <v>1379</v>
      </c>
      <c r="Z215" t="s">
        <v>1380</v>
      </c>
      <c r="AA215" t="s">
        <v>1381</v>
      </c>
      <c r="AB215" t="s">
        <v>1382</v>
      </c>
      <c r="AC215" t="s">
        <v>1383</v>
      </c>
      <c r="AF215" t="s">
        <v>1384</v>
      </c>
      <c r="AG215" t="s">
        <v>1385</v>
      </c>
      <c r="AH215" t="s">
        <v>1386</v>
      </c>
      <c r="AK215">
        <v>0</v>
      </c>
      <c r="AO215" t="s">
        <v>1372</v>
      </c>
      <c r="AP215" t="s">
        <v>1373</v>
      </c>
    </row>
    <row r="216" hidden="1" spans="1:42">
      <c r="A216" t="s">
        <v>2342</v>
      </c>
      <c r="B216" t="s">
        <v>1356</v>
      </c>
      <c r="C216" t="s">
        <v>1375</v>
      </c>
      <c r="D216" t="s">
        <v>1358</v>
      </c>
      <c r="F216" t="s">
        <v>1377</v>
      </c>
      <c r="G216" s="45">
        <v>44808.8446296296</v>
      </c>
      <c r="H216" s="45">
        <v>44808.8447453704</v>
      </c>
      <c r="J216" t="s">
        <v>407</v>
      </c>
      <c r="M216">
        <v>99</v>
      </c>
      <c r="N216">
        <v>0</v>
      </c>
      <c r="O216">
        <v>-1</v>
      </c>
      <c r="P216">
        <v>0</v>
      </c>
      <c r="Q216">
        <v>98</v>
      </c>
      <c r="R216">
        <v>98</v>
      </c>
      <c r="S216" t="s">
        <v>1414</v>
      </c>
      <c r="T216" t="s">
        <v>1423</v>
      </c>
      <c r="U216">
        <v>1</v>
      </c>
      <c r="V216" t="s">
        <v>1364</v>
      </c>
      <c r="X216" t="s">
        <v>451</v>
      </c>
      <c r="Y216" t="s">
        <v>2343</v>
      </c>
      <c r="Z216" t="s">
        <v>1606</v>
      </c>
      <c r="AA216" t="s">
        <v>2204</v>
      </c>
      <c r="AB216" t="s">
        <v>2344</v>
      </c>
      <c r="AC216" t="s">
        <v>2345</v>
      </c>
      <c r="AF216" t="s">
        <v>2346</v>
      </c>
      <c r="AG216" t="s">
        <v>1372</v>
      </c>
      <c r="AK216">
        <v>0</v>
      </c>
      <c r="AO216" t="s">
        <v>1372</v>
      </c>
      <c r="AP216" t="s">
        <v>1373</v>
      </c>
    </row>
    <row r="217" hidden="1" spans="1:42">
      <c r="A217" t="s">
        <v>2347</v>
      </c>
      <c r="B217" t="s">
        <v>1356</v>
      </c>
      <c r="C217" t="s">
        <v>1375</v>
      </c>
      <c r="D217" t="s">
        <v>1358</v>
      </c>
      <c r="F217" t="s">
        <v>1377</v>
      </c>
      <c r="G217" s="45">
        <v>44808.844224537</v>
      </c>
      <c r="H217" s="45">
        <v>44808.8443287037</v>
      </c>
      <c r="J217" t="s">
        <v>407</v>
      </c>
      <c r="M217">
        <v>99</v>
      </c>
      <c r="N217">
        <v>0</v>
      </c>
      <c r="O217">
        <v>-1</v>
      </c>
      <c r="P217">
        <v>0</v>
      </c>
      <c r="Q217">
        <v>98</v>
      </c>
      <c r="R217">
        <v>98</v>
      </c>
      <c r="S217" t="s">
        <v>1414</v>
      </c>
      <c r="T217" t="s">
        <v>2348</v>
      </c>
      <c r="U217">
        <v>1</v>
      </c>
      <c r="V217" t="s">
        <v>1364</v>
      </c>
      <c r="X217" t="s">
        <v>454</v>
      </c>
      <c r="Y217" t="s">
        <v>2349</v>
      </c>
      <c r="Z217" t="s">
        <v>1678</v>
      </c>
      <c r="AA217" t="s">
        <v>1979</v>
      </c>
      <c r="AB217" t="s">
        <v>2350</v>
      </c>
      <c r="AC217" t="s">
        <v>2351</v>
      </c>
      <c r="AF217" t="s">
        <v>2352</v>
      </c>
      <c r="AG217" t="s">
        <v>1385</v>
      </c>
      <c r="AH217" t="s">
        <v>2349</v>
      </c>
      <c r="AK217">
        <v>0</v>
      </c>
      <c r="AO217" t="s">
        <v>1372</v>
      </c>
      <c r="AP217" t="s">
        <v>1373</v>
      </c>
    </row>
    <row r="218" hidden="1" spans="1:42">
      <c r="A218" t="s">
        <v>2353</v>
      </c>
      <c r="B218" t="s">
        <v>1356</v>
      </c>
      <c r="C218" t="s">
        <v>1375</v>
      </c>
      <c r="D218" t="s">
        <v>1358</v>
      </c>
      <c r="F218" t="s">
        <v>1377</v>
      </c>
      <c r="G218" s="45">
        <v>44808.8440856481</v>
      </c>
      <c r="H218" s="45">
        <v>44808.844212963</v>
      </c>
      <c r="J218" t="s">
        <v>407</v>
      </c>
      <c r="M218">
        <v>99</v>
      </c>
      <c r="N218">
        <v>0</v>
      </c>
      <c r="O218">
        <v>-1</v>
      </c>
      <c r="P218">
        <v>0</v>
      </c>
      <c r="Q218">
        <v>98</v>
      </c>
      <c r="R218">
        <v>98</v>
      </c>
      <c r="S218" t="s">
        <v>1414</v>
      </c>
      <c r="T218" t="s">
        <v>2348</v>
      </c>
      <c r="U218">
        <v>1</v>
      </c>
      <c r="V218" t="s">
        <v>1364</v>
      </c>
      <c r="X218" t="s">
        <v>457</v>
      </c>
      <c r="Y218" t="s">
        <v>2354</v>
      </c>
      <c r="Z218" t="s">
        <v>1495</v>
      </c>
      <c r="AA218" t="s">
        <v>2355</v>
      </c>
      <c r="AB218" t="s">
        <v>2356</v>
      </c>
      <c r="AC218" t="s">
        <v>2357</v>
      </c>
      <c r="AF218" t="s">
        <v>2358</v>
      </c>
      <c r="AG218" t="s">
        <v>1372</v>
      </c>
      <c r="AK218">
        <v>0</v>
      </c>
      <c r="AO218" t="s">
        <v>1372</v>
      </c>
      <c r="AP218" t="s">
        <v>1373</v>
      </c>
    </row>
    <row r="219" hidden="1" spans="1:42">
      <c r="A219" t="s">
        <v>2359</v>
      </c>
      <c r="B219" t="s">
        <v>1356</v>
      </c>
      <c r="C219" t="s">
        <v>1375</v>
      </c>
      <c r="D219" t="s">
        <v>1358</v>
      </c>
      <c r="F219" t="s">
        <v>1377</v>
      </c>
      <c r="G219" s="45">
        <v>44808.8437962963</v>
      </c>
      <c r="H219" s="45">
        <v>44808.8439467593</v>
      </c>
      <c r="J219" t="s">
        <v>407</v>
      </c>
      <c r="M219">
        <v>99</v>
      </c>
      <c r="N219">
        <v>0</v>
      </c>
      <c r="O219">
        <v>-2</v>
      </c>
      <c r="P219">
        <v>0</v>
      </c>
      <c r="Q219">
        <v>97</v>
      </c>
      <c r="R219">
        <v>97</v>
      </c>
      <c r="S219" t="s">
        <v>1400</v>
      </c>
      <c r="T219" t="s">
        <v>1622</v>
      </c>
      <c r="U219">
        <v>1</v>
      </c>
      <c r="V219" t="s">
        <v>1364</v>
      </c>
      <c r="X219" t="s">
        <v>482</v>
      </c>
      <c r="Y219" t="s">
        <v>2360</v>
      </c>
      <c r="Z219" t="s">
        <v>1380</v>
      </c>
      <c r="AA219" t="s">
        <v>2361</v>
      </c>
      <c r="AB219" t="s">
        <v>2362</v>
      </c>
      <c r="AC219" t="s">
        <v>2363</v>
      </c>
      <c r="AF219" t="s">
        <v>2364</v>
      </c>
      <c r="AG219" t="s">
        <v>1385</v>
      </c>
      <c r="AH219" t="s">
        <v>2360</v>
      </c>
      <c r="AK219">
        <v>0</v>
      </c>
      <c r="AO219" t="s">
        <v>1372</v>
      </c>
      <c r="AP219" t="s">
        <v>1373</v>
      </c>
    </row>
    <row r="220" hidden="1" spans="1:42">
      <c r="A220" t="s">
        <v>2365</v>
      </c>
      <c r="B220" t="s">
        <v>1356</v>
      </c>
      <c r="C220" t="s">
        <v>1375</v>
      </c>
      <c r="D220" t="s">
        <v>1358</v>
      </c>
      <c r="F220" t="s">
        <v>1377</v>
      </c>
      <c r="G220" s="45">
        <v>44808.843587963</v>
      </c>
      <c r="H220" s="45">
        <v>44808.8437037037</v>
      </c>
      <c r="J220" t="s">
        <v>407</v>
      </c>
      <c r="M220">
        <v>99</v>
      </c>
      <c r="N220">
        <v>10</v>
      </c>
      <c r="O220">
        <v>-2</v>
      </c>
      <c r="P220">
        <v>0</v>
      </c>
      <c r="Q220">
        <v>107</v>
      </c>
      <c r="R220">
        <v>107</v>
      </c>
      <c r="S220" t="s">
        <v>1400</v>
      </c>
      <c r="T220" t="s">
        <v>2348</v>
      </c>
      <c r="U220">
        <v>1</v>
      </c>
      <c r="V220" t="s">
        <v>1364</v>
      </c>
      <c r="X220" t="s">
        <v>430</v>
      </c>
      <c r="Y220" t="s">
        <v>2297</v>
      </c>
      <c r="Z220" t="s">
        <v>2298</v>
      </c>
      <c r="AA220" t="s">
        <v>2299</v>
      </c>
      <c r="AB220" t="s">
        <v>2300</v>
      </c>
      <c r="AC220" t="s">
        <v>2301</v>
      </c>
      <c r="AF220" t="s">
        <v>2302</v>
      </c>
      <c r="AG220" t="s">
        <v>1372</v>
      </c>
      <c r="AH220" t="s">
        <v>2297</v>
      </c>
      <c r="AK220">
        <v>0</v>
      </c>
      <c r="AO220" t="s">
        <v>1372</v>
      </c>
      <c r="AP220" t="s">
        <v>1373</v>
      </c>
    </row>
    <row r="221" hidden="1" spans="1:42">
      <c r="A221" t="s">
        <v>2366</v>
      </c>
      <c r="B221" t="s">
        <v>1356</v>
      </c>
      <c r="C221" t="s">
        <v>1375</v>
      </c>
      <c r="D221" t="s">
        <v>1358</v>
      </c>
      <c r="F221" t="s">
        <v>1377</v>
      </c>
      <c r="G221" s="45">
        <v>44808.8426967593</v>
      </c>
      <c r="H221" s="45">
        <v>44808.8449305556</v>
      </c>
      <c r="J221" t="s">
        <v>407</v>
      </c>
      <c r="M221">
        <v>99</v>
      </c>
      <c r="N221">
        <v>0</v>
      </c>
      <c r="O221">
        <v>0</v>
      </c>
      <c r="P221">
        <v>0</v>
      </c>
      <c r="Q221">
        <v>99</v>
      </c>
      <c r="R221">
        <v>99</v>
      </c>
      <c r="T221" t="s">
        <v>2367</v>
      </c>
      <c r="U221">
        <v>1</v>
      </c>
      <c r="V221" t="s">
        <v>1364</v>
      </c>
      <c r="X221" t="s">
        <v>465</v>
      </c>
      <c r="Y221" t="s">
        <v>2368</v>
      </c>
      <c r="Z221" t="s">
        <v>1695</v>
      </c>
      <c r="AA221" t="s">
        <v>2369</v>
      </c>
      <c r="AB221" t="s">
        <v>2370</v>
      </c>
      <c r="AC221" t="s">
        <v>2371</v>
      </c>
      <c r="AF221" t="s">
        <v>2372</v>
      </c>
      <c r="AG221" t="s">
        <v>1372</v>
      </c>
      <c r="AH221" t="s">
        <v>2373</v>
      </c>
      <c r="AK221">
        <v>0</v>
      </c>
      <c r="AO221" t="s">
        <v>1372</v>
      </c>
      <c r="AP221" t="s">
        <v>1373</v>
      </c>
    </row>
    <row r="222" hidden="1" spans="1:42">
      <c r="A222" t="s">
        <v>2374</v>
      </c>
      <c r="B222" t="s">
        <v>1356</v>
      </c>
      <c r="C222" t="s">
        <v>1375</v>
      </c>
      <c r="D222" t="s">
        <v>1358</v>
      </c>
      <c r="F222" t="s">
        <v>1377</v>
      </c>
      <c r="G222" s="45">
        <v>44808.8424189815</v>
      </c>
      <c r="H222" s="45">
        <v>44808.8425347222</v>
      </c>
      <c r="J222" t="s">
        <v>407</v>
      </c>
      <c r="M222">
        <v>89</v>
      </c>
      <c r="N222">
        <v>10</v>
      </c>
      <c r="O222">
        <v>-2</v>
      </c>
      <c r="P222">
        <v>0</v>
      </c>
      <c r="Q222">
        <v>97</v>
      </c>
      <c r="R222">
        <v>97</v>
      </c>
      <c r="S222" t="s">
        <v>1400</v>
      </c>
      <c r="T222" t="s">
        <v>2375</v>
      </c>
      <c r="U222">
        <v>1</v>
      </c>
      <c r="V222" t="s">
        <v>1364</v>
      </c>
      <c r="X222" t="s">
        <v>430</v>
      </c>
      <c r="Y222" t="s">
        <v>2297</v>
      </c>
      <c r="Z222" t="s">
        <v>2298</v>
      </c>
      <c r="AA222" t="s">
        <v>2299</v>
      </c>
      <c r="AB222" t="s">
        <v>2300</v>
      </c>
      <c r="AC222" t="s">
        <v>2301</v>
      </c>
      <c r="AF222" t="s">
        <v>2302</v>
      </c>
      <c r="AG222" t="s">
        <v>1372</v>
      </c>
      <c r="AH222" t="s">
        <v>2297</v>
      </c>
      <c r="AK222">
        <v>0</v>
      </c>
      <c r="AO222" t="s">
        <v>1372</v>
      </c>
      <c r="AP222" t="s">
        <v>1373</v>
      </c>
    </row>
    <row r="223" hidden="1" spans="1:42">
      <c r="A223" t="s">
        <v>2376</v>
      </c>
      <c r="B223" t="s">
        <v>1356</v>
      </c>
      <c r="C223" t="s">
        <v>1375</v>
      </c>
      <c r="D223" t="s">
        <v>1358</v>
      </c>
      <c r="F223" t="s">
        <v>1359</v>
      </c>
      <c r="G223" s="45">
        <v>44808.841875</v>
      </c>
      <c r="H223" s="45">
        <v>44808.8419907407</v>
      </c>
      <c r="J223" t="s">
        <v>1360</v>
      </c>
      <c r="K223" t="s">
        <v>2377</v>
      </c>
      <c r="L223" t="s">
        <v>2378</v>
      </c>
      <c r="M223">
        <v>38</v>
      </c>
      <c r="N223">
        <v>0</v>
      </c>
      <c r="O223">
        <v>0</v>
      </c>
      <c r="P223">
        <v>0</v>
      </c>
      <c r="Q223">
        <v>38</v>
      </c>
      <c r="R223">
        <v>38</v>
      </c>
      <c r="T223" t="s">
        <v>1584</v>
      </c>
      <c r="U223">
        <v>1</v>
      </c>
      <c r="V223" t="s">
        <v>1364</v>
      </c>
      <c r="X223" t="s">
        <v>2379</v>
      </c>
      <c r="Y223" t="s">
        <v>2380</v>
      </c>
      <c r="Z223" t="s">
        <v>1380</v>
      </c>
      <c r="AA223" t="s">
        <v>1409</v>
      </c>
      <c r="AB223" t="s">
        <v>2381</v>
      </c>
      <c r="AC223" t="s">
        <v>2382</v>
      </c>
      <c r="AF223" t="s">
        <v>2383</v>
      </c>
      <c r="AG223" t="s">
        <v>1372</v>
      </c>
      <c r="AH223" t="s">
        <v>2380</v>
      </c>
      <c r="AK223">
        <v>0</v>
      </c>
      <c r="AO223" t="s">
        <v>1372</v>
      </c>
      <c r="AP223" t="s">
        <v>1373</v>
      </c>
    </row>
    <row r="224" hidden="1" spans="1:42">
      <c r="A224" t="s">
        <v>2384</v>
      </c>
      <c r="B224" t="s">
        <v>1356</v>
      </c>
      <c r="C224" t="s">
        <v>1375</v>
      </c>
      <c r="D224" t="s">
        <v>1358</v>
      </c>
      <c r="F224" t="s">
        <v>1377</v>
      </c>
      <c r="G224" s="45">
        <v>44808.8414814815</v>
      </c>
      <c r="H224" s="45">
        <v>44808.8416666667</v>
      </c>
      <c r="J224" t="s">
        <v>407</v>
      </c>
      <c r="M224">
        <v>99</v>
      </c>
      <c r="N224">
        <v>0</v>
      </c>
      <c r="O224">
        <v>0</v>
      </c>
      <c r="P224">
        <v>0</v>
      </c>
      <c r="Q224">
        <v>99</v>
      </c>
      <c r="R224">
        <v>99</v>
      </c>
      <c r="T224" t="s">
        <v>2012</v>
      </c>
      <c r="U224">
        <v>1</v>
      </c>
      <c r="V224" t="s">
        <v>1364</v>
      </c>
      <c r="X224" t="s">
        <v>463</v>
      </c>
      <c r="Y224" t="s">
        <v>2385</v>
      </c>
      <c r="Z224" t="s">
        <v>2386</v>
      </c>
      <c r="AA224" t="s">
        <v>2386</v>
      </c>
      <c r="AB224" t="s">
        <v>2387</v>
      </c>
      <c r="AC224" t="s">
        <v>2388</v>
      </c>
      <c r="AF224" t="s">
        <v>463</v>
      </c>
      <c r="AG224" t="s">
        <v>1372</v>
      </c>
      <c r="AH224" t="s">
        <v>2389</v>
      </c>
      <c r="AK224">
        <v>0</v>
      </c>
      <c r="AO224" t="s">
        <v>1372</v>
      </c>
      <c r="AP224" t="s">
        <v>1373</v>
      </c>
    </row>
    <row r="225" hidden="1" spans="1:42">
      <c r="A225" t="s">
        <v>2390</v>
      </c>
      <c r="B225" t="s">
        <v>1356</v>
      </c>
      <c r="C225" t="s">
        <v>1375</v>
      </c>
      <c r="D225" t="s">
        <v>1358</v>
      </c>
      <c r="F225" t="s">
        <v>1377</v>
      </c>
      <c r="G225" s="45">
        <v>44808.8402199074</v>
      </c>
      <c r="H225" s="45">
        <v>44808.8404166667</v>
      </c>
      <c r="J225" t="s">
        <v>407</v>
      </c>
      <c r="M225">
        <v>39.9</v>
      </c>
      <c r="N225">
        <v>0</v>
      </c>
      <c r="O225">
        <v>0</v>
      </c>
      <c r="P225">
        <v>0</v>
      </c>
      <c r="Q225">
        <v>39.9</v>
      </c>
      <c r="R225">
        <v>39.9</v>
      </c>
      <c r="T225" t="s">
        <v>2241</v>
      </c>
      <c r="U225">
        <v>1</v>
      </c>
      <c r="V225" t="s">
        <v>1364</v>
      </c>
      <c r="X225" t="s">
        <v>477</v>
      </c>
      <c r="Y225" t="s">
        <v>1793</v>
      </c>
      <c r="Z225" t="s">
        <v>1794</v>
      </c>
      <c r="AA225" t="s">
        <v>1795</v>
      </c>
      <c r="AB225" t="s">
        <v>1796</v>
      </c>
      <c r="AC225" t="s">
        <v>1860</v>
      </c>
      <c r="AF225" t="s">
        <v>1798</v>
      </c>
      <c r="AG225" t="s">
        <v>1372</v>
      </c>
      <c r="AK225">
        <v>0</v>
      </c>
      <c r="AO225" t="s">
        <v>1372</v>
      </c>
      <c r="AP225" t="s">
        <v>1373</v>
      </c>
    </row>
    <row r="226" hidden="1" spans="1:42">
      <c r="A226" t="s">
        <v>2391</v>
      </c>
      <c r="B226" t="s">
        <v>1356</v>
      </c>
      <c r="C226" t="s">
        <v>1375</v>
      </c>
      <c r="D226" t="s">
        <v>1376</v>
      </c>
      <c r="F226" t="s">
        <v>1377</v>
      </c>
      <c r="G226" s="45">
        <v>44808.8397337963</v>
      </c>
      <c r="M226">
        <v>99</v>
      </c>
      <c r="N226">
        <v>0</v>
      </c>
      <c r="O226">
        <v>0</v>
      </c>
      <c r="P226">
        <v>0</v>
      </c>
      <c r="Q226">
        <v>99</v>
      </c>
      <c r="R226">
        <v>0</v>
      </c>
      <c r="T226" t="s">
        <v>2012</v>
      </c>
      <c r="U226">
        <v>1</v>
      </c>
      <c r="V226" t="s">
        <v>1364</v>
      </c>
      <c r="X226" t="s">
        <v>429</v>
      </c>
      <c r="Y226" t="s">
        <v>2035</v>
      </c>
      <c r="Z226" t="s">
        <v>1367</v>
      </c>
      <c r="AA226" t="s">
        <v>1943</v>
      </c>
      <c r="AB226" t="s">
        <v>1944</v>
      </c>
      <c r="AC226" t="s">
        <v>2036</v>
      </c>
      <c r="AF226" t="s">
        <v>429</v>
      </c>
      <c r="AG226" t="s">
        <v>1372</v>
      </c>
      <c r="AH226" t="s">
        <v>2035</v>
      </c>
      <c r="AK226">
        <v>0</v>
      </c>
      <c r="AO226" t="s">
        <v>1372</v>
      </c>
      <c r="AP226" t="s">
        <v>1373</v>
      </c>
    </row>
    <row r="227" hidden="1" spans="1:42">
      <c r="A227" t="s">
        <v>2392</v>
      </c>
      <c r="B227" t="s">
        <v>1356</v>
      </c>
      <c r="C227" t="s">
        <v>1375</v>
      </c>
      <c r="D227" t="s">
        <v>1358</v>
      </c>
      <c r="F227" t="s">
        <v>1377</v>
      </c>
      <c r="G227" s="45">
        <v>44808.8393171296</v>
      </c>
      <c r="H227" s="45">
        <v>44808.8394212963</v>
      </c>
      <c r="J227" t="s">
        <v>407</v>
      </c>
      <c r="M227">
        <v>39.9</v>
      </c>
      <c r="N227">
        <v>0</v>
      </c>
      <c r="O227">
        <v>-1</v>
      </c>
      <c r="P227">
        <v>0</v>
      </c>
      <c r="Q227">
        <v>38.9</v>
      </c>
      <c r="R227">
        <v>38.9</v>
      </c>
      <c r="S227" t="s">
        <v>1414</v>
      </c>
      <c r="T227" t="s">
        <v>2080</v>
      </c>
      <c r="U227">
        <v>1</v>
      </c>
      <c r="V227" t="s">
        <v>1364</v>
      </c>
      <c r="X227" t="s">
        <v>478</v>
      </c>
      <c r="Y227" t="s">
        <v>2217</v>
      </c>
      <c r="Z227" t="s">
        <v>1367</v>
      </c>
      <c r="AA227" t="s">
        <v>1943</v>
      </c>
      <c r="AB227" t="s">
        <v>2039</v>
      </c>
      <c r="AC227" t="s">
        <v>2218</v>
      </c>
      <c r="AF227" t="s">
        <v>2219</v>
      </c>
      <c r="AG227" t="s">
        <v>1372</v>
      </c>
      <c r="AH227" t="s">
        <v>2217</v>
      </c>
      <c r="AK227">
        <v>0</v>
      </c>
      <c r="AO227" t="s">
        <v>1372</v>
      </c>
      <c r="AP227" t="s">
        <v>1373</v>
      </c>
    </row>
    <row r="228" hidden="1" spans="1:42">
      <c r="A228" t="s">
        <v>2393</v>
      </c>
      <c r="B228" t="s">
        <v>1356</v>
      </c>
      <c r="C228" t="s">
        <v>1375</v>
      </c>
      <c r="D228" t="s">
        <v>1358</v>
      </c>
      <c r="F228" t="s">
        <v>1377</v>
      </c>
      <c r="G228" s="45">
        <v>44808.8387962963</v>
      </c>
      <c r="H228" s="45">
        <v>44808.8390162037</v>
      </c>
      <c r="J228" t="s">
        <v>407</v>
      </c>
      <c r="M228">
        <v>79.8</v>
      </c>
      <c r="N228">
        <v>0</v>
      </c>
      <c r="O228">
        <v>0</v>
      </c>
      <c r="P228">
        <v>0</v>
      </c>
      <c r="Q228">
        <v>79.8</v>
      </c>
      <c r="R228">
        <v>79.8</v>
      </c>
      <c r="T228" t="s">
        <v>2394</v>
      </c>
      <c r="U228">
        <v>1</v>
      </c>
      <c r="V228" t="s">
        <v>1364</v>
      </c>
      <c r="X228" t="s">
        <v>457</v>
      </c>
      <c r="Y228" t="s">
        <v>2354</v>
      </c>
      <c r="Z228" t="s">
        <v>1495</v>
      </c>
      <c r="AA228" t="s">
        <v>2355</v>
      </c>
      <c r="AB228" t="s">
        <v>2356</v>
      </c>
      <c r="AC228" t="s">
        <v>2357</v>
      </c>
      <c r="AF228" t="s">
        <v>2358</v>
      </c>
      <c r="AG228" t="s">
        <v>1372</v>
      </c>
      <c r="AK228">
        <v>0</v>
      </c>
      <c r="AO228" t="s">
        <v>1372</v>
      </c>
      <c r="AP228" t="s">
        <v>1373</v>
      </c>
    </row>
    <row r="229" hidden="1" spans="1:42">
      <c r="A229" t="s">
        <v>2395</v>
      </c>
      <c r="B229" t="s">
        <v>1356</v>
      </c>
      <c r="C229" t="s">
        <v>1375</v>
      </c>
      <c r="D229" t="s">
        <v>1358</v>
      </c>
      <c r="F229" t="s">
        <v>1377</v>
      </c>
      <c r="G229" s="45">
        <v>44808.8386805556</v>
      </c>
      <c r="H229" s="45">
        <v>44808.8388425926</v>
      </c>
      <c r="J229" t="s">
        <v>407</v>
      </c>
      <c r="M229">
        <v>39.9</v>
      </c>
      <c r="N229">
        <v>0</v>
      </c>
      <c r="O229">
        <v>-3</v>
      </c>
      <c r="P229">
        <v>0</v>
      </c>
      <c r="Q229">
        <v>36.9</v>
      </c>
      <c r="R229">
        <v>36.9</v>
      </c>
      <c r="S229" t="s">
        <v>1397</v>
      </c>
      <c r="T229" t="s">
        <v>1907</v>
      </c>
      <c r="U229">
        <v>1</v>
      </c>
      <c r="V229" t="s">
        <v>1364</v>
      </c>
      <c r="X229" t="s">
        <v>567</v>
      </c>
      <c r="Y229" t="s">
        <v>2396</v>
      </c>
      <c r="Z229" t="s">
        <v>1367</v>
      </c>
      <c r="AA229" t="s">
        <v>1943</v>
      </c>
      <c r="AB229" t="s">
        <v>2039</v>
      </c>
      <c r="AC229" t="s">
        <v>2397</v>
      </c>
      <c r="AF229" t="s">
        <v>2398</v>
      </c>
      <c r="AG229" t="s">
        <v>1385</v>
      </c>
      <c r="AH229" t="s">
        <v>2396</v>
      </c>
      <c r="AK229">
        <v>0</v>
      </c>
      <c r="AO229" t="s">
        <v>1372</v>
      </c>
      <c r="AP229" t="s">
        <v>1373</v>
      </c>
    </row>
    <row r="230" hidden="1" spans="1:42">
      <c r="A230" t="s">
        <v>2399</v>
      </c>
      <c r="B230" t="s">
        <v>1356</v>
      </c>
      <c r="C230" t="s">
        <v>1375</v>
      </c>
      <c r="D230" t="s">
        <v>1358</v>
      </c>
      <c r="F230" t="s">
        <v>1377</v>
      </c>
      <c r="G230" s="45">
        <v>44808.8386226852</v>
      </c>
      <c r="H230" s="45">
        <v>44808.8387962963</v>
      </c>
      <c r="J230" t="s">
        <v>407</v>
      </c>
      <c r="M230">
        <v>39.9</v>
      </c>
      <c r="N230">
        <v>0</v>
      </c>
      <c r="O230">
        <v>0</v>
      </c>
      <c r="P230">
        <v>0</v>
      </c>
      <c r="Q230">
        <v>39.9</v>
      </c>
      <c r="R230">
        <v>39.9</v>
      </c>
      <c r="T230" t="s">
        <v>1491</v>
      </c>
      <c r="U230">
        <v>1</v>
      </c>
      <c r="V230" t="s">
        <v>1364</v>
      </c>
      <c r="X230" t="s">
        <v>463</v>
      </c>
      <c r="Y230" t="s">
        <v>2385</v>
      </c>
      <c r="Z230" t="s">
        <v>2386</v>
      </c>
      <c r="AA230" t="s">
        <v>2386</v>
      </c>
      <c r="AB230" t="s">
        <v>2387</v>
      </c>
      <c r="AC230" t="s">
        <v>2388</v>
      </c>
      <c r="AF230" t="s">
        <v>2400</v>
      </c>
      <c r="AG230" t="s">
        <v>1372</v>
      </c>
      <c r="AH230" t="s">
        <v>2389</v>
      </c>
      <c r="AK230">
        <v>0</v>
      </c>
      <c r="AO230" t="s">
        <v>1372</v>
      </c>
      <c r="AP230" t="s">
        <v>1373</v>
      </c>
    </row>
    <row r="231" hidden="1" spans="1:42">
      <c r="A231" t="s">
        <v>2401</v>
      </c>
      <c r="B231" t="s">
        <v>1356</v>
      </c>
      <c r="C231" t="s">
        <v>1375</v>
      </c>
      <c r="D231" t="s">
        <v>1358</v>
      </c>
      <c r="F231" t="s">
        <v>1632</v>
      </c>
      <c r="G231" s="45">
        <v>44808.8385648148</v>
      </c>
      <c r="H231" s="45">
        <v>44808.8386574074</v>
      </c>
      <c r="J231" t="s">
        <v>1360</v>
      </c>
      <c r="K231" t="s">
        <v>2402</v>
      </c>
      <c r="L231" t="s">
        <v>2403</v>
      </c>
      <c r="M231">
        <v>49</v>
      </c>
      <c r="N231">
        <v>0</v>
      </c>
      <c r="O231">
        <v>0</v>
      </c>
      <c r="P231">
        <v>0</v>
      </c>
      <c r="Q231">
        <v>49</v>
      </c>
      <c r="R231">
        <v>49</v>
      </c>
      <c r="T231" t="s">
        <v>2404</v>
      </c>
      <c r="U231">
        <v>1</v>
      </c>
      <c r="V231" t="s">
        <v>1364</v>
      </c>
      <c r="X231" t="s">
        <v>2405</v>
      </c>
      <c r="Y231" t="s">
        <v>2406</v>
      </c>
      <c r="Z231" t="s">
        <v>1748</v>
      </c>
      <c r="AA231" t="s">
        <v>2407</v>
      </c>
      <c r="AB231" t="s">
        <v>2408</v>
      </c>
      <c r="AC231" t="s">
        <v>2409</v>
      </c>
      <c r="AF231" t="s">
        <v>2405</v>
      </c>
      <c r="AG231" t="s">
        <v>1385</v>
      </c>
      <c r="AH231" t="s">
        <v>2406</v>
      </c>
      <c r="AK231">
        <v>0</v>
      </c>
      <c r="AO231" t="s">
        <v>1372</v>
      </c>
      <c r="AP231" t="s">
        <v>1373</v>
      </c>
    </row>
    <row r="232" hidden="1" spans="1:42">
      <c r="A232" t="s">
        <v>2410</v>
      </c>
      <c r="B232" t="s">
        <v>1356</v>
      </c>
      <c r="C232" t="s">
        <v>1375</v>
      </c>
      <c r="D232" t="s">
        <v>1358</v>
      </c>
      <c r="F232" t="s">
        <v>1377</v>
      </c>
      <c r="G232" s="45">
        <v>44808.8385300926</v>
      </c>
      <c r="H232" s="45">
        <v>44808.8386458333</v>
      </c>
      <c r="J232" t="s">
        <v>407</v>
      </c>
      <c r="M232">
        <v>39.9</v>
      </c>
      <c r="N232">
        <v>0</v>
      </c>
      <c r="O232">
        <v>-1</v>
      </c>
      <c r="P232">
        <v>0</v>
      </c>
      <c r="Q232">
        <v>38.9</v>
      </c>
      <c r="R232">
        <v>38.9</v>
      </c>
      <c r="S232" t="s">
        <v>1414</v>
      </c>
      <c r="T232" t="s">
        <v>1676</v>
      </c>
      <c r="U232">
        <v>1</v>
      </c>
      <c r="V232" t="s">
        <v>1364</v>
      </c>
      <c r="X232" t="s">
        <v>451</v>
      </c>
      <c r="Y232" t="s">
        <v>2343</v>
      </c>
      <c r="Z232" t="s">
        <v>1606</v>
      </c>
      <c r="AA232" t="s">
        <v>2204</v>
      </c>
      <c r="AB232" t="s">
        <v>2344</v>
      </c>
      <c r="AC232" t="s">
        <v>2345</v>
      </c>
      <c r="AF232" t="s">
        <v>2346</v>
      </c>
      <c r="AG232" t="s">
        <v>1372</v>
      </c>
      <c r="AK232">
        <v>0</v>
      </c>
      <c r="AO232" t="s">
        <v>1372</v>
      </c>
      <c r="AP232" t="s">
        <v>1373</v>
      </c>
    </row>
    <row r="233" hidden="1" spans="1:42">
      <c r="A233" t="s">
        <v>2411</v>
      </c>
      <c r="B233" t="s">
        <v>1356</v>
      </c>
      <c r="C233" t="s">
        <v>1375</v>
      </c>
      <c r="D233" t="s">
        <v>1358</v>
      </c>
      <c r="F233" t="s">
        <v>1377</v>
      </c>
      <c r="G233" s="45">
        <v>44808.8383217593</v>
      </c>
      <c r="H233" s="45">
        <v>44808.8384259259</v>
      </c>
      <c r="J233" t="s">
        <v>407</v>
      </c>
      <c r="M233">
        <v>39.9</v>
      </c>
      <c r="N233">
        <v>0</v>
      </c>
      <c r="O233">
        <v>-2</v>
      </c>
      <c r="P233">
        <v>0</v>
      </c>
      <c r="Q233">
        <v>37.9</v>
      </c>
      <c r="R233">
        <v>37.9</v>
      </c>
      <c r="S233" t="s">
        <v>1400</v>
      </c>
      <c r="T233" t="s">
        <v>2249</v>
      </c>
      <c r="U233">
        <v>1</v>
      </c>
      <c r="V233" t="s">
        <v>1364</v>
      </c>
      <c r="X233" t="s">
        <v>454</v>
      </c>
      <c r="Y233" t="s">
        <v>2349</v>
      </c>
      <c r="Z233" t="s">
        <v>1678</v>
      </c>
      <c r="AA233" t="s">
        <v>1979</v>
      </c>
      <c r="AB233" t="s">
        <v>2350</v>
      </c>
      <c r="AC233" t="s">
        <v>2412</v>
      </c>
      <c r="AF233" t="s">
        <v>2352</v>
      </c>
      <c r="AG233" t="s">
        <v>1385</v>
      </c>
      <c r="AH233" t="s">
        <v>2349</v>
      </c>
      <c r="AK233">
        <v>0</v>
      </c>
      <c r="AO233" t="s">
        <v>1372</v>
      </c>
      <c r="AP233" t="s">
        <v>1373</v>
      </c>
    </row>
    <row r="234" hidden="1" spans="1:42">
      <c r="A234" t="s">
        <v>2413</v>
      </c>
      <c r="B234" t="s">
        <v>1356</v>
      </c>
      <c r="C234" t="s">
        <v>1357</v>
      </c>
      <c r="D234" t="s">
        <v>1358</v>
      </c>
      <c r="F234" t="s">
        <v>1359</v>
      </c>
      <c r="G234" s="45">
        <v>44808.8374074074</v>
      </c>
      <c r="H234" s="45">
        <v>44808.8376967593</v>
      </c>
      <c r="J234" t="s">
        <v>1360</v>
      </c>
      <c r="K234" t="s">
        <v>2414</v>
      </c>
      <c r="L234" t="s">
        <v>2415</v>
      </c>
      <c r="M234">
        <v>69</v>
      </c>
      <c r="N234">
        <v>0</v>
      </c>
      <c r="O234">
        <v>0</v>
      </c>
      <c r="P234">
        <v>0</v>
      </c>
      <c r="Q234">
        <v>69</v>
      </c>
      <c r="R234">
        <v>69</v>
      </c>
      <c r="T234" t="s">
        <v>1669</v>
      </c>
      <c r="U234">
        <v>1</v>
      </c>
      <c r="V234" t="s">
        <v>1364</v>
      </c>
      <c r="X234" t="s">
        <v>2416</v>
      </c>
      <c r="Y234" t="s">
        <v>2417</v>
      </c>
      <c r="Z234" t="s">
        <v>1466</v>
      </c>
      <c r="AA234" t="s">
        <v>1571</v>
      </c>
      <c r="AB234" t="s">
        <v>2418</v>
      </c>
      <c r="AC234" t="s">
        <v>2419</v>
      </c>
      <c r="AF234" t="s">
        <v>2417</v>
      </c>
      <c r="AG234" t="s">
        <v>1372</v>
      </c>
      <c r="AH234" t="s">
        <v>2417</v>
      </c>
      <c r="AK234">
        <v>0</v>
      </c>
      <c r="AO234" t="s">
        <v>1372</v>
      </c>
      <c r="AP234" t="s">
        <v>1373</v>
      </c>
    </row>
    <row r="235" hidden="1" spans="1:42">
      <c r="A235" t="s">
        <v>2420</v>
      </c>
      <c r="B235" t="s">
        <v>1356</v>
      </c>
      <c r="C235" t="s">
        <v>1375</v>
      </c>
      <c r="D235" t="s">
        <v>1358</v>
      </c>
      <c r="F235" t="s">
        <v>1377</v>
      </c>
      <c r="G235" s="45">
        <v>44808.8361226852</v>
      </c>
      <c r="H235" s="45">
        <v>44808.8362847222</v>
      </c>
      <c r="J235" t="s">
        <v>407</v>
      </c>
      <c r="M235">
        <v>39.8</v>
      </c>
      <c r="N235">
        <v>0</v>
      </c>
      <c r="O235">
        <v>0</v>
      </c>
      <c r="P235">
        <v>0</v>
      </c>
      <c r="Q235">
        <v>39.8</v>
      </c>
      <c r="R235">
        <v>39.8</v>
      </c>
      <c r="T235" t="s">
        <v>2421</v>
      </c>
      <c r="U235">
        <v>1</v>
      </c>
      <c r="V235" t="s">
        <v>1364</v>
      </c>
      <c r="X235" t="s">
        <v>383</v>
      </c>
      <c r="Y235" t="s">
        <v>2422</v>
      </c>
      <c r="Z235" t="s">
        <v>1367</v>
      </c>
      <c r="AA235" t="s">
        <v>1615</v>
      </c>
      <c r="AB235" t="s">
        <v>2423</v>
      </c>
      <c r="AC235" t="s">
        <v>2424</v>
      </c>
      <c r="AD235" t="s">
        <v>2425</v>
      </c>
      <c r="AF235" t="s">
        <v>2426</v>
      </c>
      <c r="AG235" t="s">
        <v>1372</v>
      </c>
      <c r="AK235">
        <v>0</v>
      </c>
      <c r="AO235" t="s">
        <v>1372</v>
      </c>
      <c r="AP235" t="s">
        <v>1373</v>
      </c>
    </row>
    <row r="236" hidden="1" spans="1:42">
      <c r="A236" t="s">
        <v>2427</v>
      </c>
      <c r="B236" t="s">
        <v>1356</v>
      </c>
      <c r="C236" t="s">
        <v>1375</v>
      </c>
      <c r="D236" t="s">
        <v>1358</v>
      </c>
      <c r="F236" t="s">
        <v>1377</v>
      </c>
      <c r="G236" s="45">
        <v>44808.8361111111</v>
      </c>
      <c r="H236" s="45">
        <v>44808.8362268519</v>
      </c>
      <c r="J236" t="s">
        <v>407</v>
      </c>
      <c r="M236">
        <v>99</v>
      </c>
      <c r="N236">
        <v>0</v>
      </c>
      <c r="O236">
        <v>0</v>
      </c>
      <c r="P236">
        <v>0</v>
      </c>
      <c r="Q236">
        <v>99</v>
      </c>
      <c r="R236">
        <v>99</v>
      </c>
      <c r="T236" t="s">
        <v>2367</v>
      </c>
      <c r="U236">
        <v>1</v>
      </c>
      <c r="V236" t="s">
        <v>1364</v>
      </c>
      <c r="X236" t="s">
        <v>469</v>
      </c>
      <c r="Y236" t="s">
        <v>2428</v>
      </c>
      <c r="Z236" t="s">
        <v>1367</v>
      </c>
      <c r="AA236" t="s">
        <v>1551</v>
      </c>
      <c r="AB236" t="s">
        <v>2429</v>
      </c>
      <c r="AC236" t="s">
        <v>2430</v>
      </c>
      <c r="AF236" t="s">
        <v>2431</v>
      </c>
      <c r="AG236" t="s">
        <v>1385</v>
      </c>
      <c r="AH236" t="s">
        <v>2428</v>
      </c>
      <c r="AK236">
        <v>0</v>
      </c>
      <c r="AO236" t="s">
        <v>1372</v>
      </c>
      <c r="AP236" t="s">
        <v>1373</v>
      </c>
    </row>
    <row r="237" hidden="1" spans="1:42">
      <c r="A237" t="s">
        <v>2432</v>
      </c>
      <c r="B237" t="s">
        <v>1356</v>
      </c>
      <c r="C237" t="s">
        <v>1375</v>
      </c>
      <c r="D237" t="s">
        <v>1358</v>
      </c>
      <c r="F237" t="s">
        <v>1377</v>
      </c>
      <c r="G237" s="45">
        <v>44808.8360069444</v>
      </c>
      <c r="H237" s="45">
        <v>44808.836099537</v>
      </c>
      <c r="J237" t="s">
        <v>407</v>
      </c>
      <c r="M237">
        <v>19.9</v>
      </c>
      <c r="N237">
        <v>0</v>
      </c>
      <c r="O237">
        <v>0</v>
      </c>
      <c r="P237">
        <v>0</v>
      </c>
      <c r="Q237">
        <v>19.9</v>
      </c>
      <c r="R237">
        <v>19.9</v>
      </c>
      <c r="T237" t="s">
        <v>1850</v>
      </c>
      <c r="U237">
        <v>1</v>
      </c>
      <c r="V237" t="s">
        <v>1364</v>
      </c>
      <c r="X237" t="s">
        <v>454</v>
      </c>
      <c r="Y237" t="s">
        <v>2349</v>
      </c>
      <c r="Z237" t="s">
        <v>1678</v>
      </c>
      <c r="AA237" t="s">
        <v>1979</v>
      </c>
      <c r="AB237" t="s">
        <v>2350</v>
      </c>
      <c r="AC237" t="s">
        <v>2351</v>
      </c>
      <c r="AD237" t="s">
        <v>2433</v>
      </c>
      <c r="AF237" t="s">
        <v>2352</v>
      </c>
      <c r="AG237" t="s">
        <v>1385</v>
      </c>
      <c r="AH237" t="s">
        <v>2349</v>
      </c>
      <c r="AK237">
        <v>0</v>
      </c>
      <c r="AO237" t="s">
        <v>1372</v>
      </c>
      <c r="AP237" t="s">
        <v>1373</v>
      </c>
    </row>
    <row r="238" hidden="1" spans="1:42">
      <c r="A238" t="s">
        <v>2434</v>
      </c>
      <c r="B238" t="s">
        <v>1356</v>
      </c>
      <c r="C238" t="s">
        <v>1375</v>
      </c>
      <c r="D238" t="s">
        <v>1358</v>
      </c>
      <c r="F238" t="s">
        <v>1359</v>
      </c>
      <c r="G238" s="45">
        <v>44808.8359490741</v>
      </c>
      <c r="H238" s="45">
        <v>44808.8360532407</v>
      </c>
      <c r="J238" t="s">
        <v>407</v>
      </c>
      <c r="M238">
        <v>19.9</v>
      </c>
      <c r="N238">
        <v>0</v>
      </c>
      <c r="O238">
        <v>0</v>
      </c>
      <c r="P238">
        <v>0</v>
      </c>
      <c r="Q238">
        <v>19.9</v>
      </c>
      <c r="R238">
        <v>19.9</v>
      </c>
      <c r="T238" t="s">
        <v>2435</v>
      </c>
      <c r="U238">
        <v>1</v>
      </c>
      <c r="V238" t="s">
        <v>1364</v>
      </c>
      <c r="X238" t="s">
        <v>599</v>
      </c>
      <c r="Y238" t="s">
        <v>2436</v>
      </c>
      <c r="Z238" t="s">
        <v>1367</v>
      </c>
      <c r="AA238" t="s">
        <v>1486</v>
      </c>
      <c r="AB238" t="s">
        <v>2437</v>
      </c>
      <c r="AC238" t="s">
        <v>2438</v>
      </c>
      <c r="AF238" t="s">
        <v>2439</v>
      </c>
      <c r="AG238" t="s">
        <v>1372</v>
      </c>
      <c r="AK238">
        <v>0</v>
      </c>
      <c r="AO238" t="s">
        <v>1372</v>
      </c>
      <c r="AP238" t="s">
        <v>1373</v>
      </c>
    </row>
    <row r="239" hidden="1" spans="1:42">
      <c r="A239" t="s">
        <v>2440</v>
      </c>
      <c r="B239" t="s">
        <v>1356</v>
      </c>
      <c r="C239" t="s">
        <v>1375</v>
      </c>
      <c r="D239" t="s">
        <v>1358</v>
      </c>
      <c r="F239" t="s">
        <v>1377</v>
      </c>
      <c r="G239" s="45">
        <v>44808.8356944444</v>
      </c>
      <c r="H239" s="45">
        <v>44808.8358796296</v>
      </c>
      <c r="J239" t="s">
        <v>407</v>
      </c>
      <c r="M239">
        <v>19.9</v>
      </c>
      <c r="N239">
        <v>10</v>
      </c>
      <c r="O239">
        <v>0</v>
      </c>
      <c r="P239">
        <v>0</v>
      </c>
      <c r="Q239">
        <v>29.9</v>
      </c>
      <c r="R239">
        <v>29.9</v>
      </c>
      <c r="T239" t="s">
        <v>1940</v>
      </c>
      <c r="U239">
        <v>1</v>
      </c>
      <c r="V239" t="s">
        <v>1364</v>
      </c>
      <c r="X239" t="s">
        <v>430</v>
      </c>
      <c r="Y239" t="s">
        <v>2297</v>
      </c>
      <c r="Z239" t="s">
        <v>2298</v>
      </c>
      <c r="AA239" t="s">
        <v>2299</v>
      </c>
      <c r="AB239" t="s">
        <v>2300</v>
      </c>
      <c r="AC239" t="s">
        <v>2301</v>
      </c>
      <c r="AF239" t="s">
        <v>2302</v>
      </c>
      <c r="AG239" t="s">
        <v>1372</v>
      </c>
      <c r="AH239" t="s">
        <v>2297</v>
      </c>
      <c r="AK239">
        <v>0</v>
      </c>
      <c r="AO239" t="s">
        <v>1372</v>
      </c>
      <c r="AP239" t="s">
        <v>1373</v>
      </c>
    </row>
    <row r="240" hidden="1" spans="1:42">
      <c r="A240" t="s">
        <v>2441</v>
      </c>
      <c r="B240" t="s">
        <v>1356</v>
      </c>
      <c r="C240" t="s">
        <v>1375</v>
      </c>
      <c r="D240" t="s">
        <v>1358</v>
      </c>
      <c r="F240" t="s">
        <v>1377</v>
      </c>
      <c r="G240" s="45">
        <v>44808.835625</v>
      </c>
      <c r="H240" s="45">
        <v>44808.8358333333</v>
      </c>
      <c r="J240" t="s">
        <v>407</v>
      </c>
      <c r="M240">
        <v>19.9</v>
      </c>
      <c r="N240">
        <v>0</v>
      </c>
      <c r="O240">
        <v>0</v>
      </c>
      <c r="P240">
        <v>0</v>
      </c>
      <c r="Q240">
        <v>19.9</v>
      </c>
      <c r="R240">
        <v>19.9</v>
      </c>
      <c r="T240" t="s">
        <v>2442</v>
      </c>
      <c r="U240">
        <v>1</v>
      </c>
      <c r="V240" t="s">
        <v>1364</v>
      </c>
      <c r="X240" t="s">
        <v>506</v>
      </c>
      <c r="Y240" t="s">
        <v>2209</v>
      </c>
      <c r="Z240" t="s">
        <v>1430</v>
      </c>
      <c r="AA240" t="s">
        <v>2210</v>
      </c>
      <c r="AB240" t="s">
        <v>2211</v>
      </c>
      <c r="AC240" t="s">
        <v>2212</v>
      </c>
      <c r="AF240" t="s">
        <v>2213</v>
      </c>
      <c r="AG240" t="s">
        <v>1372</v>
      </c>
      <c r="AK240">
        <v>0</v>
      </c>
      <c r="AO240" t="s">
        <v>1372</v>
      </c>
      <c r="AP240" t="s">
        <v>1373</v>
      </c>
    </row>
    <row r="241" hidden="1" spans="1:42">
      <c r="A241" t="s">
        <v>2443</v>
      </c>
      <c r="B241" t="s">
        <v>1356</v>
      </c>
      <c r="C241" t="s">
        <v>1375</v>
      </c>
      <c r="D241" t="s">
        <v>1358</v>
      </c>
      <c r="F241" t="s">
        <v>1377</v>
      </c>
      <c r="G241" s="45">
        <v>44808.8356018519</v>
      </c>
      <c r="H241" s="45">
        <v>44808.8357523148</v>
      </c>
      <c r="J241" t="s">
        <v>407</v>
      </c>
      <c r="M241">
        <v>19.9</v>
      </c>
      <c r="N241">
        <v>0</v>
      </c>
      <c r="O241">
        <v>0</v>
      </c>
      <c r="P241">
        <v>0</v>
      </c>
      <c r="Q241">
        <v>19.9</v>
      </c>
      <c r="R241">
        <v>19.9</v>
      </c>
      <c r="T241" t="s">
        <v>1504</v>
      </c>
      <c r="U241">
        <v>1</v>
      </c>
      <c r="V241" t="s">
        <v>1364</v>
      </c>
      <c r="X241" t="s">
        <v>635</v>
      </c>
      <c r="Y241" t="s">
        <v>2444</v>
      </c>
      <c r="Z241" t="s">
        <v>1678</v>
      </c>
      <c r="AA241" t="s">
        <v>1934</v>
      </c>
      <c r="AB241" t="s">
        <v>1935</v>
      </c>
      <c r="AC241" t="s">
        <v>2445</v>
      </c>
      <c r="AF241" t="s">
        <v>2446</v>
      </c>
      <c r="AG241" t="s">
        <v>1372</v>
      </c>
      <c r="AK241">
        <v>0</v>
      </c>
      <c r="AO241" t="s">
        <v>1372</v>
      </c>
      <c r="AP241" t="s">
        <v>1373</v>
      </c>
    </row>
    <row r="242" hidden="1" spans="1:42">
      <c r="A242" t="s">
        <v>2447</v>
      </c>
      <c r="B242" t="s">
        <v>1356</v>
      </c>
      <c r="C242" t="s">
        <v>1375</v>
      </c>
      <c r="D242" t="s">
        <v>1358</v>
      </c>
      <c r="F242" t="s">
        <v>1377</v>
      </c>
      <c r="G242" s="45">
        <v>44808.8354166667</v>
      </c>
      <c r="H242" s="45">
        <v>44808.8356134259</v>
      </c>
      <c r="J242" t="s">
        <v>407</v>
      </c>
      <c r="M242">
        <v>19.9</v>
      </c>
      <c r="N242">
        <v>0</v>
      </c>
      <c r="O242">
        <v>0</v>
      </c>
      <c r="P242">
        <v>0</v>
      </c>
      <c r="Q242">
        <v>19.9</v>
      </c>
      <c r="R242">
        <v>19.9</v>
      </c>
      <c r="T242" t="s">
        <v>1529</v>
      </c>
      <c r="U242">
        <v>1</v>
      </c>
      <c r="V242" t="s">
        <v>1364</v>
      </c>
      <c r="X242" t="s">
        <v>478</v>
      </c>
      <c r="Y242" t="s">
        <v>2217</v>
      </c>
      <c r="Z242" t="s">
        <v>1367</v>
      </c>
      <c r="AA242" t="s">
        <v>1943</v>
      </c>
      <c r="AB242" t="s">
        <v>2039</v>
      </c>
      <c r="AC242" t="s">
        <v>2218</v>
      </c>
      <c r="AF242" t="s">
        <v>2219</v>
      </c>
      <c r="AG242" t="s">
        <v>1372</v>
      </c>
      <c r="AH242" t="s">
        <v>2217</v>
      </c>
      <c r="AK242">
        <v>0</v>
      </c>
      <c r="AO242" t="s">
        <v>1372</v>
      </c>
      <c r="AP242" t="s">
        <v>1373</v>
      </c>
    </row>
    <row r="243" hidden="1" spans="1:42">
      <c r="A243" t="s">
        <v>2448</v>
      </c>
      <c r="B243" t="s">
        <v>1356</v>
      </c>
      <c r="C243" t="s">
        <v>1375</v>
      </c>
      <c r="D243" t="s">
        <v>1358</v>
      </c>
      <c r="F243" t="s">
        <v>1548</v>
      </c>
      <c r="G243" s="45">
        <v>44808.8353356481</v>
      </c>
      <c r="H243" s="45">
        <v>44808.835462963</v>
      </c>
      <c r="J243" t="s">
        <v>407</v>
      </c>
      <c r="M243">
        <v>19.9</v>
      </c>
      <c r="N243">
        <v>0</v>
      </c>
      <c r="O243">
        <v>0</v>
      </c>
      <c r="P243">
        <v>0</v>
      </c>
      <c r="Q243">
        <v>19.9</v>
      </c>
      <c r="R243">
        <v>19.9</v>
      </c>
      <c r="T243" t="s">
        <v>1529</v>
      </c>
      <c r="U243">
        <v>1</v>
      </c>
      <c r="V243" t="s">
        <v>1364</v>
      </c>
      <c r="X243" t="s">
        <v>403</v>
      </c>
      <c r="Y243" t="s">
        <v>2271</v>
      </c>
      <c r="Z243" t="s">
        <v>1430</v>
      </c>
      <c r="AA243" t="s">
        <v>1965</v>
      </c>
      <c r="AB243" t="s">
        <v>1966</v>
      </c>
      <c r="AC243" t="s">
        <v>2272</v>
      </c>
      <c r="AF243" t="s">
        <v>2273</v>
      </c>
      <c r="AG243" t="s">
        <v>1385</v>
      </c>
      <c r="AH243" t="s">
        <v>2271</v>
      </c>
      <c r="AJ243" t="s">
        <v>1649</v>
      </c>
      <c r="AK243">
        <v>0</v>
      </c>
      <c r="AO243" t="s">
        <v>1372</v>
      </c>
      <c r="AP243" t="s">
        <v>1373</v>
      </c>
    </row>
    <row r="244" hidden="1" spans="1:42">
      <c r="A244" t="s">
        <v>2449</v>
      </c>
      <c r="B244" t="s">
        <v>1356</v>
      </c>
      <c r="C244" t="s">
        <v>1375</v>
      </c>
      <c r="D244" t="s">
        <v>1358</v>
      </c>
      <c r="F244" t="s">
        <v>1377</v>
      </c>
      <c r="G244" s="45">
        <v>44808.8352314815</v>
      </c>
      <c r="H244" s="45">
        <v>44808.8353125</v>
      </c>
      <c r="J244" t="s">
        <v>407</v>
      </c>
      <c r="M244">
        <v>19.9</v>
      </c>
      <c r="N244">
        <v>0</v>
      </c>
      <c r="O244">
        <v>0</v>
      </c>
      <c r="P244">
        <v>0</v>
      </c>
      <c r="Q244">
        <v>19.9</v>
      </c>
      <c r="R244">
        <v>19.9</v>
      </c>
      <c r="T244" t="s">
        <v>1529</v>
      </c>
      <c r="U244">
        <v>1</v>
      </c>
      <c r="V244" t="s">
        <v>1364</v>
      </c>
      <c r="X244" t="s">
        <v>375</v>
      </c>
      <c r="Y244" t="s">
        <v>2450</v>
      </c>
      <c r="Z244" t="s">
        <v>1678</v>
      </c>
      <c r="AA244" t="s">
        <v>2007</v>
      </c>
      <c r="AB244" t="s">
        <v>2451</v>
      </c>
      <c r="AC244" t="s">
        <v>2452</v>
      </c>
      <c r="AF244" t="s">
        <v>2453</v>
      </c>
      <c r="AG244" t="s">
        <v>1385</v>
      </c>
      <c r="AH244" t="s">
        <v>2450</v>
      </c>
      <c r="AK244">
        <v>0</v>
      </c>
      <c r="AO244" t="s">
        <v>1372</v>
      </c>
      <c r="AP244" t="s">
        <v>1373</v>
      </c>
    </row>
    <row r="245" hidden="1" spans="1:42">
      <c r="A245" t="s">
        <v>2454</v>
      </c>
      <c r="B245" t="s">
        <v>1356</v>
      </c>
      <c r="C245" t="s">
        <v>1375</v>
      </c>
      <c r="D245" t="s">
        <v>1376</v>
      </c>
      <c r="F245" t="s">
        <v>1377</v>
      </c>
      <c r="G245" s="45">
        <v>44808.8352199074</v>
      </c>
      <c r="M245">
        <v>19.9</v>
      </c>
      <c r="N245">
        <v>10</v>
      </c>
      <c r="O245">
        <v>0</v>
      </c>
      <c r="P245">
        <v>0</v>
      </c>
      <c r="Q245">
        <v>29.9</v>
      </c>
      <c r="R245">
        <v>0</v>
      </c>
      <c r="T245" t="s">
        <v>1540</v>
      </c>
      <c r="U245">
        <v>1</v>
      </c>
      <c r="V245" t="s">
        <v>1364</v>
      </c>
      <c r="X245" t="s">
        <v>430</v>
      </c>
      <c r="Y245" t="s">
        <v>2297</v>
      </c>
      <c r="Z245" t="s">
        <v>2298</v>
      </c>
      <c r="AA245" t="s">
        <v>2299</v>
      </c>
      <c r="AB245" t="s">
        <v>2300</v>
      </c>
      <c r="AC245" t="s">
        <v>2301</v>
      </c>
      <c r="AF245" t="s">
        <v>2302</v>
      </c>
      <c r="AG245" t="s">
        <v>1372</v>
      </c>
      <c r="AH245" t="s">
        <v>2297</v>
      </c>
      <c r="AK245">
        <v>0</v>
      </c>
      <c r="AO245" t="s">
        <v>1372</v>
      </c>
      <c r="AP245" t="s">
        <v>1373</v>
      </c>
    </row>
    <row r="246" hidden="1" spans="1:42">
      <c r="A246" t="s">
        <v>2455</v>
      </c>
      <c r="B246" t="s">
        <v>1356</v>
      </c>
      <c r="C246" t="s">
        <v>1375</v>
      </c>
      <c r="D246" t="s">
        <v>1358</v>
      </c>
      <c r="F246" t="s">
        <v>1377</v>
      </c>
      <c r="G246" s="45">
        <v>44808.835162037</v>
      </c>
      <c r="H246" s="45">
        <v>44808.8352893519</v>
      </c>
      <c r="J246" t="s">
        <v>407</v>
      </c>
      <c r="M246">
        <v>19.9</v>
      </c>
      <c r="N246">
        <v>0</v>
      </c>
      <c r="O246">
        <v>0</v>
      </c>
      <c r="P246">
        <v>0</v>
      </c>
      <c r="Q246">
        <v>19.9</v>
      </c>
      <c r="R246">
        <v>19.9</v>
      </c>
      <c r="T246" t="s">
        <v>1940</v>
      </c>
      <c r="U246">
        <v>1</v>
      </c>
      <c r="V246" t="s">
        <v>1364</v>
      </c>
      <c r="X246" t="s">
        <v>428</v>
      </c>
      <c r="Y246" t="s">
        <v>2236</v>
      </c>
      <c r="Z246" t="s">
        <v>2028</v>
      </c>
      <c r="AA246" t="s">
        <v>2237</v>
      </c>
      <c r="AB246" t="s">
        <v>2238</v>
      </c>
      <c r="AC246" t="s">
        <v>2239</v>
      </c>
      <c r="AF246" t="s">
        <v>2456</v>
      </c>
      <c r="AG246" t="s">
        <v>1372</v>
      </c>
      <c r="AK246">
        <v>0</v>
      </c>
      <c r="AO246" t="s">
        <v>1372</v>
      </c>
      <c r="AP246" t="s">
        <v>1373</v>
      </c>
    </row>
    <row r="247" hidden="1" spans="1:42">
      <c r="A247" t="s">
        <v>2457</v>
      </c>
      <c r="B247" t="s">
        <v>1356</v>
      </c>
      <c r="C247" t="s">
        <v>1375</v>
      </c>
      <c r="D247" t="s">
        <v>1358</v>
      </c>
      <c r="F247" t="s">
        <v>1377</v>
      </c>
      <c r="G247" s="45">
        <v>44808.8351388889</v>
      </c>
      <c r="H247" s="45">
        <v>44808.8353703704</v>
      </c>
      <c r="J247" t="s">
        <v>407</v>
      </c>
      <c r="M247">
        <v>19.9</v>
      </c>
      <c r="N247">
        <v>0</v>
      </c>
      <c r="O247">
        <v>0</v>
      </c>
      <c r="P247">
        <v>0</v>
      </c>
      <c r="Q247">
        <v>19.9</v>
      </c>
      <c r="R247">
        <v>19.9</v>
      </c>
      <c r="T247" t="s">
        <v>1831</v>
      </c>
      <c r="U247">
        <v>1</v>
      </c>
      <c r="V247" t="s">
        <v>1364</v>
      </c>
      <c r="X247" t="s">
        <v>616</v>
      </c>
      <c r="Y247" t="s">
        <v>2458</v>
      </c>
      <c r="Z247" t="s">
        <v>1695</v>
      </c>
      <c r="AA247" t="s">
        <v>2459</v>
      </c>
      <c r="AB247" t="s">
        <v>2460</v>
      </c>
      <c r="AC247" t="s">
        <v>2461</v>
      </c>
      <c r="AF247" t="s">
        <v>2462</v>
      </c>
      <c r="AG247" t="s">
        <v>1372</v>
      </c>
      <c r="AK247">
        <v>0</v>
      </c>
      <c r="AO247" t="s">
        <v>1372</v>
      </c>
      <c r="AP247" t="s">
        <v>1373</v>
      </c>
    </row>
    <row r="248" hidden="1" spans="1:42">
      <c r="A248" t="s">
        <v>2463</v>
      </c>
      <c r="B248" t="s">
        <v>1356</v>
      </c>
      <c r="C248" t="s">
        <v>1375</v>
      </c>
      <c r="D248" t="s">
        <v>1358</v>
      </c>
      <c r="F248" t="s">
        <v>1377</v>
      </c>
      <c r="G248" s="45">
        <v>44808.8349884259</v>
      </c>
      <c r="H248" s="45">
        <v>44808.8351041667</v>
      </c>
      <c r="J248" t="s">
        <v>407</v>
      </c>
      <c r="M248">
        <v>19.9</v>
      </c>
      <c r="N248">
        <v>0</v>
      </c>
      <c r="O248">
        <v>0</v>
      </c>
      <c r="P248">
        <v>0</v>
      </c>
      <c r="Q248">
        <v>19.9</v>
      </c>
      <c r="R248">
        <v>19.9</v>
      </c>
      <c r="T248" t="s">
        <v>1845</v>
      </c>
      <c r="U248">
        <v>1</v>
      </c>
      <c r="V248" t="s">
        <v>1364</v>
      </c>
      <c r="X248" t="s">
        <v>454</v>
      </c>
      <c r="Y248" t="s">
        <v>2349</v>
      </c>
      <c r="Z248" t="s">
        <v>1678</v>
      </c>
      <c r="AA248" t="s">
        <v>1979</v>
      </c>
      <c r="AB248" t="s">
        <v>2350</v>
      </c>
      <c r="AC248" t="s">
        <v>2412</v>
      </c>
      <c r="AF248" t="s">
        <v>2352</v>
      </c>
      <c r="AG248" t="s">
        <v>1385</v>
      </c>
      <c r="AH248" t="s">
        <v>2349</v>
      </c>
      <c r="AK248">
        <v>0</v>
      </c>
      <c r="AO248" t="s">
        <v>1372</v>
      </c>
      <c r="AP248" t="s">
        <v>1373</v>
      </c>
    </row>
    <row r="249" hidden="1" spans="1:42">
      <c r="A249" t="s">
        <v>2464</v>
      </c>
      <c r="B249" t="s">
        <v>1356</v>
      </c>
      <c r="C249" t="s">
        <v>1375</v>
      </c>
      <c r="D249" t="s">
        <v>1358</v>
      </c>
      <c r="F249" t="s">
        <v>1377</v>
      </c>
      <c r="G249" s="45">
        <v>44808.8348958333</v>
      </c>
      <c r="H249" s="45">
        <v>44808.8351041667</v>
      </c>
      <c r="J249" t="s">
        <v>407</v>
      </c>
      <c r="M249">
        <v>19.9</v>
      </c>
      <c r="N249">
        <v>0</v>
      </c>
      <c r="O249">
        <v>0</v>
      </c>
      <c r="P249">
        <v>0</v>
      </c>
      <c r="Q249">
        <v>19.9</v>
      </c>
      <c r="R249">
        <v>19.9</v>
      </c>
      <c r="T249" t="s">
        <v>1529</v>
      </c>
      <c r="U249">
        <v>1</v>
      </c>
      <c r="V249" t="s">
        <v>1364</v>
      </c>
      <c r="X249" t="s">
        <v>637</v>
      </c>
      <c r="Y249" t="s">
        <v>2465</v>
      </c>
      <c r="Z249" t="s">
        <v>1533</v>
      </c>
      <c r="AA249" t="s">
        <v>2466</v>
      </c>
      <c r="AB249" t="s">
        <v>2467</v>
      </c>
      <c r="AC249" t="s">
        <v>2468</v>
      </c>
      <c r="AF249" t="s">
        <v>2469</v>
      </c>
      <c r="AG249" t="s">
        <v>1385</v>
      </c>
      <c r="AH249" t="s">
        <v>2465</v>
      </c>
      <c r="AK249">
        <v>0</v>
      </c>
      <c r="AO249" t="s">
        <v>1372</v>
      </c>
      <c r="AP249" t="s">
        <v>1373</v>
      </c>
    </row>
    <row r="250" hidden="1" spans="1:42">
      <c r="A250" t="s">
        <v>2470</v>
      </c>
      <c r="B250" t="s">
        <v>1356</v>
      </c>
      <c r="C250" t="s">
        <v>1375</v>
      </c>
      <c r="D250" t="s">
        <v>1358</v>
      </c>
      <c r="F250" t="s">
        <v>1377</v>
      </c>
      <c r="G250" s="45">
        <v>44808.8347106481</v>
      </c>
      <c r="H250" s="45">
        <v>44808.834837963</v>
      </c>
      <c r="J250" t="s">
        <v>407</v>
      </c>
      <c r="M250">
        <v>19.9</v>
      </c>
      <c r="N250">
        <v>0</v>
      </c>
      <c r="O250">
        <v>0</v>
      </c>
      <c r="P250">
        <v>0</v>
      </c>
      <c r="Q250">
        <v>19.9</v>
      </c>
      <c r="R250">
        <v>19.9</v>
      </c>
      <c r="T250" t="s">
        <v>1540</v>
      </c>
      <c r="U250">
        <v>1</v>
      </c>
      <c r="V250" t="s">
        <v>1364</v>
      </c>
      <c r="X250" t="s">
        <v>428</v>
      </c>
      <c r="Y250" t="s">
        <v>2236</v>
      </c>
      <c r="Z250" t="s">
        <v>2028</v>
      </c>
      <c r="AA250" t="s">
        <v>2237</v>
      </c>
      <c r="AB250" t="s">
        <v>2238</v>
      </c>
      <c r="AC250" t="s">
        <v>2239</v>
      </c>
      <c r="AF250" t="s">
        <v>2456</v>
      </c>
      <c r="AG250" t="s">
        <v>1372</v>
      </c>
      <c r="AK250">
        <v>0</v>
      </c>
      <c r="AO250" t="s">
        <v>1372</v>
      </c>
      <c r="AP250" t="s">
        <v>1373</v>
      </c>
    </row>
    <row r="251" hidden="1" spans="1:42">
      <c r="A251" t="s">
        <v>2471</v>
      </c>
      <c r="B251" t="s">
        <v>1356</v>
      </c>
      <c r="C251" t="s">
        <v>1375</v>
      </c>
      <c r="D251" t="s">
        <v>1376</v>
      </c>
      <c r="F251" t="s">
        <v>1377</v>
      </c>
      <c r="G251" s="45">
        <v>44808.8342361111</v>
      </c>
      <c r="M251">
        <v>99</v>
      </c>
      <c r="N251">
        <v>0</v>
      </c>
      <c r="O251">
        <v>-2</v>
      </c>
      <c r="P251">
        <v>0</v>
      </c>
      <c r="Q251">
        <v>97</v>
      </c>
      <c r="R251">
        <v>0</v>
      </c>
      <c r="S251" t="s">
        <v>1400</v>
      </c>
      <c r="T251" t="s">
        <v>2367</v>
      </c>
      <c r="U251">
        <v>1</v>
      </c>
      <c r="V251" t="s">
        <v>1364</v>
      </c>
      <c r="X251" t="s">
        <v>469</v>
      </c>
      <c r="Y251" t="s">
        <v>2428</v>
      </c>
      <c r="Z251" t="s">
        <v>1367</v>
      </c>
      <c r="AA251" t="s">
        <v>1551</v>
      </c>
      <c r="AB251" t="s">
        <v>2429</v>
      </c>
      <c r="AC251" t="s">
        <v>2430</v>
      </c>
      <c r="AF251" t="s">
        <v>2431</v>
      </c>
      <c r="AG251" t="s">
        <v>1385</v>
      </c>
      <c r="AH251" t="s">
        <v>2428</v>
      </c>
      <c r="AK251">
        <v>0</v>
      </c>
      <c r="AO251" t="s">
        <v>1372</v>
      </c>
      <c r="AP251" t="s">
        <v>1373</v>
      </c>
    </row>
    <row r="252" hidden="1" spans="1:42">
      <c r="A252" t="s">
        <v>2472</v>
      </c>
      <c r="B252" t="s">
        <v>1356</v>
      </c>
      <c r="C252" t="s">
        <v>1375</v>
      </c>
      <c r="D252" t="s">
        <v>1358</v>
      </c>
      <c r="F252" t="s">
        <v>1359</v>
      </c>
      <c r="G252" s="45">
        <v>44808.8341087963</v>
      </c>
      <c r="H252" s="45">
        <v>44808.834212963</v>
      </c>
      <c r="J252" t="s">
        <v>1360</v>
      </c>
      <c r="K252" t="s">
        <v>2473</v>
      </c>
      <c r="L252" t="s">
        <v>2474</v>
      </c>
      <c r="M252">
        <v>38</v>
      </c>
      <c r="N252">
        <v>0</v>
      </c>
      <c r="O252">
        <v>0</v>
      </c>
      <c r="P252">
        <v>0</v>
      </c>
      <c r="Q252">
        <v>38</v>
      </c>
      <c r="R252">
        <v>38</v>
      </c>
      <c r="T252" t="s">
        <v>1584</v>
      </c>
      <c r="U252">
        <v>1</v>
      </c>
      <c r="V252" t="s">
        <v>1364</v>
      </c>
      <c r="X252" t="s">
        <v>2475</v>
      </c>
      <c r="Y252" t="s">
        <v>2476</v>
      </c>
      <c r="Z252" t="s">
        <v>1367</v>
      </c>
      <c r="AA252" t="s">
        <v>1615</v>
      </c>
      <c r="AB252" t="s">
        <v>2423</v>
      </c>
      <c r="AC252" t="s">
        <v>2477</v>
      </c>
      <c r="AF252" t="s">
        <v>2478</v>
      </c>
      <c r="AG252" t="s">
        <v>1372</v>
      </c>
      <c r="AH252" t="s">
        <v>2476</v>
      </c>
      <c r="AK252">
        <v>0</v>
      </c>
      <c r="AO252" t="s">
        <v>1372</v>
      </c>
      <c r="AP252" t="s">
        <v>1373</v>
      </c>
    </row>
    <row r="253" hidden="1" spans="1:42">
      <c r="A253" t="s">
        <v>2479</v>
      </c>
      <c r="B253" t="s">
        <v>1356</v>
      </c>
      <c r="C253" t="s">
        <v>1375</v>
      </c>
      <c r="D253" t="s">
        <v>1358</v>
      </c>
      <c r="F253" t="s">
        <v>1377</v>
      </c>
      <c r="G253" s="45">
        <v>44808.8334837963</v>
      </c>
      <c r="H253" s="45">
        <v>44808.8336921296</v>
      </c>
      <c r="J253" t="s">
        <v>407</v>
      </c>
      <c r="M253">
        <v>99</v>
      </c>
      <c r="N253">
        <v>0</v>
      </c>
      <c r="O253">
        <v>0</v>
      </c>
      <c r="P253">
        <v>0</v>
      </c>
      <c r="Q253">
        <v>99</v>
      </c>
      <c r="R253">
        <v>99</v>
      </c>
      <c r="T253" t="s">
        <v>1651</v>
      </c>
      <c r="U253">
        <v>1</v>
      </c>
      <c r="V253" t="s">
        <v>1364</v>
      </c>
      <c r="X253" t="s">
        <v>473</v>
      </c>
      <c r="Y253" t="s">
        <v>2480</v>
      </c>
      <c r="Z253" t="s">
        <v>1466</v>
      </c>
      <c r="AA253" t="s">
        <v>2481</v>
      </c>
      <c r="AB253" t="s">
        <v>2482</v>
      </c>
      <c r="AC253" t="s">
        <v>2483</v>
      </c>
      <c r="AF253" t="s">
        <v>2484</v>
      </c>
      <c r="AG253" t="s">
        <v>1372</v>
      </c>
      <c r="AH253" t="s">
        <v>2480</v>
      </c>
      <c r="AJ253" t="s">
        <v>1649</v>
      </c>
      <c r="AK253">
        <v>0</v>
      </c>
      <c r="AO253" t="s">
        <v>1372</v>
      </c>
      <c r="AP253" t="s">
        <v>1373</v>
      </c>
    </row>
    <row r="254" hidden="1" spans="1:42">
      <c r="A254" t="s">
        <v>2485</v>
      </c>
      <c r="B254" t="s">
        <v>1356</v>
      </c>
      <c r="C254" t="s">
        <v>1375</v>
      </c>
      <c r="D254" t="s">
        <v>1358</v>
      </c>
      <c r="F254" t="s">
        <v>1377</v>
      </c>
      <c r="G254" s="45">
        <v>44808.832662037</v>
      </c>
      <c r="H254" s="45">
        <v>44808.8327777778</v>
      </c>
      <c r="J254" t="s">
        <v>407</v>
      </c>
      <c r="M254">
        <v>99</v>
      </c>
      <c r="N254">
        <v>0</v>
      </c>
      <c r="O254">
        <v>-2</v>
      </c>
      <c r="P254">
        <v>0</v>
      </c>
      <c r="Q254">
        <v>97</v>
      </c>
      <c r="R254">
        <v>97</v>
      </c>
      <c r="S254" t="s">
        <v>1400</v>
      </c>
      <c r="T254" t="s">
        <v>1651</v>
      </c>
      <c r="U254">
        <v>1</v>
      </c>
      <c r="V254" t="s">
        <v>1364</v>
      </c>
      <c r="X254" t="s">
        <v>480</v>
      </c>
      <c r="Y254" t="s">
        <v>2486</v>
      </c>
      <c r="Z254" t="s">
        <v>1367</v>
      </c>
      <c r="AA254" t="s">
        <v>1486</v>
      </c>
      <c r="AB254" t="s">
        <v>2487</v>
      </c>
      <c r="AC254" t="s">
        <v>2488</v>
      </c>
      <c r="AF254" t="s">
        <v>2489</v>
      </c>
      <c r="AG254" t="s">
        <v>1385</v>
      </c>
      <c r="AH254" t="s">
        <v>2486</v>
      </c>
      <c r="AK254">
        <v>0</v>
      </c>
      <c r="AO254" t="s">
        <v>1372</v>
      </c>
      <c r="AP254" t="s">
        <v>1373</v>
      </c>
    </row>
    <row r="255" hidden="1" spans="1:42">
      <c r="A255" t="s">
        <v>2490</v>
      </c>
      <c r="B255" t="s">
        <v>1356</v>
      </c>
      <c r="C255" t="s">
        <v>1375</v>
      </c>
      <c r="D255" t="s">
        <v>1358</v>
      </c>
      <c r="F255" t="s">
        <v>1377</v>
      </c>
      <c r="G255" s="45">
        <v>44808.8326388889</v>
      </c>
      <c r="H255" s="45">
        <v>44808.8327893519</v>
      </c>
      <c r="J255" t="s">
        <v>407</v>
      </c>
      <c r="M255">
        <v>99</v>
      </c>
      <c r="N255">
        <v>10</v>
      </c>
      <c r="O255">
        <v>-3</v>
      </c>
      <c r="P255">
        <v>0</v>
      </c>
      <c r="Q255">
        <v>106</v>
      </c>
      <c r="R255">
        <v>106</v>
      </c>
      <c r="S255" t="s">
        <v>1397</v>
      </c>
      <c r="T255" t="s">
        <v>2012</v>
      </c>
      <c r="U255">
        <v>1</v>
      </c>
      <c r="V255" t="s">
        <v>1364</v>
      </c>
      <c r="X255" t="s">
        <v>430</v>
      </c>
      <c r="Y255" t="s">
        <v>2297</v>
      </c>
      <c r="Z255" t="s">
        <v>2298</v>
      </c>
      <c r="AA255" t="s">
        <v>2299</v>
      </c>
      <c r="AB255" t="s">
        <v>2300</v>
      </c>
      <c r="AC255" t="s">
        <v>2301</v>
      </c>
      <c r="AF255" t="s">
        <v>2302</v>
      </c>
      <c r="AG255" t="s">
        <v>1372</v>
      </c>
      <c r="AH255" t="s">
        <v>2297</v>
      </c>
      <c r="AK255">
        <v>0</v>
      </c>
      <c r="AO255" t="s">
        <v>1372</v>
      </c>
      <c r="AP255" t="s">
        <v>1373</v>
      </c>
    </row>
    <row r="256" hidden="1" spans="1:42">
      <c r="A256" t="s">
        <v>2491</v>
      </c>
      <c r="B256" t="s">
        <v>1356</v>
      </c>
      <c r="C256" t="s">
        <v>1375</v>
      </c>
      <c r="D256" t="s">
        <v>1358</v>
      </c>
      <c r="F256" t="s">
        <v>1377</v>
      </c>
      <c r="G256" s="45">
        <v>44808.8326273148</v>
      </c>
      <c r="H256" s="45">
        <v>44808.8327662037</v>
      </c>
      <c r="J256" t="s">
        <v>407</v>
      </c>
      <c r="M256">
        <v>99</v>
      </c>
      <c r="N256">
        <v>0</v>
      </c>
      <c r="O256">
        <v>0</v>
      </c>
      <c r="P256">
        <v>0</v>
      </c>
      <c r="Q256">
        <v>99</v>
      </c>
      <c r="R256">
        <v>99</v>
      </c>
      <c r="T256" t="s">
        <v>2034</v>
      </c>
      <c r="U256">
        <v>1</v>
      </c>
      <c r="V256" t="s">
        <v>1364</v>
      </c>
      <c r="X256" t="s">
        <v>451</v>
      </c>
      <c r="Y256" t="s">
        <v>2343</v>
      </c>
      <c r="Z256" t="s">
        <v>1606</v>
      </c>
      <c r="AA256" t="s">
        <v>2204</v>
      </c>
      <c r="AB256" t="s">
        <v>2344</v>
      </c>
      <c r="AC256" t="s">
        <v>2345</v>
      </c>
      <c r="AF256" t="s">
        <v>2346</v>
      </c>
      <c r="AG256" t="s">
        <v>1372</v>
      </c>
      <c r="AK256">
        <v>0</v>
      </c>
      <c r="AO256" t="s">
        <v>1372</v>
      </c>
      <c r="AP256" t="s">
        <v>1373</v>
      </c>
    </row>
    <row r="257" hidden="1" spans="1:42">
      <c r="A257" t="s">
        <v>2492</v>
      </c>
      <c r="B257" t="s">
        <v>1356</v>
      </c>
      <c r="C257" t="s">
        <v>1375</v>
      </c>
      <c r="D257" t="s">
        <v>1376</v>
      </c>
      <c r="F257" t="s">
        <v>1359</v>
      </c>
      <c r="G257" s="45">
        <v>44808.8325810185</v>
      </c>
      <c r="M257">
        <v>278</v>
      </c>
      <c r="N257">
        <v>0</v>
      </c>
      <c r="O257">
        <v>0</v>
      </c>
      <c r="P257">
        <v>0</v>
      </c>
      <c r="Q257">
        <v>278</v>
      </c>
      <c r="R257">
        <v>0</v>
      </c>
      <c r="T257" t="s">
        <v>2493</v>
      </c>
      <c r="U257">
        <v>1</v>
      </c>
      <c r="V257" t="s">
        <v>1364</v>
      </c>
      <c r="X257" t="s">
        <v>2494</v>
      </c>
      <c r="Y257" t="s">
        <v>2495</v>
      </c>
      <c r="Z257" t="s">
        <v>1678</v>
      </c>
      <c r="AA257" t="s">
        <v>2496</v>
      </c>
      <c r="AB257" t="s">
        <v>2497</v>
      </c>
      <c r="AC257" t="s">
        <v>2498</v>
      </c>
      <c r="AF257" t="s">
        <v>2499</v>
      </c>
      <c r="AG257" t="s">
        <v>1372</v>
      </c>
      <c r="AH257" t="s">
        <v>2495</v>
      </c>
      <c r="AK257">
        <v>0</v>
      </c>
      <c r="AO257" t="s">
        <v>1372</v>
      </c>
      <c r="AP257" t="s">
        <v>1373</v>
      </c>
    </row>
    <row r="258" hidden="1" spans="1:42">
      <c r="A258" t="s">
        <v>2500</v>
      </c>
      <c r="B258" t="s">
        <v>1356</v>
      </c>
      <c r="C258" t="s">
        <v>1375</v>
      </c>
      <c r="D258" t="s">
        <v>1376</v>
      </c>
      <c r="F258" t="s">
        <v>1377</v>
      </c>
      <c r="G258" s="45">
        <v>44808.8324652778</v>
      </c>
      <c r="M258">
        <v>99</v>
      </c>
      <c r="N258">
        <v>0</v>
      </c>
      <c r="O258">
        <v>0</v>
      </c>
      <c r="P258">
        <v>0</v>
      </c>
      <c r="Q258">
        <v>99</v>
      </c>
      <c r="R258">
        <v>0</v>
      </c>
      <c r="T258" t="s">
        <v>2012</v>
      </c>
      <c r="U258">
        <v>1</v>
      </c>
      <c r="V258" t="s">
        <v>1364</v>
      </c>
      <c r="X258" t="s">
        <v>429</v>
      </c>
      <c r="Y258" t="s">
        <v>2035</v>
      </c>
      <c r="Z258" t="s">
        <v>1367</v>
      </c>
      <c r="AA258" t="s">
        <v>1943</v>
      </c>
      <c r="AB258" t="s">
        <v>1944</v>
      </c>
      <c r="AC258" t="s">
        <v>2036</v>
      </c>
      <c r="AF258" t="s">
        <v>429</v>
      </c>
      <c r="AG258" t="s">
        <v>1372</v>
      </c>
      <c r="AH258" t="s">
        <v>2035</v>
      </c>
      <c r="AK258">
        <v>0</v>
      </c>
      <c r="AO258" t="s">
        <v>1372</v>
      </c>
      <c r="AP258" t="s">
        <v>1373</v>
      </c>
    </row>
    <row r="259" hidden="1" spans="1:42">
      <c r="A259" t="s">
        <v>2501</v>
      </c>
      <c r="B259" t="s">
        <v>1356</v>
      </c>
      <c r="C259" t="s">
        <v>1375</v>
      </c>
      <c r="D259" t="s">
        <v>1358</v>
      </c>
      <c r="F259" t="s">
        <v>1377</v>
      </c>
      <c r="G259" s="45">
        <v>44808.8324305556</v>
      </c>
      <c r="H259" s="45">
        <v>44808.8326967593</v>
      </c>
      <c r="J259" t="s">
        <v>407</v>
      </c>
      <c r="M259">
        <v>19.9</v>
      </c>
      <c r="N259">
        <v>0</v>
      </c>
      <c r="O259">
        <v>0</v>
      </c>
      <c r="P259">
        <v>0</v>
      </c>
      <c r="Q259">
        <v>19.9</v>
      </c>
      <c r="R259">
        <v>19.9</v>
      </c>
      <c r="T259" t="s">
        <v>1802</v>
      </c>
      <c r="U259">
        <v>1</v>
      </c>
      <c r="V259" t="s">
        <v>1364</v>
      </c>
      <c r="X259" t="s">
        <v>584</v>
      </c>
      <c r="Y259" t="s">
        <v>2502</v>
      </c>
      <c r="Z259" t="s">
        <v>1533</v>
      </c>
      <c r="AA259" t="s">
        <v>2503</v>
      </c>
      <c r="AB259" t="s">
        <v>2504</v>
      </c>
      <c r="AC259" t="s">
        <v>2505</v>
      </c>
      <c r="AF259" t="s">
        <v>2506</v>
      </c>
      <c r="AG259" t="s">
        <v>1385</v>
      </c>
      <c r="AH259" t="s">
        <v>2502</v>
      </c>
      <c r="AK259">
        <v>0</v>
      </c>
      <c r="AO259" t="s">
        <v>1372</v>
      </c>
      <c r="AP259" t="s">
        <v>1373</v>
      </c>
    </row>
    <row r="260" hidden="1" spans="1:42">
      <c r="A260" t="s">
        <v>2507</v>
      </c>
      <c r="B260" t="s">
        <v>1356</v>
      </c>
      <c r="C260" t="s">
        <v>1375</v>
      </c>
      <c r="D260" t="s">
        <v>1358</v>
      </c>
      <c r="F260" t="s">
        <v>1377</v>
      </c>
      <c r="G260" s="45">
        <v>44808.8320949074</v>
      </c>
      <c r="H260" s="45">
        <v>44808.8322106482</v>
      </c>
      <c r="J260" t="s">
        <v>407</v>
      </c>
      <c r="M260">
        <v>99</v>
      </c>
      <c r="N260">
        <v>0</v>
      </c>
      <c r="O260">
        <v>0</v>
      </c>
      <c r="P260">
        <v>0</v>
      </c>
      <c r="Q260">
        <v>99</v>
      </c>
      <c r="R260">
        <v>99</v>
      </c>
      <c r="T260" t="s">
        <v>2043</v>
      </c>
      <c r="U260">
        <v>1</v>
      </c>
      <c r="V260" t="s">
        <v>1364</v>
      </c>
      <c r="X260" t="s">
        <v>467</v>
      </c>
      <c r="Y260" t="s">
        <v>2508</v>
      </c>
      <c r="Z260" t="s">
        <v>2509</v>
      </c>
      <c r="AA260" t="s">
        <v>2510</v>
      </c>
      <c r="AB260" t="s">
        <v>2511</v>
      </c>
      <c r="AC260" t="s">
        <v>2512</v>
      </c>
      <c r="AF260" t="s">
        <v>2513</v>
      </c>
      <c r="AG260" t="s">
        <v>1385</v>
      </c>
      <c r="AH260" t="s">
        <v>2508</v>
      </c>
      <c r="AK260">
        <v>0</v>
      </c>
      <c r="AO260" t="s">
        <v>1372</v>
      </c>
      <c r="AP260" t="s">
        <v>1373</v>
      </c>
    </row>
    <row r="261" hidden="1" spans="1:42">
      <c r="A261" t="s">
        <v>2514</v>
      </c>
      <c r="B261" t="s">
        <v>1356</v>
      </c>
      <c r="C261" t="s">
        <v>1375</v>
      </c>
      <c r="D261" t="s">
        <v>1358</v>
      </c>
      <c r="F261" t="s">
        <v>1377</v>
      </c>
      <c r="G261" s="45">
        <v>44808.8319791667</v>
      </c>
      <c r="H261" s="45">
        <v>44808.8320949074</v>
      </c>
      <c r="J261" t="s">
        <v>407</v>
      </c>
      <c r="M261">
        <v>99</v>
      </c>
      <c r="N261">
        <v>0</v>
      </c>
      <c r="O261">
        <v>-4</v>
      </c>
      <c r="P261">
        <v>0</v>
      </c>
      <c r="Q261">
        <v>95</v>
      </c>
      <c r="R261">
        <v>95</v>
      </c>
      <c r="S261" t="s">
        <v>1388</v>
      </c>
      <c r="T261" t="s">
        <v>2012</v>
      </c>
      <c r="U261">
        <v>1</v>
      </c>
      <c r="V261" t="s">
        <v>1364</v>
      </c>
      <c r="X261" t="s">
        <v>428</v>
      </c>
      <c r="Y261" t="s">
        <v>2236</v>
      </c>
      <c r="Z261" t="s">
        <v>2028</v>
      </c>
      <c r="AA261" t="s">
        <v>2237</v>
      </c>
      <c r="AB261" t="s">
        <v>2238</v>
      </c>
      <c r="AC261" t="s">
        <v>2239</v>
      </c>
      <c r="AF261" t="s">
        <v>2456</v>
      </c>
      <c r="AG261" t="s">
        <v>1372</v>
      </c>
      <c r="AK261">
        <v>0</v>
      </c>
      <c r="AO261" t="s">
        <v>1372</v>
      </c>
      <c r="AP261" t="s">
        <v>1373</v>
      </c>
    </row>
    <row r="262" hidden="1" spans="1:42">
      <c r="A262" t="s">
        <v>2515</v>
      </c>
      <c r="B262" t="s">
        <v>1356</v>
      </c>
      <c r="C262" t="s">
        <v>1357</v>
      </c>
      <c r="D262" t="s">
        <v>1358</v>
      </c>
      <c r="F262" t="s">
        <v>1359</v>
      </c>
      <c r="G262" s="45">
        <v>44808.8280324074</v>
      </c>
      <c r="H262" s="45">
        <v>44808.8282060185</v>
      </c>
      <c r="J262" t="s">
        <v>1360</v>
      </c>
      <c r="K262" t="s">
        <v>2516</v>
      </c>
      <c r="L262" t="s">
        <v>2517</v>
      </c>
      <c r="M262">
        <v>69</v>
      </c>
      <c r="N262">
        <v>0</v>
      </c>
      <c r="O262">
        <v>0</v>
      </c>
      <c r="P262">
        <v>0</v>
      </c>
      <c r="Q262">
        <v>69</v>
      </c>
      <c r="R262">
        <v>69</v>
      </c>
      <c r="T262" t="s">
        <v>1669</v>
      </c>
      <c r="U262">
        <v>1</v>
      </c>
      <c r="V262" t="s">
        <v>1364</v>
      </c>
      <c r="X262" t="s">
        <v>2518</v>
      </c>
      <c r="Y262" t="s">
        <v>2519</v>
      </c>
      <c r="Z262" t="s">
        <v>1367</v>
      </c>
      <c r="AA262" t="s">
        <v>1703</v>
      </c>
      <c r="AB262" t="s">
        <v>2520</v>
      </c>
      <c r="AC262" t="s">
        <v>2521</v>
      </c>
      <c r="AF262" t="s">
        <v>2522</v>
      </c>
      <c r="AG262" t="s">
        <v>1385</v>
      </c>
      <c r="AH262" t="s">
        <v>2519</v>
      </c>
      <c r="AK262">
        <v>0</v>
      </c>
      <c r="AO262" t="s">
        <v>1372</v>
      </c>
      <c r="AP262" t="s">
        <v>1373</v>
      </c>
    </row>
    <row r="263" hidden="1" spans="1:42">
      <c r="A263" t="s">
        <v>2523</v>
      </c>
      <c r="B263" t="s">
        <v>1356</v>
      </c>
      <c r="C263" t="s">
        <v>1375</v>
      </c>
      <c r="D263" t="s">
        <v>1376</v>
      </c>
      <c r="F263" t="s">
        <v>1377</v>
      </c>
      <c r="G263" s="45">
        <v>44808.8278819444</v>
      </c>
      <c r="M263">
        <v>69</v>
      </c>
      <c r="N263">
        <v>10</v>
      </c>
      <c r="O263">
        <v>-1</v>
      </c>
      <c r="P263">
        <v>0</v>
      </c>
      <c r="Q263">
        <v>78</v>
      </c>
      <c r="R263">
        <v>0</v>
      </c>
      <c r="S263" t="s">
        <v>1414</v>
      </c>
      <c r="T263" t="s">
        <v>2524</v>
      </c>
      <c r="U263">
        <v>1</v>
      </c>
      <c r="V263" t="s">
        <v>1364</v>
      </c>
      <c r="X263" t="s">
        <v>2525</v>
      </c>
      <c r="Y263" t="s">
        <v>2526</v>
      </c>
      <c r="Z263" t="s">
        <v>2298</v>
      </c>
      <c r="AA263" t="s">
        <v>2527</v>
      </c>
      <c r="AB263" t="s">
        <v>2528</v>
      </c>
      <c r="AC263" t="s">
        <v>2529</v>
      </c>
      <c r="AF263" t="s">
        <v>2530</v>
      </c>
      <c r="AG263" t="s">
        <v>1372</v>
      </c>
      <c r="AH263" t="s">
        <v>2531</v>
      </c>
      <c r="AK263">
        <v>0</v>
      </c>
      <c r="AO263" t="s">
        <v>1372</v>
      </c>
      <c r="AP263" t="s">
        <v>1373</v>
      </c>
    </row>
    <row r="264" hidden="1" spans="1:42">
      <c r="A264" t="s">
        <v>2532</v>
      </c>
      <c r="B264" t="s">
        <v>1356</v>
      </c>
      <c r="C264" t="s">
        <v>1357</v>
      </c>
      <c r="D264" t="s">
        <v>1358</v>
      </c>
      <c r="F264" t="s">
        <v>1359</v>
      </c>
      <c r="G264" s="45">
        <v>44808.8277199074</v>
      </c>
      <c r="H264" s="45">
        <v>44808.8278356481</v>
      </c>
      <c r="J264" t="s">
        <v>1360</v>
      </c>
      <c r="K264" t="s">
        <v>2533</v>
      </c>
      <c r="L264" t="s">
        <v>2534</v>
      </c>
      <c r="M264">
        <v>69</v>
      </c>
      <c r="N264">
        <v>0</v>
      </c>
      <c r="O264">
        <v>0</v>
      </c>
      <c r="P264">
        <v>0</v>
      </c>
      <c r="Q264">
        <v>69</v>
      </c>
      <c r="R264">
        <v>69</v>
      </c>
      <c r="T264" t="s">
        <v>1669</v>
      </c>
      <c r="U264">
        <v>1</v>
      </c>
      <c r="V264" t="s">
        <v>1364</v>
      </c>
      <c r="X264" t="s">
        <v>375</v>
      </c>
      <c r="Y264" t="s">
        <v>2450</v>
      </c>
      <c r="Z264" t="s">
        <v>1678</v>
      </c>
      <c r="AA264" t="s">
        <v>2007</v>
      </c>
      <c r="AB264" t="s">
        <v>2451</v>
      </c>
      <c r="AC264" t="s">
        <v>2452</v>
      </c>
      <c r="AF264" t="s">
        <v>2453</v>
      </c>
      <c r="AG264" t="s">
        <v>1385</v>
      </c>
      <c r="AH264" t="s">
        <v>2450</v>
      </c>
      <c r="AK264">
        <v>0</v>
      </c>
      <c r="AO264" t="s">
        <v>1372</v>
      </c>
      <c r="AP264" t="s">
        <v>1373</v>
      </c>
    </row>
    <row r="265" hidden="1" spans="1:42">
      <c r="A265" t="s">
        <v>2535</v>
      </c>
      <c r="B265" t="s">
        <v>1356</v>
      </c>
      <c r="C265" t="s">
        <v>1357</v>
      </c>
      <c r="D265" t="s">
        <v>1358</v>
      </c>
      <c r="F265" t="s">
        <v>1359</v>
      </c>
      <c r="G265" s="45">
        <v>44808.827650463</v>
      </c>
      <c r="H265" s="45">
        <v>44808.8277662037</v>
      </c>
      <c r="J265" t="s">
        <v>1360</v>
      </c>
      <c r="K265" t="s">
        <v>2536</v>
      </c>
      <c r="L265" t="s">
        <v>2537</v>
      </c>
      <c r="M265">
        <v>69</v>
      </c>
      <c r="N265">
        <v>0</v>
      </c>
      <c r="O265">
        <v>0</v>
      </c>
      <c r="P265">
        <v>0</v>
      </c>
      <c r="Q265">
        <v>69</v>
      </c>
      <c r="R265">
        <v>69</v>
      </c>
      <c r="T265" t="s">
        <v>1669</v>
      </c>
      <c r="U265">
        <v>1</v>
      </c>
      <c r="V265" t="s">
        <v>1364</v>
      </c>
      <c r="X265" t="s">
        <v>2538</v>
      </c>
      <c r="Y265" t="s">
        <v>2539</v>
      </c>
      <c r="Z265" t="s">
        <v>1367</v>
      </c>
      <c r="AA265" t="s">
        <v>1615</v>
      </c>
      <c r="AB265" t="s">
        <v>2540</v>
      </c>
      <c r="AC265" t="s">
        <v>2541</v>
      </c>
      <c r="AF265" t="s">
        <v>2542</v>
      </c>
      <c r="AG265" t="s">
        <v>1372</v>
      </c>
      <c r="AH265" t="s">
        <v>2539</v>
      </c>
      <c r="AK265">
        <v>0</v>
      </c>
      <c r="AO265" t="s">
        <v>1372</v>
      </c>
      <c r="AP265" t="s">
        <v>1373</v>
      </c>
    </row>
    <row r="266" hidden="1" spans="1:42">
      <c r="A266" t="s">
        <v>2543</v>
      </c>
      <c r="B266" t="s">
        <v>1356</v>
      </c>
      <c r="C266" t="s">
        <v>1375</v>
      </c>
      <c r="D266" t="s">
        <v>1358</v>
      </c>
      <c r="F266" t="s">
        <v>1377</v>
      </c>
      <c r="G266" s="45">
        <v>44808.8272916667</v>
      </c>
      <c r="H266" s="45">
        <v>44808.8273842593</v>
      </c>
      <c r="J266" t="s">
        <v>407</v>
      </c>
      <c r="M266">
        <v>69</v>
      </c>
      <c r="N266">
        <v>0</v>
      </c>
      <c r="O266">
        <v>-4</v>
      </c>
      <c r="P266">
        <v>0</v>
      </c>
      <c r="Q266">
        <v>65</v>
      </c>
      <c r="R266">
        <v>65</v>
      </c>
      <c r="S266" t="s">
        <v>1388</v>
      </c>
      <c r="T266" t="s">
        <v>2524</v>
      </c>
      <c r="U266">
        <v>1</v>
      </c>
      <c r="V266" t="s">
        <v>1364</v>
      </c>
      <c r="X266" t="s">
        <v>437</v>
      </c>
      <c r="Y266" t="s">
        <v>2544</v>
      </c>
      <c r="Z266" t="s">
        <v>1804</v>
      </c>
      <c r="AA266" t="s">
        <v>2545</v>
      </c>
      <c r="AB266" t="s">
        <v>2546</v>
      </c>
      <c r="AC266" t="s">
        <v>2547</v>
      </c>
      <c r="AF266" t="s">
        <v>2548</v>
      </c>
      <c r="AG266" t="s">
        <v>1372</v>
      </c>
      <c r="AK266">
        <v>0</v>
      </c>
      <c r="AO266" t="s">
        <v>1372</v>
      </c>
      <c r="AP266" t="s">
        <v>1373</v>
      </c>
    </row>
    <row r="267" hidden="1" spans="1:42">
      <c r="A267" t="s">
        <v>2549</v>
      </c>
      <c r="B267" t="s">
        <v>1356</v>
      </c>
      <c r="C267" t="s">
        <v>1375</v>
      </c>
      <c r="D267" t="s">
        <v>1358</v>
      </c>
      <c r="F267" t="s">
        <v>1377</v>
      </c>
      <c r="G267" s="45">
        <v>44808.8272222222</v>
      </c>
      <c r="H267" s="45">
        <v>44808.827337963</v>
      </c>
      <c r="J267" t="s">
        <v>407</v>
      </c>
      <c r="M267">
        <v>249</v>
      </c>
      <c r="N267">
        <v>0</v>
      </c>
      <c r="O267">
        <v>-7</v>
      </c>
      <c r="P267">
        <v>0</v>
      </c>
      <c r="Q267">
        <v>242</v>
      </c>
      <c r="R267">
        <v>242</v>
      </c>
      <c r="S267" t="s">
        <v>2550</v>
      </c>
      <c r="T267" t="s">
        <v>1870</v>
      </c>
      <c r="U267">
        <v>1</v>
      </c>
      <c r="V267" t="s">
        <v>1364</v>
      </c>
      <c r="X267" t="s">
        <v>450</v>
      </c>
      <c r="Y267" t="s">
        <v>2551</v>
      </c>
      <c r="Z267" t="s">
        <v>1367</v>
      </c>
      <c r="AA267" t="s">
        <v>1943</v>
      </c>
      <c r="AB267" t="s">
        <v>1944</v>
      </c>
      <c r="AC267" t="s">
        <v>2552</v>
      </c>
      <c r="AF267" t="s">
        <v>2553</v>
      </c>
      <c r="AG267" t="s">
        <v>1372</v>
      </c>
      <c r="AH267" t="s">
        <v>2551</v>
      </c>
      <c r="AK267">
        <v>0</v>
      </c>
      <c r="AO267" t="s">
        <v>1372</v>
      </c>
      <c r="AP267" t="s">
        <v>1373</v>
      </c>
    </row>
    <row r="268" hidden="1" spans="1:42">
      <c r="A268" t="s">
        <v>2554</v>
      </c>
      <c r="B268" t="s">
        <v>1356</v>
      </c>
      <c r="C268" t="s">
        <v>1357</v>
      </c>
      <c r="D268" t="s">
        <v>1358</v>
      </c>
      <c r="F268" t="s">
        <v>1359</v>
      </c>
      <c r="G268" s="45">
        <v>44808.8270833333</v>
      </c>
      <c r="H268" s="45">
        <v>44808.8271990741</v>
      </c>
      <c r="J268" t="s">
        <v>1360</v>
      </c>
      <c r="K268" t="s">
        <v>2555</v>
      </c>
      <c r="L268" t="s">
        <v>2556</v>
      </c>
      <c r="M268">
        <v>58</v>
      </c>
      <c r="N268">
        <v>0</v>
      </c>
      <c r="O268">
        <v>0</v>
      </c>
      <c r="P268">
        <v>0</v>
      </c>
      <c r="Q268">
        <v>58</v>
      </c>
      <c r="R268">
        <v>58</v>
      </c>
      <c r="T268" t="s">
        <v>2557</v>
      </c>
      <c r="U268">
        <v>1</v>
      </c>
      <c r="V268" t="s">
        <v>1364</v>
      </c>
      <c r="X268" t="s">
        <v>2558</v>
      </c>
      <c r="Y268" t="s">
        <v>2559</v>
      </c>
      <c r="Z268" t="s">
        <v>1367</v>
      </c>
      <c r="AA268" t="s">
        <v>1615</v>
      </c>
      <c r="AB268" t="s">
        <v>1929</v>
      </c>
      <c r="AC268" t="s">
        <v>2560</v>
      </c>
      <c r="AF268" t="s">
        <v>2561</v>
      </c>
      <c r="AG268" t="s">
        <v>1372</v>
      </c>
      <c r="AH268" t="s">
        <v>2562</v>
      </c>
      <c r="AK268">
        <v>0</v>
      </c>
      <c r="AO268" t="s">
        <v>1372</v>
      </c>
      <c r="AP268" t="s">
        <v>1373</v>
      </c>
    </row>
    <row r="269" hidden="1" spans="1:42">
      <c r="A269" t="s">
        <v>2563</v>
      </c>
      <c r="B269" t="s">
        <v>1356</v>
      </c>
      <c r="C269" t="s">
        <v>1375</v>
      </c>
      <c r="D269" t="s">
        <v>1358</v>
      </c>
      <c r="F269" t="s">
        <v>1377</v>
      </c>
      <c r="G269" s="45">
        <v>44808.827037037</v>
      </c>
      <c r="H269" s="45">
        <v>44808.8271064815</v>
      </c>
      <c r="J269" t="s">
        <v>407</v>
      </c>
      <c r="M269">
        <v>69</v>
      </c>
      <c r="N269">
        <v>0</v>
      </c>
      <c r="O269">
        <v>-5</v>
      </c>
      <c r="P269">
        <v>0</v>
      </c>
      <c r="Q269">
        <v>64</v>
      </c>
      <c r="R269">
        <v>64</v>
      </c>
      <c r="S269" t="s">
        <v>1422</v>
      </c>
      <c r="T269" t="s">
        <v>2564</v>
      </c>
      <c r="U269">
        <v>1</v>
      </c>
      <c r="V269" t="s">
        <v>1364</v>
      </c>
      <c r="X269" t="s">
        <v>431</v>
      </c>
      <c r="Y269" t="s">
        <v>2087</v>
      </c>
      <c r="Z269" t="s">
        <v>1430</v>
      </c>
      <c r="AA269" t="s">
        <v>2088</v>
      </c>
      <c r="AB269" t="s">
        <v>2089</v>
      </c>
      <c r="AC269" t="s">
        <v>2090</v>
      </c>
      <c r="AF269" t="s">
        <v>2091</v>
      </c>
      <c r="AG269" t="s">
        <v>1372</v>
      </c>
      <c r="AH269" t="s">
        <v>2087</v>
      </c>
      <c r="AK269">
        <v>0</v>
      </c>
      <c r="AO269" t="s">
        <v>1372</v>
      </c>
      <c r="AP269" t="s">
        <v>1373</v>
      </c>
    </row>
    <row r="270" hidden="1" spans="1:42">
      <c r="A270" t="s">
        <v>2565</v>
      </c>
      <c r="B270" t="s">
        <v>1356</v>
      </c>
      <c r="C270" t="s">
        <v>1375</v>
      </c>
      <c r="D270" t="s">
        <v>1358</v>
      </c>
      <c r="F270" t="s">
        <v>1359</v>
      </c>
      <c r="G270" s="45">
        <v>44808.826412037</v>
      </c>
      <c r="H270" s="45">
        <v>44808.8266898148</v>
      </c>
      <c r="J270" t="s">
        <v>407</v>
      </c>
      <c r="M270">
        <v>249</v>
      </c>
      <c r="N270">
        <v>0</v>
      </c>
      <c r="O270">
        <v>-4</v>
      </c>
      <c r="P270">
        <v>0</v>
      </c>
      <c r="Q270">
        <v>245</v>
      </c>
      <c r="R270">
        <v>245</v>
      </c>
      <c r="S270" t="s">
        <v>1388</v>
      </c>
      <c r="T270" t="s">
        <v>2566</v>
      </c>
      <c r="U270">
        <v>1</v>
      </c>
      <c r="V270" t="s">
        <v>1364</v>
      </c>
      <c r="X270" t="s">
        <v>448</v>
      </c>
      <c r="Y270" t="s">
        <v>2567</v>
      </c>
      <c r="Z270" t="s">
        <v>1367</v>
      </c>
      <c r="AA270" t="s">
        <v>1402</v>
      </c>
      <c r="AB270" t="s">
        <v>2568</v>
      </c>
      <c r="AC270" t="s">
        <v>2569</v>
      </c>
      <c r="AF270" t="s">
        <v>2570</v>
      </c>
      <c r="AG270" t="s">
        <v>1385</v>
      </c>
      <c r="AH270" t="s">
        <v>2571</v>
      </c>
      <c r="AK270">
        <v>0</v>
      </c>
      <c r="AO270" t="s">
        <v>1372</v>
      </c>
      <c r="AP270" t="s">
        <v>1373</v>
      </c>
    </row>
    <row r="271" hidden="1" spans="1:42">
      <c r="A271" t="s">
        <v>2572</v>
      </c>
      <c r="B271" t="s">
        <v>1356</v>
      </c>
      <c r="C271" t="s">
        <v>1375</v>
      </c>
      <c r="D271" t="s">
        <v>1358</v>
      </c>
      <c r="F271" t="s">
        <v>1377</v>
      </c>
      <c r="G271" s="45">
        <v>44808.8261921296</v>
      </c>
      <c r="H271" s="45">
        <v>44808.8262731481</v>
      </c>
      <c r="J271" t="s">
        <v>407</v>
      </c>
      <c r="M271">
        <v>249</v>
      </c>
      <c r="N271">
        <v>0</v>
      </c>
      <c r="O271">
        <v>-2</v>
      </c>
      <c r="P271">
        <v>0</v>
      </c>
      <c r="Q271">
        <v>247</v>
      </c>
      <c r="R271">
        <v>247</v>
      </c>
      <c r="S271" t="s">
        <v>1400</v>
      </c>
      <c r="T271" t="s">
        <v>2573</v>
      </c>
      <c r="U271">
        <v>1</v>
      </c>
      <c r="V271" t="s">
        <v>1364</v>
      </c>
      <c r="X271" t="s">
        <v>431</v>
      </c>
      <c r="Y271" t="s">
        <v>2087</v>
      </c>
      <c r="Z271" t="s">
        <v>1430</v>
      </c>
      <c r="AA271" t="s">
        <v>2088</v>
      </c>
      <c r="AB271" t="s">
        <v>2089</v>
      </c>
      <c r="AC271" t="s">
        <v>2090</v>
      </c>
      <c r="AF271" t="s">
        <v>2091</v>
      </c>
      <c r="AG271" t="s">
        <v>1372</v>
      </c>
      <c r="AH271" t="s">
        <v>2087</v>
      </c>
      <c r="AK271">
        <v>0</v>
      </c>
      <c r="AO271" t="s">
        <v>1372</v>
      </c>
      <c r="AP271" t="s">
        <v>1373</v>
      </c>
    </row>
    <row r="272" hidden="1" spans="1:42">
      <c r="A272" t="s">
        <v>2574</v>
      </c>
      <c r="B272" t="s">
        <v>1356</v>
      </c>
      <c r="C272" t="s">
        <v>1357</v>
      </c>
      <c r="D272" t="s">
        <v>1358</v>
      </c>
      <c r="F272" t="s">
        <v>1359</v>
      </c>
      <c r="G272" s="45">
        <v>44808.8253935185</v>
      </c>
      <c r="H272" s="45">
        <v>44808.8254976852</v>
      </c>
      <c r="J272" t="s">
        <v>1360</v>
      </c>
      <c r="K272" t="s">
        <v>2575</v>
      </c>
      <c r="L272" t="s">
        <v>2576</v>
      </c>
      <c r="M272">
        <v>58</v>
      </c>
      <c r="N272">
        <v>0</v>
      </c>
      <c r="O272">
        <v>0</v>
      </c>
      <c r="P272">
        <v>0</v>
      </c>
      <c r="Q272">
        <v>58</v>
      </c>
      <c r="R272">
        <v>58</v>
      </c>
      <c r="T272" t="s">
        <v>2557</v>
      </c>
      <c r="U272">
        <v>1</v>
      </c>
      <c r="V272" t="s">
        <v>1364</v>
      </c>
      <c r="X272" t="s">
        <v>2577</v>
      </c>
      <c r="Y272" t="s">
        <v>2578</v>
      </c>
      <c r="Z272" t="s">
        <v>1391</v>
      </c>
      <c r="AA272" t="s">
        <v>2579</v>
      </c>
      <c r="AB272" t="s">
        <v>2580</v>
      </c>
      <c r="AC272" t="s">
        <v>2581</v>
      </c>
      <c r="AF272" t="s">
        <v>2578</v>
      </c>
      <c r="AG272" t="s">
        <v>1372</v>
      </c>
      <c r="AH272" t="s">
        <v>2578</v>
      </c>
      <c r="AK272">
        <v>0</v>
      </c>
      <c r="AO272" t="s">
        <v>1372</v>
      </c>
      <c r="AP272" t="s">
        <v>1373</v>
      </c>
    </row>
    <row r="273" hidden="1" spans="1:42">
      <c r="A273" t="s">
        <v>2582</v>
      </c>
      <c r="B273" t="s">
        <v>1356</v>
      </c>
      <c r="C273" t="s">
        <v>1375</v>
      </c>
      <c r="D273" t="s">
        <v>1358</v>
      </c>
      <c r="F273" t="s">
        <v>1377</v>
      </c>
      <c r="G273" s="45">
        <v>44808.8253587963</v>
      </c>
      <c r="H273" s="45">
        <v>44808.8254513889</v>
      </c>
      <c r="J273" t="s">
        <v>407</v>
      </c>
      <c r="M273">
        <v>249</v>
      </c>
      <c r="N273">
        <v>0</v>
      </c>
      <c r="O273">
        <v>0</v>
      </c>
      <c r="P273">
        <v>0</v>
      </c>
      <c r="Q273">
        <v>249</v>
      </c>
      <c r="R273">
        <v>249</v>
      </c>
      <c r="T273" t="s">
        <v>1708</v>
      </c>
      <c r="U273">
        <v>1</v>
      </c>
      <c r="V273" t="s">
        <v>1364</v>
      </c>
      <c r="X273" t="s">
        <v>437</v>
      </c>
      <c r="Y273" t="s">
        <v>2544</v>
      </c>
      <c r="Z273" t="s">
        <v>1804</v>
      </c>
      <c r="AA273" t="s">
        <v>2545</v>
      </c>
      <c r="AB273" t="s">
        <v>2546</v>
      </c>
      <c r="AC273" t="s">
        <v>2547</v>
      </c>
      <c r="AF273" t="s">
        <v>2548</v>
      </c>
      <c r="AG273" t="s">
        <v>1372</v>
      </c>
      <c r="AK273">
        <v>0</v>
      </c>
      <c r="AO273" t="s">
        <v>1372</v>
      </c>
      <c r="AP273" t="s">
        <v>1373</v>
      </c>
    </row>
    <row r="274" hidden="1" spans="1:42">
      <c r="A274" t="s">
        <v>2583</v>
      </c>
      <c r="B274" t="s">
        <v>1356</v>
      </c>
      <c r="C274" t="s">
        <v>1375</v>
      </c>
      <c r="D274" t="s">
        <v>1358</v>
      </c>
      <c r="F274" t="s">
        <v>1377</v>
      </c>
      <c r="G274" s="45">
        <v>44808.8246759259</v>
      </c>
      <c r="H274" s="45">
        <v>44808.8247685185</v>
      </c>
      <c r="J274" t="s">
        <v>407</v>
      </c>
      <c r="M274">
        <v>249</v>
      </c>
      <c r="N274">
        <v>0</v>
      </c>
      <c r="O274">
        <v>-1</v>
      </c>
      <c r="P274">
        <v>0</v>
      </c>
      <c r="Q274">
        <v>248</v>
      </c>
      <c r="R274">
        <v>248</v>
      </c>
      <c r="S274" t="s">
        <v>1414</v>
      </c>
      <c r="T274" t="s">
        <v>1872</v>
      </c>
      <c r="U274">
        <v>1</v>
      </c>
      <c r="V274" t="s">
        <v>1364</v>
      </c>
      <c r="X274" t="s">
        <v>439</v>
      </c>
      <c r="Y274" t="s">
        <v>2584</v>
      </c>
      <c r="Z274" t="s">
        <v>1804</v>
      </c>
      <c r="AA274" t="s">
        <v>2585</v>
      </c>
      <c r="AB274" t="s">
        <v>2586</v>
      </c>
      <c r="AC274" t="s">
        <v>2587</v>
      </c>
      <c r="AF274" t="s">
        <v>2588</v>
      </c>
      <c r="AG274" t="s">
        <v>1372</v>
      </c>
      <c r="AH274" t="s">
        <v>2584</v>
      </c>
      <c r="AK274">
        <v>0</v>
      </c>
      <c r="AO274" t="s">
        <v>1372</v>
      </c>
      <c r="AP274" t="s">
        <v>1373</v>
      </c>
    </row>
    <row r="275" hidden="1" spans="1:42">
      <c r="A275" t="s">
        <v>2589</v>
      </c>
      <c r="B275" t="s">
        <v>1356</v>
      </c>
      <c r="C275" t="s">
        <v>1375</v>
      </c>
      <c r="D275" t="s">
        <v>1358</v>
      </c>
      <c r="F275" t="s">
        <v>1377</v>
      </c>
      <c r="G275" s="45">
        <v>44808.8244675926</v>
      </c>
      <c r="H275" s="45">
        <v>44808.8247916667</v>
      </c>
      <c r="J275" t="s">
        <v>407</v>
      </c>
      <c r="M275">
        <v>249</v>
      </c>
      <c r="N275">
        <v>0</v>
      </c>
      <c r="O275">
        <v>0</v>
      </c>
      <c r="P275">
        <v>0</v>
      </c>
      <c r="Q275">
        <v>249</v>
      </c>
      <c r="R275">
        <v>249</v>
      </c>
      <c r="T275" t="s">
        <v>1867</v>
      </c>
      <c r="U275">
        <v>1</v>
      </c>
      <c r="V275" t="s">
        <v>1364</v>
      </c>
      <c r="X275" t="s">
        <v>428</v>
      </c>
      <c r="Y275" t="s">
        <v>2236</v>
      </c>
      <c r="Z275" t="s">
        <v>2028</v>
      </c>
      <c r="AA275" t="s">
        <v>2237</v>
      </c>
      <c r="AB275" t="s">
        <v>2238</v>
      </c>
      <c r="AC275" t="s">
        <v>2239</v>
      </c>
      <c r="AF275" t="s">
        <v>2456</v>
      </c>
      <c r="AG275" t="s">
        <v>1372</v>
      </c>
      <c r="AK275">
        <v>0</v>
      </c>
      <c r="AO275" t="s">
        <v>1372</v>
      </c>
      <c r="AP275" t="s">
        <v>1373</v>
      </c>
    </row>
    <row r="276" hidden="1" spans="1:42">
      <c r="A276" t="s">
        <v>2590</v>
      </c>
      <c r="B276" t="s">
        <v>1356</v>
      </c>
      <c r="C276" t="s">
        <v>1357</v>
      </c>
      <c r="D276" t="s">
        <v>1358</v>
      </c>
      <c r="F276" t="s">
        <v>1359</v>
      </c>
      <c r="G276" s="45">
        <v>44808.8223263889</v>
      </c>
      <c r="H276" s="45">
        <v>44808.8224074074</v>
      </c>
      <c r="J276" t="s">
        <v>1360</v>
      </c>
      <c r="K276" t="s">
        <v>2591</v>
      </c>
      <c r="L276" t="s">
        <v>2592</v>
      </c>
      <c r="M276">
        <v>58</v>
      </c>
      <c r="N276">
        <v>0</v>
      </c>
      <c r="O276">
        <v>0</v>
      </c>
      <c r="P276">
        <v>0</v>
      </c>
      <c r="Q276">
        <v>58</v>
      </c>
      <c r="R276">
        <v>58</v>
      </c>
      <c r="T276" t="s">
        <v>2557</v>
      </c>
      <c r="U276">
        <v>1</v>
      </c>
      <c r="V276" t="s">
        <v>1364</v>
      </c>
      <c r="X276" t="s">
        <v>2593</v>
      </c>
      <c r="Y276" t="s">
        <v>2594</v>
      </c>
      <c r="Z276" t="s">
        <v>1533</v>
      </c>
      <c r="AA276" t="s">
        <v>2466</v>
      </c>
      <c r="AB276" t="s">
        <v>2595</v>
      </c>
      <c r="AC276" t="s">
        <v>2596</v>
      </c>
      <c r="AF276" t="s">
        <v>2597</v>
      </c>
      <c r="AG276" t="s">
        <v>1372</v>
      </c>
      <c r="AH276" t="s">
        <v>2594</v>
      </c>
      <c r="AK276">
        <v>0</v>
      </c>
      <c r="AO276" t="s">
        <v>1372</v>
      </c>
      <c r="AP276" t="s">
        <v>1373</v>
      </c>
    </row>
    <row r="277" hidden="1" spans="1:42">
      <c r="A277" t="s">
        <v>2598</v>
      </c>
      <c r="B277" t="s">
        <v>1356</v>
      </c>
      <c r="C277" t="s">
        <v>1375</v>
      </c>
      <c r="D277" t="s">
        <v>1358</v>
      </c>
      <c r="F277" t="s">
        <v>1377</v>
      </c>
      <c r="G277" s="45">
        <v>44808.8222453704</v>
      </c>
      <c r="H277" s="45">
        <v>44808.8226736111</v>
      </c>
      <c r="J277" t="s">
        <v>407</v>
      </c>
      <c r="M277">
        <v>39.9</v>
      </c>
      <c r="N277">
        <v>0</v>
      </c>
      <c r="O277">
        <v>0</v>
      </c>
      <c r="P277">
        <v>0</v>
      </c>
      <c r="Q277">
        <v>39.9</v>
      </c>
      <c r="R277">
        <v>39.9</v>
      </c>
      <c r="T277" t="s">
        <v>2599</v>
      </c>
      <c r="U277">
        <v>1</v>
      </c>
      <c r="V277" t="s">
        <v>1364</v>
      </c>
      <c r="X277" t="s">
        <v>537</v>
      </c>
      <c r="Y277" t="s">
        <v>2600</v>
      </c>
      <c r="Z277" t="s">
        <v>1430</v>
      </c>
      <c r="AA277" t="s">
        <v>2088</v>
      </c>
      <c r="AB277" t="s">
        <v>2282</v>
      </c>
      <c r="AC277" t="s">
        <v>2601</v>
      </c>
      <c r="AF277" t="s">
        <v>2602</v>
      </c>
      <c r="AG277" t="s">
        <v>1372</v>
      </c>
      <c r="AK277">
        <v>0</v>
      </c>
      <c r="AO277" t="s">
        <v>1372</v>
      </c>
      <c r="AP277" t="s">
        <v>1373</v>
      </c>
    </row>
    <row r="278" hidden="1" spans="1:42">
      <c r="A278" t="s">
        <v>2603</v>
      </c>
      <c r="B278" t="s">
        <v>1356</v>
      </c>
      <c r="C278" t="s">
        <v>1357</v>
      </c>
      <c r="D278" t="s">
        <v>1358</v>
      </c>
      <c r="F278" t="s">
        <v>1359</v>
      </c>
      <c r="G278" s="45">
        <v>44808.8212847222</v>
      </c>
      <c r="H278" s="45">
        <v>44808.8213773148</v>
      </c>
      <c r="J278" t="s">
        <v>1360</v>
      </c>
      <c r="K278" t="s">
        <v>2604</v>
      </c>
      <c r="L278" t="s">
        <v>2605</v>
      </c>
      <c r="M278">
        <v>69</v>
      </c>
      <c r="N278">
        <v>0</v>
      </c>
      <c r="O278">
        <v>0</v>
      </c>
      <c r="P278">
        <v>0</v>
      </c>
      <c r="Q278">
        <v>69</v>
      </c>
      <c r="R278">
        <v>69</v>
      </c>
      <c r="T278" t="s">
        <v>1669</v>
      </c>
      <c r="U278">
        <v>1</v>
      </c>
      <c r="V278" t="s">
        <v>1364</v>
      </c>
      <c r="X278" t="s">
        <v>2606</v>
      </c>
      <c r="Y278" t="s">
        <v>2607</v>
      </c>
      <c r="Z278" t="s">
        <v>1367</v>
      </c>
      <c r="AA278" t="s">
        <v>1943</v>
      </c>
      <c r="AB278" t="s">
        <v>2608</v>
      </c>
      <c r="AC278" t="s">
        <v>2609</v>
      </c>
      <c r="AF278" t="s">
        <v>2606</v>
      </c>
      <c r="AG278" t="s">
        <v>1372</v>
      </c>
      <c r="AH278" t="s">
        <v>2607</v>
      </c>
      <c r="AK278">
        <v>0</v>
      </c>
      <c r="AO278" t="s">
        <v>1372</v>
      </c>
      <c r="AP278" t="s">
        <v>1373</v>
      </c>
    </row>
    <row r="279" hidden="1" spans="1:42">
      <c r="A279" t="s">
        <v>2610</v>
      </c>
      <c r="B279" t="s">
        <v>1356</v>
      </c>
      <c r="C279" t="s">
        <v>1375</v>
      </c>
      <c r="D279" t="s">
        <v>1358</v>
      </c>
      <c r="F279" t="s">
        <v>1377</v>
      </c>
      <c r="G279" s="45">
        <v>44808.8212731481</v>
      </c>
      <c r="H279" s="45">
        <v>44808.8213888889</v>
      </c>
      <c r="J279" t="s">
        <v>407</v>
      </c>
      <c r="M279">
        <v>39.9</v>
      </c>
      <c r="N279">
        <v>0</v>
      </c>
      <c r="O279">
        <v>0</v>
      </c>
      <c r="P279">
        <v>0</v>
      </c>
      <c r="Q279">
        <v>39.9</v>
      </c>
      <c r="R279">
        <v>39.9</v>
      </c>
      <c r="T279" t="s">
        <v>1792</v>
      </c>
      <c r="U279">
        <v>1</v>
      </c>
      <c r="V279" t="s">
        <v>1364</v>
      </c>
      <c r="X279" t="s">
        <v>439</v>
      </c>
      <c r="Y279" t="s">
        <v>2584</v>
      </c>
      <c r="Z279" t="s">
        <v>1804</v>
      </c>
      <c r="AA279" t="s">
        <v>2585</v>
      </c>
      <c r="AB279" t="s">
        <v>2586</v>
      </c>
      <c r="AC279" t="s">
        <v>2587</v>
      </c>
      <c r="AD279" t="s">
        <v>2611</v>
      </c>
      <c r="AF279" t="s">
        <v>2588</v>
      </c>
      <c r="AG279" t="s">
        <v>1372</v>
      </c>
      <c r="AH279" t="s">
        <v>2584</v>
      </c>
      <c r="AK279">
        <v>0</v>
      </c>
      <c r="AO279" t="s">
        <v>1372</v>
      </c>
      <c r="AP279" t="s">
        <v>1373</v>
      </c>
    </row>
    <row r="280" hidden="1" spans="1:42">
      <c r="A280" t="s">
        <v>2612</v>
      </c>
      <c r="B280" t="s">
        <v>1356</v>
      </c>
      <c r="C280" t="s">
        <v>1375</v>
      </c>
      <c r="D280" t="s">
        <v>1358</v>
      </c>
      <c r="F280" t="s">
        <v>1377</v>
      </c>
      <c r="G280" s="45">
        <v>44808.8208912037</v>
      </c>
      <c r="H280" s="45">
        <v>44808.8210763889</v>
      </c>
      <c r="J280" t="s">
        <v>407</v>
      </c>
      <c r="M280">
        <v>39.9</v>
      </c>
      <c r="N280">
        <v>0</v>
      </c>
      <c r="O280">
        <v>-1</v>
      </c>
      <c r="P280">
        <v>0</v>
      </c>
      <c r="Q280">
        <v>38.9</v>
      </c>
      <c r="R280">
        <v>38.9</v>
      </c>
      <c r="S280" t="s">
        <v>1414</v>
      </c>
      <c r="T280" t="s">
        <v>2059</v>
      </c>
      <c r="U280">
        <v>1</v>
      </c>
      <c r="V280" t="s">
        <v>1364</v>
      </c>
      <c r="X280" t="s">
        <v>547</v>
      </c>
      <c r="Y280" t="s">
        <v>2613</v>
      </c>
      <c r="Z280" t="s">
        <v>1748</v>
      </c>
      <c r="AA280" t="s">
        <v>1749</v>
      </c>
      <c r="AB280" t="s">
        <v>1750</v>
      </c>
      <c r="AC280" t="s">
        <v>2614</v>
      </c>
      <c r="AF280" t="s">
        <v>2615</v>
      </c>
      <c r="AG280" t="s">
        <v>1385</v>
      </c>
      <c r="AH280" t="s">
        <v>2616</v>
      </c>
      <c r="AK280">
        <v>0</v>
      </c>
      <c r="AO280" t="s">
        <v>1372</v>
      </c>
      <c r="AP280" t="s">
        <v>1373</v>
      </c>
    </row>
    <row r="281" hidden="1" spans="1:42">
      <c r="A281" t="s">
        <v>2617</v>
      </c>
      <c r="B281" t="s">
        <v>1356</v>
      </c>
      <c r="C281" t="s">
        <v>1375</v>
      </c>
      <c r="D281" t="s">
        <v>1376</v>
      </c>
      <c r="F281" t="s">
        <v>1377</v>
      </c>
      <c r="G281" s="45">
        <v>44808.8207986111</v>
      </c>
      <c r="M281">
        <v>39.9</v>
      </c>
      <c r="N281">
        <v>0</v>
      </c>
      <c r="O281">
        <v>0</v>
      </c>
      <c r="P281">
        <v>0</v>
      </c>
      <c r="Q281">
        <v>39.9</v>
      </c>
      <c r="R281">
        <v>0</v>
      </c>
      <c r="T281" t="s">
        <v>2618</v>
      </c>
      <c r="U281">
        <v>1</v>
      </c>
      <c r="V281" t="s">
        <v>1364</v>
      </c>
      <c r="X281" t="s">
        <v>2619</v>
      </c>
      <c r="Y281" t="s">
        <v>2620</v>
      </c>
      <c r="Z281" t="s">
        <v>1466</v>
      </c>
      <c r="AA281" t="s">
        <v>2621</v>
      </c>
      <c r="AB281" t="s">
        <v>2622</v>
      </c>
      <c r="AC281" t="s">
        <v>2623</v>
      </c>
      <c r="AF281" t="s">
        <v>2624</v>
      </c>
      <c r="AG281" t="s">
        <v>1372</v>
      </c>
      <c r="AK281">
        <v>0</v>
      </c>
      <c r="AO281" t="s">
        <v>1372</v>
      </c>
      <c r="AP281" t="s">
        <v>1373</v>
      </c>
    </row>
    <row r="282" hidden="1" spans="1:42">
      <c r="A282" t="s">
        <v>2625</v>
      </c>
      <c r="B282" t="s">
        <v>1356</v>
      </c>
      <c r="C282" t="s">
        <v>1357</v>
      </c>
      <c r="D282" t="s">
        <v>1358</v>
      </c>
      <c r="F282" t="s">
        <v>1359</v>
      </c>
      <c r="G282" s="45">
        <v>44808.8207986111</v>
      </c>
      <c r="H282" s="45">
        <v>44808.8209027778</v>
      </c>
      <c r="J282" t="s">
        <v>1360</v>
      </c>
      <c r="K282" t="s">
        <v>2626</v>
      </c>
      <c r="L282" t="s">
        <v>2627</v>
      </c>
      <c r="M282">
        <v>58</v>
      </c>
      <c r="N282">
        <v>0</v>
      </c>
      <c r="O282">
        <v>0</v>
      </c>
      <c r="P282">
        <v>0</v>
      </c>
      <c r="Q282">
        <v>58</v>
      </c>
      <c r="R282">
        <v>58</v>
      </c>
      <c r="T282" t="s">
        <v>2557</v>
      </c>
      <c r="U282">
        <v>1</v>
      </c>
      <c r="V282" t="s">
        <v>1364</v>
      </c>
      <c r="X282" t="s">
        <v>2628</v>
      </c>
      <c r="Y282" t="s">
        <v>2629</v>
      </c>
      <c r="Z282" t="s">
        <v>1367</v>
      </c>
      <c r="AA282" t="s">
        <v>2630</v>
      </c>
      <c r="AB282" t="s">
        <v>2631</v>
      </c>
      <c r="AC282" t="s">
        <v>2632</v>
      </c>
      <c r="AF282" t="s">
        <v>2633</v>
      </c>
      <c r="AG282" t="s">
        <v>1385</v>
      </c>
      <c r="AH282" t="s">
        <v>2629</v>
      </c>
      <c r="AK282">
        <v>0</v>
      </c>
      <c r="AO282" t="s">
        <v>1372</v>
      </c>
      <c r="AP282" t="s">
        <v>1373</v>
      </c>
    </row>
    <row r="283" hidden="1" spans="1:42">
      <c r="A283" t="s">
        <v>2634</v>
      </c>
      <c r="B283" t="s">
        <v>1356</v>
      </c>
      <c r="C283" t="s">
        <v>1375</v>
      </c>
      <c r="D283" t="s">
        <v>1358</v>
      </c>
      <c r="F283" t="s">
        <v>1377</v>
      </c>
      <c r="G283" s="45">
        <v>44808.8206481481</v>
      </c>
      <c r="H283" s="45">
        <v>44808.8209259259</v>
      </c>
      <c r="J283" t="s">
        <v>407</v>
      </c>
      <c r="M283">
        <v>39.9</v>
      </c>
      <c r="N283">
        <v>0</v>
      </c>
      <c r="O283">
        <v>0</v>
      </c>
      <c r="P283">
        <v>0</v>
      </c>
      <c r="Q283">
        <v>39.9</v>
      </c>
      <c r="R283">
        <v>39.9</v>
      </c>
      <c r="T283" t="s">
        <v>1897</v>
      </c>
      <c r="U283">
        <v>1</v>
      </c>
      <c r="V283" t="s">
        <v>1364</v>
      </c>
      <c r="X283" t="s">
        <v>492</v>
      </c>
      <c r="Y283" t="s">
        <v>2635</v>
      </c>
      <c r="Z283" t="s">
        <v>1380</v>
      </c>
      <c r="AA283" t="s">
        <v>2636</v>
      </c>
      <c r="AB283" t="s">
        <v>2637</v>
      </c>
      <c r="AC283" t="s">
        <v>2638</v>
      </c>
      <c r="AF283" t="s">
        <v>2639</v>
      </c>
      <c r="AG283" t="s">
        <v>1385</v>
      </c>
      <c r="AH283" t="s">
        <v>2640</v>
      </c>
      <c r="AK283">
        <v>0</v>
      </c>
      <c r="AO283" t="s">
        <v>1372</v>
      </c>
      <c r="AP283" t="s">
        <v>1373</v>
      </c>
    </row>
    <row r="284" hidden="1" spans="1:42">
      <c r="A284" t="s">
        <v>2641</v>
      </c>
      <c r="B284" t="s">
        <v>1356</v>
      </c>
      <c r="C284" t="s">
        <v>1357</v>
      </c>
      <c r="D284" t="s">
        <v>1358</v>
      </c>
      <c r="F284" t="s">
        <v>1359</v>
      </c>
      <c r="G284" s="45">
        <v>44808.8203009259</v>
      </c>
      <c r="H284" s="45">
        <v>44808.8204513889</v>
      </c>
      <c r="J284" t="s">
        <v>1360</v>
      </c>
      <c r="K284" t="s">
        <v>2642</v>
      </c>
      <c r="L284" t="s">
        <v>2643</v>
      </c>
      <c r="M284">
        <v>58</v>
      </c>
      <c r="N284">
        <v>0</v>
      </c>
      <c r="O284">
        <v>0</v>
      </c>
      <c r="P284">
        <v>0</v>
      </c>
      <c r="Q284">
        <v>58</v>
      </c>
      <c r="R284">
        <v>58</v>
      </c>
      <c r="T284" t="s">
        <v>2557</v>
      </c>
      <c r="U284">
        <v>1</v>
      </c>
      <c r="V284" t="s">
        <v>1364</v>
      </c>
      <c r="X284" t="s">
        <v>2644</v>
      </c>
      <c r="Y284" t="s">
        <v>2645</v>
      </c>
      <c r="Z284" t="s">
        <v>1380</v>
      </c>
      <c r="AA284" t="s">
        <v>1638</v>
      </c>
      <c r="AB284" t="s">
        <v>2646</v>
      </c>
      <c r="AC284" t="s">
        <v>2647</v>
      </c>
      <c r="AF284" t="s">
        <v>2644</v>
      </c>
      <c r="AG284" t="s">
        <v>1372</v>
      </c>
      <c r="AK284">
        <v>0</v>
      </c>
      <c r="AO284" t="s">
        <v>1372</v>
      </c>
      <c r="AP284" t="s">
        <v>1373</v>
      </c>
    </row>
    <row r="285" hidden="1" spans="1:42">
      <c r="A285" t="s">
        <v>2648</v>
      </c>
      <c r="B285" t="s">
        <v>1356</v>
      </c>
      <c r="C285" t="s">
        <v>1375</v>
      </c>
      <c r="D285" t="s">
        <v>1358</v>
      </c>
      <c r="F285" t="s">
        <v>1377</v>
      </c>
      <c r="G285" s="45">
        <v>44808.8202893519</v>
      </c>
      <c r="H285" s="45">
        <v>44808.8203819444</v>
      </c>
      <c r="J285" t="s">
        <v>407</v>
      </c>
      <c r="M285">
        <v>39.9</v>
      </c>
      <c r="N285">
        <v>0</v>
      </c>
      <c r="O285">
        <v>0</v>
      </c>
      <c r="P285">
        <v>0</v>
      </c>
      <c r="Q285">
        <v>39.9</v>
      </c>
      <c r="R285">
        <v>39.9</v>
      </c>
      <c r="T285" t="s">
        <v>2649</v>
      </c>
      <c r="U285">
        <v>1</v>
      </c>
      <c r="V285" t="s">
        <v>1364</v>
      </c>
      <c r="X285" t="s">
        <v>494</v>
      </c>
      <c r="Y285" t="s">
        <v>2650</v>
      </c>
      <c r="Z285" t="s">
        <v>2651</v>
      </c>
      <c r="AA285" t="s">
        <v>2652</v>
      </c>
      <c r="AB285" t="s">
        <v>2653</v>
      </c>
      <c r="AC285" t="s">
        <v>2654</v>
      </c>
      <c r="AF285" t="s">
        <v>2655</v>
      </c>
      <c r="AG285" t="s">
        <v>1385</v>
      </c>
      <c r="AH285" t="s">
        <v>2656</v>
      </c>
      <c r="AK285">
        <v>0</v>
      </c>
      <c r="AO285" t="s">
        <v>1372</v>
      </c>
      <c r="AP285" t="s">
        <v>1373</v>
      </c>
    </row>
    <row r="286" hidden="1" spans="1:42">
      <c r="A286" t="s">
        <v>2657</v>
      </c>
      <c r="B286" t="s">
        <v>1356</v>
      </c>
      <c r="C286" t="s">
        <v>1375</v>
      </c>
      <c r="D286" t="s">
        <v>1358</v>
      </c>
      <c r="F286" t="s">
        <v>1377</v>
      </c>
      <c r="G286" s="45">
        <v>44808.8202546296</v>
      </c>
      <c r="H286" s="45">
        <v>44808.8205902778</v>
      </c>
      <c r="J286" t="s">
        <v>407</v>
      </c>
      <c r="M286">
        <v>39.9</v>
      </c>
      <c r="N286">
        <v>0</v>
      </c>
      <c r="O286">
        <v>-2</v>
      </c>
      <c r="P286">
        <v>0</v>
      </c>
      <c r="Q286">
        <v>37.9</v>
      </c>
      <c r="R286">
        <v>37.9</v>
      </c>
      <c r="S286" t="s">
        <v>1400</v>
      </c>
      <c r="T286" t="s">
        <v>2658</v>
      </c>
      <c r="U286">
        <v>1</v>
      </c>
      <c r="V286" t="s">
        <v>1364</v>
      </c>
      <c r="X286" t="s">
        <v>454</v>
      </c>
      <c r="Y286" t="s">
        <v>2349</v>
      </c>
      <c r="Z286" t="s">
        <v>1678</v>
      </c>
      <c r="AA286" t="s">
        <v>1979</v>
      </c>
      <c r="AB286" t="s">
        <v>2350</v>
      </c>
      <c r="AC286" t="s">
        <v>2412</v>
      </c>
      <c r="AF286" t="s">
        <v>2352</v>
      </c>
      <c r="AG286" t="s">
        <v>1385</v>
      </c>
      <c r="AH286" t="s">
        <v>2349</v>
      </c>
      <c r="AK286">
        <v>0</v>
      </c>
      <c r="AO286" t="s">
        <v>1372</v>
      </c>
      <c r="AP286" t="s">
        <v>1373</v>
      </c>
    </row>
    <row r="287" hidden="1" spans="1:42">
      <c r="A287" t="s">
        <v>2659</v>
      </c>
      <c r="B287" t="s">
        <v>1356</v>
      </c>
      <c r="C287" t="s">
        <v>1375</v>
      </c>
      <c r="D287" t="s">
        <v>1358</v>
      </c>
      <c r="F287" t="s">
        <v>1377</v>
      </c>
      <c r="G287" s="45">
        <v>44808.8200694444</v>
      </c>
      <c r="H287" s="45">
        <v>44808.8201851852</v>
      </c>
      <c r="J287" t="s">
        <v>407</v>
      </c>
      <c r="M287">
        <v>39.9</v>
      </c>
      <c r="N287">
        <v>0</v>
      </c>
      <c r="O287">
        <v>-1</v>
      </c>
      <c r="P287">
        <v>0</v>
      </c>
      <c r="Q287">
        <v>38.9</v>
      </c>
      <c r="R287">
        <v>38.9</v>
      </c>
      <c r="S287" t="s">
        <v>1414</v>
      </c>
      <c r="T287" t="s">
        <v>2660</v>
      </c>
      <c r="U287">
        <v>1</v>
      </c>
      <c r="V287" t="s">
        <v>1364</v>
      </c>
      <c r="X287" t="s">
        <v>487</v>
      </c>
      <c r="Y287" t="s">
        <v>2661</v>
      </c>
      <c r="Z287" t="s">
        <v>1430</v>
      </c>
      <c r="AA287" t="s">
        <v>1688</v>
      </c>
      <c r="AB287" t="s">
        <v>2662</v>
      </c>
      <c r="AC287" t="s">
        <v>2663</v>
      </c>
      <c r="AF287" t="s">
        <v>2664</v>
      </c>
      <c r="AG287" t="s">
        <v>1385</v>
      </c>
      <c r="AH287" t="s">
        <v>2661</v>
      </c>
      <c r="AK287">
        <v>0</v>
      </c>
      <c r="AO287" t="s">
        <v>1372</v>
      </c>
      <c r="AP287" t="s">
        <v>1373</v>
      </c>
    </row>
    <row r="288" hidden="1" spans="1:42">
      <c r="A288" t="s">
        <v>2665</v>
      </c>
      <c r="B288" t="s">
        <v>1356</v>
      </c>
      <c r="C288" t="s">
        <v>1375</v>
      </c>
      <c r="D288" t="s">
        <v>1358</v>
      </c>
      <c r="F288" t="s">
        <v>1377</v>
      </c>
      <c r="G288" s="45">
        <v>44808.8181712963</v>
      </c>
      <c r="H288" s="45">
        <v>44808.8184837963</v>
      </c>
      <c r="J288" t="s">
        <v>407</v>
      </c>
      <c r="M288">
        <v>39.9</v>
      </c>
      <c r="N288">
        <v>0</v>
      </c>
      <c r="O288">
        <v>-3</v>
      </c>
      <c r="P288">
        <v>0</v>
      </c>
      <c r="Q288">
        <v>36.9</v>
      </c>
      <c r="R288">
        <v>36.9</v>
      </c>
      <c r="S288" t="s">
        <v>1397</v>
      </c>
      <c r="T288" t="s">
        <v>2086</v>
      </c>
      <c r="U288">
        <v>1</v>
      </c>
      <c r="V288" t="s">
        <v>1364</v>
      </c>
      <c r="X288" t="s">
        <v>487</v>
      </c>
      <c r="Y288" t="s">
        <v>2661</v>
      </c>
      <c r="Z288" t="s">
        <v>1430</v>
      </c>
      <c r="AA288" t="s">
        <v>1688</v>
      </c>
      <c r="AB288" t="s">
        <v>2662</v>
      </c>
      <c r="AC288" t="s">
        <v>2663</v>
      </c>
      <c r="AF288" t="s">
        <v>2664</v>
      </c>
      <c r="AG288" t="s">
        <v>1385</v>
      </c>
      <c r="AH288" t="s">
        <v>2661</v>
      </c>
      <c r="AK288">
        <v>0</v>
      </c>
      <c r="AO288" t="s">
        <v>1372</v>
      </c>
      <c r="AP288" t="s">
        <v>1373</v>
      </c>
    </row>
    <row r="289" hidden="1" spans="1:42">
      <c r="A289" t="s">
        <v>2666</v>
      </c>
      <c r="B289" t="s">
        <v>1356</v>
      </c>
      <c r="C289" t="s">
        <v>1375</v>
      </c>
      <c r="D289" t="s">
        <v>1358</v>
      </c>
      <c r="F289" t="s">
        <v>1377</v>
      </c>
      <c r="G289" s="45">
        <v>44808.8174305556</v>
      </c>
      <c r="H289" s="45">
        <v>44808.8175810185</v>
      </c>
      <c r="J289" t="s">
        <v>407</v>
      </c>
      <c r="M289">
        <v>19.9</v>
      </c>
      <c r="N289">
        <v>0</v>
      </c>
      <c r="O289">
        <v>0</v>
      </c>
      <c r="P289">
        <v>0</v>
      </c>
      <c r="Q289">
        <v>19.9</v>
      </c>
      <c r="R289">
        <v>19.9</v>
      </c>
      <c r="T289" t="s">
        <v>2667</v>
      </c>
      <c r="U289">
        <v>1</v>
      </c>
      <c r="V289" t="s">
        <v>1364</v>
      </c>
      <c r="X289" t="s">
        <v>487</v>
      </c>
      <c r="Y289" t="s">
        <v>2661</v>
      </c>
      <c r="Z289" t="s">
        <v>1430</v>
      </c>
      <c r="AA289" t="s">
        <v>1688</v>
      </c>
      <c r="AB289" t="s">
        <v>2662</v>
      </c>
      <c r="AC289" t="s">
        <v>2663</v>
      </c>
      <c r="AF289" t="s">
        <v>2664</v>
      </c>
      <c r="AG289" t="s">
        <v>1385</v>
      </c>
      <c r="AH289" t="s">
        <v>2661</v>
      </c>
      <c r="AK289">
        <v>0</v>
      </c>
      <c r="AO289" t="s">
        <v>1372</v>
      </c>
      <c r="AP289" t="s">
        <v>1373</v>
      </c>
    </row>
    <row r="290" hidden="1" spans="1:42">
      <c r="A290" t="s">
        <v>2668</v>
      </c>
      <c r="B290" t="s">
        <v>1356</v>
      </c>
      <c r="C290" t="s">
        <v>1375</v>
      </c>
      <c r="D290" t="s">
        <v>1358</v>
      </c>
      <c r="F290" t="s">
        <v>1377</v>
      </c>
      <c r="G290" s="45">
        <v>44808.8173148148</v>
      </c>
      <c r="H290" s="45">
        <v>44808.8175</v>
      </c>
      <c r="J290" t="s">
        <v>407</v>
      </c>
      <c r="M290">
        <v>19.9</v>
      </c>
      <c r="N290">
        <v>0</v>
      </c>
      <c r="O290">
        <v>0</v>
      </c>
      <c r="P290">
        <v>0</v>
      </c>
      <c r="Q290">
        <v>19.9</v>
      </c>
      <c r="R290">
        <v>19.9</v>
      </c>
      <c r="T290" t="s">
        <v>1484</v>
      </c>
      <c r="U290">
        <v>1</v>
      </c>
      <c r="V290" t="s">
        <v>1364</v>
      </c>
      <c r="X290" t="s">
        <v>617</v>
      </c>
      <c r="Y290" t="s">
        <v>2669</v>
      </c>
      <c r="Z290" t="s">
        <v>1367</v>
      </c>
      <c r="AA290" t="s">
        <v>1943</v>
      </c>
      <c r="AB290" t="s">
        <v>2670</v>
      </c>
      <c r="AC290" t="s">
        <v>2671</v>
      </c>
      <c r="AF290" t="s">
        <v>2672</v>
      </c>
      <c r="AG290" t="s">
        <v>1372</v>
      </c>
      <c r="AK290">
        <v>0</v>
      </c>
      <c r="AO290" t="s">
        <v>1372</v>
      </c>
      <c r="AP290" t="s">
        <v>1373</v>
      </c>
    </row>
    <row r="291" hidden="1" spans="1:42">
      <c r="A291" t="s">
        <v>2673</v>
      </c>
      <c r="B291" t="s">
        <v>1356</v>
      </c>
      <c r="C291" t="s">
        <v>1375</v>
      </c>
      <c r="D291" t="s">
        <v>1358</v>
      </c>
      <c r="F291" t="s">
        <v>1377</v>
      </c>
      <c r="G291" s="45">
        <v>44808.8171180556</v>
      </c>
      <c r="H291" s="45">
        <v>44808.817349537</v>
      </c>
      <c r="J291" t="s">
        <v>407</v>
      </c>
      <c r="M291">
        <v>39.9</v>
      </c>
      <c r="N291">
        <v>0</v>
      </c>
      <c r="O291">
        <v>0</v>
      </c>
      <c r="P291">
        <v>0</v>
      </c>
      <c r="Q291">
        <v>39.9</v>
      </c>
      <c r="R291">
        <v>39.9</v>
      </c>
      <c r="T291" t="s">
        <v>1491</v>
      </c>
      <c r="U291">
        <v>1</v>
      </c>
      <c r="V291" t="s">
        <v>1364</v>
      </c>
      <c r="X291" t="s">
        <v>521</v>
      </c>
      <c r="Y291" t="s">
        <v>2674</v>
      </c>
      <c r="Z291" t="s">
        <v>1678</v>
      </c>
      <c r="AA291" t="s">
        <v>2675</v>
      </c>
      <c r="AB291" t="s">
        <v>2676</v>
      </c>
      <c r="AC291" t="s">
        <v>2677</v>
      </c>
      <c r="AF291" t="s">
        <v>2678</v>
      </c>
      <c r="AG291" t="s">
        <v>1372</v>
      </c>
      <c r="AH291" t="s">
        <v>2674</v>
      </c>
      <c r="AK291">
        <v>0</v>
      </c>
      <c r="AO291" t="s">
        <v>1372</v>
      </c>
      <c r="AP291" t="s">
        <v>1373</v>
      </c>
    </row>
    <row r="292" hidden="1" spans="1:42">
      <c r="A292" t="s">
        <v>2679</v>
      </c>
      <c r="B292" t="s">
        <v>1356</v>
      </c>
      <c r="C292" t="s">
        <v>1375</v>
      </c>
      <c r="D292" t="s">
        <v>1358</v>
      </c>
      <c r="F292" t="s">
        <v>1377</v>
      </c>
      <c r="G292" s="45">
        <v>44808.8169328704</v>
      </c>
      <c r="H292" s="45">
        <v>44808.8170949074</v>
      </c>
      <c r="J292" t="s">
        <v>407</v>
      </c>
      <c r="M292">
        <v>39.9</v>
      </c>
      <c r="N292">
        <v>0</v>
      </c>
      <c r="O292">
        <v>0</v>
      </c>
      <c r="P292">
        <v>0</v>
      </c>
      <c r="Q292">
        <v>39.9</v>
      </c>
      <c r="R292">
        <v>39.9</v>
      </c>
      <c r="T292" t="s">
        <v>1493</v>
      </c>
      <c r="U292">
        <v>1</v>
      </c>
      <c r="V292" t="s">
        <v>1364</v>
      </c>
      <c r="X292" t="s">
        <v>535</v>
      </c>
      <c r="Y292" t="s">
        <v>2680</v>
      </c>
      <c r="Z292" t="s">
        <v>1466</v>
      </c>
      <c r="AA292" t="s">
        <v>2681</v>
      </c>
      <c r="AB292" t="s">
        <v>2682</v>
      </c>
      <c r="AC292" t="s">
        <v>2683</v>
      </c>
      <c r="AF292" t="s">
        <v>2684</v>
      </c>
      <c r="AG292" t="s">
        <v>1372</v>
      </c>
      <c r="AK292">
        <v>0</v>
      </c>
      <c r="AO292" t="s">
        <v>1372</v>
      </c>
      <c r="AP292" t="s">
        <v>1373</v>
      </c>
    </row>
    <row r="293" hidden="1" spans="1:42">
      <c r="A293" t="s">
        <v>2685</v>
      </c>
      <c r="B293" t="s">
        <v>1356</v>
      </c>
      <c r="C293" t="s">
        <v>1375</v>
      </c>
      <c r="D293" t="s">
        <v>1376</v>
      </c>
      <c r="F293" t="s">
        <v>1359</v>
      </c>
      <c r="G293" s="45">
        <v>44808.8167476852</v>
      </c>
      <c r="M293">
        <v>79.8</v>
      </c>
      <c r="N293">
        <v>0</v>
      </c>
      <c r="O293">
        <v>-2</v>
      </c>
      <c r="P293">
        <v>0</v>
      </c>
      <c r="Q293">
        <v>77.8</v>
      </c>
      <c r="R293">
        <v>0</v>
      </c>
      <c r="S293" t="s">
        <v>1400</v>
      </c>
      <c r="T293" t="s">
        <v>2394</v>
      </c>
      <c r="U293">
        <v>1</v>
      </c>
      <c r="V293" t="s">
        <v>1364</v>
      </c>
      <c r="X293" t="s">
        <v>439</v>
      </c>
      <c r="Y293" t="s">
        <v>2584</v>
      </c>
      <c r="Z293" t="s">
        <v>1804</v>
      </c>
      <c r="AA293" t="s">
        <v>2585</v>
      </c>
      <c r="AB293" t="s">
        <v>2586</v>
      </c>
      <c r="AC293" t="s">
        <v>2587</v>
      </c>
      <c r="AD293" t="s">
        <v>2686</v>
      </c>
      <c r="AF293" t="s">
        <v>2588</v>
      </c>
      <c r="AG293" t="s">
        <v>1372</v>
      </c>
      <c r="AH293" t="s">
        <v>2584</v>
      </c>
      <c r="AK293">
        <v>0</v>
      </c>
      <c r="AO293" t="s">
        <v>1372</v>
      </c>
      <c r="AP293" t="s">
        <v>1373</v>
      </c>
    </row>
    <row r="294" hidden="1" spans="1:42">
      <c r="A294" t="s">
        <v>2687</v>
      </c>
      <c r="B294" t="s">
        <v>1356</v>
      </c>
      <c r="C294" t="s">
        <v>1375</v>
      </c>
      <c r="D294" t="s">
        <v>1358</v>
      </c>
      <c r="F294" t="s">
        <v>1377</v>
      </c>
      <c r="G294" s="45">
        <v>44808.8165972222</v>
      </c>
      <c r="H294" s="45">
        <v>44808.8168171296</v>
      </c>
      <c r="J294" t="s">
        <v>407</v>
      </c>
      <c r="M294">
        <v>39.9</v>
      </c>
      <c r="N294">
        <v>0</v>
      </c>
      <c r="O294">
        <v>-2</v>
      </c>
      <c r="P294">
        <v>0</v>
      </c>
      <c r="Q294">
        <v>37.9</v>
      </c>
      <c r="R294">
        <v>37.9</v>
      </c>
      <c r="S294" t="s">
        <v>1400</v>
      </c>
      <c r="T294" t="s">
        <v>1907</v>
      </c>
      <c r="U294">
        <v>1</v>
      </c>
      <c r="V294" t="s">
        <v>1364</v>
      </c>
      <c r="X294" t="s">
        <v>492</v>
      </c>
      <c r="Y294" t="s">
        <v>2635</v>
      </c>
      <c r="Z294" t="s">
        <v>1380</v>
      </c>
      <c r="AA294" t="s">
        <v>2636</v>
      </c>
      <c r="AB294" t="s">
        <v>2637</v>
      </c>
      <c r="AC294" t="s">
        <v>2638</v>
      </c>
      <c r="AF294" t="s">
        <v>2639</v>
      </c>
      <c r="AG294" t="s">
        <v>1385</v>
      </c>
      <c r="AH294" t="s">
        <v>2640</v>
      </c>
      <c r="AK294">
        <v>0</v>
      </c>
      <c r="AO294" t="s">
        <v>1372</v>
      </c>
      <c r="AP294" t="s">
        <v>1373</v>
      </c>
    </row>
    <row r="295" hidden="1" spans="1:42">
      <c r="A295" t="s">
        <v>2688</v>
      </c>
      <c r="B295" t="s">
        <v>1356</v>
      </c>
      <c r="C295" t="s">
        <v>1375</v>
      </c>
      <c r="D295" t="s">
        <v>1358</v>
      </c>
      <c r="F295" t="s">
        <v>1359</v>
      </c>
      <c r="G295" s="45">
        <v>44808.8165162037</v>
      </c>
      <c r="H295" s="45">
        <v>44808.816712963</v>
      </c>
      <c r="J295" t="s">
        <v>407</v>
      </c>
      <c r="M295">
        <v>19.9</v>
      </c>
      <c r="N295">
        <v>0</v>
      </c>
      <c r="O295">
        <v>0</v>
      </c>
      <c r="P295">
        <v>0</v>
      </c>
      <c r="Q295">
        <v>19.9</v>
      </c>
      <c r="R295">
        <v>19.9</v>
      </c>
      <c r="T295" t="s">
        <v>2667</v>
      </c>
      <c r="U295">
        <v>1</v>
      </c>
      <c r="V295" t="s">
        <v>1364</v>
      </c>
      <c r="X295" t="s">
        <v>586</v>
      </c>
      <c r="Y295" t="s">
        <v>2689</v>
      </c>
      <c r="Z295" t="s">
        <v>1466</v>
      </c>
      <c r="AA295" t="s">
        <v>1835</v>
      </c>
      <c r="AB295" t="s">
        <v>2690</v>
      </c>
      <c r="AC295" t="s">
        <v>2691</v>
      </c>
      <c r="AF295" t="s">
        <v>586</v>
      </c>
      <c r="AG295" t="s">
        <v>1372</v>
      </c>
      <c r="AH295" t="s">
        <v>2689</v>
      </c>
      <c r="AK295">
        <v>0</v>
      </c>
      <c r="AO295" t="s">
        <v>1372</v>
      </c>
      <c r="AP295" t="s">
        <v>1373</v>
      </c>
    </row>
    <row r="296" hidden="1" spans="1:42">
      <c r="A296" t="s">
        <v>2692</v>
      </c>
      <c r="B296" t="s">
        <v>1356</v>
      </c>
      <c r="C296" t="s">
        <v>1357</v>
      </c>
      <c r="D296" t="s">
        <v>1358</v>
      </c>
      <c r="F296" t="s">
        <v>1359</v>
      </c>
      <c r="G296" s="45">
        <v>44808.8164583333</v>
      </c>
      <c r="H296" s="45">
        <v>44808.8165856482</v>
      </c>
      <c r="J296" t="s">
        <v>1360</v>
      </c>
      <c r="K296" t="s">
        <v>2693</v>
      </c>
      <c r="L296" t="s">
        <v>2694</v>
      </c>
      <c r="M296">
        <v>59</v>
      </c>
      <c r="N296">
        <v>0</v>
      </c>
      <c r="O296">
        <v>0</v>
      </c>
      <c r="P296">
        <v>0</v>
      </c>
      <c r="Q296">
        <v>59</v>
      </c>
      <c r="R296">
        <v>59</v>
      </c>
      <c r="T296" t="s">
        <v>1363</v>
      </c>
      <c r="U296">
        <v>1</v>
      </c>
      <c r="V296" t="s">
        <v>1364</v>
      </c>
      <c r="X296" t="s">
        <v>582</v>
      </c>
      <c r="Y296" t="s">
        <v>2695</v>
      </c>
      <c r="Z296" t="s">
        <v>1380</v>
      </c>
      <c r="AA296" t="s">
        <v>1381</v>
      </c>
      <c r="AB296" t="s">
        <v>2696</v>
      </c>
      <c r="AC296" t="s">
        <v>2697</v>
      </c>
      <c r="AF296" t="s">
        <v>2695</v>
      </c>
      <c r="AG296" t="s">
        <v>1385</v>
      </c>
      <c r="AH296" t="s">
        <v>2695</v>
      </c>
      <c r="AK296">
        <v>0</v>
      </c>
      <c r="AO296" t="s">
        <v>1372</v>
      </c>
      <c r="AP296" t="s">
        <v>1373</v>
      </c>
    </row>
    <row r="297" hidden="1" spans="1:42">
      <c r="A297" t="s">
        <v>2698</v>
      </c>
      <c r="B297" t="s">
        <v>1356</v>
      </c>
      <c r="C297" t="s">
        <v>1357</v>
      </c>
      <c r="D297" t="s">
        <v>1358</v>
      </c>
      <c r="F297" t="s">
        <v>1359</v>
      </c>
      <c r="G297" s="45">
        <v>44808.8163773148</v>
      </c>
      <c r="H297" s="45">
        <v>44808.8165972222</v>
      </c>
      <c r="J297" t="s">
        <v>1360</v>
      </c>
      <c r="K297" t="s">
        <v>2699</v>
      </c>
      <c r="L297" t="s">
        <v>2700</v>
      </c>
      <c r="M297">
        <v>58</v>
      </c>
      <c r="N297">
        <v>0</v>
      </c>
      <c r="O297">
        <v>0</v>
      </c>
      <c r="P297">
        <v>0</v>
      </c>
      <c r="Q297">
        <v>58</v>
      </c>
      <c r="R297">
        <v>58</v>
      </c>
      <c r="T297" t="s">
        <v>2557</v>
      </c>
      <c r="U297">
        <v>1</v>
      </c>
      <c r="V297" t="s">
        <v>1364</v>
      </c>
      <c r="X297" t="s">
        <v>551</v>
      </c>
      <c r="Y297" t="s">
        <v>2701</v>
      </c>
      <c r="Z297" t="s">
        <v>1430</v>
      </c>
      <c r="AA297" t="s">
        <v>2088</v>
      </c>
      <c r="AB297" t="s">
        <v>2282</v>
      </c>
      <c r="AC297" t="s">
        <v>2702</v>
      </c>
      <c r="AD297" t="s">
        <v>2703</v>
      </c>
      <c r="AF297" t="s">
        <v>2704</v>
      </c>
      <c r="AG297" t="s">
        <v>1372</v>
      </c>
      <c r="AH297" t="s">
        <v>2705</v>
      </c>
      <c r="AK297">
        <v>0</v>
      </c>
      <c r="AO297" t="s">
        <v>1372</v>
      </c>
      <c r="AP297" t="s">
        <v>1373</v>
      </c>
    </row>
    <row r="298" hidden="1" spans="1:42">
      <c r="A298" t="s">
        <v>2706</v>
      </c>
      <c r="B298" t="s">
        <v>1356</v>
      </c>
      <c r="C298" t="s">
        <v>1375</v>
      </c>
      <c r="D298" t="s">
        <v>1358</v>
      </c>
      <c r="F298" t="s">
        <v>1377</v>
      </c>
      <c r="G298" s="45">
        <v>44808.8161458333</v>
      </c>
      <c r="H298" s="45">
        <v>44808.8162268518</v>
      </c>
      <c r="J298" t="s">
        <v>407</v>
      </c>
      <c r="M298">
        <v>39.9</v>
      </c>
      <c r="N298">
        <v>0</v>
      </c>
      <c r="O298">
        <v>-2</v>
      </c>
      <c r="P298">
        <v>0</v>
      </c>
      <c r="Q298">
        <v>37.9</v>
      </c>
      <c r="R298">
        <v>37.9</v>
      </c>
      <c r="S298" t="s">
        <v>1400</v>
      </c>
      <c r="T298" t="s">
        <v>2249</v>
      </c>
      <c r="U298">
        <v>1</v>
      </c>
      <c r="V298" t="s">
        <v>1364</v>
      </c>
      <c r="X298" t="s">
        <v>494</v>
      </c>
      <c r="Y298" t="s">
        <v>2650</v>
      </c>
      <c r="Z298" t="s">
        <v>2651</v>
      </c>
      <c r="AA298" t="s">
        <v>2652</v>
      </c>
      <c r="AB298" t="s">
        <v>2653</v>
      </c>
      <c r="AC298" t="s">
        <v>2654</v>
      </c>
      <c r="AF298" t="s">
        <v>2655</v>
      </c>
      <c r="AG298" t="s">
        <v>1385</v>
      </c>
      <c r="AH298" t="s">
        <v>2656</v>
      </c>
      <c r="AK298">
        <v>0</v>
      </c>
      <c r="AO298" t="s">
        <v>1372</v>
      </c>
      <c r="AP298" t="s">
        <v>1373</v>
      </c>
    </row>
    <row r="299" hidden="1" spans="1:42">
      <c r="A299" t="s">
        <v>2707</v>
      </c>
      <c r="B299" t="s">
        <v>1356</v>
      </c>
      <c r="C299" t="s">
        <v>1357</v>
      </c>
      <c r="D299" t="s">
        <v>1358</v>
      </c>
      <c r="F299" t="s">
        <v>1359</v>
      </c>
      <c r="G299" s="45">
        <v>44808.8157638889</v>
      </c>
      <c r="H299" s="45">
        <v>44808.8159837963</v>
      </c>
      <c r="J299" t="s">
        <v>1360</v>
      </c>
      <c r="K299" t="s">
        <v>2708</v>
      </c>
      <c r="L299" t="s">
        <v>2709</v>
      </c>
      <c r="M299">
        <v>69</v>
      </c>
      <c r="N299">
        <v>0</v>
      </c>
      <c r="O299">
        <v>0</v>
      </c>
      <c r="P299">
        <v>0</v>
      </c>
      <c r="Q299">
        <v>69</v>
      </c>
      <c r="R299">
        <v>69</v>
      </c>
      <c r="T299" t="s">
        <v>1669</v>
      </c>
      <c r="U299">
        <v>1</v>
      </c>
      <c r="V299" t="s">
        <v>1364</v>
      </c>
      <c r="X299" t="s">
        <v>2710</v>
      </c>
      <c r="Y299" t="s">
        <v>2711</v>
      </c>
      <c r="Z299" t="s">
        <v>1367</v>
      </c>
      <c r="AA299" t="s">
        <v>1899</v>
      </c>
      <c r="AB299" t="s">
        <v>2022</v>
      </c>
      <c r="AC299" t="s">
        <v>2712</v>
      </c>
      <c r="AF299" t="s">
        <v>2713</v>
      </c>
      <c r="AG299" t="s">
        <v>1385</v>
      </c>
      <c r="AH299" t="s">
        <v>2711</v>
      </c>
      <c r="AK299">
        <v>0</v>
      </c>
      <c r="AO299" t="s">
        <v>1372</v>
      </c>
      <c r="AP299" t="s">
        <v>1373</v>
      </c>
    </row>
    <row r="300" hidden="1" spans="1:42">
      <c r="A300" t="s">
        <v>2714</v>
      </c>
      <c r="B300" t="s">
        <v>1356</v>
      </c>
      <c r="C300" t="s">
        <v>1357</v>
      </c>
      <c r="D300" t="s">
        <v>1358</v>
      </c>
      <c r="F300" t="s">
        <v>1359</v>
      </c>
      <c r="G300" s="45">
        <v>44808.8157407407</v>
      </c>
      <c r="H300" s="45">
        <v>44808.8158217593</v>
      </c>
      <c r="J300" t="s">
        <v>1360</v>
      </c>
      <c r="K300" t="s">
        <v>2715</v>
      </c>
      <c r="L300" t="s">
        <v>2716</v>
      </c>
      <c r="M300">
        <v>69</v>
      </c>
      <c r="N300">
        <v>0</v>
      </c>
      <c r="O300">
        <v>0</v>
      </c>
      <c r="P300">
        <v>0</v>
      </c>
      <c r="Q300">
        <v>69</v>
      </c>
      <c r="R300">
        <v>69</v>
      </c>
      <c r="T300" t="s">
        <v>1669</v>
      </c>
      <c r="U300">
        <v>1</v>
      </c>
      <c r="V300" t="s">
        <v>1364</v>
      </c>
      <c r="X300" t="s">
        <v>2717</v>
      </c>
      <c r="Y300" t="s">
        <v>2718</v>
      </c>
      <c r="Z300" t="s">
        <v>1794</v>
      </c>
      <c r="AA300" t="s">
        <v>2719</v>
      </c>
      <c r="AB300" t="s">
        <v>2720</v>
      </c>
      <c r="AC300" t="s">
        <v>2721</v>
      </c>
      <c r="AF300" t="s">
        <v>2722</v>
      </c>
      <c r="AG300" t="s">
        <v>1372</v>
      </c>
      <c r="AH300" t="s">
        <v>2718</v>
      </c>
      <c r="AK300">
        <v>0</v>
      </c>
      <c r="AO300" t="s">
        <v>1372</v>
      </c>
      <c r="AP300" t="s">
        <v>1373</v>
      </c>
    </row>
    <row r="301" hidden="1" spans="1:42">
      <c r="A301" t="s">
        <v>2723</v>
      </c>
      <c r="B301" t="s">
        <v>1356</v>
      </c>
      <c r="C301" t="s">
        <v>1375</v>
      </c>
      <c r="D301" t="s">
        <v>1358</v>
      </c>
      <c r="F301" t="s">
        <v>1377</v>
      </c>
      <c r="G301" s="45">
        <v>44808.8157291667</v>
      </c>
      <c r="H301" s="45">
        <v>44808.8159027778</v>
      </c>
      <c r="J301" t="s">
        <v>407</v>
      </c>
      <c r="M301">
        <v>19.9</v>
      </c>
      <c r="N301">
        <v>0</v>
      </c>
      <c r="O301">
        <v>0</v>
      </c>
      <c r="P301">
        <v>0</v>
      </c>
      <c r="Q301">
        <v>19.9</v>
      </c>
      <c r="R301">
        <v>19.9</v>
      </c>
      <c r="T301" t="s">
        <v>1484</v>
      </c>
      <c r="U301">
        <v>1</v>
      </c>
      <c r="V301" t="s">
        <v>1364</v>
      </c>
      <c r="X301" t="s">
        <v>627</v>
      </c>
      <c r="Y301" t="s">
        <v>2724</v>
      </c>
      <c r="Z301" t="s">
        <v>1678</v>
      </c>
      <c r="AA301" t="s">
        <v>2725</v>
      </c>
      <c r="AB301" t="s">
        <v>2726</v>
      </c>
      <c r="AC301" t="s">
        <v>2727</v>
      </c>
      <c r="AF301" t="s">
        <v>2728</v>
      </c>
      <c r="AG301" t="s">
        <v>1372</v>
      </c>
      <c r="AH301" t="s">
        <v>2724</v>
      </c>
      <c r="AK301">
        <v>0</v>
      </c>
      <c r="AO301" t="s">
        <v>1372</v>
      </c>
      <c r="AP301" t="s">
        <v>1373</v>
      </c>
    </row>
    <row r="302" hidden="1" spans="1:42">
      <c r="A302" t="s">
        <v>2729</v>
      </c>
      <c r="B302" t="s">
        <v>1356</v>
      </c>
      <c r="C302" t="s">
        <v>1357</v>
      </c>
      <c r="D302" t="s">
        <v>1358</v>
      </c>
      <c r="F302" t="s">
        <v>1359</v>
      </c>
      <c r="G302" s="45">
        <v>44808.8154861111</v>
      </c>
      <c r="H302" s="45">
        <v>44808.8156712963</v>
      </c>
      <c r="J302" t="s">
        <v>1360</v>
      </c>
      <c r="K302" t="s">
        <v>2730</v>
      </c>
      <c r="L302" t="s">
        <v>2731</v>
      </c>
      <c r="M302">
        <v>59</v>
      </c>
      <c r="N302">
        <v>0</v>
      </c>
      <c r="O302">
        <v>0</v>
      </c>
      <c r="P302">
        <v>0</v>
      </c>
      <c r="Q302">
        <v>59</v>
      </c>
      <c r="R302">
        <v>59</v>
      </c>
      <c r="T302" t="s">
        <v>1685</v>
      </c>
      <c r="U302">
        <v>1</v>
      </c>
      <c r="V302" t="s">
        <v>1364</v>
      </c>
      <c r="X302" t="s">
        <v>2732</v>
      </c>
      <c r="Y302" t="s">
        <v>2733</v>
      </c>
      <c r="Z302" t="s">
        <v>1495</v>
      </c>
      <c r="AA302" t="s">
        <v>2734</v>
      </c>
      <c r="AB302" t="s">
        <v>2735</v>
      </c>
      <c r="AC302" t="s">
        <v>2736</v>
      </c>
      <c r="AF302" t="s">
        <v>2732</v>
      </c>
      <c r="AG302" t="s">
        <v>1385</v>
      </c>
      <c r="AH302" t="s">
        <v>2737</v>
      </c>
      <c r="AK302">
        <v>0</v>
      </c>
      <c r="AO302" t="s">
        <v>1372</v>
      </c>
      <c r="AP302" t="s">
        <v>1373</v>
      </c>
    </row>
    <row r="303" hidden="1" spans="1:42">
      <c r="A303" t="s">
        <v>2738</v>
      </c>
      <c r="B303" t="s">
        <v>1356</v>
      </c>
      <c r="C303" t="s">
        <v>1375</v>
      </c>
      <c r="D303" t="s">
        <v>1358</v>
      </c>
      <c r="F303" t="s">
        <v>1377</v>
      </c>
      <c r="G303" s="45">
        <v>44808.8149074074</v>
      </c>
      <c r="H303" s="45">
        <v>44808.815150463</v>
      </c>
      <c r="J303" t="s">
        <v>407</v>
      </c>
      <c r="M303">
        <v>19.9</v>
      </c>
      <c r="N303">
        <v>0</v>
      </c>
      <c r="O303">
        <v>0</v>
      </c>
      <c r="P303">
        <v>0</v>
      </c>
      <c r="Q303">
        <v>19.9</v>
      </c>
      <c r="R303">
        <v>19.9</v>
      </c>
      <c r="T303" t="s">
        <v>2739</v>
      </c>
      <c r="U303">
        <v>1</v>
      </c>
      <c r="V303" t="s">
        <v>1364</v>
      </c>
      <c r="X303" t="s">
        <v>596</v>
      </c>
      <c r="Y303" t="s">
        <v>2740</v>
      </c>
      <c r="Z303" t="s">
        <v>1626</v>
      </c>
      <c r="AA303" t="s">
        <v>2741</v>
      </c>
      <c r="AB303" t="s">
        <v>2742</v>
      </c>
      <c r="AC303" t="s">
        <v>2743</v>
      </c>
      <c r="AF303" t="s">
        <v>596</v>
      </c>
      <c r="AG303" t="s">
        <v>1385</v>
      </c>
      <c r="AH303" t="s">
        <v>2740</v>
      </c>
      <c r="AK303">
        <v>0</v>
      </c>
      <c r="AO303" t="s">
        <v>1372</v>
      </c>
      <c r="AP303" t="s">
        <v>1373</v>
      </c>
    </row>
    <row r="304" hidden="1" spans="1:42">
      <c r="A304" t="s">
        <v>2744</v>
      </c>
      <c r="B304" t="s">
        <v>1356</v>
      </c>
      <c r="C304" t="s">
        <v>1375</v>
      </c>
      <c r="D304" t="s">
        <v>1358</v>
      </c>
      <c r="F304" t="s">
        <v>1377</v>
      </c>
      <c r="G304" s="45">
        <v>44808.8147337963</v>
      </c>
      <c r="H304" s="45">
        <v>44808.8151967593</v>
      </c>
      <c r="J304" t="s">
        <v>407</v>
      </c>
      <c r="M304">
        <v>19.9</v>
      </c>
      <c r="N304">
        <v>0</v>
      </c>
      <c r="O304">
        <v>0</v>
      </c>
      <c r="P304">
        <v>0</v>
      </c>
      <c r="Q304">
        <v>19.9</v>
      </c>
      <c r="R304">
        <v>19.9</v>
      </c>
      <c r="T304" t="s">
        <v>2745</v>
      </c>
      <c r="U304">
        <v>1</v>
      </c>
      <c r="V304" t="s">
        <v>1364</v>
      </c>
      <c r="X304" t="s">
        <v>582</v>
      </c>
      <c r="Y304" t="s">
        <v>2695</v>
      </c>
      <c r="Z304" t="s">
        <v>1380</v>
      </c>
      <c r="AA304" t="s">
        <v>1381</v>
      </c>
      <c r="AB304" t="s">
        <v>2696</v>
      </c>
      <c r="AC304" t="s">
        <v>2697</v>
      </c>
      <c r="AF304" t="s">
        <v>2695</v>
      </c>
      <c r="AG304" t="s">
        <v>1385</v>
      </c>
      <c r="AH304" t="s">
        <v>2695</v>
      </c>
      <c r="AK304">
        <v>0</v>
      </c>
      <c r="AO304" t="s">
        <v>1372</v>
      </c>
      <c r="AP304" t="s">
        <v>1373</v>
      </c>
    </row>
    <row r="305" hidden="1" spans="1:42">
      <c r="A305" t="s">
        <v>2746</v>
      </c>
      <c r="B305" t="s">
        <v>1356</v>
      </c>
      <c r="C305" t="s">
        <v>1357</v>
      </c>
      <c r="D305" t="s">
        <v>1358</v>
      </c>
      <c r="F305" t="s">
        <v>1359</v>
      </c>
      <c r="G305" s="45">
        <v>44808.8127777778</v>
      </c>
      <c r="H305" s="45">
        <v>44808.8128703704</v>
      </c>
      <c r="J305" t="s">
        <v>1360</v>
      </c>
      <c r="K305" t="s">
        <v>2747</v>
      </c>
      <c r="L305" t="s">
        <v>2748</v>
      </c>
      <c r="M305">
        <v>58</v>
      </c>
      <c r="N305">
        <v>0</v>
      </c>
      <c r="O305">
        <v>0</v>
      </c>
      <c r="P305">
        <v>0</v>
      </c>
      <c r="Q305">
        <v>58</v>
      </c>
      <c r="R305">
        <v>58</v>
      </c>
      <c r="T305" t="s">
        <v>2557</v>
      </c>
      <c r="U305">
        <v>1</v>
      </c>
      <c r="V305" t="s">
        <v>1364</v>
      </c>
      <c r="X305" t="s">
        <v>2749</v>
      </c>
      <c r="Y305" t="s">
        <v>2750</v>
      </c>
      <c r="Z305" t="s">
        <v>1804</v>
      </c>
      <c r="AA305" t="s">
        <v>2751</v>
      </c>
      <c r="AB305" t="s">
        <v>2752</v>
      </c>
      <c r="AC305" t="s">
        <v>2753</v>
      </c>
      <c r="AF305" t="s">
        <v>2749</v>
      </c>
      <c r="AG305" t="s">
        <v>1385</v>
      </c>
      <c r="AH305" t="s">
        <v>2750</v>
      </c>
      <c r="AK305">
        <v>0</v>
      </c>
      <c r="AO305" t="s">
        <v>1372</v>
      </c>
      <c r="AP305" t="s">
        <v>1373</v>
      </c>
    </row>
    <row r="306" hidden="1" spans="1:42">
      <c r="A306" t="s">
        <v>2754</v>
      </c>
      <c r="B306" t="s">
        <v>1356</v>
      </c>
      <c r="C306" t="s">
        <v>1375</v>
      </c>
      <c r="D306" t="s">
        <v>1358</v>
      </c>
      <c r="F306" t="s">
        <v>1377</v>
      </c>
      <c r="G306" s="45">
        <v>44808.8125925926</v>
      </c>
      <c r="H306" s="45">
        <v>44808.8126967593</v>
      </c>
      <c r="J306" t="s">
        <v>407</v>
      </c>
      <c r="M306">
        <v>19.9</v>
      </c>
      <c r="N306">
        <v>0</v>
      </c>
      <c r="O306">
        <v>0</v>
      </c>
      <c r="P306">
        <v>0</v>
      </c>
      <c r="Q306">
        <v>19.9</v>
      </c>
      <c r="R306">
        <v>19.9</v>
      </c>
      <c r="T306" t="s">
        <v>2755</v>
      </c>
      <c r="U306">
        <v>1</v>
      </c>
      <c r="V306" t="s">
        <v>1364</v>
      </c>
      <c r="X306" t="s">
        <v>604</v>
      </c>
      <c r="Y306" t="s">
        <v>2756</v>
      </c>
      <c r="Z306" t="s">
        <v>1748</v>
      </c>
      <c r="AA306" t="s">
        <v>2072</v>
      </c>
      <c r="AB306" t="s">
        <v>2757</v>
      </c>
      <c r="AC306" t="s">
        <v>2758</v>
      </c>
      <c r="AF306" t="s">
        <v>2759</v>
      </c>
      <c r="AG306" t="s">
        <v>1372</v>
      </c>
      <c r="AK306">
        <v>0</v>
      </c>
      <c r="AO306" t="s">
        <v>1372</v>
      </c>
      <c r="AP306" t="s">
        <v>1373</v>
      </c>
    </row>
    <row r="307" hidden="1" spans="1:42">
      <c r="A307" t="s">
        <v>2760</v>
      </c>
      <c r="B307" t="s">
        <v>1356</v>
      </c>
      <c r="C307" t="s">
        <v>1375</v>
      </c>
      <c r="D307" t="s">
        <v>1358</v>
      </c>
      <c r="F307" t="s">
        <v>1359</v>
      </c>
      <c r="G307" s="45">
        <v>44808.8121643519</v>
      </c>
      <c r="H307" s="45">
        <v>44808.8123726852</v>
      </c>
      <c r="J307" t="s">
        <v>407</v>
      </c>
      <c r="M307">
        <v>19.9</v>
      </c>
      <c r="N307">
        <v>0</v>
      </c>
      <c r="O307">
        <v>0</v>
      </c>
      <c r="P307">
        <v>0</v>
      </c>
      <c r="Q307">
        <v>19.9</v>
      </c>
      <c r="R307">
        <v>19.9</v>
      </c>
      <c r="T307" t="s">
        <v>1531</v>
      </c>
      <c r="U307">
        <v>1</v>
      </c>
      <c r="V307" t="s">
        <v>1364</v>
      </c>
      <c r="X307" t="s">
        <v>609</v>
      </c>
      <c r="Y307" t="s">
        <v>2761</v>
      </c>
      <c r="Z307" t="s">
        <v>2028</v>
      </c>
      <c r="AA307" t="s">
        <v>2762</v>
      </c>
      <c r="AB307" t="s">
        <v>2763</v>
      </c>
      <c r="AC307" t="s">
        <v>2764</v>
      </c>
      <c r="AF307" t="s">
        <v>2765</v>
      </c>
      <c r="AG307" t="s">
        <v>1372</v>
      </c>
      <c r="AH307" t="s">
        <v>2761</v>
      </c>
      <c r="AK307">
        <v>0</v>
      </c>
      <c r="AO307" t="s">
        <v>1372</v>
      </c>
      <c r="AP307" t="s">
        <v>1373</v>
      </c>
    </row>
    <row r="308" hidden="1" spans="1:42">
      <c r="A308" t="s">
        <v>2766</v>
      </c>
      <c r="B308" t="s">
        <v>1356</v>
      </c>
      <c r="C308" t="s">
        <v>1375</v>
      </c>
      <c r="D308" t="s">
        <v>1358</v>
      </c>
      <c r="F308" t="s">
        <v>1377</v>
      </c>
      <c r="G308" s="45">
        <v>44808.8115162037</v>
      </c>
      <c r="H308" s="45">
        <v>44808.8117013889</v>
      </c>
      <c r="J308" t="s">
        <v>407</v>
      </c>
      <c r="M308">
        <v>19.9</v>
      </c>
      <c r="N308">
        <v>0</v>
      </c>
      <c r="O308">
        <v>0</v>
      </c>
      <c r="P308">
        <v>0</v>
      </c>
      <c r="Q308">
        <v>19.9</v>
      </c>
      <c r="R308">
        <v>19.9</v>
      </c>
      <c r="T308" t="s">
        <v>1540</v>
      </c>
      <c r="U308">
        <v>1</v>
      </c>
      <c r="V308" t="s">
        <v>1364</v>
      </c>
      <c r="X308" t="s">
        <v>601</v>
      </c>
      <c r="Y308" t="s">
        <v>2767</v>
      </c>
      <c r="Z308" t="s">
        <v>1466</v>
      </c>
      <c r="AA308" t="s">
        <v>1835</v>
      </c>
      <c r="AB308" t="s">
        <v>2768</v>
      </c>
      <c r="AC308" t="s">
        <v>2769</v>
      </c>
      <c r="AF308" t="s">
        <v>601</v>
      </c>
      <c r="AG308" t="s">
        <v>1385</v>
      </c>
      <c r="AH308" t="s">
        <v>2767</v>
      </c>
      <c r="AK308">
        <v>0</v>
      </c>
      <c r="AO308" t="s">
        <v>1372</v>
      </c>
      <c r="AP308" t="s">
        <v>1373</v>
      </c>
    </row>
    <row r="309" hidden="1" spans="1:42">
      <c r="A309" t="s">
        <v>2770</v>
      </c>
      <c r="B309" t="s">
        <v>1356</v>
      </c>
      <c r="C309" t="s">
        <v>1375</v>
      </c>
      <c r="D309" t="s">
        <v>1358</v>
      </c>
      <c r="F309" t="s">
        <v>1377</v>
      </c>
      <c r="G309" s="45">
        <v>44808.8114699074</v>
      </c>
      <c r="H309" s="45">
        <v>44808.8116087963</v>
      </c>
      <c r="J309" t="s">
        <v>407</v>
      </c>
      <c r="M309">
        <v>19.9</v>
      </c>
      <c r="N309">
        <v>0</v>
      </c>
      <c r="O309">
        <v>0</v>
      </c>
      <c r="P309">
        <v>0</v>
      </c>
      <c r="Q309">
        <v>19.9</v>
      </c>
      <c r="R309">
        <v>19.9</v>
      </c>
      <c r="T309" t="s">
        <v>1529</v>
      </c>
      <c r="U309">
        <v>1</v>
      </c>
      <c r="V309" t="s">
        <v>1364</v>
      </c>
      <c r="X309" t="s">
        <v>597</v>
      </c>
      <c r="Y309" t="s">
        <v>2771</v>
      </c>
      <c r="Z309" t="s">
        <v>1794</v>
      </c>
      <c r="AA309" t="s">
        <v>2719</v>
      </c>
      <c r="AB309" t="s">
        <v>2720</v>
      </c>
      <c r="AC309" t="s">
        <v>2772</v>
      </c>
      <c r="AF309" t="s">
        <v>2773</v>
      </c>
      <c r="AG309" t="s">
        <v>1372</v>
      </c>
      <c r="AH309" t="s">
        <v>2771</v>
      </c>
      <c r="AK309">
        <v>0</v>
      </c>
      <c r="AO309" t="s">
        <v>1372</v>
      </c>
      <c r="AP309" t="s">
        <v>1373</v>
      </c>
    </row>
    <row r="310" hidden="1" spans="1:42">
      <c r="A310" t="s">
        <v>2774</v>
      </c>
      <c r="B310" t="s">
        <v>1356</v>
      </c>
      <c r="C310" t="s">
        <v>1375</v>
      </c>
      <c r="D310" t="s">
        <v>1358</v>
      </c>
      <c r="F310" t="s">
        <v>1359</v>
      </c>
      <c r="G310" s="45">
        <v>44808.8114467593</v>
      </c>
      <c r="H310" s="45">
        <v>44808.8115856481</v>
      </c>
      <c r="J310" t="s">
        <v>407</v>
      </c>
      <c r="M310">
        <v>19.9</v>
      </c>
      <c r="N310">
        <v>0</v>
      </c>
      <c r="O310">
        <v>0</v>
      </c>
      <c r="P310">
        <v>0</v>
      </c>
      <c r="Q310">
        <v>19.9</v>
      </c>
      <c r="R310">
        <v>19.9</v>
      </c>
      <c r="T310" t="s">
        <v>1484</v>
      </c>
      <c r="U310">
        <v>1</v>
      </c>
      <c r="V310" t="s">
        <v>1364</v>
      </c>
      <c r="X310" t="s">
        <v>608</v>
      </c>
      <c r="Y310" t="s">
        <v>2775</v>
      </c>
      <c r="Z310" t="s">
        <v>1495</v>
      </c>
      <c r="AA310" t="s">
        <v>2197</v>
      </c>
      <c r="AB310" t="s">
        <v>2776</v>
      </c>
      <c r="AC310" t="s">
        <v>2777</v>
      </c>
      <c r="AF310" t="s">
        <v>2778</v>
      </c>
      <c r="AG310" t="s">
        <v>1385</v>
      </c>
      <c r="AH310" t="s">
        <v>2775</v>
      </c>
      <c r="AK310">
        <v>0</v>
      </c>
      <c r="AO310" t="s">
        <v>1372</v>
      </c>
      <c r="AP310" t="s">
        <v>1373</v>
      </c>
    </row>
    <row r="311" hidden="1" spans="1:42">
      <c r="A311" t="s">
        <v>2779</v>
      </c>
      <c r="B311" t="s">
        <v>1356</v>
      </c>
      <c r="C311" t="s">
        <v>1375</v>
      </c>
      <c r="D311" t="s">
        <v>1358</v>
      </c>
      <c r="F311" t="s">
        <v>1377</v>
      </c>
      <c r="G311" s="45">
        <v>44808.8111921296</v>
      </c>
      <c r="H311" s="45">
        <v>44808.8112847222</v>
      </c>
      <c r="J311" t="s">
        <v>407</v>
      </c>
      <c r="M311">
        <v>19.9</v>
      </c>
      <c r="N311">
        <v>0</v>
      </c>
      <c r="O311">
        <v>0</v>
      </c>
      <c r="P311">
        <v>0</v>
      </c>
      <c r="Q311">
        <v>19.9</v>
      </c>
      <c r="R311">
        <v>19.9</v>
      </c>
      <c r="T311" t="s">
        <v>1733</v>
      </c>
      <c r="U311">
        <v>1</v>
      </c>
      <c r="V311" t="s">
        <v>1364</v>
      </c>
      <c r="X311" t="s">
        <v>513</v>
      </c>
      <c r="Y311" t="s">
        <v>2256</v>
      </c>
      <c r="Z311" t="s">
        <v>1367</v>
      </c>
      <c r="AA311" t="s">
        <v>1486</v>
      </c>
      <c r="AB311" t="s">
        <v>1487</v>
      </c>
      <c r="AC311" t="s">
        <v>2257</v>
      </c>
      <c r="AF311" t="s">
        <v>2258</v>
      </c>
      <c r="AG311" t="s">
        <v>1385</v>
      </c>
      <c r="AH311" t="s">
        <v>2256</v>
      </c>
      <c r="AK311">
        <v>0</v>
      </c>
      <c r="AO311" t="s">
        <v>1372</v>
      </c>
      <c r="AP311" t="s">
        <v>1373</v>
      </c>
    </row>
    <row r="312" hidden="1" spans="1:42">
      <c r="A312" t="s">
        <v>2780</v>
      </c>
      <c r="B312" t="s">
        <v>1356</v>
      </c>
      <c r="C312" t="s">
        <v>1375</v>
      </c>
      <c r="D312" t="s">
        <v>1376</v>
      </c>
      <c r="F312" t="s">
        <v>1359</v>
      </c>
      <c r="G312" s="45">
        <v>44808.8110532407</v>
      </c>
      <c r="M312">
        <v>19.9</v>
      </c>
      <c r="N312">
        <v>0</v>
      </c>
      <c r="O312">
        <v>0</v>
      </c>
      <c r="P312">
        <v>0</v>
      </c>
      <c r="Q312">
        <v>19.9</v>
      </c>
      <c r="R312">
        <v>0</v>
      </c>
      <c r="T312" t="s">
        <v>1529</v>
      </c>
      <c r="U312">
        <v>1</v>
      </c>
      <c r="V312" t="s">
        <v>1364</v>
      </c>
      <c r="X312" t="s">
        <v>597</v>
      </c>
      <c r="Y312" t="s">
        <v>2771</v>
      </c>
      <c r="Z312" t="s">
        <v>1794</v>
      </c>
      <c r="AA312" t="s">
        <v>2719</v>
      </c>
      <c r="AB312" t="s">
        <v>2781</v>
      </c>
      <c r="AC312" t="s">
        <v>2782</v>
      </c>
      <c r="AF312" t="s">
        <v>2773</v>
      </c>
      <c r="AG312" t="s">
        <v>1372</v>
      </c>
      <c r="AH312" t="s">
        <v>2771</v>
      </c>
      <c r="AK312">
        <v>0</v>
      </c>
      <c r="AO312" t="s">
        <v>1372</v>
      </c>
      <c r="AP312" t="s">
        <v>1373</v>
      </c>
    </row>
    <row r="313" hidden="1" spans="1:42">
      <c r="A313" t="s">
        <v>2783</v>
      </c>
      <c r="B313" t="s">
        <v>1356</v>
      </c>
      <c r="C313" t="s">
        <v>1375</v>
      </c>
      <c r="D313" t="s">
        <v>1376</v>
      </c>
      <c r="F313" t="s">
        <v>1377</v>
      </c>
      <c r="G313" s="45">
        <v>44808.8063425926</v>
      </c>
      <c r="M313">
        <v>39.9</v>
      </c>
      <c r="N313">
        <v>0</v>
      </c>
      <c r="O313">
        <v>-3</v>
      </c>
      <c r="P313">
        <v>0</v>
      </c>
      <c r="Q313">
        <v>36.9</v>
      </c>
      <c r="R313">
        <v>0</v>
      </c>
      <c r="S313" t="s">
        <v>1397</v>
      </c>
      <c r="T313" t="s">
        <v>2115</v>
      </c>
      <c r="U313">
        <v>1</v>
      </c>
      <c r="V313" t="s">
        <v>1364</v>
      </c>
      <c r="X313" t="s">
        <v>2784</v>
      </c>
      <c r="Y313" t="s">
        <v>2785</v>
      </c>
      <c r="Z313" t="s">
        <v>1367</v>
      </c>
      <c r="AA313" t="s">
        <v>1368</v>
      </c>
      <c r="AB313" t="s">
        <v>2786</v>
      </c>
      <c r="AC313" t="s">
        <v>2787</v>
      </c>
      <c r="AF313" t="s">
        <v>2788</v>
      </c>
      <c r="AG313" t="s">
        <v>1385</v>
      </c>
      <c r="AH313" t="s">
        <v>2785</v>
      </c>
      <c r="AK313">
        <v>0</v>
      </c>
      <c r="AO313" t="s">
        <v>1372</v>
      </c>
      <c r="AP313" t="s">
        <v>1373</v>
      </c>
    </row>
    <row r="314" hidden="1" spans="1:42">
      <c r="A314" t="s">
        <v>2789</v>
      </c>
      <c r="B314" t="s">
        <v>1356</v>
      </c>
      <c r="C314" t="s">
        <v>1375</v>
      </c>
      <c r="D314" t="s">
        <v>1358</v>
      </c>
      <c r="F314" t="s">
        <v>1377</v>
      </c>
      <c r="G314" s="45">
        <v>44808.8059953704</v>
      </c>
      <c r="H314" s="45">
        <v>44808.8061111111</v>
      </c>
      <c r="J314" t="s">
        <v>407</v>
      </c>
      <c r="M314">
        <v>39.9</v>
      </c>
      <c r="N314">
        <v>0</v>
      </c>
      <c r="O314">
        <v>0</v>
      </c>
      <c r="P314">
        <v>0</v>
      </c>
      <c r="Q314">
        <v>39.9</v>
      </c>
      <c r="R314">
        <v>39.9</v>
      </c>
      <c r="T314" t="s">
        <v>2080</v>
      </c>
      <c r="U314">
        <v>1</v>
      </c>
      <c r="V314" t="s">
        <v>1364</v>
      </c>
      <c r="X314" t="s">
        <v>531</v>
      </c>
      <c r="Y314" t="s">
        <v>2790</v>
      </c>
      <c r="Z314" t="s">
        <v>1794</v>
      </c>
      <c r="AA314" t="s">
        <v>2791</v>
      </c>
      <c r="AB314" t="s">
        <v>2792</v>
      </c>
      <c r="AC314" t="s">
        <v>2793</v>
      </c>
      <c r="AF314" t="s">
        <v>2794</v>
      </c>
      <c r="AG314" t="s">
        <v>1372</v>
      </c>
      <c r="AH314" t="s">
        <v>2790</v>
      </c>
      <c r="AK314">
        <v>0</v>
      </c>
      <c r="AO314" t="s">
        <v>1372</v>
      </c>
      <c r="AP314" t="s">
        <v>1373</v>
      </c>
    </row>
    <row r="315" hidden="1" spans="1:42">
      <c r="A315" t="s">
        <v>2795</v>
      </c>
      <c r="B315" t="s">
        <v>1356</v>
      </c>
      <c r="C315" t="s">
        <v>1375</v>
      </c>
      <c r="D315" t="s">
        <v>1358</v>
      </c>
      <c r="F315" t="s">
        <v>1377</v>
      </c>
      <c r="G315" s="45">
        <v>44808.8034722222</v>
      </c>
      <c r="H315" s="45">
        <v>44808.8036458333</v>
      </c>
      <c r="J315" t="s">
        <v>407</v>
      </c>
      <c r="M315">
        <v>19.9</v>
      </c>
      <c r="N315">
        <v>0</v>
      </c>
      <c r="O315">
        <v>0</v>
      </c>
      <c r="P315">
        <v>0</v>
      </c>
      <c r="Q315">
        <v>19.9</v>
      </c>
      <c r="R315">
        <v>19.9</v>
      </c>
      <c r="T315" t="s">
        <v>2796</v>
      </c>
      <c r="U315">
        <v>1</v>
      </c>
      <c r="V315" t="s">
        <v>1364</v>
      </c>
      <c r="X315" t="s">
        <v>576</v>
      </c>
      <c r="Y315" t="s">
        <v>2797</v>
      </c>
      <c r="Z315" t="s">
        <v>2651</v>
      </c>
      <c r="AA315" t="s">
        <v>2652</v>
      </c>
      <c r="AB315" t="s">
        <v>2798</v>
      </c>
      <c r="AC315" t="s">
        <v>2799</v>
      </c>
      <c r="AF315" t="s">
        <v>2800</v>
      </c>
      <c r="AG315" t="s">
        <v>1372</v>
      </c>
      <c r="AJ315" t="s">
        <v>1649</v>
      </c>
      <c r="AK315">
        <v>0</v>
      </c>
      <c r="AO315" t="s">
        <v>1372</v>
      </c>
      <c r="AP315" t="s">
        <v>1373</v>
      </c>
    </row>
    <row r="316" hidden="1" spans="1:42">
      <c r="A316" t="s">
        <v>2801</v>
      </c>
      <c r="B316" t="s">
        <v>1356</v>
      </c>
      <c r="C316" t="s">
        <v>1375</v>
      </c>
      <c r="D316" t="s">
        <v>1358</v>
      </c>
      <c r="F316" t="s">
        <v>1377</v>
      </c>
      <c r="G316" s="45">
        <v>44808.8028356481</v>
      </c>
      <c r="H316" s="45">
        <v>44808.802962963</v>
      </c>
      <c r="J316" t="s">
        <v>407</v>
      </c>
      <c r="M316">
        <v>19.9</v>
      </c>
      <c r="N316">
        <v>0</v>
      </c>
      <c r="O316">
        <v>0</v>
      </c>
      <c r="P316">
        <v>0</v>
      </c>
      <c r="Q316">
        <v>19.9</v>
      </c>
      <c r="R316">
        <v>19.9</v>
      </c>
      <c r="T316" t="s">
        <v>1613</v>
      </c>
      <c r="U316">
        <v>1</v>
      </c>
      <c r="V316" t="s">
        <v>1364</v>
      </c>
      <c r="X316" t="s">
        <v>631</v>
      </c>
      <c r="Y316" t="s">
        <v>2802</v>
      </c>
      <c r="Z316" t="s">
        <v>1495</v>
      </c>
      <c r="AA316" t="s">
        <v>1736</v>
      </c>
      <c r="AB316" t="s">
        <v>1737</v>
      </c>
      <c r="AC316" t="s">
        <v>2803</v>
      </c>
      <c r="AF316" t="s">
        <v>2804</v>
      </c>
      <c r="AG316" t="s">
        <v>1372</v>
      </c>
      <c r="AK316">
        <v>0</v>
      </c>
      <c r="AO316" t="s">
        <v>1372</v>
      </c>
      <c r="AP316" t="s">
        <v>1373</v>
      </c>
    </row>
    <row r="317" hidden="1" spans="1:42">
      <c r="A317" t="s">
        <v>2805</v>
      </c>
      <c r="B317" t="s">
        <v>1356</v>
      </c>
      <c r="C317" t="s">
        <v>1375</v>
      </c>
      <c r="D317" t="s">
        <v>1358</v>
      </c>
      <c r="F317" t="s">
        <v>1359</v>
      </c>
      <c r="G317" s="45">
        <v>44808.8022685185</v>
      </c>
      <c r="H317" s="45">
        <v>44808.8024421296</v>
      </c>
      <c r="J317" t="s">
        <v>407</v>
      </c>
      <c r="M317">
        <v>19.9</v>
      </c>
      <c r="N317">
        <v>0</v>
      </c>
      <c r="O317">
        <v>0</v>
      </c>
      <c r="P317">
        <v>0</v>
      </c>
      <c r="Q317">
        <v>19.9</v>
      </c>
      <c r="R317">
        <v>19.9</v>
      </c>
      <c r="T317" t="s">
        <v>1858</v>
      </c>
      <c r="U317">
        <v>1</v>
      </c>
      <c r="V317" t="s">
        <v>1364</v>
      </c>
      <c r="X317" t="s">
        <v>633</v>
      </c>
      <c r="Y317" t="s">
        <v>2806</v>
      </c>
      <c r="Z317" t="s">
        <v>1678</v>
      </c>
      <c r="AA317" t="s">
        <v>2807</v>
      </c>
      <c r="AB317" t="s">
        <v>2808</v>
      </c>
      <c r="AC317" t="s">
        <v>2809</v>
      </c>
      <c r="AF317" t="s">
        <v>2810</v>
      </c>
      <c r="AG317" t="s">
        <v>1372</v>
      </c>
      <c r="AH317" t="s">
        <v>2806</v>
      </c>
      <c r="AK317">
        <v>0</v>
      </c>
      <c r="AO317" t="s">
        <v>1372</v>
      </c>
      <c r="AP317" t="s">
        <v>1373</v>
      </c>
    </row>
    <row r="318" hidden="1" spans="1:42">
      <c r="A318" t="s">
        <v>2811</v>
      </c>
      <c r="B318" t="s">
        <v>1356</v>
      </c>
      <c r="C318" t="s">
        <v>1375</v>
      </c>
      <c r="D318" t="s">
        <v>1358</v>
      </c>
      <c r="F318" t="s">
        <v>1377</v>
      </c>
      <c r="G318" s="45">
        <v>44808.8021643519</v>
      </c>
      <c r="H318" s="45">
        <v>44808.802349537</v>
      </c>
      <c r="J318" t="s">
        <v>407</v>
      </c>
      <c r="M318">
        <v>19.9</v>
      </c>
      <c r="N318">
        <v>0</v>
      </c>
      <c r="O318">
        <v>0</v>
      </c>
      <c r="P318">
        <v>0</v>
      </c>
      <c r="Q318">
        <v>19.9</v>
      </c>
      <c r="R318">
        <v>19.9</v>
      </c>
      <c r="T318" t="s">
        <v>1504</v>
      </c>
      <c r="U318">
        <v>1</v>
      </c>
      <c r="V318" t="s">
        <v>1364</v>
      </c>
      <c r="X318" t="s">
        <v>589</v>
      </c>
      <c r="Y318" t="s">
        <v>2812</v>
      </c>
      <c r="Z318" t="s">
        <v>1626</v>
      </c>
      <c r="AA318" t="s">
        <v>2813</v>
      </c>
      <c r="AB318" t="s">
        <v>2814</v>
      </c>
      <c r="AC318" t="s">
        <v>2815</v>
      </c>
      <c r="AF318" t="s">
        <v>2816</v>
      </c>
      <c r="AG318" t="s">
        <v>1372</v>
      </c>
      <c r="AK318">
        <v>0</v>
      </c>
      <c r="AO318" t="s">
        <v>1372</v>
      </c>
      <c r="AP318" t="s">
        <v>1373</v>
      </c>
    </row>
    <row r="319" hidden="1" spans="1:42">
      <c r="A319" t="s">
        <v>2817</v>
      </c>
      <c r="B319" t="s">
        <v>1356</v>
      </c>
      <c r="C319" t="s">
        <v>1375</v>
      </c>
      <c r="D319" t="s">
        <v>1358</v>
      </c>
      <c r="F319" t="s">
        <v>1377</v>
      </c>
      <c r="G319" s="45">
        <v>44808.8018171296</v>
      </c>
      <c r="H319" s="45">
        <v>44808.8019675926</v>
      </c>
      <c r="J319" t="s">
        <v>407</v>
      </c>
      <c r="M319">
        <v>19.9</v>
      </c>
      <c r="N319">
        <v>0</v>
      </c>
      <c r="O319">
        <v>0</v>
      </c>
      <c r="P319">
        <v>0</v>
      </c>
      <c r="Q319">
        <v>19.9</v>
      </c>
      <c r="R319">
        <v>19.9</v>
      </c>
      <c r="T319" t="s">
        <v>1831</v>
      </c>
      <c r="U319">
        <v>1</v>
      </c>
      <c r="V319" t="s">
        <v>1364</v>
      </c>
      <c r="X319" t="s">
        <v>573</v>
      </c>
      <c r="Y319" t="s">
        <v>2818</v>
      </c>
      <c r="Z319" t="s">
        <v>1367</v>
      </c>
      <c r="AA319" t="s">
        <v>2124</v>
      </c>
      <c r="AB319" t="s">
        <v>2819</v>
      </c>
      <c r="AC319" t="s">
        <v>2820</v>
      </c>
      <c r="AF319" t="s">
        <v>2821</v>
      </c>
      <c r="AG319" t="s">
        <v>1372</v>
      </c>
      <c r="AH319" t="s">
        <v>2818</v>
      </c>
      <c r="AK319">
        <v>0</v>
      </c>
      <c r="AO319" t="s">
        <v>1372</v>
      </c>
      <c r="AP319" t="s">
        <v>1373</v>
      </c>
    </row>
    <row r="320" hidden="1" spans="1:42">
      <c r="A320" t="s">
        <v>2822</v>
      </c>
      <c r="B320" t="s">
        <v>1356</v>
      </c>
      <c r="C320" t="s">
        <v>1375</v>
      </c>
      <c r="D320" t="s">
        <v>1358</v>
      </c>
      <c r="F320" t="s">
        <v>1359</v>
      </c>
      <c r="G320" s="45">
        <v>44808.8013078704</v>
      </c>
      <c r="H320" s="45">
        <v>44808.8014351852</v>
      </c>
      <c r="J320" t="s">
        <v>407</v>
      </c>
      <c r="M320">
        <v>19.9</v>
      </c>
      <c r="N320">
        <v>0</v>
      </c>
      <c r="O320">
        <v>0</v>
      </c>
      <c r="P320">
        <v>0</v>
      </c>
      <c r="Q320">
        <v>19.9</v>
      </c>
      <c r="R320">
        <v>19.9</v>
      </c>
      <c r="T320" t="s">
        <v>1527</v>
      </c>
      <c r="U320">
        <v>1</v>
      </c>
      <c r="V320" t="s">
        <v>1364</v>
      </c>
      <c r="X320" t="s">
        <v>456</v>
      </c>
      <c r="Y320" t="s">
        <v>2823</v>
      </c>
      <c r="Z320" t="s">
        <v>1478</v>
      </c>
      <c r="AA320" t="s">
        <v>2330</v>
      </c>
      <c r="AB320" t="s">
        <v>2331</v>
      </c>
      <c r="AC320" t="s">
        <v>2824</v>
      </c>
      <c r="AF320" t="s">
        <v>2825</v>
      </c>
      <c r="AG320" t="s">
        <v>1385</v>
      </c>
      <c r="AH320" t="s">
        <v>2826</v>
      </c>
      <c r="AK320">
        <v>0</v>
      </c>
      <c r="AO320" t="s">
        <v>1372</v>
      </c>
      <c r="AP320" t="s">
        <v>1373</v>
      </c>
    </row>
    <row r="321" hidden="1" spans="1:42">
      <c r="A321" t="s">
        <v>2827</v>
      </c>
      <c r="B321" t="s">
        <v>1356</v>
      </c>
      <c r="C321" t="s">
        <v>1375</v>
      </c>
      <c r="D321" t="s">
        <v>1376</v>
      </c>
      <c r="F321" t="s">
        <v>1359</v>
      </c>
      <c r="G321" s="45">
        <v>44808.8011342593</v>
      </c>
      <c r="M321">
        <v>19.9</v>
      </c>
      <c r="N321">
        <v>0</v>
      </c>
      <c r="O321">
        <v>0</v>
      </c>
      <c r="P321">
        <v>0</v>
      </c>
      <c r="Q321">
        <v>19.9</v>
      </c>
      <c r="R321">
        <v>0</v>
      </c>
      <c r="T321" t="s">
        <v>2442</v>
      </c>
      <c r="U321">
        <v>1</v>
      </c>
      <c r="V321" t="s">
        <v>1364</v>
      </c>
      <c r="X321" t="s">
        <v>1117</v>
      </c>
      <c r="Y321" t="s">
        <v>2828</v>
      </c>
      <c r="Z321" t="s">
        <v>1367</v>
      </c>
      <c r="AA321" t="s">
        <v>2630</v>
      </c>
      <c r="AB321" t="s">
        <v>2829</v>
      </c>
      <c r="AC321" t="s">
        <v>2830</v>
      </c>
      <c r="AF321" t="s">
        <v>2831</v>
      </c>
      <c r="AG321" t="s">
        <v>1385</v>
      </c>
      <c r="AH321" t="s">
        <v>2828</v>
      </c>
      <c r="AK321">
        <v>0</v>
      </c>
      <c r="AO321" t="s">
        <v>1372</v>
      </c>
      <c r="AP321" t="s">
        <v>1373</v>
      </c>
    </row>
    <row r="322" hidden="1" spans="1:42">
      <c r="A322" t="s">
        <v>2832</v>
      </c>
      <c r="B322" t="s">
        <v>1356</v>
      </c>
      <c r="C322" t="s">
        <v>1375</v>
      </c>
      <c r="D322" t="s">
        <v>2833</v>
      </c>
      <c r="F322" t="s">
        <v>1377</v>
      </c>
      <c r="G322" s="45">
        <v>44809.9923148148</v>
      </c>
      <c r="H322" s="45">
        <v>44809.9989814815</v>
      </c>
      <c r="J322" t="s">
        <v>407</v>
      </c>
      <c r="M322">
        <v>39.9</v>
      </c>
      <c r="N322">
        <v>0</v>
      </c>
      <c r="O322">
        <v>0</v>
      </c>
      <c r="P322">
        <v>0</v>
      </c>
      <c r="Q322">
        <v>39.9</v>
      </c>
      <c r="R322">
        <v>39.9</v>
      </c>
      <c r="T322" t="s">
        <v>2080</v>
      </c>
      <c r="U322">
        <v>1</v>
      </c>
      <c r="V322" t="s">
        <v>1364</v>
      </c>
      <c r="X322" t="s">
        <v>462</v>
      </c>
      <c r="Y322" t="s">
        <v>2834</v>
      </c>
      <c r="Z322" t="s">
        <v>1367</v>
      </c>
      <c r="AA322" t="s">
        <v>1899</v>
      </c>
      <c r="AB322" t="s">
        <v>1900</v>
      </c>
      <c r="AC322" t="s">
        <v>2835</v>
      </c>
      <c r="AF322" t="s">
        <v>2836</v>
      </c>
      <c r="AG322" t="s">
        <v>1385</v>
      </c>
      <c r="AH322" t="s">
        <v>2834</v>
      </c>
      <c r="AK322">
        <v>0</v>
      </c>
      <c r="AO322" t="s">
        <v>1372</v>
      </c>
      <c r="AP322" t="s">
        <v>1373</v>
      </c>
    </row>
    <row r="323" hidden="1" spans="1:42">
      <c r="A323" t="s">
        <v>2837</v>
      </c>
      <c r="B323" t="s">
        <v>1356</v>
      </c>
      <c r="C323" t="s">
        <v>1375</v>
      </c>
      <c r="D323" t="s">
        <v>1358</v>
      </c>
      <c r="F323" t="s">
        <v>1377</v>
      </c>
      <c r="G323" s="45">
        <v>44809.9868865741</v>
      </c>
      <c r="H323" s="45">
        <v>44809.987025463</v>
      </c>
      <c r="J323" t="s">
        <v>407</v>
      </c>
      <c r="M323">
        <v>249</v>
      </c>
      <c r="N323">
        <v>0</v>
      </c>
      <c r="O323">
        <v>-1</v>
      </c>
      <c r="P323">
        <v>0</v>
      </c>
      <c r="Q323">
        <v>248</v>
      </c>
      <c r="R323">
        <v>248</v>
      </c>
      <c r="S323" t="s">
        <v>1414</v>
      </c>
      <c r="T323" t="s">
        <v>1867</v>
      </c>
      <c r="U323">
        <v>1</v>
      </c>
      <c r="V323" t="s">
        <v>1364</v>
      </c>
      <c r="X323" t="s">
        <v>526</v>
      </c>
      <c r="Y323" t="s">
        <v>2838</v>
      </c>
      <c r="Z323" t="s">
        <v>1626</v>
      </c>
      <c r="AA323" t="s">
        <v>2149</v>
      </c>
      <c r="AB323" t="s">
        <v>2839</v>
      </c>
      <c r="AC323" t="s">
        <v>2840</v>
      </c>
      <c r="AF323" t="s">
        <v>2841</v>
      </c>
      <c r="AG323" t="s">
        <v>1372</v>
      </c>
      <c r="AH323" t="s">
        <v>2838</v>
      </c>
      <c r="AK323">
        <v>0</v>
      </c>
      <c r="AL323" t="s">
        <v>2842</v>
      </c>
      <c r="AO323" t="s">
        <v>1372</v>
      </c>
      <c r="AP323" t="s">
        <v>1373</v>
      </c>
    </row>
    <row r="324" hidden="1" spans="1:42">
      <c r="A324" t="s">
        <v>2843</v>
      </c>
      <c r="B324" t="s">
        <v>1356</v>
      </c>
      <c r="C324" t="s">
        <v>1375</v>
      </c>
      <c r="D324" t="s">
        <v>2833</v>
      </c>
      <c r="F324" t="s">
        <v>1377</v>
      </c>
      <c r="G324" s="45">
        <v>44809.9798263889</v>
      </c>
      <c r="H324" s="45">
        <v>44809.9799537037</v>
      </c>
      <c r="J324" t="s">
        <v>407</v>
      </c>
      <c r="M324">
        <v>39.9</v>
      </c>
      <c r="N324">
        <v>0</v>
      </c>
      <c r="O324">
        <v>-2</v>
      </c>
      <c r="P324">
        <v>0</v>
      </c>
      <c r="Q324">
        <v>37.9</v>
      </c>
      <c r="R324">
        <v>37.9</v>
      </c>
      <c r="S324" t="s">
        <v>1400</v>
      </c>
      <c r="T324" t="s">
        <v>1907</v>
      </c>
      <c r="U324">
        <v>1</v>
      </c>
      <c r="V324" t="s">
        <v>1364</v>
      </c>
      <c r="X324" t="s">
        <v>526</v>
      </c>
      <c r="Y324" t="s">
        <v>2838</v>
      </c>
      <c r="Z324" t="s">
        <v>1626</v>
      </c>
      <c r="AA324" t="s">
        <v>2149</v>
      </c>
      <c r="AB324" t="s">
        <v>2839</v>
      </c>
      <c r="AC324" t="s">
        <v>2840</v>
      </c>
      <c r="AF324" t="s">
        <v>2841</v>
      </c>
      <c r="AG324" t="s">
        <v>1372</v>
      </c>
      <c r="AH324" t="s">
        <v>2838</v>
      </c>
      <c r="AK324">
        <v>0</v>
      </c>
      <c r="AO324" t="s">
        <v>1372</v>
      </c>
      <c r="AP324" t="s">
        <v>1373</v>
      </c>
    </row>
    <row r="325" hidden="1" spans="1:42">
      <c r="A325" t="s">
        <v>2844</v>
      </c>
      <c r="B325" t="s">
        <v>1356</v>
      </c>
      <c r="C325" t="s">
        <v>1375</v>
      </c>
      <c r="D325" t="s">
        <v>2833</v>
      </c>
      <c r="F325" t="s">
        <v>1377</v>
      </c>
      <c r="G325" s="45">
        <v>44809.9752199074</v>
      </c>
      <c r="H325" s="45">
        <v>44809.9753125</v>
      </c>
      <c r="J325" t="s">
        <v>407</v>
      </c>
      <c r="M325">
        <v>249</v>
      </c>
      <c r="N325">
        <v>0</v>
      </c>
      <c r="O325">
        <v>-4</v>
      </c>
      <c r="P325">
        <v>0</v>
      </c>
      <c r="Q325">
        <v>245</v>
      </c>
      <c r="R325">
        <v>245</v>
      </c>
      <c r="S325" t="s">
        <v>1388</v>
      </c>
      <c r="T325" t="s">
        <v>2845</v>
      </c>
      <c r="U325">
        <v>1</v>
      </c>
      <c r="V325" t="s">
        <v>1364</v>
      </c>
      <c r="X325" t="s">
        <v>651</v>
      </c>
      <c r="Y325" t="s">
        <v>2846</v>
      </c>
      <c r="Z325" t="s">
        <v>2386</v>
      </c>
      <c r="AA325" t="s">
        <v>2386</v>
      </c>
      <c r="AB325" t="s">
        <v>2847</v>
      </c>
      <c r="AC325" t="s">
        <v>2848</v>
      </c>
      <c r="AF325" t="s">
        <v>2849</v>
      </c>
      <c r="AG325" t="s">
        <v>1372</v>
      </c>
      <c r="AH325" t="s">
        <v>2846</v>
      </c>
      <c r="AK325">
        <v>0</v>
      </c>
      <c r="AO325" t="s">
        <v>1372</v>
      </c>
      <c r="AP325" t="s">
        <v>1373</v>
      </c>
    </row>
    <row r="326" hidden="1" spans="1:42">
      <c r="A326" t="s">
        <v>2850</v>
      </c>
      <c r="B326" t="s">
        <v>1356</v>
      </c>
      <c r="C326" t="s">
        <v>1375</v>
      </c>
      <c r="D326" t="s">
        <v>2833</v>
      </c>
      <c r="F326" t="s">
        <v>1377</v>
      </c>
      <c r="G326" s="45">
        <v>44809.9748611111</v>
      </c>
      <c r="H326" s="45">
        <v>44809.9751736111</v>
      </c>
      <c r="J326" t="s">
        <v>407</v>
      </c>
      <c r="M326">
        <v>19.9</v>
      </c>
      <c r="N326">
        <v>0</v>
      </c>
      <c r="O326">
        <v>0</v>
      </c>
      <c r="P326">
        <v>0</v>
      </c>
      <c r="Q326">
        <v>19.9</v>
      </c>
      <c r="R326">
        <v>19.9</v>
      </c>
      <c r="T326" t="s">
        <v>1540</v>
      </c>
      <c r="U326">
        <v>1</v>
      </c>
      <c r="V326" t="s">
        <v>1364</v>
      </c>
      <c r="X326" t="s">
        <v>400</v>
      </c>
      <c r="Y326" t="s">
        <v>1379</v>
      </c>
      <c r="Z326" t="s">
        <v>1380</v>
      </c>
      <c r="AA326" t="s">
        <v>1381</v>
      </c>
      <c r="AB326" t="s">
        <v>1382</v>
      </c>
      <c r="AC326" t="s">
        <v>1383</v>
      </c>
      <c r="AF326" t="s">
        <v>1384</v>
      </c>
      <c r="AG326" t="s">
        <v>1385</v>
      </c>
      <c r="AH326" t="s">
        <v>1386</v>
      </c>
      <c r="AK326">
        <v>0</v>
      </c>
      <c r="AO326" t="s">
        <v>1372</v>
      </c>
      <c r="AP326" t="s">
        <v>1373</v>
      </c>
    </row>
    <row r="327" hidden="1" spans="1:42">
      <c r="A327" t="s">
        <v>2851</v>
      </c>
      <c r="B327" t="s">
        <v>1356</v>
      </c>
      <c r="C327" t="s">
        <v>1375</v>
      </c>
      <c r="D327" t="s">
        <v>1780</v>
      </c>
      <c r="F327" t="s">
        <v>1377</v>
      </c>
      <c r="G327" s="45">
        <v>44809.9729166667</v>
      </c>
      <c r="M327">
        <v>249</v>
      </c>
      <c r="N327">
        <v>0</v>
      </c>
      <c r="O327">
        <v>-4</v>
      </c>
      <c r="P327">
        <v>0</v>
      </c>
      <c r="Q327">
        <v>245</v>
      </c>
      <c r="R327">
        <v>0</v>
      </c>
      <c r="S327" t="s">
        <v>1388</v>
      </c>
      <c r="T327" t="s">
        <v>2852</v>
      </c>
      <c r="U327">
        <v>1</v>
      </c>
      <c r="V327" t="s">
        <v>1364</v>
      </c>
      <c r="X327" t="s">
        <v>651</v>
      </c>
      <c r="Y327" t="s">
        <v>2846</v>
      </c>
      <c r="Z327" t="s">
        <v>2386</v>
      </c>
      <c r="AA327" t="s">
        <v>2386</v>
      </c>
      <c r="AB327" t="s">
        <v>2847</v>
      </c>
      <c r="AC327" t="s">
        <v>2848</v>
      </c>
      <c r="AD327" t="s">
        <v>2853</v>
      </c>
      <c r="AF327" t="s">
        <v>2849</v>
      </c>
      <c r="AG327" t="s">
        <v>1372</v>
      </c>
      <c r="AH327" t="s">
        <v>2846</v>
      </c>
      <c r="AK327">
        <v>0</v>
      </c>
      <c r="AO327" t="s">
        <v>1372</v>
      </c>
      <c r="AP327" t="s">
        <v>1373</v>
      </c>
    </row>
    <row r="328" hidden="1" spans="1:42">
      <c r="A328" t="s">
        <v>2854</v>
      </c>
      <c r="B328" t="s">
        <v>1356</v>
      </c>
      <c r="C328" t="s">
        <v>1375</v>
      </c>
      <c r="D328" t="s">
        <v>1780</v>
      </c>
      <c r="F328" t="s">
        <v>1632</v>
      </c>
      <c r="G328" s="45">
        <v>44809.9643865741</v>
      </c>
      <c r="M328">
        <v>273.6</v>
      </c>
      <c r="N328">
        <v>0</v>
      </c>
      <c r="O328">
        <v>0</v>
      </c>
      <c r="P328">
        <v>0</v>
      </c>
      <c r="Q328">
        <v>273.6</v>
      </c>
      <c r="R328">
        <v>0</v>
      </c>
      <c r="T328" t="s">
        <v>2855</v>
      </c>
      <c r="U328">
        <v>1</v>
      </c>
      <c r="V328" t="s">
        <v>1364</v>
      </c>
      <c r="X328" t="s">
        <v>468</v>
      </c>
      <c r="Y328" t="s">
        <v>2856</v>
      </c>
      <c r="Z328" t="s">
        <v>1367</v>
      </c>
      <c r="AA328" t="s">
        <v>1899</v>
      </c>
      <c r="AB328" t="s">
        <v>2022</v>
      </c>
      <c r="AC328" t="s">
        <v>2857</v>
      </c>
      <c r="AF328" t="s">
        <v>2858</v>
      </c>
      <c r="AG328" t="s">
        <v>1385</v>
      </c>
      <c r="AH328" t="s">
        <v>2856</v>
      </c>
      <c r="AK328">
        <v>0</v>
      </c>
      <c r="AO328" t="s">
        <v>1372</v>
      </c>
      <c r="AP328" t="s">
        <v>1373</v>
      </c>
    </row>
    <row r="329" hidden="1" spans="1:42">
      <c r="A329" t="s">
        <v>2859</v>
      </c>
      <c r="B329" t="s">
        <v>1356</v>
      </c>
      <c r="C329" t="s">
        <v>1375</v>
      </c>
      <c r="D329" t="s">
        <v>2833</v>
      </c>
      <c r="F329" t="s">
        <v>1377</v>
      </c>
      <c r="G329" s="45">
        <v>44809.9642013889</v>
      </c>
      <c r="H329" s="45">
        <v>44809.9654050926</v>
      </c>
      <c r="J329" t="s">
        <v>407</v>
      </c>
      <c r="M329">
        <v>259</v>
      </c>
      <c r="N329">
        <v>0</v>
      </c>
      <c r="O329">
        <v>-10</v>
      </c>
      <c r="P329">
        <v>0</v>
      </c>
      <c r="Q329">
        <v>249</v>
      </c>
      <c r="R329">
        <v>249</v>
      </c>
      <c r="S329" t="s">
        <v>2860</v>
      </c>
      <c r="T329" t="s">
        <v>2861</v>
      </c>
      <c r="U329">
        <v>1</v>
      </c>
      <c r="V329" t="s">
        <v>1364</v>
      </c>
      <c r="X329" t="s">
        <v>649</v>
      </c>
      <c r="Y329" t="s">
        <v>2862</v>
      </c>
      <c r="Z329" t="s">
        <v>1495</v>
      </c>
      <c r="AA329" t="s">
        <v>2734</v>
      </c>
      <c r="AB329" t="s">
        <v>2735</v>
      </c>
      <c r="AC329" t="s">
        <v>2863</v>
      </c>
      <c r="AF329" t="s">
        <v>2864</v>
      </c>
      <c r="AG329" t="s">
        <v>1385</v>
      </c>
      <c r="AH329" t="s">
        <v>2862</v>
      </c>
      <c r="AK329">
        <v>0</v>
      </c>
      <c r="AL329" t="s">
        <v>2865</v>
      </c>
      <c r="AO329" t="s">
        <v>1372</v>
      </c>
      <c r="AP329" t="s">
        <v>1373</v>
      </c>
    </row>
    <row r="330" hidden="1" spans="1:42">
      <c r="A330" t="s">
        <v>2866</v>
      </c>
      <c r="B330" t="s">
        <v>1356</v>
      </c>
      <c r="C330" t="s">
        <v>1375</v>
      </c>
      <c r="D330" t="s">
        <v>1780</v>
      </c>
      <c r="F330" t="s">
        <v>1632</v>
      </c>
      <c r="G330" s="45">
        <v>44809.9630787037</v>
      </c>
      <c r="M330">
        <v>118.75</v>
      </c>
      <c r="N330">
        <v>0</v>
      </c>
      <c r="O330">
        <v>-2</v>
      </c>
      <c r="P330">
        <v>0</v>
      </c>
      <c r="Q330">
        <v>116.75</v>
      </c>
      <c r="R330">
        <v>0</v>
      </c>
      <c r="S330" t="s">
        <v>1400</v>
      </c>
      <c r="T330" t="s">
        <v>2867</v>
      </c>
      <c r="U330">
        <v>1</v>
      </c>
      <c r="V330" t="s">
        <v>1364</v>
      </c>
      <c r="X330" t="s">
        <v>468</v>
      </c>
      <c r="Y330" t="s">
        <v>2856</v>
      </c>
      <c r="Z330" t="s">
        <v>1367</v>
      </c>
      <c r="AA330" t="s">
        <v>1899</v>
      </c>
      <c r="AB330" t="s">
        <v>2022</v>
      </c>
      <c r="AC330" t="s">
        <v>2857</v>
      </c>
      <c r="AF330" t="s">
        <v>2858</v>
      </c>
      <c r="AG330" t="s">
        <v>1385</v>
      </c>
      <c r="AH330" t="s">
        <v>2856</v>
      </c>
      <c r="AK330">
        <v>0</v>
      </c>
      <c r="AO330" t="s">
        <v>1372</v>
      </c>
      <c r="AP330" t="s">
        <v>1373</v>
      </c>
    </row>
    <row r="331" hidden="1" spans="1:42">
      <c r="A331" t="s">
        <v>2868</v>
      </c>
      <c r="B331" t="s">
        <v>1356</v>
      </c>
      <c r="C331" t="s">
        <v>1375</v>
      </c>
      <c r="D331" t="s">
        <v>2833</v>
      </c>
      <c r="F331" t="s">
        <v>1377</v>
      </c>
      <c r="G331" s="45">
        <v>44809.9612384259</v>
      </c>
      <c r="H331" s="45">
        <v>44809.9615046296</v>
      </c>
      <c r="J331" t="s">
        <v>407</v>
      </c>
      <c r="M331">
        <v>249</v>
      </c>
      <c r="N331">
        <v>0</v>
      </c>
      <c r="O331">
        <v>-2</v>
      </c>
      <c r="P331">
        <v>0</v>
      </c>
      <c r="Q331">
        <v>247</v>
      </c>
      <c r="R331">
        <v>247</v>
      </c>
      <c r="S331" t="s">
        <v>1400</v>
      </c>
      <c r="T331" t="s">
        <v>1872</v>
      </c>
      <c r="U331">
        <v>1</v>
      </c>
      <c r="V331" t="s">
        <v>1364</v>
      </c>
      <c r="X331" t="s">
        <v>515</v>
      </c>
      <c r="Y331" t="s">
        <v>1978</v>
      </c>
      <c r="Z331" t="s">
        <v>1678</v>
      </c>
      <c r="AA331" t="s">
        <v>1979</v>
      </c>
      <c r="AB331" t="s">
        <v>1980</v>
      </c>
      <c r="AC331" t="s">
        <v>1981</v>
      </c>
      <c r="AF331" t="s">
        <v>1982</v>
      </c>
      <c r="AG331" t="s">
        <v>1385</v>
      </c>
      <c r="AH331" t="s">
        <v>1978</v>
      </c>
      <c r="AK331">
        <v>0</v>
      </c>
      <c r="AO331" t="s">
        <v>1372</v>
      </c>
      <c r="AP331" t="s">
        <v>1373</v>
      </c>
    </row>
    <row r="332" hidden="1" spans="1:42">
      <c r="A332" t="s">
        <v>2869</v>
      </c>
      <c r="B332" t="s">
        <v>1356</v>
      </c>
      <c r="C332" t="s">
        <v>1375</v>
      </c>
      <c r="D332" t="s">
        <v>2833</v>
      </c>
      <c r="F332" t="s">
        <v>1377</v>
      </c>
      <c r="G332" s="45">
        <v>44809.9562847222</v>
      </c>
      <c r="H332" s="45">
        <v>44809.9566782407</v>
      </c>
      <c r="J332" t="s">
        <v>407</v>
      </c>
      <c r="M332">
        <v>19.9</v>
      </c>
      <c r="N332">
        <v>0</v>
      </c>
      <c r="O332">
        <v>0</v>
      </c>
      <c r="P332">
        <v>0</v>
      </c>
      <c r="Q332">
        <v>19.9</v>
      </c>
      <c r="R332">
        <v>19.9</v>
      </c>
      <c r="T332" t="s">
        <v>1858</v>
      </c>
      <c r="U332">
        <v>1</v>
      </c>
      <c r="V332" t="s">
        <v>1364</v>
      </c>
      <c r="X332" t="s">
        <v>692</v>
      </c>
      <c r="Y332" t="s">
        <v>2870</v>
      </c>
      <c r="Z332" t="s">
        <v>1447</v>
      </c>
      <c r="AA332" t="s">
        <v>2871</v>
      </c>
      <c r="AB332" t="s">
        <v>2872</v>
      </c>
      <c r="AC332" t="s">
        <v>2873</v>
      </c>
      <c r="AF332" t="s">
        <v>2874</v>
      </c>
      <c r="AG332" t="s">
        <v>1372</v>
      </c>
      <c r="AH332" t="s">
        <v>2870</v>
      </c>
      <c r="AK332">
        <v>0</v>
      </c>
      <c r="AO332" t="s">
        <v>1372</v>
      </c>
      <c r="AP332" t="s">
        <v>1373</v>
      </c>
    </row>
    <row r="333" hidden="1" spans="1:42">
      <c r="A333" t="s">
        <v>2875</v>
      </c>
      <c r="B333" t="s">
        <v>1356</v>
      </c>
      <c r="C333" t="s">
        <v>1375</v>
      </c>
      <c r="D333" t="s">
        <v>2833</v>
      </c>
      <c r="F333" t="s">
        <v>1377</v>
      </c>
      <c r="G333" s="45">
        <v>44809.953900463</v>
      </c>
      <c r="H333" s="45">
        <v>44809.9540277778</v>
      </c>
      <c r="J333" t="s">
        <v>407</v>
      </c>
      <c r="M333">
        <v>19.9</v>
      </c>
      <c r="N333">
        <v>0</v>
      </c>
      <c r="O333">
        <v>0</v>
      </c>
      <c r="P333">
        <v>0</v>
      </c>
      <c r="Q333">
        <v>19.9</v>
      </c>
      <c r="R333">
        <v>19.9</v>
      </c>
      <c r="T333" t="s">
        <v>1831</v>
      </c>
      <c r="U333">
        <v>1</v>
      </c>
      <c r="V333" t="s">
        <v>1364</v>
      </c>
      <c r="X333" t="s">
        <v>491</v>
      </c>
      <c r="Y333" t="s">
        <v>2876</v>
      </c>
      <c r="Z333" t="s">
        <v>1495</v>
      </c>
      <c r="AA333" t="s">
        <v>2877</v>
      </c>
      <c r="AB333" t="s">
        <v>2878</v>
      </c>
      <c r="AC333" t="s">
        <v>2879</v>
      </c>
      <c r="AF333" t="s">
        <v>2880</v>
      </c>
      <c r="AG333" t="s">
        <v>1385</v>
      </c>
      <c r="AH333" t="s">
        <v>2876</v>
      </c>
      <c r="AK333">
        <v>0</v>
      </c>
      <c r="AO333" t="s">
        <v>1372</v>
      </c>
      <c r="AP333" t="s">
        <v>1373</v>
      </c>
    </row>
    <row r="334" hidden="1" spans="1:42">
      <c r="A334" t="s">
        <v>2881</v>
      </c>
      <c r="B334" t="s">
        <v>1356</v>
      </c>
      <c r="C334" t="s">
        <v>1375</v>
      </c>
      <c r="D334" t="s">
        <v>2833</v>
      </c>
      <c r="F334" t="s">
        <v>1377</v>
      </c>
      <c r="G334" s="45">
        <v>44809.9536574074</v>
      </c>
      <c r="H334" s="45">
        <v>44809.9537962963</v>
      </c>
      <c r="J334" t="s">
        <v>407</v>
      </c>
      <c r="M334">
        <v>19.9</v>
      </c>
      <c r="N334">
        <v>0</v>
      </c>
      <c r="O334">
        <v>0</v>
      </c>
      <c r="P334">
        <v>0</v>
      </c>
      <c r="Q334">
        <v>19.9</v>
      </c>
      <c r="R334">
        <v>19.9</v>
      </c>
      <c r="T334" t="s">
        <v>1527</v>
      </c>
      <c r="U334">
        <v>1</v>
      </c>
      <c r="V334" t="s">
        <v>1364</v>
      </c>
      <c r="X334" t="s">
        <v>533</v>
      </c>
      <c r="Y334" t="s">
        <v>2081</v>
      </c>
      <c r="Z334" t="s">
        <v>1560</v>
      </c>
      <c r="AA334" t="s">
        <v>1560</v>
      </c>
      <c r="AB334" t="s">
        <v>1561</v>
      </c>
      <c r="AC334" t="s">
        <v>2082</v>
      </c>
      <c r="AF334" t="s">
        <v>2882</v>
      </c>
      <c r="AG334" t="s">
        <v>1372</v>
      </c>
      <c r="AK334">
        <v>0</v>
      </c>
      <c r="AO334" t="s">
        <v>1372</v>
      </c>
      <c r="AP334" t="s">
        <v>1373</v>
      </c>
    </row>
    <row r="335" hidden="1" spans="1:42">
      <c r="A335" t="s">
        <v>2883</v>
      </c>
      <c r="B335" t="s">
        <v>1356</v>
      </c>
      <c r="C335" t="s">
        <v>1375</v>
      </c>
      <c r="D335" t="s">
        <v>2833</v>
      </c>
      <c r="F335" t="s">
        <v>1377</v>
      </c>
      <c r="G335" s="45">
        <v>44809.9533101852</v>
      </c>
      <c r="H335" s="45">
        <v>44809.9534375</v>
      </c>
      <c r="J335" t="s">
        <v>407</v>
      </c>
      <c r="M335">
        <v>19.9</v>
      </c>
      <c r="N335">
        <v>0</v>
      </c>
      <c r="O335">
        <v>0</v>
      </c>
      <c r="P335">
        <v>0</v>
      </c>
      <c r="Q335">
        <v>19.9</v>
      </c>
      <c r="R335">
        <v>19.9</v>
      </c>
      <c r="T335" t="s">
        <v>1529</v>
      </c>
      <c r="U335">
        <v>1</v>
      </c>
      <c r="V335" t="s">
        <v>1364</v>
      </c>
      <c r="X335" t="s">
        <v>491</v>
      </c>
      <c r="Y335" t="s">
        <v>2876</v>
      </c>
      <c r="Z335" t="s">
        <v>1495</v>
      </c>
      <c r="AA335" t="s">
        <v>2877</v>
      </c>
      <c r="AB335" t="s">
        <v>2878</v>
      </c>
      <c r="AC335" t="s">
        <v>2879</v>
      </c>
      <c r="AF335" t="s">
        <v>2880</v>
      </c>
      <c r="AG335" t="s">
        <v>1385</v>
      </c>
      <c r="AH335" t="s">
        <v>2876</v>
      </c>
      <c r="AK335">
        <v>0</v>
      </c>
      <c r="AO335" t="s">
        <v>1372</v>
      </c>
      <c r="AP335" t="s">
        <v>1373</v>
      </c>
    </row>
    <row r="336" hidden="1" spans="1:42">
      <c r="A336" t="s">
        <v>2884</v>
      </c>
      <c r="B336" t="s">
        <v>1356</v>
      </c>
      <c r="C336" t="s">
        <v>1375</v>
      </c>
      <c r="D336" t="s">
        <v>2833</v>
      </c>
      <c r="F336" t="s">
        <v>1377</v>
      </c>
      <c r="G336" s="45">
        <v>44809.9526851852</v>
      </c>
      <c r="H336" s="45">
        <v>44809.9528240741</v>
      </c>
      <c r="J336" t="s">
        <v>407</v>
      </c>
      <c r="M336">
        <v>99</v>
      </c>
      <c r="N336">
        <v>0</v>
      </c>
      <c r="O336">
        <v>0</v>
      </c>
      <c r="P336">
        <v>0</v>
      </c>
      <c r="Q336">
        <v>99</v>
      </c>
      <c r="R336">
        <v>99</v>
      </c>
      <c r="T336" t="s">
        <v>2885</v>
      </c>
      <c r="U336">
        <v>1</v>
      </c>
      <c r="V336" t="s">
        <v>1364</v>
      </c>
      <c r="X336" t="s">
        <v>515</v>
      </c>
      <c r="Y336" t="s">
        <v>1978</v>
      </c>
      <c r="Z336" t="s">
        <v>1678</v>
      </c>
      <c r="AA336" t="s">
        <v>1979</v>
      </c>
      <c r="AB336" t="s">
        <v>1980</v>
      </c>
      <c r="AC336" t="s">
        <v>1981</v>
      </c>
      <c r="AF336" t="s">
        <v>1982</v>
      </c>
      <c r="AG336" t="s">
        <v>1385</v>
      </c>
      <c r="AH336" t="s">
        <v>1978</v>
      </c>
      <c r="AK336">
        <v>0</v>
      </c>
      <c r="AL336" t="s">
        <v>2886</v>
      </c>
      <c r="AO336" t="s">
        <v>1372</v>
      </c>
      <c r="AP336" t="s">
        <v>1373</v>
      </c>
    </row>
    <row r="337" hidden="1" spans="1:42">
      <c r="A337" t="s">
        <v>2887</v>
      </c>
      <c r="B337" t="s">
        <v>1356</v>
      </c>
      <c r="C337" t="s">
        <v>1375</v>
      </c>
      <c r="D337" t="s">
        <v>2833</v>
      </c>
      <c r="F337" t="s">
        <v>1377</v>
      </c>
      <c r="G337" s="45">
        <v>44809.9524537037</v>
      </c>
      <c r="H337" s="45">
        <v>44809.9526967593</v>
      </c>
      <c r="J337" t="s">
        <v>407</v>
      </c>
      <c r="M337">
        <v>39.9</v>
      </c>
      <c r="N337">
        <v>0</v>
      </c>
      <c r="O337">
        <v>-3</v>
      </c>
      <c r="P337">
        <v>0</v>
      </c>
      <c r="Q337">
        <v>36.9</v>
      </c>
      <c r="R337">
        <v>36.9</v>
      </c>
      <c r="S337" t="s">
        <v>1397</v>
      </c>
      <c r="T337" t="s">
        <v>2888</v>
      </c>
      <c r="U337">
        <v>1</v>
      </c>
      <c r="V337" t="s">
        <v>1364</v>
      </c>
      <c r="X337" t="s">
        <v>439</v>
      </c>
      <c r="Y337" t="s">
        <v>2584</v>
      </c>
      <c r="Z337" t="s">
        <v>1804</v>
      </c>
      <c r="AA337" t="s">
        <v>2585</v>
      </c>
      <c r="AB337" t="s">
        <v>2586</v>
      </c>
      <c r="AC337" t="s">
        <v>2587</v>
      </c>
      <c r="AF337" t="s">
        <v>2588</v>
      </c>
      <c r="AG337" t="s">
        <v>1372</v>
      </c>
      <c r="AH337" t="s">
        <v>2584</v>
      </c>
      <c r="AK337">
        <v>0</v>
      </c>
      <c r="AO337" t="s">
        <v>1372</v>
      </c>
      <c r="AP337" t="s">
        <v>1373</v>
      </c>
    </row>
    <row r="338" hidden="1" spans="1:42">
      <c r="A338" t="s">
        <v>2889</v>
      </c>
      <c r="B338" t="s">
        <v>1356</v>
      </c>
      <c r="C338" t="s">
        <v>1375</v>
      </c>
      <c r="D338" t="s">
        <v>2833</v>
      </c>
      <c r="F338" t="s">
        <v>1377</v>
      </c>
      <c r="G338" s="45">
        <v>44809.9523148148</v>
      </c>
      <c r="H338" s="45">
        <v>44809.9524189815</v>
      </c>
      <c r="J338" t="s">
        <v>407</v>
      </c>
      <c r="M338">
        <v>99</v>
      </c>
      <c r="N338">
        <v>0</v>
      </c>
      <c r="O338">
        <v>-1</v>
      </c>
      <c r="P338">
        <v>0</v>
      </c>
      <c r="Q338">
        <v>98</v>
      </c>
      <c r="R338">
        <v>98</v>
      </c>
      <c r="S338" t="s">
        <v>1414</v>
      </c>
      <c r="T338" t="s">
        <v>2012</v>
      </c>
      <c r="U338">
        <v>1</v>
      </c>
      <c r="V338" t="s">
        <v>1364</v>
      </c>
      <c r="X338" t="s">
        <v>468</v>
      </c>
      <c r="Y338" t="s">
        <v>2856</v>
      </c>
      <c r="Z338" t="s">
        <v>1367</v>
      </c>
      <c r="AA338" t="s">
        <v>1899</v>
      </c>
      <c r="AB338" t="s">
        <v>2022</v>
      </c>
      <c r="AC338" t="s">
        <v>2857</v>
      </c>
      <c r="AF338" t="s">
        <v>2858</v>
      </c>
      <c r="AG338" t="s">
        <v>1385</v>
      </c>
      <c r="AH338" t="s">
        <v>2856</v>
      </c>
      <c r="AK338">
        <v>0</v>
      </c>
      <c r="AL338" t="s">
        <v>2890</v>
      </c>
      <c r="AO338" t="s">
        <v>1372</v>
      </c>
      <c r="AP338" t="s">
        <v>1373</v>
      </c>
    </row>
    <row r="339" hidden="1" spans="1:42">
      <c r="A339" t="s">
        <v>2891</v>
      </c>
      <c r="B339" t="s">
        <v>1356</v>
      </c>
      <c r="C339" t="s">
        <v>1375</v>
      </c>
      <c r="D339" t="s">
        <v>2833</v>
      </c>
      <c r="F339" t="s">
        <v>1377</v>
      </c>
      <c r="G339" s="45">
        <v>44809.9522453704</v>
      </c>
      <c r="H339" s="45">
        <v>44809.9524189815</v>
      </c>
      <c r="J339" t="s">
        <v>407</v>
      </c>
      <c r="M339">
        <v>19.9</v>
      </c>
      <c r="N339">
        <v>0</v>
      </c>
      <c r="O339">
        <v>0</v>
      </c>
      <c r="P339">
        <v>0</v>
      </c>
      <c r="Q339">
        <v>19.9</v>
      </c>
      <c r="R339">
        <v>19.9</v>
      </c>
      <c r="T339" t="s">
        <v>1540</v>
      </c>
      <c r="U339">
        <v>1</v>
      </c>
      <c r="V339" t="s">
        <v>1364</v>
      </c>
      <c r="X339" t="s">
        <v>526</v>
      </c>
      <c r="Y339" t="s">
        <v>2838</v>
      </c>
      <c r="Z339" t="s">
        <v>1626</v>
      </c>
      <c r="AA339" t="s">
        <v>2149</v>
      </c>
      <c r="AB339" t="s">
        <v>2839</v>
      </c>
      <c r="AC339" t="s">
        <v>2840</v>
      </c>
      <c r="AF339" t="s">
        <v>2841</v>
      </c>
      <c r="AG339" t="s">
        <v>1372</v>
      </c>
      <c r="AH339" t="s">
        <v>2838</v>
      </c>
      <c r="AK339">
        <v>0</v>
      </c>
      <c r="AO339" t="s">
        <v>1372</v>
      </c>
      <c r="AP339" t="s">
        <v>1373</v>
      </c>
    </row>
    <row r="340" hidden="1" spans="1:42">
      <c r="A340" t="s">
        <v>2892</v>
      </c>
      <c r="B340" t="s">
        <v>1356</v>
      </c>
      <c r="C340" t="s">
        <v>1375</v>
      </c>
      <c r="D340" t="s">
        <v>1780</v>
      </c>
      <c r="F340" t="s">
        <v>1377</v>
      </c>
      <c r="G340" s="45">
        <v>44809.9517013889</v>
      </c>
      <c r="M340">
        <v>99</v>
      </c>
      <c r="N340">
        <v>0</v>
      </c>
      <c r="O340">
        <v>-1</v>
      </c>
      <c r="P340">
        <v>0</v>
      </c>
      <c r="Q340">
        <v>98</v>
      </c>
      <c r="R340">
        <v>0</v>
      </c>
      <c r="S340" t="s">
        <v>1414</v>
      </c>
      <c r="T340" t="s">
        <v>1762</v>
      </c>
      <c r="U340">
        <v>1</v>
      </c>
      <c r="V340" t="s">
        <v>1364</v>
      </c>
      <c r="X340" t="s">
        <v>515</v>
      </c>
      <c r="Y340" t="s">
        <v>1978</v>
      </c>
      <c r="Z340" t="s">
        <v>1678</v>
      </c>
      <c r="AA340" t="s">
        <v>1979</v>
      </c>
      <c r="AB340" t="s">
        <v>1980</v>
      </c>
      <c r="AC340" t="s">
        <v>1981</v>
      </c>
      <c r="AF340" t="s">
        <v>1982</v>
      </c>
      <c r="AG340" t="s">
        <v>1385</v>
      </c>
      <c r="AH340" t="s">
        <v>1978</v>
      </c>
      <c r="AK340">
        <v>0</v>
      </c>
      <c r="AO340" t="s">
        <v>1372</v>
      </c>
      <c r="AP340" t="s">
        <v>1373</v>
      </c>
    </row>
    <row r="341" hidden="1" spans="1:42">
      <c r="A341" t="s">
        <v>2893</v>
      </c>
      <c r="B341" t="s">
        <v>1356</v>
      </c>
      <c r="C341" t="s">
        <v>1375</v>
      </c>
      <c r="D341" t="s">
        <v>2833</v>
      </c>
      <c r="F341" t="s">
        <v>1377</v>
      </c>
      <c r="G341" s="45">
        <v>44809.9490162037</v>
      </c>
      <c r="H341" s="45">
        <v>44809.9491087963</v>
      </c>
      <c r="J341" t="s">
        <v>407</v>
      </c>
      <c r="M341">
        <v>19.9</v>
      </c>
      <c r="N341">
        <v>0</v>
      </c>
      <c r="O341">
        <v>0</v>
      </c>
      <c r="P341">
        <v>0</v>
      </c>
      <c r="Q341">
        <v>19.9</v>
      </c>
      <c r="R341">
        <v>19.9</v>
      </c>
      <c r="T341" t="s">
        <v>1845</v>
      </c>
      <c r="U341">
        <v>1</v>
      </c>
      <c r="V341" t="s">
        <v>1364</v>
      </c>
      <c r="X341" t="s">
        <v>439</v>
      </c>
      <c r="Y341" t="s">
        <v>2584</v>
      </c>
      <c r="Z341" t="s">
        <v>1804</v>
      </c>
      <c r="AA341" t="s">
        <v>2585</v>
      </c>
      <c r="AB341" t="s">
        <v>2586</v>
      </c>
      <c r="AC341" t="s">
        <v>2587</v>
      </c>
      <c r="AF341" t="s">
        <v>2588</v>
      </c>
      <c r="AG341" t="s">
        <v>1372</v>
      </c>
      <c r="AH341" t="s">
        <v>2584</v>
      </c>
      <c r="AK341">
        <v>0</v>
      </c>
      <c r="AO341" t="s">
        <v>1372</v>
      </c>
      <c r="AP341" t="s">
        <v>1373</v>
      </c>
    </row>
    <row r="342" hidden="1" spans="1:42">
      <c r="A342" t="s">
        <v>2894</v>
      </c>
      <c r="B342" t="s">
        <v>1356</v>
      </c>
      <c r="C342" t="s">
        <v>1375</v>
      </c>
      <c r="D342" t="s">
        <v>2833</v>
      </c>
      <c r="F342" t="s">
        <v>1377</v>
      </c>
      <c r="G342" s="45">
        <v>44809.9478935185</v>
      </c>
      <c r="H342" s="45">
        <v>44809.9481597222</v>
      </c>
      <c r="J342" t="s">
        <v>407</v>
      </c>
      <c r="M342">
        <v>99</v>
      </c>
      <c r="N342">
        <v>0</v>
      </c>
      <c r="O342">
        <v>0</v>
      </c>
      <c r="P342">
        <v>0</v>
      </c>
      <c r="Q342">
        <v>99</v>
      </c>
      <c r="R342">
        <v>99</v>
      </c>
      <c r="T342" t="s">
        <v>2367</v>
      </c>
      <c r="U342">
        <v>1</v>
      </c>
      <c r="V342" t="s">
        <v>1364</v>
      </c>
      <c r="X342" t="s">
        <v>526</v>
      </c>
      <c r="Y342" t="s">
        <v>2838</v>
      </c>
      <c r="Z342" t="s">
        <v>1626</v>
      </c>
      <c r="AA342" t="s">
        <v>2149</v>
      </c>
      <c r="AB342" t="s">
        <v>2839</v>
      </c>
      <c r="AC342" t="s">
        <v>2895</v>
      </c>
      <c r="AF342" t="s">
        <v>2896</v>
      </c>
      <c r="AG342" t="s">
        <v>1372</v>
      </c>
      <c r="AK342">
        <v>0</v>
      </c>
      <c r="AO342" t="s">
        <v>1372</v>
      </c>
      <c r="AP342" t="s">
        <v>1373</v>
      </c>
    </row>
    <row r="343" hidden="1" spans="1:42">
      <c r="A343" t="s">
        <v>2897</v>
      </c>
      <c r="B343" t="s">
        <v>1356</v>
      </c>
      <c r="C343" t="s">
        <v>1375</v>
      </c>
      <c r="D343" t="s">
        <v>2833</v>
      </c>
      <c r="F343" t="s">
        <v>1377</v>
      </c>
      <c r="G343" s="45">
        <v>44809.947650463</v>
      </c>
      <c r="H343" s="45">
        <v>44809.9478587963</v>
      </c>
      <c r="J343" t="s">
        <v>407</v>
      </c>
      <c r="M343">
        <v>99</v>
      </c>
      <c r="N343">
        <v>0</v>
      </c>
      <c r="O343">
        <v>-1</v>
      </c>
      <c r="P343">
        <v>0</v>
      </c>
      <c r="Q343">
        <v>98</v>
      </c>
      <c r="R343">
        <v>98</v>
      </c>
      <c r="S343" t="s">
        <v>1414</v>
      </c>
      <c r="T343" t="s">
        <v>2898</v>
      </c>
      <c r="U343">
        <v>1</v>
      </c>
      <c r="V343" t="s">
        <v>1364</v>
      </c>
      <c r="X343" t="s">
        <v>495</v>
      </c>
      <c r="Y343" t="s">
        <v>2899</v>
      </c>
      <c r="Z343" t="s">
        <v>1430</v>
      </c>
      <c r="AA343" t="s">
        <v>1965</v>
      </c>
      <c r="AB343" t="s">
        <v>2900</v>
      </c>
      <c r="AC343" t="s">
        <v>2901</v>
      </c>
      <c r="AF343" t="s">
        <v>2902</v>
      </c>
      <c r="AG343" t="s">
        <v>1385</v>
      </c>
      <c r="AH343" t="s">
        <v>2899</v>
      </c>
      <c r="AK343">
        <v>0</v>
      </c>
      <c r="AO343" t="s">
        <v>1372</v>
      </c>
      <c r="AP343" t="s">
        <v>1373</v>
      </c>
    </row>
    <row r="344" hidden="1" spans="1:42">
      <c r="A344" t="s">
        <v>2903</v>
      </c>
      <c r="B344" t="s">
        <v>1356</v>
      </c>
      <c r="C344" t="s">
        <v>1375</v>
      </c>
      <c r="D344" t="s">
        <v>2833</v>
      </c>
      <c r="F344" t="s">
        <v>1377</v>
      </c>
      <c r="G344" s="45">
        <v>44809.9449421296</v>
      </c>
      <c r="H344" s="45">
        <v>44809.9453472222</v>
      </c>
      <c r="J344" t="s">
        <v>407</v>
      </c>
      <c r="M344">
        <v>99</v>
      </c>
      <c r="N344">
        <v>0</v>
      </c>
      <c r="O344">
        <v>-3</v>
      </c>
      <c r="P344">
        <v>0</v>
      </c>
      <c r="Q344">
        <v>96</v>
      </c>
      <c r="R344">
        <v>96</v>
      </c>
      <c r="S344" t="s">
        <v>1397</v>
      </c>
      <c r="T344" t="s">
        <v>2367</v>
      </c>
      <c r="U344">
        <v>1</v>
      </c>
      <c r="V344" t="s">
        <v>1364</v>
      </c>
      <c r="X344" t="s">
        <v>495</v>
      </c>
      <c r="Y344" t="s">
        <v>2899</v>
      </c>
      <c r="Z344" t="s">
        <v>1430</v>
      </c>
      <c r="AA344" t="s">
        <v>1965</v>
      </c>
      <c r="AB344" t="s">
        <v>2900</v>
      </c>
      <c r="AC344" t="s">
        <v>2901</v>
      </c>
      <c r="AF344" t="s">
        <v>2902</v>
      </c>
      <c r="AG344" t="s">
        <v>1385</v>
      </c>
      <c r="AH344" t="s">
        <v>2899</v>
      </c>
      <c r="AK344">
        <v>0</v>
      </c>
      <c r="AO344" t="s">
        <v>1372</v>
      </c>
      <c r="AP344" t="s">
        <v>1373</v>
      </c>
    </row>
    <row r="345" hidden="1" spans="1:42">
      <c r="A345" t="s">
        <v>2904</v>
      </c>
      <c r="B345" t="s">
        <v>1356</v>
      </c>
      <c r="C345" t="s">
        <v>1375</v>
      </c>
      <c r="D345" t="s">
        <v>1358</v>
      </c>
      <c r="F345" t="s">
        <v>1377</v>
      </c>
      <c r="G345" s="45">
        <v>44809.9430555556</v>
      </c>
      <c r="H345" s="45">
        <v>44809.9436458333</v>
      </c>
      <c r="J345" t="s">
        <v>407</v>
      </c>
      <c r="M345">
        <v>249</v>
      </c>
      <c r="N345">
        <v>0</v>
      </c>
      <c r="O345">
        <v>-2</v>
      </c>
      <c r="P345">
        <v>0</v>
      </c>
      <c r="Q345">
        <v>247</v>
      </c>
      <c r="R345">
        <v>247</v>
      </c>
      <c r="S345" t="s">
        <v>1400</v>
      </c>
      <c r="T345" t="s">
        <v>1867</v>
      </c>
      <c r="U345">
        <v>1</v>
      </c>
      <c r="V345" t="s">
        <v>1364</v>
      </c>
      <c r="X345" t="s">
        <v>503</v>
      </c>
      <c r="Y345" t="s">
        <v>2905</v>
      </c>
      <c r="Z345" t="s">
        <v>1710</v>
      </c>
      <c r="AA345" t="s">
        <v>1711</v>
      </c>
      <c r="AB345" t="s">
        <v>1712</v>
      </c>
      <c r="AC345" t="s">
        <v>2906</v>
      </c>
      <c r="AF345" t="s">
        <v>503</v>
      </c>
      <c r="AG345" t="s">
        <v>1385</v>
      </c>
      <c r="AH345" t="s">
        <v>2905</v>
      </c>
      <c r="AK345">
        <v>0</v>
      </c>
      <c r="AL345" t="s">
        <v>2907</v>
      </c>
      <c r="AO345" t="s">
        <v>1372</v>
      </c>
      <c r="AP345" t="s">
        <v>1373</v>
      </c>
    </row>
    <row r="346" hidden="1" spans="1:42">
      <c r="A346" t="s">
        <v>2908</v>
      </c>
      <c r="B346" t="s">
        <v>1356</v>
      </c>
      <c r="C346" t="s">
        <v>1375</v>
      </c>
      <c r="D346" t="s">
        <v>2833</v>
      </c>
      <c r="F346" t="s">
        <v>1377</v>
      </c>
      <c r="G346" s="45">
        <v>44809.9388888889</v>
      </c>
      <c r="H346" s="45">
        <v>44809.9390046296</v>
      </c>
      <c r="J346" t="s">
        <v>407</v>
      </c>
      <c r="M346">
        <v>39.9</v>
      </c>
      <c r="N346">
        <v>0</v>
      </c>
      <c r="O346">
        <v>0</v>
      </c>
      <c r="P346">
        <v>0</v>
      </c>
      <c r="Q346">
        <v>39.9</v>
      </c>
      <c r="R346">
        <v>39.9</v>
      </c>
      <c r="T346" t="s">
        <v>2909</v>
      </c>
      <c r="U346">
        <v>1</v>
      </c>
      <c r="V346" t="s">
        <v>1364</v>
      </c>
      <c r="X346" t="s">
        <v>661</v>
      </c>
      <c r="Y346" t="s">
        <v>2910</v>
      </c>
      <c r="Z346" t="s">
        <v>1380</v>
      </c>
      <c r="AA346" t="s">
        <v>1381</v>
      </c>
      <c r="AB346" t="s">
        <v>2911</v>
      </c>
      <c r="AC346" t="s">
        <v>2912</v>
      </c>
      <c r="AF346" t="s">
        <v>2913</v>
      </c>
      <c r="AG346" t="s">
        <v>1372</v>
      </c>
      <c r="AK346">
        <v>0</v>
      </c>
      <c r="AL346" t="s">
        <v>2914</v>
      </c>
      <c r="AO346" t="s">
        <v>1372</v>
      </c>
      <c r="AP346" t="s">
        <v>1373</v>
      </c>
    </row>
    <row r="347" hidden="1" spans="1:42">
      <c r="A347" t="s">
        <v>2915</v>
      </c>
      <c r="B347" t="s">
        <v>1356</v>
      </c>
      <c r="C347" t="s">
        <v>1375</v>
      </c>
      <c r="D347" t="s">
        <v>1780</v>
      </c>
      <c r="F347" t="s">
        <v>1377</v>
      </c>
      <c r="G347" s="45">
        <v>44809.9352546296</v>
      </c>
      <c r="M347">
        <v>249</v>
      </c>
      <c r="N347">
        <v>0</v>
      </c>
      <c r="O347">
        <v>-3</v>
      </c>
      <c r="P347">
        <v>0</v>
      </c>
      <c r="Q347">
        <v>246</v>
      </c>
      <c r="R347">
        <v>0</v>
      </c>
      <c r="S347" t="s">
        <v>1397</v>
      </c>
      <c r="T347" t="s">
        <v>1867</v>
      </c>
      <c r="U347">
        <v>1</v>
      </c>
      <c r="V347" t="s">
        <v>1364</v>
      </c>
      <c r="X347" t="s">
        <v>514</v>
      </c>
      <c r="Y347" t="s">
        <v>2916</v>
      </c>
      <c r="Z347" t="s">
        <v>1695</v>
      </c>
      <c r="AA347" t="s">
        <v>2917</v>
      </c>
      <c r="AB347" t="s">
        <v>2918</v>
      </c>
      <c r="AC347" t="s">
        <v>2919</v>
      </c>
      <c r="AF347" t="s">
        <v>1790</v>
      </c>
      <c r="AG347" t="s">
        <v>1385</v>
      </c>
      <c r="AH347" t="s">
        <v>2916</v>
      </c>
      <c r="AK347">
        <v>0</v>
      </c>
      <c r="AO347" t="s">
        <v>1372</v>
      </c>
      <c r="AP347" t="s">
        <v>1373</v>
      </c>
    </row>
    <row r="348" hidden="1" spans="1:42">
      <c r="A348" t="s">
        <v>2920</v>
      </c>
      <c r="B348" t="s">
        <v>1356</v>
      </c>
      <c r="C348" t="s">
        <v>1375</v>
      </c>
      <c r="D348" t="s">
        <v>2833</v>
      </c>
      <c r="F348" t="s">
        <v>1377</v>
      </c>
      <c r="G348" s="45">
        <v>44809.935150463</v>
      </c>
      <c r="H348" s="45">
        <v>44809.9354976852</v>
      </c>
      <c r="J348" t="s">
        <v>407</v>
      </c>
      <c r="M348">
        <v>19.9</v>
      </c>
      <c r="N348">
        <v>0</v>
      </c>
      <c r="O348">
        <v>0</v>
      </c>
      <c r="P348">
        <v>0</v>
      </c>
      <c r="Q348">
        <v>19.9</v>
      </c>
      <c r="R348">
        <v>19.9</v>
      </c>
      <c r="T348" t="s">
        <v>1540</v>
      </c>
      <c r="U348">
        <v>1</v>
      </c>
      <c r="V348" t="s">
        <v>1364</v>
      </c>
      <c r="X348" t="s">
        <v>503</v>
      </c>
      <c r="Y348" t="s">
        <v>2905</v>
      </c>
      <c r="Z348" t="s">
        <v>1710</v>
      </c>
      <c r="AA348" t="s">
        <v>1711</v>
      </c>
      <c r="AB348" t="s">
        <v>1712</v>
      </c>
      <c r="AC348" t="s">
        <v>2906</v>
      </c>
      <c r="AF348" t="s">
        <v>503</v>
      </c>
      <c r="AG348" t="s">
        <v>1385</v>
      </c>
      <c r="AH348" t="s">
        <v>2905</v>
      </c>
      <c r="AK348">
        <v>0</v>
      </c>
      <c r="AO348" t="s">
        <v>1372</v>
      </c>
      <c r="AP348" t="s">
        <v>1373</v>
      </c>
    </row>
    <row r="349" hidden="1" spans="1:42">
      <c r="A349" t="s">
        <v>2921</v>
      </c>
      <c r="B349" t="s">
        <v>1356</v>
      </c>
      <c r="C349" t="s">
        <v>1375</v>
      </c>
      <c r="D349" t="s">
        <v>1358</v>
      </c>
      <c r="F349" t="s">
        <v>1377</v>
      </c>
      <c r="G349" s="45">
        <v>44809.933125</v>
      </c>
      <c r="H349" s="45">
        <v>44809.9332986111</v>
      </c>
      <c r="J349" t="s">
        <v>407</v>
      </c>
      <c r="M349">
        <v>19.9</v>
      </c>
      <c r="N349">
        <v>0</v>
      </c>
      <c r="O349">
        <v>0</v>
      </c>
      <c r="P349">
        <v>0</v>
      </c>
      <c r="Q349">
        <v>19.9</v>
      </c>
      <c r="R349">
        <v>19.9</v>
      </c>
      <c r="T349" t="s">
        <v>1504</v>
      </c>
      <c r="U349">
        <v>1</v>
      </c>
      <c r="V349" t="s">
        <v>1364</v>
      </c>
      <c r="X349" t="s">
        <v>471</v>
      </c>
      <c r="Y349" t="s">
        <v>2922</v>
      </c>
      <c r="Z349" t="s">
        <v>1466</v>
      </c>
      <c r="AA349" t="s">
        <v>1835</v>
      </c>
      <c r="AB349" t="s">
        <v>2144</v>
      </c>
      <c r="AC349" t="s">
        <v>2923</v>
      </c>
      <c r="AF349" t="s">
        <v>2924</v>
      </c>
      <c r="AG349" t="s">
        <v>1372</v>
      </c>
      <c r="AK349">
        <v>0</v>
      </c>
      <c r="AL349" t="s">
        <v>2925</v>
      </c>
      <c r="AO349" t="s">
        <v>1372</v>
      </c>
      <c r="AP349" t="s">
        <v>1373</v>
      </c>
    </row>
    <row r="350" hidden="1" spans="1:42">
      <c r="A350" t="s">
        <v>2926</v>
      </c>
      <c r="B350" t="s">
        <v>1356</v>
      </c>
      <c r="C350" t="s">
        <v>1375</v>
      </c>
      <c r="D350" t="s">
        <v>2833</v>
      </c>
      <c r="F350" t="s">
        <v>1377</v>
      </c>
      <c r="G350" s="45">
        <v>44809.9330324074</v>
      </c>
      <c r="H350" s="45">
        <v>44809.9331712963</v>
      </c>
      <c r="J350" t="s">
        <v>407</v>
      </c>
      <c r="M350">
        <v>19.9</v>
      </c>
      <c r="N350">
        <v>0</v>
      </c>
      <c r="O350">
        <v>0</v>
      </c>
      <c r="P350">
        <v>0</v>
      </c>
      <c r="Q350">
        <v>19.9</v>
      </c>
      <c r="R350">
        <v>19.9</v>
      </c>
      <c r="T350" t="s">
        <v>1578</v>
      </c>
      <c r="U350">
        <v>1</v>
      </c>
      <c r="V350" t="s">
        <v>1364</v>
      </c>
      <c r="X350" t="s">
        <v>661</v>
      </c>
      <c r="Y350" t="s">
        <v>2910</v>
      </c>
      <c r="Z350" t="s">
        <v>1380</v>
      </c>
      <c r="AA350" t="s">
        <v>1381</v>
      </c>
      <c r="AB350" t="s">
        <v>2911</v>
      </c>
      <c r="AC350" t="s">
        <v>2912</v>
      </c>
      <c r="AF350" t="s">
        <v>2913</v>
      </c>
      <c r="AG350" t="s">
        <v>1372</v>
      </c>
      <c r="AK350">
        <v>0</v>
      </c>
      <c r="AO350" t="s">
        <v>1372</v>
      </c>
      <c r="AP350" t="s">
        <v>1373</v>
      </c>
    </row>
    <row r="351" hidden="1" spans="1:42">
      <c r="A351" t="s">
        <v>2927</v>
      </c>
      <c r="B351" t="s">
        <v>1356</v>
      </c>
      <c r="C351" t="s">
        <v>1375</v>
      </c>
      <c r="D351" t="s">
        <v>1358</v>
      </c>
      <c r="F351" t="s">
        <v>1377</v>
      </c>
      <c r="G351" s="45">
        <v>44809.9321643518</v>
      </c>
      <c r="H351" s="45">
        <v>44809.9322800926</v>
      </c>
      <c r="J351" t="s">
        <v>407</v>
      </c>
      <c r="M351">
        <v>249</v>
      </c>
      <c r="N351">
        <v>0</v>
      </c>
      <c r="O351">
        <v>0</v>
      </c>
      <c r="P351">
        <v>0</v>
      </c>
      <c r="Q351">
        <v>249</v>
      </c>
      <c r="R351">
        <v>249</v>
      </c>
      <c r="T351" t="s">
        <v>1862</v>
      </c>
      <c r="U351">
        <v>1</v>
      </c>
      <c r="V351" t="s">
        <v>1364</v>
      </c>
      <c r="X351" t="s">
        <v>425</v>
      </c>
      <c r="Y351" t="s">
        <v>1390</v>
      </c>
      <c r="Z351" t="s">
        <v>1391</v>
      </c>
      <c r="AA351" t="s">
        <v>1392</v>
      </c>
      <c r="AB351" t="s">
        <v>1393</v>
      </c>
      <c r="AC351" t="s">
        <v>1394</v>
      </c>
      <c r="AF351" t="s">
        <v>1395</v>
      </c>
      <c r="AG351" t="s">
        <v>1385</v>
      </c>
      <c r="AH351" t="s">
        <v>1390</v>
      </c>
      <c r="AK351">
        <v>0</v>
      </c>
      <c r="AL351" t="s">
        <v>2907</v>
      </c>
      <c r="AO351" t="s">
        <v>1372</v>
      </c>
      <c r="AP351" t="s">
        <v>1373</v>
      </c>
    </row>
    <row r="352" hidden="1" spans="1:42">
      <c r="A352" t="s">
        <v>2928</v>
      </c>
      <c r="B352" t="s">
        <v>1356</v>
      </c>
      <c r="C352" t="s">
        <v>1375</v>
      </c>
      <c r="D352" t="s">
        <v>2833</v>
      </c>
      <c r="F352" t="s">
        <v>1359</v>
      </c>
      <c r="G352" s="45">
        <v>44809.9306712963</v>
      </c>
      <c r="H352" s="45">
        <v>44809.9308101852</v>
      </c>
      <c r="J352" t="s">
        <v>1360</v>
      </c>
      <c r="K352" t="s">
        <v>2929</v>
      </c>
      <c r="L352" t="s">
        <v>2930</v>
      </c>
      <c r="M352">
        <v>125</v>
      </c>
      <c r="N352">
        <v>0</v>
      </c>
      <c r="O352">
        <v>-2</v>
      </c>
      <c r="P352">
        <v>0</v>
      </c>
      <c r="Q352">
        <v>123</v>
      </c>
      <c r="R352">
        <v>123</v>
      </c>
      <c r="S352" t="s">
        <v>1400</v>
      </c>
      <c r="T352" t="s">
        <v>2931</v>
      </c>
      <c r="U352">
        <v>1</v>
      </c>
      <c r="V352" t="s">
        <v>1364</v>
      </c>
      <c r="X352" t="s">
        <v>2932</v>
      </c>
      <c r="Y352" t="s">
        <v>2933</v>
      </c>
      <c r="Z352" t="s">
        <v>1430</v>
      </c>
      <c r="AA352" t="s">
        <v>2934</v>
      </c>
      <c r="AB352" t="s">
        <v>2935</v>
      </c>
      <c r="AC352" t="s">
        <v>2936</v>
      </c>
      <c r="AF352" t="s">
        <v>2937</v>
      </c>
      <c r="AG352" t="s">
        <v>1372</v>
      </c>
      <c r="AH352" t="s">
        <v>2933</v>
      </c>
      <c r="AK352">
        <v>0</v>
      </c>
      <c r="AO352" t="s">
        <v>1372</v>
      </c>
      <c r="AP352" t="s">
        <v>1373</v>
      </c>
    </row>
    <row r="353" hidden="1" spans="1:42">
      <c r="A353" t="s">
        <v>2938</v>
      </c>
      <c r="B353" t="s">
        <v>1356</v>
      </c>
      <c r="C353" t="s">
        <v>1375</v>
      </c>
      <c r="D353" t="s">
        <v>2833</v>
      </c>
      <c r="F353" t="s">
        <v>1377</v>
      </c>
      <c r="G353" s="45">
        <v>44809.9284143519</v>
      </c>
      <c r="H353" s="45">
        <v>44809.9286111111</v>
      </c>
      <c r="J353" t="s">
        <v>407</v>
      </c>
      <c r="M353">
        <v>19.9</v>
      </c>
      <c r="N353">
        <v>0</v>
      </c>
      <c r="O353">
        <v>0</v>
      </c>
      <c r="P353">
        <v>0</v>
      </c>
      <c r="Q353">
        <v>19.9</v>
      </c>
      <c r="R353">
        <v>19.9</v>
      </c>
      <c r="T353" t="s">
        <v>1529</v>
      </c>
      <c r="U353">
        <v>1</v>
      </c>
      <c r="V353" t="s">
        <v>1364</v>
      </c>
      <c r="X353" t="s">
        <v>394</v>
      </c>
      <c r="Y353" t="s">
        <v>1933</v>
      </c>
      <c r="Z353" t="s">
        <v>1678</v>
      </c>
      <c r="AA353" t="s">
        <v>1934</v>
      </c>
      <c r="AB353" t="s">
        <v>1935</v>
      </c>
      <c r="AC353" t="s">
        <v>1936</v>
      </c>
      <c r="AF353" t="s">
        <v>1937</v>
      </c>
      <c r="AG353" t="s">
        <v>1372</v>
      </c>
      <c r="AH353" t="s">
        <v>1933</v>
      </c>
      <c r="AK353">
        <v>0</v>
      </c>
      <c r="AO353" t="s">
        <v>1372</v>
      </c>
      <c r="AP353" t="s">
        <v>1373</v>
      </c>
    </row>
    <row r="354" hidden="1" spans="1:42">
      <c r="A354" t="s">
        <v>2939</v>
      </c>
      <c r="B354" t="s">
        <v>1356</v>
      </c>
      <c r="C354" t="s">
        <v>1375</v>
      </c>
      <c r="D354" t="s">
        <v>1780</v>
      </c>
      <c r="F354" t="s">
        <v>1377</v>
      </c>
      <c r="G354" s="45">
        <v>44809.9281134259</v>
      </c>
      <c r="H354" s="45">
        <v>44809.9282407407</v>
      </c>
      <c r="J354" t="s">
        <v>407</v>
      </c>
      <c r="M354">
        <v>69</v>
      </c>
      <c r="N354">
        <v>0</v>
      </c>
      <c r="O354">
        <v>-3</v>
      </c>
      <c r="P354">
        <v>0</v>
      </c>
      <c r="Q354">
        <v>66</v>
      </c>
      <c r="R354">
        <v>66</v>
      </c>
      <c r="S354" t="s">
        <v>1397</v>
      </c>
      <c r="T354" t="s">
        <v>2524</v>
      </c>
      <c r="U354">
        <v>1</v>
      </c>
      <c r="V354" t="s">
        <v>1364</v>
      </c>
      <c r="X354" t="s">
        <v>813</v>
      </c>
      <c r="Y354" t="s">
        <v>2940</v>
      </c>
      <c r="Z354" t="s">
        <v>1606</v>
      </c>
      <c r="AA354" t="s">
        <v>2941</v>
      </c>
      <c r="AB354" t="s">
        <v>2942</v>
      </c>
      <c r="AC354" t="s">
        <v>2943</v>
      </c>
      <c r="AF354" t="s">
        <v>2944</v>
      </c>
      <c r="AG354" t="s">
        <v>1385</v>
      </c>
      <c r="AH354" t="s">
        <v>2940</v>
      </c>
      <c r="AJ354" t="s">
        <v>2945</v>
      </c>
      <c r="AK354">
        <v>66</v>
      </c>
      <c r="AO354" t="s">
        <v>1372</v>
      </c>
      <c r="AP354" t="s">
        <v>1373</v>
      </c>
    </row>
    <row r="355" hidden="1" spans="1:42">
      <c r="A355" t="s">
        <v>2946</v>
      </c>
      <c r="B355" t="s">
        <v>1356</v>
      </c>
      <c r="C355" t="s">
        <v>1375</v>
      </c>
      <c r="D355" t="s">
        <v>2833</v>
      </c>
      <c r="F355" t="s">
        <v>1377</v>
      </c>
      <c r="G355" s="45">
        <v>44809.9276157407</v>
      </c>
      <c r="H355" s="45">
        <v>44809.9277662037</v>
      </c>
      <c r="J355" t="s">
        <v>407</v>
      </c>
      <c r="M355">
        <v>19.9</v>
      </c>
      <c r="N355">
        <v>0</v>
      </c>
      <c r="O355">
        <v>0</v>
      </c>
      <c r="P355">
        <v>0</v>
      </c>
      <c r="Q355">
        <v>19.9</v>
      </c>
      <c r="R355">
        <v>19.9</v>
      </c>
      <c r="T355" t="s">
        <v>1527</v>
      </c>
      <c r="U355">
        <v>1</v>
      </c>
      <c r="V355" t="s">
        <v>1364</v>
      </c>
      <c r="X355" t="s">
        <v>394</v>
      </c>
      <c r="Y355" t="s">
        <v>1933</v>
      </c>
      <c r="Z355" t="s">
        <v>1678</v>
      </c>
      <c r="AA355" t="s">
        <v>1934</v>
      </c>
      <c r="AB355" t="s">
        <v>1935</v>
      </c>
      <c r="AC355" t="s">
        <v>1936</v>
      </c>
      <c r="AF355" t="s">
        <v>1937</v>
      </c>
      <c r="AG355" t="s">
        <v>1372</v>
      </c>
      <c r="AH355" t="s">
        <v>1933</v>
      </c>
      <c r="AK355">
        <v>0</v>
      </c>
      <c r="AO355" t="s">
        <v>1372</v>
      </c>
      <c r="AP355" t="s">
        <v>1373</v>
      </c>
    </row>
    <row r="356" hidden="1" spans="1:42">
      <c r="A356" t="s">
        <v>2947</v>
      </c>
      <c r="B356" t="s">
        <v>1356</v>
      </c>
      <c r="C356" t="s">
        <v>1375</v>
      </c>
      <c r="D356" t="s">
        <v>2833</v>
      </c>
      <c r="F356" t="s">
        <v>1377</v>
      </c>
      <c r="G356" s="45">
        <v>44809.9275694444</v>
      </c>
      <c r="H356" s="45">
        <v>44809.9278819444</v>
      </c>
      <c r="J356" t="s">
        <v>407</v>
      </c>
      <c r="M356">
        <v>99</v>
      </c>
      <c r="N356">
        <v>0</v>
      </c>
      <c r="O356">
        <v>-5</v>
      </c>
      <c r="P356">
        <v>0</v>
      </c>
      <c r="Q356">
        <v>94</v>
      </c>
      <c r="R356">
        <v>94</v>
      </c>
      <c r="S356" t="s">
        <v>1422</v>
      </c>
      <c r="T356" t="s">
        <v>2012</v>
      </c>
      <c r="U356">
        <v>1</v>
      </c>
      <c r="V356" t="s">
        <v>1364</v>
      </c>
      <c r="X356" t="s">
        <v>644</v>
      </c>
      <c r="Y356" t="s">
        <v>2948</v>
      </c>
      <c r="Z356" t="s">
        <v>1430</v>
      </c>
      <c r="AA356" t="s">
        <v>1688</v>
      </c>
      <c r="AB356" t="s">
        <v>2949</v>
      </c>
      <c r="AC356" t="s">
        <v>2950</v>
      </c>
      <c r="AF356" t="s">
        <v>2951</v>
      </c>
      <c r="AG356" t="s">
        <v>1385</v>
      </c>
      <c r="AH356" t="s">
        <v>2948</v>
      </c>
      <c r="AK356">
        <v>0</v>
      </c>
      <c r="AO356" t="s">
        <v>1372</v>
      </c>
      <c r="AP356" t="s">
        <v>1373</v>
      </c>
    </row>
    <row r="357" hidden="1" spans="1:42">
      <c r="A357" t="s">
        <v>2952</v>
      </c>
      <c r="B357" t="s">
        <v>1356</v>
      </c>
      <c r="C357" t="s">
        <v>1375</v>
      </c>
      <c r="D357" t="s">
        <v>2833</v>
      </c>
      <c r="F357" t="s">
        <v>1377</v>
      </c>
      <c r="G357" s="45">
        <v>44809.9275231482</v>
      </c>
      <c r="H357" s="45">
        <v>44809.9276736111</v>
      </c>
      <c r="J357" t="s">
        <v>407</v>
      </c>
      <c r="M357">
        <v>19.9</v>
      </c>
      <c r="N357">
        <v>0</v>
      </c>
      <c r="O357">
        <v>0</v>
      </c>
      <c r="P357">
        <v>0</v>
      </c>
      <c r="Q357">
        <v>19.9</v>
      </c>
      <c r="R357">
        <v>19.9</v>
      </c>
      <c r="T357" t="s">
        <v>1527</v>
      </c>
      <c r="U357">
        <v>1</v>
      </c>
      <c r="V357" t="s">
        <v>1364</v>
      </c>
      <c r="X357" t="s">
        <v>498</v>
      </c>
      <c r="Y357" t="s">
        <v>1880</v>
      </c>
      <c r="Z357" t="s">
        <v>1695</v>
      </c>
      <c r="AA357" t="s">
        <v>1876</v>
      </c>
      <c r="AB357" t="s">
        <v>1877</v>
      </c>
      <c r="AC357" t="s">
        <v>1878</v>
      </c>
      <c r="AF357" t="s">
        <v>1879</v>
      </c>
      <c r="AG357" t="s">
        <v>1372</v>
      </c>
      <c r="AH357" t="s">
        <v>1880</v>
      </c>
      <c r="AK357">
        <v>0</v>
      </c>
      <c r="AO357" t="s">
        <v>1372</v>
      </c>
      <c r="AP357" t="s">
        <v>1373</v>
      </c>
    </row>
    <row r="358" hidden="1" spans="1:42">
      <c r="A358" t="s">
        <v>2953</v>
      </c>
      <c r="B358" t="s">
        <v>1356</v>
      </c>
      <c r="C358" t="s">
        <v>1375</v>
      </c>
      <c r="D358" t="s">
        <v>1358</v>
      </c>
      <c r="F358" t="s">
        <v>1377</v>
      </c>
      <c r="G358" s="45">
        <v>44809.9271296296</v>
      </c>
      <c r="H358" s="45">
        <v>44809.9272222222</v>
      </c>
      <c r="J358" t="s">
        <v>407</v>
      </c>
      <c r="M358">
        <v>259</v>
      </c>
      <c r="N358">
        <v>0</v>
      </c>
      <c r="O358">
        <v>0</v>
      </c>
      <c r="P358">
        <v>0</v>
      </c>
      <c r="Q358">
        <v>259</v>
      </c>
      <c r="R358">
        <v>259</v>
      </c>
      <c r="T358" t="s">
        <v>2954</v>
      </c>
      <c r="U358">
        <v>1</v>
      </c>
      <c r="V358" t="s">
        <v>1364</v>
      </c>
      <c r="X358" t="s">
        <v>476</v>
      </c>
      <c r="Y358" t="s">
        <v>2955</v>
      </c>
      <c r="Z358" t="s">
        <v>1367</v>
      </c>
      <c r="AA358" t="s">
        <v>1943</v>
      </c>
      <c r="AB358" t="s">
        <v>1944</v>
      </c>
      <c r="AC358" t="s">
        <v>2956</v>
      </c>
      <c r="AD358" t="s">
        <v>2957</v>
      </c>
      <c r="AF358" t="s">
        <v>476</v>
      </c>
      <c r="AG358" t="s">
        <v>1385</v>
      </c>
      <c r="AH358" t="s">
        <v>2955</v>
      </c>
      <c r="AK358">
        <v>0</v>
      </c>
      <c r="AO358" t="s">
        <v>1372</v>
      </c>
      <c r="AP358" t="s">
        <v>1373</v>
      </c>
    </row>
    <row r="359" hidden="1" spans="1:42">
      <c r="A359" t="s">
        <v>2958</v>
      </c>
      <c r="B359" t="s">
        <v>1356</v>
      </c>
      <c r="C359" t="s">
        <v>1375</v>
      </c>
      <c r="D359" t="s">
        <v>1358</v>
      </c>
      <c r="F359" t="s">
        <v>1377</v>
      </c>
      <c r="G359" s="45">
        <v>44809.9196296296</v>
      </c>
      <c r="H359" s="45">
        <v>44809.92</v>
      </c>
      <c r="J359" t="s">
        <v>407</v>
      </c>
      <c r="M359">
        <v>249</v>
      </c>
      <c r="N359">
        <v>0</v>
      </c>
      <c r="O359">
        <v>-8</v>
      </c>
      <c r="P359">
        <v>0</v>
      </c>
      <c r="Q359">
        <v>241</v>
      </c>
      <c r="R359">
        <v>241</v>
      </c>
      <c r="S359" t="s">
        <v>2959</v>
      </c>
      <c r="T359" t="s">
        <v>1862</v>
      </c>
      <c r="U359">
        <v>1</v>
      </c>
      <c r="V359" t="s">
        <v>1364</v>
      </c>
      <c r="X359" t="s">
        <v>644</v>
      </c>
      <c r="Y359" t="s">
        <v>2948</v>
      </c>
      <c r="Z359" t="s">
        <v>1430</v>
      </c>
      <c r="AA359" t="s">
        <v>1688</v>
      </c>
      <c r="AB359" t="s">
        <v>2949</v>
      </c>
      <c r="AC359" t="s">
        <v>2950</v>
      </c>
      <c r="AF359" t="s">
        <v>2951</v>
      </c>
      <c r="AG359" t="s">
        <v>1385</v>
      </c>
      <c r="AH359" t="s">
        <v>2948</v>
      </c>
      <c r="AK359">
        <v>0</v>
      </c>
      <c r="AL359" t="s">
        <v>2907</v>
      </c>
      <c r="AO359" t="s">
        <v>1372</v>
      </c>
      <c r="AP359" t="s">
        <v>1373</v>
      </c>
    </row>
    <row r="360" hidden="1" spans="1:42">
      <c r="A360" t="s">
        <v>2960</v>
      </c>
      <c r="B360" t="s">
        <v>1356</v>
      </c>
      <c r="C360" t="s">
        <v>1375</v>
      </c>
      <c r="D360" t="s">
        <v>2833</v>
      </c>
      <c r="F360" t="s">
        <v>1377</v>
      </c>
      <c r="G360" s="45">
        <v>44809.9194212963</v>
      </c>
      <c r="H360" s="45">
        <v>44809.919837963</v>
      </c>
      <c r="J360" t="s">
        <v>407</v>
      </c>
      <c r="M360">
        <v>99</v>
      </c>
      <c r="N360">
        <v>0</v>
      </c>
      <c r="O360">
        <v>-5</v>
      </c>
      <c r="P360">
        <v>0</v>
      </c>
      <c r="Q360">
        <v>94</v>
      </c>
      <c r="R360">
        <v>94</v>
      </c>
      <c r="S360" t="s">
        <v>1422</v>
      </c>
      <c r="T360" t="s">
        <v>2367</v>
      </c>
      <c r="U360">
        <v>1</v>
      </c>
      <c r="V360" t="s">
        <v>1364</v>
      </c>
      <c r="X360" t="s">
        <v>503</v>
      </c>
      <c r="Y360" t="s">
        <v>2905</v>
      </c>
      <c r="Z360" t="s">
        <v>1710</v>
      </c>
      <c r="AA360" t="s">
        <v>1711</v>
      </c>
      <c r="AB360" t="s">
        <v>1712</v>
      </c>
      <c r="AC360" t="s">
        <v>2906</v>
      </c>
      <c r="AF360" t="s">
        <v>503</v>
      </c>
      <c r="AG360" t="s">
        <v>1385</v>
      </c>
      <c r="AH360" t="s">
        <v>2905</v>
      </c>
      <c r="AK360">
        <v>0</v>
      </c>
      <c r="AO360" t="s">
        <v>1372</v>
      </c>
      <c r="AP360" t="s">
        <v>1373</v>
      </c>
    </row>
    <row r="361" hidden="1" spans="1:42">
      <c r="A361" t="s">
        <v>2961</v>
      </c>
      <c r="B361" t="s">
        <v>1356</v>
      </c>
      <c r="C361" t="s">
        <v>1375</v>
      </c>
      <c r="D361" t="s">
        <v>2833</v>
      </c>
      <c r="F361" t="s">
        <v>1377</v>
      </c>
      <c r="G361" s="45">
        <v>44809.9192476852</v>
      </c>
      <c r="H361" s="45">
        <v>44809.9193518519</v>
      </c>
      <c r="J361" t="s">
        <v>407</v>
      </c>
      <c r="M361">
        <v>99</v>
      </c>
      <c r="N361">
        <v>0</v>
      </c>
      <c r="O361">
        <v>0</v>
      </c>
      <c r="P361">
        <v>0</v>
      </c>
      <c r="Q361">
        <v>99</v>
      </c>
      <c r="R361">
        <v>99</v>
      </c>
      <c r="T361" t="s">
        <v>2962</v>
      </c>
      <c r="U361">
        <v>1</v>
      </c>
      <c r="V361" t="s">
        <v>1364</v>
      </c>
      <c r="X361" t="s">
        <v>654</v>
      </c>
      <c r="Y361" t="s">
        <v>2963</v>
      </c>
      <c r="Z361" t="s">
        <v>1606</v>
      </c>
      <c r="AA361" t="s">
        <v>2204</v>
      </c>
      <c r="AB361" t="s">
        <v>2964</v>
      </c>
      <c r="AC361" t="s">
        <v>2965</v>
      </c>
      <c r="AF361" t="s">
        <v>2966</v>
      </c>
      <c r="AG361" t="s">
        <v>1372</v>
      </c>
      <c r="AK361">
        <v>0</v>
      </c>
      <c r="AO361" t="s">
        <v>1372</v>
      </c>
      <c r="AP361" t="s">
        <v>1373</v>
      </c>
    </row>
    <row r="362" hidden="1" spans="1:42">
      <c r="A362" t="s">
        <v>2967</v>
      </c>
      <c r="B362" t="s">
        <v>1356</v>
      </c>
      <c r="C362" t="s">
        <v>1375</v>
      </c>
      <c r="D362" t="s">
        <v>2833</v>
      </c>
      <c r="F362" t="s">
        <v>1377</v>
      </c>
      <c r="G362" s="45">
        <v>44809.9180555556</v>
      </c>
      <c r="H362" s="45">
        <v>44809.9183449074</v>
      </c>
      <c r="J362" t="s">
        <v>407</v>
      </c>
      <c r="M362">
        <v>19.9</v>
      </c>
      <c r="N362">
        <v>0</v>
      </c>
      <c r="O362">
        <v>0</v>
      </c>
      <c r="P362">
        <v>0</v>
      </c>
      <c r="Q362">
        <v>19.9</v>
      </c>
      <c r="R362">
        <v>19.9</v>
      </c>
      <c r="T362" t="s">
        <v>2442</v>
      </c>
      <c r="U362">
        <v>1</v>
      </c>
      <c r="V362" t="s">
        <v>1364</v>
      </c>
      <c r="X362" t="s">
        <v>545</v>
      </c>
      <c r="Y362" t="s">
        <v>2232</v>
      </c>
      <c r="Z362" t="s">
        <v>1367</v>
      </c>
      <c r="AA362" t="s">
        <v>1899</v>
      </c>
      <c r="AB362" t="s">
        <v>1900</v>
      </c>
      <c r="AC362" t="s">
        <v>2233</v>
      </c>
      <c r="AF362" t="s">
        <v>2234</v>
      </c>
      <c r="AG362" t="s">
        <v>1385</v>
      </c>
      <c r="AH362" t="s">
        <v>2232</v>
      </c>
      <c r="AK362">
        <v>0</v>
      </c>
      <c r="AO362" t="s">
        <v>1372</v>
      </c>
      <c r="AP362" t="s">
        <v>1373</v>
      </c>
    </row>
    <row r="363" hidden="1" spans="1:42">
      <c r="A363" t="s">
        <v>2968</v>
      </c>
      <c r="B363" t="s">
        <v>1356</v>
      </c>
      <c r="C363" t="s">
        <v>1375</v>
      </c>
      <c r="D363" t="s">
        <v>2833</v>
      </c>
      <c r="F363" t="s">
        <v>1377</v>
      </c>
      <c r="G363" s="45">
        <v>44809.9164930556</v>
      </c>
      <c r="H363" s="45">
        <v>44809.9167592593</v>
      </c>
      <c r="J363" t="s">
        <v>407</v>
      </c>
      <c r="M363">
        <v>19.9</v>
      </c>
      <c r="N363">
        <v>0</v>
      </c>
      <c r="O363">
        <v>0</v>
      </c>
      <c r="P363">
        <v>0</v>
      </c>
      <c r="Q363">
        <v>19.9</v>
      </c>
      <c r="R363">
        <v>19.9</v>
      </c>
      <c r="T363" t="s">
        <v>1940</v>
      </c>
      <c r="U363">
        <v>1</v>
      </c>
      <c r="V363" t="s">
        <v>1364</v>
      </c>
      <c r="X363" t="s">
        <v>702</v>
      </c>
      <c r="Y363" t="s">
        <v>2969</v>
      </c>
      <c r="Z363" t="s">
        <v>1367</v>
      </c>
      <c r="AA363" t="s">
        <v>1615</v>
      </c>
      <c r="AB363" t="s">
        <v>2970</v>
      </c>
      <c r="AC363" t="s">
        <v>2971</v>
      </c>
      <c r="AF363" t="s">
        <v>2972</v>
      </c>
      <c r="AG363" t="s">
        <v>1385</v>
      </c>
      <c r="AH363" t="s">
        <v>2969</v>
      </c>
      <c r="AK363">
        <v>0</v>
      </c>
      <c r="AO363" t="s">
        <v>1372</v>
      </c>
      <c r="AP363" t="s">
        <v>1373</v>
      </c>
    </row>
    <row r="364" hidden="1" spans="1:42">
      <c r="A364" t="s">
        <v>2973</v>
      </c>
      <c r="B364" t="s">
        <v>1356</v>
      </c>
      <c r="C364" t="s">
        <v>1375</v>
      </c>
      <c r="D364" t="s">
        <v>2833</v>
      </c>
      <c r="F364" t="s">
        <v>1377</v>
      </c>
      <c r="G364" s="45">
        <v>44809.9140277778</v>
      </c>
      <c r="H364" s="45">
        <v>44809.9142824074</v>
      </c>
      <c r="J364" t="s">
        <v>407</v>
      </c>
      <c r="M364">
        <v>19.9</v>
      </c>
      <c r="N364">
        <v>0</v>
      </c>
      <c r="O364">
        <v>0</v>
      </c>
      <c r="P364">
        <v>0</v>
      </c>
      <c r="Q364">
        <v>19.9</v>
      </c>
      <c r="R364">
        <v>19.9</v>
      </c>
      <c r="T364" t="s">
        <v>1540</v>
      </c>
      <c r="U364">
        <v>1</v>
      </c>
      <c r="V364" t="s">
        <v>1364</v>
      </c>
      <c r="X364" t="s">
        <v>713</v>
      </c>
      <c r="Y364" t="s">
        <v>2974</v>
      </c>
      <c r="Z364" t="s">
        <v>1748</v>
      </c>
      <c r="AA364" t="s">
        <v>2975</v>
      </c>
      <c r="AB364" t="s">
        <v>2976</v>
      </c>
      <c r="AC364" t="s">
        <v>2977</v>
      </c>
      <c r="AF364" t="s">
        <v>2978</v>
      </c>
      <c r="AG364" t="s">
        <v>1372</v>
      </c>
      <c r="AK364">
        <v>0</v>
      </c>
      <c r="AO364" t="s">
        <v>1372</v>
      </c>
      <c r="AP364" t="s">
        <v>1373</v>
      </c>
    </row>
    <row r="365" hidden="1" spans="1:42">
      <c r="A365" t="s">
        <v>2979</v>
      </c>
      <c r="B365" t="s">
        <v>1356</v>
      </c>
      <c r="C365" t="s">
        <v>1375</v>
      </c>
      <c r="D365" t="s">
        <v>2833</v>
      </c>
      <c r="F365" t="s">
        <v>1548</v>
      </c>
      <c r="G365" s="45">
        <v>44809.9108333333</v>
      </c>
      <c r="H365" s="45">
        <v>44809.9109259259</v>
      </c>
      <c r="J365" t="s">
        <v>407</v>
      </c>
      <c r="M365">
        <v>39.9</v>
      </c>
      <c r="N365">
        <v>0</v>
      </c>
      <c r="O365">
        <v>-1</v>
      </c>
      <c r="P365">
        <v>0</v>
      </c>
      <c r="Q365">
        <v>38.9</v>
      </c>
      <c r="R365">
        <v>38.9</v>
      </c>
      <c r="S365" t="s">
        <v>1414</v>
      </c>
      <c r="T365" t="s">
        <v>2080</v>
      </c>
      <c r="U365">
        <v>1</v>
      </c>
      <c r="V365" t="s">
        <v>1364</v>
      </c>
      <c r="X365" t="s">
        <v>677</v>
      </c>
      <c r="Y365" t="s">
        <v>2980</v>
      </c>
      <c r="Z365" t="s">
        <v>1695</v>
      </c>
      <c r="AA365" t="s">
        <v>2244</v>
      </c>
      <c r="AB365" t="s">
        <v>2245</v>
      </c>
      <c r="AC365" t="s">
        <v>2981</v>
      </c>
      <c r="AF365" t="s">
        <v>2982</v>
      </c>
      <c r="AG365" t="s">
        <v>1372</v>
      </c>
      <c r="AH365" t="s">
        <v>2983</v>
      </c>
      <c r="AK365">
        <v>0</v>
      </c>
      <c r="AO365" t="s">
        <v>1372</v>
      </c>
      <c r="AP365" t="s">
        <v>1373</v>
      </c>
    </row>
    <row r="366" hidden="1" spans="1:42">
      <c r="A366" t="s">
        <v>2984</v>
      </c>
      <c r="B366" t="s">
        <v>1356</v>
      </c>
      <c r="C366" t="s">
        <v>1375</v>
      </c>
      <c r="D366" t="s">
        <v>2833</v>
      </c>
      <c r="F366" t="s">
        <v>1377</v>
      </c>
      <c r="G366" s="45">
        <v>44809.9104976852</v>
      </c>
      <c r="H366" s="45">
        <v>44809.9107407407</v>
      </c>
      <c r="J366" t="s">
        <v>407</v>
      </c>
      <c r="M366">
        <v>19.9</v>
      </c>
      <c r="N366">
        <v>0</v>
      </c>
      <c r="O366">
        <v>0</v>
      </c>
      <c r="P366">
        <v>0</v>
      </c>
      <c r="Q366">
        <v>19.9</v>
      </c>
      <c r="R366">
        <v>19.9</v>
      </c>
      <c r="T366" t="s">
        <v>1504</v>
      </c>
      <c r="U366">
        <v>1</v>
      </c>
      <c r="V366" t="s">
        <v>1364</v>
      </c>
      <c r="X366" t="s">
        <v>644</v>
      </c>
      <c r="Y366" t="s">
        <v>2948</v>
      </c>
      <c r="Z366" t="s">
        <v>1430</v>
      </c>
      <c r="AA366" t="s">
        <v>1688</v>
      </c>
      <c r="AB366" t="s">
        <v>2949</v>
      </c>
      <c r="AC366" t="s">
        <v>2950</v>
      </c>
      <c r="AF366" t="s">
        <v>2951</v>
      </c>
      <c r="AG366" t="s">
        <v>1385</v>
      </c>
      <c r="AH366" t="s">
        <v>2948</v>
      </c>
      <c r="AK366">
        <v>0</v>
      </c>
      <c r="AO366" t="s">
        <v>1372</v>
      </c>
      <c r="AP366" t="s">
        <v>1373</v>
      </c>
    </row>
    <row r="367" hidden="1" spans="1:42">
      <c r="A367" t="s">
        <v>2985</v>
      </c>
      <c r="B367" t="s">
        <v>1356</v>
      </c>
      <c r="C367" t="s">
        <v>1375</v>
      </c>
      <c r="D367" t="s">
        <v>2833</v>
      </c>
      <c r="F367" t="s">
        <v>1359</v>
      </c>
      <c r="G367" s="45">
        <v>44809.9052083333</v>
      </c>
      <c r="H367" s="45">
        <v>44809.9061574074</v>
      </c>
      <c r="J367" t="s">
        <v>407</v>
      </c>
      <c r="M367">
        <v>19.9</v>
      </c>
      <c r="N367">
        <v>0</v>
      </c>
      <c r="O367">
        <v>0</v>
      </c>
      <c r="P367">
        <v>0</v>
      </c>
      <c r="Q367">
        <v>19.9</v>
      </c>
      <c r="R367">
        <v>19.9</v>
      </c>
      <c r="T367" t="s">
        <v>1858</v>
      </c>
      <c r="U367">
        <v>1</v>
      </c>
      <c r="V367" t="s">
        <v>1364</v>
      </c>
      <c r="X367" t="s">
        <v>689</v>
      </c>
      <c r="Y367" t="s">
        <v>2986</v>
      </c>
      <c r="Z367" t="s">
        <v>1533</v>
      </c>
      <c r="AA367" t="s">
        <v>2987</v>
      </c>
      <c r="AB367" t="s">
        <v>2988</v>
      </c>
      <c r="AC367" t="s">
        <v>2989</v>
      </c>
      <c r="AF367" t="s">
        <v>2990</v>
      </c>
      <c r="AG367" t="s">
        <v>1372</v>
      </c>
      <c r="AK367">
        <v>0</v>
      </c>
      <c r="AO367" t="s">
        <v>1372</v>
      </c>
      <c r="AP367" t="s">
        <v>1373</v>
      </c>
    </row>
    <row r="368" hidden="1" spans="1:42">
      <c r="A368" t="s">
        <v>2991</v>
      </c>
      <c r="B368" t="s">
        <v>1356</v>
      </c>
      <c r="C368" t="s">
        <v>1375</v>
      </c>
      <c r="D368" t="s">
        <v>1780</v>
      </c>
      <c r="F368" t="s">
        <v>1359</v>
      </c>
      <c r="G368" s="45">
        <v>44809.9044097222</v>
      </c>
      <c r="M368">
        <v>249</v>
      </c>
      <c r="N368">
        <v>0</v>
      </c>
      <c r="O368">
        <v>-3</v>
      </c>
      <c r="P368">
        <v>0</v>
      </c>
      <c r="Q368">
        <v>246</v>
      </c>
      <c r="R368">
        <v>0</v>
      </c>
      <c r="S368" t="s">
        <v>1397</v>
      </c>
      <c r="T368" t="s">
        <v>2566</v>
      </c>
      <c r="U368">
        <v>1</v>
      </c>
      <c r="V368" t="s">
        <v>1364</v>
      </c>
      <c r="X368" t="s">
        <v>633</v>
      </c>
      <c r="Y368" t="s">
        <v>2806</v>
      </c>
      <c r="Z368" t="s">
        <v>1678</v>
      </c>
      <c r="AA368" t="s">
        <v>2807</v>
      </c>
      <c r="AB368" t="s">
        <v>2808</v>
      </c>
      <c r="AC368" t="s">
        <v>2809</v>
      </c>
      <c r="AF368" t="s">
        <v>2810</v>
      </c>
      <c r="AG368" t="s">
        <v>1372</v>
      </c>
      <c r="AH368" t="s">
        <v>2806</v>
      </c>
      <c r="AK368">
        <v>0</v>
      </c>
      <c r="AO368" t="s">
        <v>1372</v>
      </c>
      <c r="AP368" t="s">
        <v>1373</v>
      </c>
    </row>
    <row r="369" hidden="1" spans="1:42">
      <c r="A369" t="s">
        <v>2992</v>
      </c>
      <c r="B369" t="s">
        <v>1356</v>
      </c>
      <c r="C369" t="s">
        <v>1375</v>
      </c>
      <c r="D369" t="s">
        <v>2833</v>
      </c>
      <c r="F369" t="s">
        <v>1377</v>
      </c>
      <c r="G369" s="45">
        <v>44809.9021990741</v>
      </c>
      <c r="H369" s="45">
        <v>44809.9024768519</v>
      </c>
      <c r="J369" t="s">
        <v>407</v>
      </c>
      <c r="M369">
        <v>19.9</v>
      </c>
      <c r="N369">
        <v>0</v>
      </c>
      <c r="O369">
        <v>0</v>
      </c>
      <c r="P369">
        <v>0</v>
      </c>
      <c r="Q369">
        <v>19.9</v>
      </c>
      <c r="R369">
        <v>19.9</v>
      </c>
      <c r="T369" t="s">
        <v>1831</v>
      </c>
      <c r="U369">
        <v>1</v>
      </c>
      <c r="V369" t="s">
        <v>1364</v>
      </c>
      <c r="X369" t="s">
        <v>690</v>
      </c>
      <c r="Y369" t="s">
        <v>2993</v>
      </c>
      <c r="Z369" t="s">
        <v>1478</v>
      </c>
      <c r="AA369" t="s">
        <v>2994</v>
      </c>
      <c r="AB369" t="s">
        <v>2995</v>
      </c>
      <c r="AC369" t="s">
        <v>2996</v>
      </c>
      <c r="AF369" t="s">
        <v>2997</v>
      </c>
      <c r="AG369" t="s">
        <v>1372</v>
      </c>
      <c r="AK369">
        <v>0</v>
      </c>
      <c r="AO369" t="s">
        <v>1372</v>
      </c>
      <c r="AP369" t="s">
        <v>1373</v>
      </c>
    </row>
    <row r="370" hidden="1" spans="1:42">
      <c r="A370" t="s">
        <v>2998</v>
      </c>
      <c r="B370" t="s">
        <v>1356</v>
      </c>
      <c r="C370" t="s">
        <v>1375</v>
      </c>
      <c r="D370" t="s">
        <v>2833</v>
      </c>
      <c r="F370" t="s">
        <v>1377</v>
      </c>
      <c r="G370" s="45">
        <v>44809.9019791667</v>
      </c>
      <c r="H370" s="45">
        <v>44809.9020949074</v>
      </c>
      <c r="J370" t="s">
        <v>407</v>
      </c>
      <c r="M370">
        <v>19.9</v>
      </c>
      <c r="N370">
        <v>0</v>
      </c>
      <c r="O370">
        <v>0</v>
      </c>
      <c r="P370">
        <v>0</v>
      </c>
      <c r="Q370">
        <v>19.9</v>
      </c>
      <c r="R370">
        <v>19.9</v>
      </c>
      <c r="T370" t="s">
        <v>1540</v>
      </c>
      <c r="U370">
        <v>1</v>
      </c>
      <c r="V370" t="s">
        <v>1364</v>
      </c>
      <c r="X370" t="s">
        <v>472</v>
      </c>
      <c r="Y370" t="s">
        <v>2999</v>
      </c>
      <c r="Z370" t="s">
        <v>1824</v>
      </c>
      <c r="AA370" t="s">
        <v>3000</v>
      </c>
      <c r="AB370" t="s">
        <v>3001</v>
      </c>
      <c r="AC370" t="s">
        <v>3002</v>
      </c>
      <c r="AF370" t="s">
        <v>3003</v>
      </c>
      <c r="AG370" t="s">
        <v>1385</v>
      </c>
      <c r="AH370" t="s">
        <v>2999</v>
      </c>
      <c r="AK370">
        <v>0</v>
      </c>
      <c r="AO370" t="s">
        <v>1372</v>
      </c>
      <c r="AP370" t="s">
        <v>1373</v>
      </c>
    </row>
    <row r="371" hidden="1" spans="1:42">
      <c r="A371" t="s">
        <v>3004</v>
      </c>
      <c r="B371" t="s">
        <v>1356</v>
      </c>
      <c r="C371" t="s">
        <v>1375</v>
      </c>
      <c r="D371" t="s">
        <v>2833</v>
      </c>
      <c r="F371" t="s">
        <v>1377</v>
      </c>
      <c r="G371" s="45">
        <v>44809.8946643519</v>
      </c>
      <c r="H371" s="45">
        <v>44809.8947685185</v>
      </c>
      <c r="J371" t="s">
        <v>407</v>
      </c>
      <c r="M371">
        <v>19.9</v>
      </c>
      <c r="N371">
        <v>0</v>
      </c>
      <c r="O371">
        <v>0</v>
      </c>
      <c r="P371">
        <v>0</v>
      </c>
      <c r="Q371">
        <v>19.9</v>
      </c>
      <c r="R371">
        <v>19.9</v>
      </c>
      <c r="T371" t="s">
        <v>1529</v>
      </c>
      <c r="U371">
        <v>1</v>
      </c>
      <c r="V371" t="s">
        <v>1364</v>
      </c>
      <c r="X371" t="s">
        <v>697</v>
      </c>
      <c r="Y371" t="s">
        <v>3005</v>
      </c>
      <c r="Z371" t="s">
        <v>1824</v>
      </c>
      <c r="AA371" t="s">
        <v>3006</v>
      </c>
      <c r="AB371" t="s">
        <v>3007</v>
      </c>
      <c r="AC371" t="s">
        <v>3008</v>
      </c>
      <c r="AF371" t="s">
        <v>3009</v>
      </c>
      <c r="AG371" t="s">
        <v>1372</v>
      </c>
      <c r="AK371">
        <v>0</v>
      </c>
      <c r="AO371" t="s">
        <v>1372</v>
      </c>
      <c r="AP371" t="s">
        <v>1373</v>
      </c>
    </row>
    <row r="372" hidden="1" spans="1:42">
      <c r="A372" t="s">
        <v>3010</v>
      </c>
      <c r="B372" t="s">
        <v>1356</v>
      </c>
      <c r="C372" t="s">
        <v>1375</v>
      </c>
      <c r="D372" t="s">
        <v>2833</v>
      </c>
      <c r="F372" t="s">
        <v>1377</v>
      </c>
      <c r="G372" s="45">
        <v>44809.8929398148</v>
      </c>
      <c r="H372" s="45">
        <v>44809.8931134259</v>
      </c>
      <c r="J372" t="s">
        <v>407</v>
      </c>
      <c r="M372">
        <v>39.9</v>
      </c>
      <c r="N372">
        <v>0</v>
      </c>
      <c r="O372">
        <v>0</v>
      </c>
      <c r="P372">
        <v>0</v>
      </c>
      <c r="Q372">
        <v>39.9</v>
      </c>
      <c r="R372">
        <v>39.9</v>
      </c>
      <c r="T372" t="s">
        <v>3011</v>
      </c>
      <c r="U372">
        <v>1</v>
      </c>
      <c r="V372" t="s">
        <v>1364</v>
      </c>
      <c r="X372" t="s">
        <v>672</v>
      </c>
      <c r="Y372" t="s">
        <v>3012</v>
      </c>
      <c r="Z372" t="s">
        <v>1478</v>
      </c>
      <c r="AA372" t="s">
        <v>3013</v>
      </c>
      <c r="AB372" t="s">
        <v>3014</v>
      </c>
      <c r="AC372" t="s">
        <v>3015</v>
      </c>
      <c r="AF372" t="s">
        <v>3016</v>
      </c>
      <c r="AG372" t="s">
        <v>1372</v>
      </c>
      <c r="AK372">
        <v>0</v>
      </c>
      <c r="AO372" t="s">
        <v>1372</v>
      </c>
      <c r="AP372" t="s">
        <v>1373</v>
      </c>
    </row>
    <row r="373" hidden="1" spans="1:42">
      <c r="A373" t="s">
        <v>3017</v>
      </c>
      <c r="B373" t="s">
        <v>1356</v>
      </c>
      <c r="C373" t="s">
        <v>1375</v>
      </c>
      <c r="D373" t="s">
        <v>2833</v>
      </c>
      <c r="F373" t="s">
        <v>1377</v>
      </c>
      <c r="G373" s="45">
        <v>44809.8893402778</v>
      </c>
      <c r="H373" s="45">
        <v>44809.8894675926</v>
      </c>
      <c r="J373" t="s">
        <v>407</v>
      </c>
      <c r="M373">
        <v>39.9</v>
      </c>
      <c r="N373">
        <v>0</v>
      </c>
      <c r="O373">
        <v>-3</v>
      </c>
      <c r="P373">
        <v>0</v>
      </c>
      <c r="Q373">
        <v>36.9</v>
      </c>
      <c r="R373">
        <v>36.9</v>
      </c>
      <c r="S373" t="s">
        <v>1397</v>
      </c>
      <c r="T373" t="s">
        <v>1913</v>
      </c>
      <c r="U373">
        <v>1</v>
      </c>
      <c r="V373" t="s">
        <v>1364</v>
      </c>
      <c r="X373" t="s">
        <v>514</v>
      </c>
      <c r="Y373" t="s">
        <v>2916</v>
      </c>
      <c r="Z373" t="s">
        <v>1695</v>
      </c>
      <c r="AA373" t="s">
        <v>2917</v>
      </c>
      <c r="AB373" t="s">
        <v>2918</v>
      </c>
      <c r="AC373" t="s">
        <v>2919</v>
      </c>
      <c r="AF373" t="s">
        <v>1790</v>
      </c>
      <c r="AG373" t="s">
        <v>1385</v>
      </c>
      <c r="AH373" t="s">
        <v>2916</v>
      </c>
      <c r="AK373">
        <v>0</v>
      </c>
      <c r="AO373" t="s">
        <v>1372</v>
      </c>
      <c r="AP373" t="s">
        <v>1373</v>
      </c>
    </row>
    <row r="374" hidden="1" spans="1:42">
      <c r="A374" t="s">
        <v>3018</v>
      </c>
      <c r="B374" t="s">
        <v>1356</v>
      </c>
      <c r="C374" t="s">
        <v>1375</v>
      </c>
      <c r="D374" t="s">
        <v>2833</v>
      </c>
      <c r="F374" t="s">
        <v>1377</v>
      </c>
      <c r="G374" s="45">
        <v>44809.8891203704</v>
      </c>
      <c r="H374" s="45">
        <v>44809.8892476852</v>
      </c>
      <c r="J374" t="s">
        <v>407</v>
      </c>
      <c r="M374">
        <v>39.9</v>
      </c>
      <c r="N374">
        <v>0</v>
      </c>
      <c r="O374">
        <v>0</v>
      </c>
      <c r="P374">
        <v>0</v>
      </c>
      <c r="Q374">
        <v>39.9</v>
      </c>
      <c r="R374">
        <v>39.9</v>
      </c>
      <c r="T374" t="s">
        <v>1913</v>
      </c>
      <c r="U374">
        <v>1</v>
      </c>
      <c r="V374" t="s">
        <v>1364</v>
      </c>
      <c r="X374" t="s">
        <v>674</v>
      </c>
      <c r="Y374" t="s">
        <v>3019</v>
      </c>
      <c r="Z374" t="s">
        <v>1678</v>
      </c>
      <c r="AA374" t="s">
        <v>3020</v>
      </c>
      <c r="AB374" t="s">
        <v>3021</v>
      </c>
      <c r="AC374" t="s">
        <v>3022</v>
      </c>
      <c r="AF374" t="s">
        <v>3023</v>
      </c>
      <c r="AG374" t="s">
        <v>1372</v>
      </c>
      <c r="AK374">
        <v>0</v>
      </c>
      <c r="AO374" t="s">
        <v>1372</v>
      </c>
      <c r="AP374" t="s">
        <v>1373</v>
      </c>
    </row>
    <row r="375" hidden="1" spans="1:42">
      <c r="A375" t="s">
        <v>3024</v>
      </c>
      <c r="B375" t="s">
        <v>1356</v>
      </c>
      <c r="C375" t="s">
        <v>1375</v>
      </c>
      <c r="D375" t="s">
        <v>1780</v>
      </c>
      <c r="F375" t="s">
        <v>1377</v>
      </c>
      <c r="G375" s="45">
        <v>44809.8861111111</v>
      </c>
      <c r="M375">
        <v>69</v>
      </c>
      <c r="N375">
        <v>0</v>
      </c>
      <c r="O375">
        <v>0</v>
      </c>
      <c r="P375">
        <v>0</v>
      </c>
      <c r="Q375">
        <v>69</v>
      </c>
      <c r="R375">
        <v>0</v>
      </c>
      <c r="T375" t="s">
        <v>1850</v>
      </c>
      <c r="U375">
        <v>1</v>
      </c>
      <c r="V375" t="s">
        <v>1364</v>
      </c>
      <c r="X375" t="s">
        <v>593</v>
      </c>
      <c r="Y375" t="s">
        <v>3025</v>
      </c>
      <c r="Z375" t="s">
        <v>2336</v>
      </c>
      <c r="AA375" t="s">
        <v>2336</v>
      </c>
      <c r="AB375" t="s">
        <v>3026</v>
      </c>
      <c r="AC375" t="s">
        <v>3027</v>
      </c>
      <c r="AF375" t="s">
        <v>3028</v>
      </c>
      <c r="AG375" t="s">
        <v>1385</v>
      </c>
      <c r="AH375" t="s">
        <v>3025</v>
      </c>
      <c r="AK375">
        <v>0</v>
      </c>
      <c r="AO375" t="s">
        <v>1372</v>
      </c>
      <c r="AP375" t="s">
        <v>1373</v>
      </c>
    </row>
    <row r="376" hidden="1" spans="1:42">
      <c r="A376" t="s">
        <v>3029</v>
      </c>
      <c r="B376" t="s">
        <v>1356</v>
      </c>
      <c r="C376" t="s">
        <v>1375</v>
      </c>
      <c r="D376" t="s">
        <v>2833</v>
      </c>
      <c r="F376" t="s">
        <v>1377</v>
      </c>
      <c r="G376" s="45">
        <v>44809.8854398148</v>
      </c>
      <c r="H376" s="45">
        <v>44809.8855324074</v>
      </c>
      <c r="J376" t="s">
        <v>407</v>
      </c>
      <c r="M376">
        <v>19.9</v>
      </c>
      <c r="N376">
        <v>0</v>
      </c>
      <c r="O376">
        <v>0</v>
      </c>
      <c r="P376">
        <v>0</v>
      </c>
      <c r="Q376">
        <v>19.9</v>
      </c>
      <c r="R376">
        <v>19.9</v>
      </c>
      <c r="T376" t="s">
        <v>1529</v>
      </c>
      <c r="U376">
        <v>1</v>
      </c>
      <c r="V376" t="s">
        <v>1364</v>
      </c>
      <c r="X376" t="s">
        <v>695</v>
      </c>
      <c r="Y376" t="s">
        <v>3030</v>
      </c>
      <c r="Z376" t="s">
        <v>1824</v>
      </c>
      <c r="AA376" t="s">
        <v>3031</v>
      </c>
      <c r="AB376" t="s">
        <v>3032</v>
      </c>
      <c r="AC376" t="s">
        <v>3033</v>
      </c>
      <c r="AF376" t="s">
        <v>3034</v>
      </c>
      <c r="AG376" t="s">
        <v>1372</v>
      </c>
      <c r="AK376">
        <v>0</v>
      </c>
      <c r="AO376" t="s">
        <v>1372</v>
      </c>
      <c r="AP376" t="s">
        <v>1373</v>
      </c>
    </row>
    <row r="377" hidden="1" spans="1:42">
      <c r="A377" t="s">
        <v>3035</v>
      </c>
      <c r="B377" t="s">
        <v>1356</v>
      </c>
      <c r="C377" t="s">
        <v>1375</v>
      </c>
      <c r="D377" t="s">
        <v>2833</v>
      </c>
      <c r="F377" t="s">
        <v>1359</v>
      </c>
      <c r="G377" s="45">
        <v>44809.8845138889</v>
      </c>
      <c r="H377" s="45">
        <v>44809.8846875</v>
      </c>
      <c r="J377" t="s">
        <v>407</v>
      </c>
      <c r="M377">
        <v>19.9</v>
      </c>
      <c r="N377">
        <v>0</v>
      </c>
      <c r="O377">
        <v>0</v>
      </c>
      <c r="P377">
        <v>0</v>
      </c>
      <c r="Q377">
        <v>19.9</v>
      </c>
      <c r="R377">
        <v>19.9</v>
      </c>
      <c r="T377" t="s">
        <v>1733</v>
      </c>
      <c r="U377">
        <v>1</v>
      </c>
      <c r="V377" t="s">
        <v>1364</v>
      </c>
      <c r="X377" t="s">
        <v>704</v>
      </c>
      <c r="Y377" t="s">
        <v>3036</v>
      </c>
      <c r="Z377" t="s">
        <v>2386</v>
      </c>
      <c r="AA377" t="s">
        <v>2386</v>
      </c>
      <c r="AB377" t="s">
        <v>3037</v>
      </c>
      <c r="AC377" t="s">
        <v>3038</v>
      </c>
      <c r="AF377" t="s">
        <v>3039</v>
      </c>
      <c r="AG377" t="s">
        <v>1372</v>
      </c>
      <c r="AK377">
        <v>0</v>
      </c>
      <c r="AO377" t="s">
        <v>1372</v>
      </c>
      <c r="AP377" t="s">
        <v>1373</v>
      </c>
    </row>
    <row r="378" hidden="1" spans="1:42">
      <c r="A378" t="s">
        <v>3040</v>
      </c>
      <c r="B378" t="s">
        <v>1356</v>
      </c>
      <c r="C378" t="s">
        <v>1375</v>
      </c>
      <c r="D378" t="s">
        <v>2833</v>
      </c>
      <c r="F378" t="s">
        <v>1377</v>
      </c>
      <c r="G378" s="45">
        <v>44809.8837384259</v>
      </c>
      <c r="H378" s="45">
        <v>44809.8839467593</v>
      </c>
      <c r="J378" t="s">
        <v>407</v>
      </c>
      <c r="M378">
        <v>19.9</v>
      </c>
      <c r="N378">
        <v>0</v>
      </c>
      <c r="O378">
        <v>0</v>
      </c>
      <c r="P378">
        <v>0</v>
      </c>
      <c r="Q378">
        <v>19.9</v>
      </c>
      <c r="R378">
        <v>19.9</v>
      </c>
      <c r="T378" t="s">
        <v>1529</v>
      </c>
      <c r="U378">
        <v>1</v>
      </c>
      <c r="V378" t="s">
        <v>1364</v>
      </c>
      <c r="X378" t="s">
        <v>708</v>
      </c>
      <c r="Y378" t="s">
        <v>3041</v>
      </c>
      <c r="Z378" t="s">
        <v>1430</v>
      </c>
      <c r="AA378" t="s">
        <v>3042</v>
      </c>
      <c r="AB378" t="s">
        <v>3043</v>
      </c>
      <c r="AC378" t="s">
        <v>3044</v>
      </c>
      <c r="AF378" t="s">
        <v>3045</v>
      </c>
      <c r="AG378" t="s">
        <v>1372</v>
      </c>
      <c r="AK378">
        <v>0</v>
      </c>
      <c r="AO378" t="s">
        <v>1372</v>
      </c>
      <c r="AP378" t="s">
        <v>1373</v>
      </c>
    </row>
    <row r="379" hidden="1" spans="1:42">
      <c r="A379" t="s">
        <v>3046</v>
      </c>
      <c r="B379" t="s">
        <v>1356</v>
      </c>
      <c r="C379" t="s">
        <v>1375</v>
      </c>
      <c r="D379" t="s">
        <v>2833</v>
      </c>
      <c r="F379" t="s">
        <v>1377</v>
      </c>
      <c r="G379" s="45">
        <v>44809.8798611111</v>
      </c>
      <c r="H379" s="45">
        <v>44809.8799768519</v>
      </c>
      <c r="J379" t="s">
        <v>407</v>
      </c>
      <c r="M379">
        <v>19.9</v>
      </c>
      <c r="N379">
        <v>0</v>
      </c>
      <c r="O379">
        <v>0</v>
      </c>
      <c r="P379">
        <v>0</v>
      </c>
      <c r="Q379">
        <v>19.9</v>
      </c>
      <c r="R379">
        <v>19.9</v>
      </c>
      <c r="T379" t="s">
        <v>1802</v>
      </c>
      <c r="U379">
        <v>1</v>
      </c>
      <c r="V379" t="s">
        <v>1364</v>
      </c>
      <c r="X379" t="s">
        <v>711</v>
      </c>
      <c r="Y379" t="s">
        <v>3047</v>
      </c>
      <c r="Z379" t="s">
        <v>1606</v>
      </c>
      <c r="AA379" t="s">
        <v>2204</v>
      </c>
      <c r="AB379" t="s">
        <v>3048</v>
      </c>
      <c r="AC379" t="s">
        <v>3049</v>
      </c>
      <c r="AF379" t="s">
        <v>3050</v>
      </c>
      <c r="AG379" t="s">
        <v>1372</v>
      </c>
      <c r="AH379" t="s">
        <v>3047</v>
      </c>
      <c r="AK379">
        <v>0</v>
      </c>
      <c r="AO379" t="s">
        <v>1372</v>
      </c>
      <c r="AP379" t="s">
        <v>1373</v>
      </c>
    </row>
    <row r="380" hidden="1" spans="1:42">
      <c r="A380" t="s">
        <v>3051</v>
      </c>
      <c r="B380" t="s">
        <v>1356</v>
      </c>
      <c r="C380" t="s">
        <v>1375</v>
      </c>
      <c r="D380" t="s">
        <v>2833</v>
      </c>
      <c r="F380" t="s">
        <v>1377</v>
      </c>
      <c r="G380" s="45">
        <v>44809.8740856481</v>
      </c>
      <c r="H380" s="45">
        <v>44809.8741898148</v>
      </c>
      <c r="J380" t="s">
        <v>407</v>
      </c>
      <c r="M380">
        <v>39.9</v>
      </c>
      <c r="N380">
        <v>0</v>
      </c>
      <c r="O380">
        <v>0</v>
      </c>
      <c r="P380">
        <v>0</v>
      </c>
      <c r="Q380">
        <v>39.9</v>
      </c>
      <c r="R380">
        <v>39.9</v>
      </c>
      <c r="T380" t="s">
        <v>3052</v>
      </c>
      <c r="U380">
        <v>1</v>
      </c>
      <c r="V380" t="s">
        <v>1364</v>
      </c>
      <c r="X380" t="s">
        <v>666</v>
      </c>
      <c r="Y380" t="s">
        <v>3053</v>
      </c>
      <c r="Z380" t="s">
        <v>1478</v>
      </c>
      <c r="AA380" t="s">
        <v>3013</v>
      </c>
      <c r="AB380" t="s">
        <v>3054</v>
      </c>
      <c r="AC380" t="s">
        <v>3055</v>
      </c>
      <c r="AF380" t="s">
        <v>3056</v>
      </c>
      <c r="AG380" t="s">
        <v>1372</v>
      </c>
      <c r="AK380">
        <v>0</v>
      </c>
      <c r="AO380" t="s">
        <v>1372</v>
      </c>
      <c r="AP380" t="s">
        <v>1373</v>
      </c>
    </row>
    <row r="381" hidden="1" spans="1:42">
      <c r="A381" t="s">
        <v>3057</v>
      </c>
      <c r="B381" t="s">
        <v>1356</v>
      </c>
      <c r="C381" t="s">
        <v>1375</v>
      </c>
      <c r="D381" t="s">
        <v>2833</v>
      </c>
      <c r="F381" t="s">
        <v>1377</v>
      </c>
      <c r="G381" s="45">
        <v>44809.8738078704</v>
      </c>
      <c r="H381" s="45">
        <v>44809.8745949074</v>
      </c>
      <c r="J381" t="s">
        <v>407</v>
      </c>
      <c r="M381">
        <v>39.9</v>
      </c>
      <c r="N381">
        <v>0</v>
      </c>
      <c r="O381">
        <v>-3</v>
      </c>
      <c r="P381">
        <v>0</v>
      </c>
      <c r="Q381">
        <v>36.9</v>
      </c>
      <c r="R381">
        <v>36.9</v>
      </c>
      <c r="S381" t="s">
        <v>1397</v>
      </c>
      <c r="T381" t="s">
        <v>1676</v>
      </c>
      <c r="U381">
        <v>1</v>
      </c>
      <c r="V381" t="s">
        <v>1364</v>
      </c>
      <c r="X381" t="s">
        <v>644</v>
      </c>
      <c r="Y381" t="s">
        <v>2948</v>
      </c>
      <c r="Z381" t="s">
        <v>1430</v>
      </c>
      <c r="AA381" t="s">
        <v>1688</v>
      </c>
      <c r="AB381" t="s">
        <v>2949</v>
      </c>
      <c r="AC381" t="s">
        <v>2950</v>
      </c>
      <c r="AF381" t="s">
        <v>2951</v>
      </c>
      <c r="AG381" t="s">
        <v>1385</v>
      </c>
      <c r="AH381" t="s">
        <v>2948</v>
      </c>
      <c r="AK381">
        <v>0</v>
      </c>
      <c r="AO381" t="s">
        <v>1372</v>
      </c>
      <c r="AP381" t="s">
        <v>1373</v>
      </c>
    </row>
    <row r="382" hidden="1" spans="1:42">
      <c r="A382" t="s">
        <v>3058</v>
      </c>
      <c r="B382" t="s">
        <v>1356</v>
      </c>
      <c r="C382" t="s">
        <v>1375</v>
      </c>
      <c r="D382" t="s">
        <v>2833</v>
      </c>
      <c r="F382" t="s">
        <v>1377</v>
      </c>
      <c r="G382" s="45">
        <v>44809.8732638889</v>
      </c>
      <c r="H382" s="45">
        <v>44809.8733796296</v>
      </c>
      <c r="J382" t="s">
        <v>407</v>
      </c>
      <c r="M382">
        <v>39.9</v>
      </c>
      <c r="N382">
        <v>0</v>
      </c>
      <c r="O382">
        <v>-2</v>
      </c>
      <c r="P382">
        <v>0</v>
      </c>
      <c r="Q382">
        <v>37.9</v>
      </c>
      <c r="R382">
        <v>37.9</v>
      </c>
      <c r="S382" t="s">
        <v>1400</v>
      </c>
      <c r="T382" t="s">
        <v>1792</v>
      </c>
      <c r="U382">
        <v>1</v>
      </c>
      <c r="V382" t="s">
        <v>1364</v>
      </c>
      <c r="X382" t="s">
        <v>679</v>
      </c>
      <c r="Y382" t="s">
        <v>3059</v>
      </c>
      <c r="Z382" t="s">
        <v>1606</v>
      </c>
      <c r="AA382" t="s">
        <v>2204</v>
      </c>
      <c r="AB382" t="s">
        <v>3060</v>
      </c>
      <c r="AC382" t="s">
        <v>3061</v>
      </c>
      <c r="AF382" t="s">
        <v>1960</v>
      </c>
      <c r="AG382" t="s">
        <v>1385</v>
      </c>
      <c r="AH382" t="s">
        <v>3059</v>
      </c>
      <c r="AK382">
        <v>0</v>
      </c>
      <c r="AO382" t="s">
        <v>1372</v>
      </c>
      <c r="AP382" t="s">
        <v>1373</v>
      </c>
    </row>
    <row r="383" hidden="1" spans="1:42">
      <c r="A383" t="s">
        <v>3062</v>
      </c>
      <c r="B383" t="s">
        <v>1356</v>
      </c>
      <c r="C383" t="s">
        <v>1375</v>
      </c>
      <c r="D383" t="s">
        <v>2833</v>
      </c>
      <c r="F383" t="s">
        <v>1377</v>
      </c>
      <c r="G383" s="45">
        <v>44809.8731365741</v>
      </c>
      <c r="H383" s="45">
        <v>44809.8738078704</v>
      </c>
      <c r="J383" t="s">
        <v>407</v>
      </c>
      <c r="M383">
        <v>39.9</v>
      </c>
      <c r="N383">
        <v>0</v>
      </c>
      <c r="O383">
        <v>-2</v>
      </c>
      <c r="P383">
        <v>0</v>
      </c>
      <c r="Q383">
        <v>37.9</v>
      </c>
      <c r="R383">
        <v>37.9</v>
      </c>
      <c r="S383" t="s">
        <v>1400</v>
      </c>
      <c r="T383" t="s">
        <v>2068</v>
      </c>
      <c r="U383">
        <v>1</v>
      </c>
      <c r="V383" t="s">
        <v>1364</v>
      </c>
      <c r="X383" t="s">
        <v>427</v>
      </c>
      <c r="Y383" t="s">
        <v>1401</v>
      </c>
      <c r="Z383" t="s">
        <v>1367</v>
      </c>
      <c r="AA383" t="s">
        <v>1402</v>
      </c>
      <c r="AB383" t="s">
        <v>1403</v>
      </c>
      <c r="AC383" t="s">
        <v>1404</v>
      </c>
      <c r="AF383" t="s">
        <v>1405</v>
      </c>
      <c r="AG383" t="s">
        <v>1372</v>
      </c>
      <c r="AH383" t="s">
        <v>1401</v>
      </c>
      <c r="AK383">
        <v>0</v>
      </c>
      <c r="AL383" t="s">
        <v>3063</v>
      </c>
      <c r="AO383" t="s">
        <v>1372</v>
      </c>
      <c r="AP383" t="s">
        <v>1373</v>
      </c>
    </row>
    <row r="384" hidden="1" spans="1:42">
      <c r="A384" t="s">
        <v>3064</v>
      </c>
      <c r="B384" t="s">
        <v>1356</v>
      </c>
      <c r="C384" t="s">
        <v>1375</v>
      </c>
      <c r="D384" t="s">
        <v>2833</v>
      </c>
      <c r="F384" t="s">
        <v>1377</v>
      </c>
      <c r="G384" s="45">
        <v>44809.8694675926</v>
      </c>
      <c r="H384" s="45">
        <v>44809.8695949074</v>
      </c>
      <c r="J384" t="s">
        <v>407</v>
      </c>
      <c r="M384">
        <v>39.9</v>
      </c>
      <c r="N384">
        <v>0</v>
      </c>
      <c r="O384">
        <v>0</v>
      </c>
      <c r="P384">
        <v>0</v>
      </c>
      <c r="Q384">
        <v>39.9</v>
      </c>
      <c r="R384">
        <v>39.9</v>
      </c>
      <c r="T384" t="s">
        <v>3065</v>
      </c>
      <c r="U384">
        <v>1</v>
      </c>
      <c r="V384" t="s">
        <v>1364</v>
      </c>
      <c r="X384" t="s">
        <v>670</v>
      </c>
      <c r="Y384" t="s">
        <v>3066</v>
      </c>
      <c r="Z384" t="s">
        <v>1533</v>
      </c>
      <c r="AA384" t="s">
        <v>3067</v>
      </c>
      <c r="AB384" t="s">
        <v>3068</v>
      </c>
      <c r="AC384" t="s">
        <v>3069</v>
      </c>
      <c r="AF384" t="s">
        <v>3070</v>
      </c>
      <c r="AG384" t="s">
        <v>1385</v>
      </c>
      <c r="AH384" t="s">
        <v>3066</v>
      </c>
      <c r="AK384">
        <v>0</v>
      </c>
      <c r="AO384" t="s">
        <v>1372</v>
      </c>
      <c r="AP384" t="s">
        <v>1373</v>
      </c>
    </row>
    <row r="385" hidden="1" spans="1:42">
      <c r="A385" t="s">
        <v>3071</v>
      </c>
      <c r="B385" t="s">
        <v>1356</v>
      </c>
      <c r="C385" t="s">
        <v>1375</v>
      </c>
      <c r="D385" t="s">
        <v>2833</v>
      </c>
      <c r="F385" t="s">
        <v>1377</v>
      </c>
      <c r="G385" s="45">
        <v>44809.8663888889</v>
      </c>
      <c r="H385" s="45">
        <v>44809.8665856481</v>
      </c>
      <c r="J385" t="s">
        <v>407</v>
      </c>
      <c r="M385">
        <v>19.9</v>
      </c>
      <c r="N385">
        <v>0</v>
      </c>
      <c r="O385">
        <v>0</v>
      </c>
      <c r="P385">
        <v>0</v>
      </c>
      <c r="Q385">
        <v>19.9</v>
      </c>
      <c r="R385">
        <v>19.9</v>
      </c>
      <c r="T385" t="s">
        <v>1540</v>
      </c>
      <c r="U385">
        <v>1</v>
      </c>
      <c r="V385" t="s">
        <v>1364</v>
      </c>
      <c r="X385" t="s">
        <v>644</v>
      </c>
      <c r="Y385" t="s">
        <v>2948</v>
      </c>
      <c r="Z385" t="s">
        <v>1430</v>
      </c>
      <c r="AA385" t="s">
        <v>1688</v>
      </c>
      <c r="AB385" t="s">
        <v>2949</v>
      </c>
      <c r="AC385" t="s">
        <v>2950</v>
      </c>
      <c r="AF385" t="s">
        <v>2951</v>
      </c>
      <c r="AG385" t="s">
        <v>1385</v>
      </c>
      <c r="AH385" t="s">
        <v>2948</v>
      </c>
      <c r="AK385">
        <v>0</v>
      </c>
      <c r="AO385" t="s">
        <v>1372</v>
      </c>
      <c r="AP385" t="s">
        <v>1373</v>
      </c>
    </row>
    <row r="386" hidden="1" spans="1:42">
      <c r="A386" t="s">
        <v>3072</v>
      </c>
      <c r="B386" t="s">
        <v>1356</v>
      </c>
      <c r="C386" t="s">
        <v>1375</v>
      </c>
      <c r="D386" t="s">
        <v>2833</v>
      </c>
      <c r="F386" t="s">
        <v>1359</v>
      </c>
      <c r="G386" s="45">
        <v>44809.8660069444</v>
      </c>
      <c r="H386" s="45">
        <v>44809.8661111111</v>
      </c>
      <c r="J386" t="s">
        <v>407</v>
      </c>
      <c r="M386">
        <v>19.9</v>
      </c>
      <c r="N386">
        <v>0</v>
      </c>
      <c r="O386">
        <v>0</v>
      </c>
      <c r="P386">
        <v>0</v>
      </c>
      <c r="Q386">
        <v>19.9</v>
      </c>
      <c r="R386">
        <v>19.9</v>
      </c>
      <c r="T386" t="s">
        <v>1540</v>
      </c>
      <c r="U386">
        <v>1</v>
      </c>
      <c r="V386" t="s">
        <v>1364</v>
      </c>
      <c r="X386" t="s">
        <v>700</v>
      </c>
      <c r="Y386" t="s">
        <v>3073</v>
      </c>
      <c r="Z386" t="s">
        <v>1367</v>
      </c>
      <c r="AA386" t="s">
        <v>3074</v>
      </c>
      <c r="AB386" t="s">
        <v>3075</v>
      </c>
      <c r="AC386" t="s">
        <v>3076</v>
      </c>
      <c r="AF386" t="s">
        <v>3077</v>
      </c>
      <c r="AG386" t="s">
        <v>1372</v>
      </c>
      <c r="AK386">
        <v>0</v>
      </c>
      <c r="AO386" t="s">
        <v>1372</v>
      </c>
      <c r="AP386" t="s">
        <v>1373</v>
      </c>
    </row>
    <row r="387" hidden="1" spans="1:42">
      <c r="A387" t="s">
        <v>3078</v>
      </c>
      <c r="B387" t="s">
        <v>1356</v>
      </c>
      <c r="C387" t="s">
        <v>1375</v>
      </c>
      <c r="D387" t="s">
        <v>1780</v>
      </c>
      <c r="F387" t="s">
        <v>1377</v>
      </c>
      <c r="G387" s="45">
        <v>44809.8654050926</v>
      </c>
      <c r="M387">
        <v>19.9</v>
      </c>
      <c r="N387">
        <v>0</v>
      </c>
      <c r="O387">
        <v>0</v>
      </c>
      <c r="P387">
        <v>0</v>
      </c>
      <c r="Q387">
        <v>19.9</v>
      </c>
      <c r="R387">
        <v>0</v>
      </c>
      <c r="T387" t="s">
        <v>1850</v>
      </c>
      <c r="U387">
        <v>1</v>
      </c>
      <c r="V387" t="s">
        <v>1364</v>
      </c>
      <c r="X387" t="s">
        <v>890</v>
      </c>
      <c r="Y387" t="s">
        <v>3079</v>
      </c>
      <c r="Z387" t="s">
        <v>1466</v>
      </c>
      <c r="AA387" t="s">
        <v>3080</v>
      </c>
      <c r="AB387" t="s">
        <v>3081</v>
      </c>
      <c r="AC387" t="s">
        <v>3082</v>
      </c>
      <c r="AF387" t="s">
        <v>3083</v>
      </c>
      <c r="AG387" t="s">
        <v>1372</v>
      </c>
      <c r="AH387" t="s">
        <v>3079</v>
      </c>
      <c r="AK387">
        <v>0</v>
      </c>
      <c r="AO387" t="s">
        <v>1372</v>
      </c>
      <c r="AP387" t="s">
        <v>1373</v>
      </c>
    </row>
    <row r="388" hidden="1" spans="1:42">
      <c r="A388" t="s">
        <v>3084</v>
      </c>
      <c r="B388" t="s">
        <v>1356</v>
      </c>
      <c r="C388" t="s">
        <v>1375</v>
      </c>
      <c r="D388" t="s">
        <v>2833</v>
      </c>
      <c r="F388" t="s">
        <v>1632</v>
      </c>
      <c r="G388" s="45">
        <v>44809.8617361111</v>
      </c>
      <c r="H388" s="45">
        <v>44809.8619212963</v>
      </c>
      <c r="J388" t="s">
        <v>1360</v>
      </c>
      <c r="K388" t="s">
        <v>3085</v>
      </c>
      <c r="L388" t="s">
        <v>3086</v>
      </c>
      <c r="M388">
        <v>49</v>
      </c>
      <c r="N388">
        <v>0</v>
      </c>
      <c r="O388">
        <v>0</v>
      </c>
      <c r="P388">
        <v>0</v>
      </c>
      <c r="Q388">
        <v>49</v>
      </c>
      <c r="R388">
        <v>49</v>
      </c>
      <c r="T388" t="s">
        <v>3087</v>
      </c>
      <c r="U388">
        <v>1</v>
      </c>
      <c r="V388" t="s">
        <v>1364</v>
      </c>
      <c r="X388" t="s">
        <v>3088</v>
      </c>
      <c r="Y388" t="s">
        <v>3089</v>
      </c>
      <c r="Z388" t="s">
        <v>1495</v>
      </c>
      <c r="AA388" t="s">
        <v>3090</v>
      </c>
      <c r="AB388" t="s">
        <v>3091</v>
      </c>
      <c r="AC388" t="s">
        <v>3092</v>
      </c>
      <c r="AF388" t="s">
        <v>3093</v>
      </c>
      <c r="AG388" t="s">
        <v>1372</v>
      </c>
      <c r="AH388" t="s">
        <v>3089</v>
      </c>
      <c r="AK388">
        <v>0</v>
      </c>
      <c r="AL388" t="s">
        <v>3094</v>
      </c>
      <c r="AO388" t="s">
        <v>1372</v>
      </c>
      <c r="AP388" t="s">
        <v>1373</v>
      </c>
    </row>
    <row r="389" hidden="1" spans="1:42">
      <c r="A389" t="s">
        <v>3095</v>
      </c>
      <c r="B389" t="s">
        <v>1356</v>
      </c>
      <c r="C389" t="s">
        <v>1375</v>
      </c>
      <c r="D389" t="s">
        <v>2833</v>
      </c>
      <c r="F389" t="s">
        <v>1632</v>
      </c>
      <c r="G389" s="45">
        <v>44809.8583101852</v>
      </c>
      <c r="H389" s="45">
        <v>44809.8584027778</v>
      </c>
      <c r="J389" t="s">
        <v>1360</v>
      </c>
      <c r="K389" t="s">
        <v>3096</v>
      </c>
      <c r="L389" t="s">
        <v>3097</v>
      </c>
      <c r="M389">
        <v>125</v>
      </c>
      <c r="N389">
        <v>0</v>
      </c>
      <c r="O389">
        <v>0</v>
      </c>
      <c r="P389">
        <v>0</v>
      </c>
      <c r="Q389">
        <v>125</v>
      </c>
      <c r="R389">
        <v>125</v>
      </c>
      <c r="T389" t="s">
        <v>3098</v>
      </c>
      <c r="U389">
        <v>1</v>
      </c>
      <c r="V389" t="s">
        <v>1364</v>
      </c>
      <c r="X389" t="s">
        <v>3099</v>
      </c>
      <c r="Y389" t="s">
        <v>3100</v>
      </c>
      <c r="Z389" t="s">
        <v>1367</v>
      </c>
      <c r="AA389" t="s">
        <v>1439</v>
      </c>
      <c r="AB389" t="s">
        <v>3101</v>
      </c>
      <c r="AC389" t="s">
        <v>3102</v>
      </c>
      <c r="AF389" t="s">
        <v>3103</v>
      </c>
      <c r="AG389" t="s">
        <v>1372</v>
      </c>
      <c r="AH389" t="s">
        <v>3100</v>
      </c>
      <c r="AJ389" t="s">
        <v>1649</v>
      </c>
      <c r="AK389">
        <v>0</v>
      </c>
      <c r="AO389" t="s">
        <v>1372</v>
      </c>
      <c r="AP389" t="s">
        <v>1373</v>
      </c>
    </row>
    <row r="390" hidden="1" spans="1:42">
      <c r="A390" t="s">
        <v>3104</v>
      </c>
      <c r="B390" t="s">
        <v>1356</v>
      </c>
      <c r="C390" t="s">
        <v>1375</v>
      </c>
      <c r="D390" t="s">
        <v>1780</v>
      </c>
      <c r="F390" t="s">
        <v>1359</v>
      </c>
      <c r="G390" s="45">
        <v>44809.8537731481</v>
      </c>
      <c r="M390">
        <v>219</v>
      </c>
      <c r="N390">
        <v>0</v>
      </c>
      <c r="O390">
        <v>0</v>
      </c>
      <c r="P390">
        <v>0</v>
      </c>
      <c r="Q390">
        <v>219</v>
      </c>
      <c r="R390">
        <v>0</v>
      </c>
      <c r="T390" t="s">
        <v>1472</v>
      </c>
      <c r="U390">
        <v>1</v>
      </c>
      <c r="V390" t="s">
        <v>1364</v>
      </c>
      <c r="X390" t="s">
        <v>890</v>
      </c>
      <c r="Y390" t="s">
        <v>3079</v>
      </c>
      <c r="Z390" t="s">
        <v>1466</v>
      </c>
      <c r="AA390" t="s">
        <v>3080</v>
      </c>
      <c r="AB390" t="s">
        <v>3081</v>
      </c>
      <c r="AC390" t="s">
        <v>3082</v>
      </c>
      <c r="AF390" t="s">
        <v>3083</v>
      </c>
      <c r="AG390" t="s">
        <v>1372</v>
      </c>
      <c r="AH390" t="s">
        <v>3079</v>
      </c>
      <c r="AK390">
        <v>0</v>
      </c>
      <c r="AO390" t="s">
        <v>1372</v>
      </c>
      <c r="AP390" t="s">
        <v>1373</v>
      </c>
    </row>
    <row r="391" hidden="1" spans="1:42">
      <c r="A391" t="s">
        <v>3105</v>
      </c>
      <c r="B391" t="s">
        <v>1356</v>
      </c>
      <c r="C391" t="s">
        <v>1375</v>
      </c>
      <c r="D391" t="s">
        <v>1780</v>
      </c>
      <c r="F391" t="s">
        <v>1377</v>
      </c>
      <c r="G391" s="45">
        <v>44809.8516550926</v>
      </c>
      <c r="M391">
        <v>39.9</v>
      </c>
      <c r="N391">
        <v>0</v>
      </c>
      <c r="O391">
        <v>0</v>
      </c>
      <c r="P391">
        <v>0</v>
      </c>
      <c r="Q391">
        <v>39.9</v>
      </c>
      <c r="R391">
        <v>0</v>
      </c>
      <c r="T391" t="s">
        <v>3106</v>
      </c>
      <c r="U391">
        <v>1</v>
      </c>
      <c r="V391" t="s">
        <v>1364</v>
      </c>
      <c r="X391" t="s">
        <v>682</v>
      </c>
      <c r="Y391" t="s">
        <v>3107</v>
      </c>
      <c r="Z391" t="s">
        <v>3108</v>
      </c>
      <c r="AA391" t="s">
        <v>2138</v>
      </c>
      <c r="AB391" t="s">
        <v>3109</v>
      </c>
      <c r="AC391" t="s">
        <v>3110</v>
      </c>
      <c r="AF391" t="s">
        <v>3111</v>
      </c>
      <c r="AG391" t="s">
        <v>1385</v>
      </c>
      <c r="AH391" t="s">
        <v>3107</v>
      </c>
      <c r="AK391">
        <v>0</v>
      </c>
      <c r="AO391" t="s">
        <v>1372</v>
      </c>
      <c r="AP391" t="s">
        <v>1373</v>
      </c>
    </row>
    <row r="392" hidden="1" spans="1:42">
      <c r="A392" t="s">
        <v>3112</v>
      </c>
      <c r="B392" t="s">
        <v>1356</v>
      </c>
      <c r="C392" t="s">
        <v>1375</v>
      </c>
      <c r="D392" t="s">
        <v>2833</v>
      </c>
      <c r="F392" t="s">
        <v>1377</v>
      </c>
      <c r="G392" s="45">
        <v>44809.8511805556</v>
      </c>
      <c r="H392" s="45">
        <v>44809.8512847222</v>
      </c>
      <c r="J392" t="s">
        <v>407</v>
      </c>
      <c r="M392">
        <v>39.9</v>
      </c>
      <c r="N392">
        <v>0</v>
      </c>
      <c r="O392">
        <v>-3</v>
      </c>
      <c r="P392">
        <v>0</v>
      </c>
      <c r="Q392">
        <v>36.9</v>
      </c>
      <c r="R392">
        <v>36.9</v>
      </c>
      <c r="S392" t="s">
        <v>1397</v>
      </c>
      <c r="T392" t="s">
        <v>3113</v>
      </c>
      <c r="U392">
        <v>1</v>
      </c>
      <c r="V392" t="s">
        <v>1364</v>
      </c>
      <c r="X392" t="s">
        <v>612</v>
      </c>
      <c r="Y392" t="s">
        <v>3114</v>
      </c>
      <c r="Z392" t="s">
        <v>1367</v>
      </c>
      <c r="AA392" t="s">
        <v>1615</v>
      </c>
      <c r="AB392" t="s">
        <v>2423</v>
      </c>
      <c r="AC392" t="s">
        <v>3115</v>
      </c>
      <c r="AF392" t="s">
        <v>3116</v>
      </c>
      <c r="AG392" t="s">
        <v>1385</v>
      </c>
      <c r="AH392" t="s">
        <v>3114</v>
      </c>
      <c r="AK392">
        <v>0</v>
      </c>
      <c r="AO392" t="s">
        <v>1372</v>
      </c>
      <c r="AP392" t="s">
        <v>1373</v>
      </c>
    </row>
    <row r="393" hidden="1" spans="1:42">
      <c r="A393" t="s">
        <v>3117</v>
      </c>
      <c r="B393" t="s">
        <v>1356</v>
      </c>
      <c r="C393" t="s">
        <v>1375</v>
      </c>
      <c r="D393" t="s">
        <v>2833</v>
      </c>
      <c r="F393" t="s">
        <v>1377</v>
      </c>
      <c r="G393" s="45">
        <v>44809.8509953704</v>
      </c>
      <c r="H393" s="45">
        <v>44809.8511574074</v>
      </c>
      <c r="J393" t="s">
        <v>407</v>
      </c>
      <c r="M393">
        <v>39.9</v>
      </c>
      <c r="N393">
        <v>0</v>
      </c>
      <c r="O393">
        <v>0</v>
      </c>
      <c r="P393">
        <v>0</v>
      </c>
      <c r="Q393">
        <v>39.9</v>
      </c>
      <c r="R393">
        <v>39.9</v>
      </c>
      <c r="T393" t="s">
        <v>2068</v>
      </c>
      <c r="U393">
        <v>1</v>
      </c>
      <c r="V393" t="s">
        <v>1364</v>
      </c>
      <c r="X393" t="s">
        <v>659</v>
      </c>
      <c r="Y393" t="s">
        <v>3118</v>
      </c>
      <c r="Z393" t="s">
        <v>1380</v>
      </c>
      <c r="AA393" t="s">
        <v>1409</v>
      </c>
      <c r="AB393" t="s">
        <v>2155</v>
      </c>
      <c r="AC393" t="s">
        <v>3119</v>
      </c>
      <c r="AF393" t="s">
        <v>3120</v>
      </c>
      <c r="AG393" t="s">
        <v>1385</v>
      </c>
      <c r="AH393" t="s">
        <v>3121</v>
      </c>
      <c r="AK393">
        <v>0</v>
      </c>
      <c r="AO393" t="s">
        <v>1372</v>
      </c>
      <c r="AP393" t="s">
        <v>1373</v>
      </c>
    </row>
    <row r="394" hidden="1" spans="1:42">
      <c r="A394" t="s">
        <v>3122</v>
      </c>
      <c r="B394" t="s">
        <v>1356</v>
      </c>
      <c r="C394" t="s">
        <v>1375</v>
      </c>
      <c r="D394" t="s">
        <v>2833</v>
      </c>
      <c r="F394" t="s">
        <v>1377</v>
      </c>
      <c r="G394" s="45">
        <v>44809.8493171296</v>
      </c>
      <c r="H394" s="45">
        <v>44809.8494444444</v>
      </c>
      <c r="J394" t="s">
        <v>407</v>
      </c>
      <c r="M394">
        <v>39.9</v>
      </c>
      <c r="N394">
        <v>0</v>
      </c>
      <c r="O394">
        <v>-2</v>
      </c>
      <c r="P394">
        <v>0</v>
      </c>
      <c r="Q394">
        <v>37.9</v>
      </c>
      <c r="R394">
        <v>37.9</v>
      </c>
      <c r="S394" t="s">
        <v>1400</v>
      </c>
      <c r="T394" t="s">
        <v>1676</v>
      </c>
      <c r="U394">
        <v>1</v>
      </c>
      <c r="V394" t="s">
        <v>1364</v>
      </c>
      <c r="X394" t="s">
        <v>397</v>
      </c>
      <c r="Y394" t="s">
        <v>2335</v>
      </c>
      <c r="Z394" t="s">
        <v>2336</v>
      </c>
      <c r="AA394" t="s">
        <v>2336</v>
      </c>
      <c r="AB394" t="s">
        <v>2337</v>
      </c>
      <c r="AC394" t="s">
        <v>2338</v>
      </c>
      <c r="AF394" t="s">
        <v>2339</v>
      </c>
      <c r="AG394" t="s">
        <v>1385</v>
      </c>
      <c r="AH394" t="s">
        <v>2335</v>
      </c>
      <c r="AK394">
        <v>0</v>
      </c>
      <c r="AO394" t="s">
        <v>1372</v>
      </c>
      <c r="AP394" t="s">
        <v>1373</v>
      </c>
    </row>
    <row r="395" hidden="1" spans="1:42">
      <c r="A395" t="s">
        <v>3123</v>
      </c>
      <c r="B395" t="s">
        <v>1356</v>
      </c>
      <c r="C395" t="s">
        <v>1375</v>
      </c>
      <c r="D395" t="s">
        <v>2833</v>
      </c>
      <c r="F395" t="s">
        <v>1377</v>
      </c>
      <c r="G395" s="45">
        <v>44809.8490046296</v>
      </c>
      <c r="H395" s="45">
        <v>44809.8493055556</v>
      </c>
      <c r="J395" t="s">
        <v>407</v>
      </c>
      <c r="M395">
        <v>39.9</v>
      </c>
      <c r="N395">
        <v>0</v>
      </c>
      <c r="O395">
        <v>-2</v>
      </c>
      <c r="P395">
        <v>0</v>
      </c>
      <c r="Q395">
        <v>37.9</v>
      </c>
      <c r="R395">
        <v>37.9</v>
      </c>
      <c r="S395" t="s">
        <v>1400</v>
      </c>
      <c r="T395" t="s">
        <v>1811</v>
      </c>
      <c r="U395">
        <v>1</v>
      </c>
      <c r="V395" t="s">
        <v>1364</v>
      </c>
      <c r="X395" t="s">
        <v>682</v>
      </c>
      <c r="Y395" t="s">
        <v>3107</v>
      </c>
      <c r="Z395" t="s">
        <v>3108</v>
      </c>
      <c r="AA395" t="s">
        <v>3124</v>
      </c>
      <c r="AB395" t="s">
        <v>3109</v>
      </c>
      <c r="AC395" t="s">
        <v>3125</v>
      </c>
      <c r="AF395" t="s">
        <v>3111</v>
      </c>
      <c r="AG395" t="s">
        <v>1385</v>
      </c>
      <c r="AH395" t="s">
        <v>3107</v>
      </c>
      <c r="AK395">
        <v>0</v>
      </c>
      <c r="AO395" t="s">
        <v>1372</v>
      </c>
      <c r="AP395" t="s">
        <v>1373</v>
      </c>
    </row>
    <row r="396" hidden="1" spans="1:42">
      <c r="A396" t="s">
        <v>3126</v>
      </c>
      <c r="B396" t="s">
        <v>1356</v>
      </c>
      <c r="C396" t="s">
        <v>1375</v>
      </c>
      <c r="D396" t="s">
        <v>2833</v>
      </c>
      <c r="F396" t="s">
        <v>1377</v>
      </c>
      <c r="G396" s="45">
        <v>44809.8485532407</v>
      </c>
      <c r="H396" s="45">
        <v>44809.8487731482</v>
      </c>
      <c r="J396" t="s">
        <v>407</v>
      </c>
      <c r="M396">
        <v>39.9</v>
      </c>
      <c r="N396">
        <v>0</v>
      </c>
      <c r="O396">
        <v>-3</v>
      </c>
      <c r="P396">
        <v>0</v>
      </c>
      <c r="Q396">
        <v>36.9</v>
      </c>
      <c r="R396">
        <v>36.9</v>
      </c>
      <c r="S396" t="s">
        <v>1397</v>
      </c>
      <c r="T396" t="s">
        <v>1676</v>
      </c>
      <c r="U396">
        <v>1</v>
      </c>
      <c r="V396" t="s">
        <v>1364</v>
      </c>
      <c r="X396" t="s">
        <v>659</v>
      </c>
      <c r="Y396" t="s">
        <v>3118</v>
      </c>
      <c r="Z396" t="s">
        <v>1380</v>
      </c>
      <c r="AA396" t="s">
        <v>1409</v>
      </c>
      <c r="AB396" t="s">
        <v>2155</v>
      </c>
      <c r="AC396" t="s">
        <v>3119</v>
      </c>
      <c r="AF396" t="s">
        <v>3120</v>
      </c>
      <c r="AG396" t="s">
        <v>1385</v>
      </c>
      <c r="AH396" t="s">
        <v>3121</v>
      </c>
      <c r="AK396">
        <v>0</v>
      </c>
      <c r="AO396" t="s">
        <v>1372</v>
      </c>
      <c r="AP396" t="s">
        <v>1373</v>
      </c>
    </row>
    <row r="397" hidden="1" spans="1:42">
      <c r="A397" t="s">
        <v>3127</v>
      </c>
      <c r="B397" t="s">
        <v>1356</v>
      </c>
      <c r="C397" t="s">
        <v>1375</v>
      </c>
      <c r="D397" t="s">
        <v>2833</v>
      </c>
      <c r="F397" t="s">
        <v>1377</v>
      </c>
      <c r="G397" s="45">
        <v>44809.8485185185</v>
      </c>
      <c r="H397" s="45">
        <v>44809.8486342593</v>
      </c>
      <c r="J397" t="s">
        <v>407</v>
      </c>
      <c r="M397">
        <v>39.9</v>
      </c>
      <c r="N397">
        <v>0</v>
      </c>
      <c r="O397">
        <v>0</v>
      </c>
      <c r="P397">
        <v>0</v>
      </c>
      <c r="Q397">
        <v>39.9</v>
      </c>
      <c r="R397">
        <v>39.9</v>
      </c>
      <c r="T397" t="s">
        <v>1676</v>
      </c>
      <c r="U397">
        <v>1</v>
      </c>
      <c r="V397" t="s">
        <v>1364</v>
      </c>
      <c r="X397" t="s">
        <v>668</v>
      </c>
      <c r="Y397" t="s">
        <v>3128</v>
      </c>
      <c r="Z397" t="s">
        <v>3108</v>
      </c>
      <c r="AA397" t="s">
        <v>3129</v>
      </c>
      <c r="AB397" t="s">
        <v>3130</v>
      </c>
      <c r="AC397" t="s">
        <v>3131</v>
      </c>
      <c r="AF397" t="s">
        <v>3132</v>
      </c>
      <c r="AG397" t="s">
        <v>1372</v>
      </c>
      <c r="AH397" t="s">
        <v>3128</v>
      </c>
      <c r="AK397">
        <v>0</v>
      </c>
      <c r="AO397" t="s">
        <v>1372</v>
      </c>
      <c r="AP397" t="s">
        <v>1373</v>
      </c>
    </row>
    <row r="398" hidden="1" spans="1:42">
      <c r="A398" t="s">
        <v>3133</v>
      </c>
      <c r="B398" t="s">
        <v>1356</v>
      </c>
      <c r="C398" t="s">
        <v>1375</v>
      </c>
      <c r="D398" t="s">
        <v>2833</v>
      </c>
      <c r="F398" t="s">
        <v>1377</v>
      </c>
      <c r="G398" s="45">
        <v>44809.8470717593</v>
      </c>
      <c r="H398" s="45">
        <v>44809.8475115741</v>
      </c>
      <c r="J398" t="s">
        <v>407</v>
      </c>
      <c r="M398">
        <v>39.9</v>
      </c>
      <c r="N398">
        <v>0</v>
      </c>
      <c r="O398">
        <v>-2</v>
      </c>
      <c r="P398">
        <v>0</v>
      </c>
      <c r="Q398">
        <v>37.9</v>
      </c>
      <c r="R398">
        <v>37.9</v>
      </c>
      <c r="S398" t="s">
        <v>1400</v>
      </c>
      <c r="T398" t="s">
        <v>1493</v>
      </c>
      <c r="U398">
        <v>1</v>
      </c>
      <c r="V398" t="s">
        <v>1364</v>
      </c>
      <c r="X398" t="s">
        <v>653</v>
      </c>
      <c r="Y398" t="s">
        <v>3134</v>
      </c>
      <c r="Z398" t="s">
        <v>1478</v>
      </c>
      <c r="AA398" t="s">
        <v>3135</v>
      </c>
      <c r="AB398" t="s">
        <v>3136</v>
      </c>
      <c r="AC398" t="s">
        <v>3137</v>
      </c>
      <c r="AF398" t="s">
        <v>653</v>
      </c>
      <c r="AG398" t="s">
        <v>1385</v>
      </c>
      <c r="AH398" t="s">
        <v>3134</v>
      </c>
      <c r="AK398">
        <v>0</v>
      </c>
      <c r="AO398" t="s">
        <v>1372</v>
      </c>
      <c r="AP398" t="s">
        <v>1373</v>
      </c>
    </row>
    <row r="399" hidden="1" spans="1:42">
      <c r="A399" t="s">
        <v>3138</v>
      </c>
      <c r="B399" t="s">
        <v>1356</v>
      </c>
      <c r="C399" t="s">
        <v>1375</v>
      </c>
      <c r="D399" t="s">
        <v>1780</v>
      </c>
      <c r="F399" t="s">
        <v>1377</v>
      </c>
      <c r="G399" s="45">
        <v>44809.8469791667</v>
      </c>
      <c r="M399">
        <v>39.9</v>
      </c>
      <c r="N399">
        <v>0</v>
      </c>
      <c r="O399">
        <v>-2</v>
      </c>
      <c r="P399">
        <v>0</v>
      </c>
      <c r="Q399">
        <v>37.9</v>
      </c>
      <c r="R399">
        <v>0</v>
      </c>
      <c r="S399" t="s">
        <v>1400</v>
      </c>
      <c r="T399" t="s">
        <v>2115</v>
      </c>
      <c r="U399">
        <v>1</v>
      </c>
      <c r="V399" t="s">
        <v>1364</v>
      </c>
      <c r="X399" t="s">
        <v>397</v>
      </c>
      <c r="Y399" t="s">
        <v>2335</v>
      </c>
      <c r="Z399" t="s">
        <v>2336</v>
      </c>
      <c r="AA399" t="s">
        <v>2336</v>
      </c>
      <c r="AB399" t="s">
        <v>2337</v>
      </c>
      <c r="AC399" t="s">
        <v>2338</v>
      </c>
      <c r="AF399" t="s">
        <v>2339</v>
      </c>
      <c r="AG399" t="s">
        <v>1385</v>
      </c>
      <c r="AH399" t="s">
        <v>2335</v>
      </c>
      <c r="AK399">
        <v>0</v>
      </c>
      <c r="AO399" t="s">
        <v>1372</v>
      </c>
      <c r="AP399" t="s">
        <v>1373</v>
      </c>
    </row>
    <row r="400" hidden="1" spans="1:42">
      <c r="A400" t="s">
        <v>3139</v>
      </c>
      <c r="B400" t="s">
        <v>1356</v>
      </c>
      <c r="C400" t="s">
        <v>1375</v>
      </c>
      <c r="D400" t="s">
        <v>2833</v>
      </c>
      <c r="F400" t="s">
        <v>1377</v>
      </c>
      <c r="G400" s="45">
        <v>44809.8467592593</v>
      </c>
      <c r="H400" s="45">
        <v>44809.8468518518</v>
      </c>
      <c r="J400" t="s">
        <v>407</v>
      </c>
      <c r="M400">
        <v>39.9</v>
      </c>
      <c r="N400">
        <v>0</v>
      </c>
      <c r="O400">
        <v>-3</v>
      </c>
      <c r="P400">
        <v>0</v>
      </c>
      <c r="Q400">
        <v>36.9</v>
      </c>
      <c r="R400">
        <v>36.9</v>
      </c>
      <c r="S400" t="s">
        <v>1397</v>
      </c>
      <c r="T400" t="s">
        <v>1907</v>
      </c>
      <c r="U400">
        <v>1</v>
      </c>
      <c r="V400" t="s">
        <v>1364</v>
      </c>
      <c r="X400" t="s">
        <v>612</v>
      </c>
      <c r="Y400" t="s">
        <v>3114</v>
      </c>
      <c r="Z400" t="s">
        <v>1367</v>
      </c>
      <c r="AA400" t="s">
        <v>1615</v>
      </c>
      <c r="AB400" t="s">
        <v>2423</v>
      </c>
      <c r="AC400" t="s">
        <v>3115</v>
      </c>
      <c r="AF400" t="s">
        <v>3116</v>
      </c>
      <c r="AG400" t="s">
        <v>1385</v>
      </c>
      <c r="AH400" t="s">
        <v>3114</v>
      </c>
      <c r="AK400">
        <v>0</v>
      </c>
      <c r="AO400" t="s">
        <v>1372</v>
      </c>
      <c r="AP400" t="s">
        <v>1373</v>
      </c>
    </row>
    <row r="401" hidden="1" spans="1:42">
      <c r="A401" t="s">
        <v>3140</v>
      </c>
      <c r="B401" t="s">
        <v>1356</v>
      </c>
      <c r="C401" t="s">
        <v>1375</v>
      </c>
      <c r="D401" t="s">
        <v>1780</v>
      </c>
      <c r="F401" t="s">
        <v>1377</v>
      </c>
      <c r="G401" s="45">
        <v>44809.8438773148</v>
      </c>
      <c r="M401">
        <v>69</v>
      </c>
      <c r="N401">
        <v>0</v>
      </c>
      <c r="O401">
        <v>0</v>
      </c>
      <c r="P401">
        <v>0</v>
      </c>
      <c r="Q401">
        <v>69</v>
      </c>
      <c r="R401">
        <v>0</v>
      </c>
      <c r="T401" t="s">
        <v>1858</v>
      </c>
      <c r="U401">
        <v>1</v>
      </c>
      <c r="V401" t="s">
        <v>1364</v>
      </c>
      <c r="X401" t="s">
        <v>541</v>
      </c>
      <c r="Y401" t="s">
        <v>1747</v>
      </c>
      <c r="Z401" t="s">
        <v>1748</v>
      </c>
      <c r="AA401" t="s">
        <v>1749</v>
      </c>
      <c r="AB401" t="s">
        <v>1750</v>
      </c>
      <c r="AC401" t="s">
        <v>1751</v>
      </c>
      <c r="AF401" t="s">
        <v>1752</v>
      </c>
      <c r="AG401" t="s">
        <v>1372</v>
      </c>
      <c r="AK401">
        <v>0</v>
      </c>
      <c r="AO401" t="s">
        <v>1372</v>
      </c>
      <c r="AP401" t="s">
        <v>1373</v>
      </c>
    </row>
    <row r="402" hidden="1" spans="1:42">
      <c r="A402" t="s">
        <v>3141</v>
      </c>
      <c r="B402" t="s">
        <v>1356</v>
      </c>
      <c r="C402" t="s">
        <v>1375</v>
      </c>
      <c r="D402" t="s">
        <v>2833</v>
      </c>
      <c r="F402" t="s">
        <v>1377</v>
      </c>
      <c r="G402" s="45">
        <v>44809.8428125</v>
      </c>
      <c r="H402" s="45">
        <v>44809.8430208333</v>
      </c>
      <c r="J402" t="s">
        <v>407</v>
      </c>
      <c r="M402">
        <v>99</v>
      </c>
      <c r="N402">
        <v>0</v>
      </c>
      <c r="O402">
        <v>-5</v>
      </c>
      <c r="P402">
        <v>0</v>
      </c>
      <c r="Q402">
        <v>94</v>
      </c>
      <c r="R402">
        <v>94</v>
      </c>
      <c r="S402" t="s">
        <v>1422</v>
      </c>
      <c r="T402" t="s">
        <v>2012</v>
      </c>
      <c r="U402">
        <v>1</v>
      </c>
      <c r="V402" t="s">
        <v>1364</v>
      </c>
      <c r="X402" t="s">
        <v>436</v>
      </c>
      <c r="Y402" t="s">
        <v>1446</v>
      </c>
      <c r="Z402" t="s">
        <v>1447</v>
      </c>
      <c r="AA402" t="s">
        <v>1448</v>
      </c>
      <c r="AB402" t="s">
        <v>1449</v>
      </c>
      <c r="AC402" t="s">
        <v>1450</v>
      </c>
      <c r="AF402" t="s">
        <v>1451</v>
      </c>
      <c r="AG402" t="s">
        <v>1385</v>
      </c>
      <c r="AH402" t="s">
        <v>1446</v>
      </c>
      <c r="AK402">
        <v>0</v>
      </c>
      <c r="AO402" t="s">
        <v>1372</v>
      </c>
      <c r="AP402" t="s">
        <v>1373</v>
      </c>
    </row>
    <row r="403" hidden="1" spans="1:42">
      <c r="A403" t="s">
        <v>3142</v>
      </c>
      <c r="B403" t="s">
        <v>1356</v>
      </c>
      <c r="C403" t="s">
        <v>1375</v>
      </c>
      <c r="D403" t="s">
        <v>2833</v>
      </c>
      <c r="F403" t="s">
        <v>1359</v>
      </c>
      <c r="G403" s="45">
        <v>44809.8427199074</v>
      </c>
      <c r="H403" s="45">
        <v>44809.8428125</v>
      </c>
      <c r="J403" t="s">
        <v>407</v>
      </c>
      <c r="M403">
        <v>19.9</v>
      </c>
      <c r="N403">
        <v>0</v>
      </c>
      <c r="O403">
        <v>0</v>
      </c>
      <c r="P403">
        <v>0</v>
      </c>
      <c r="Q403">
        <v>19.9</v>
      </c>
      <c r="R403">
        <v>19.9</v>
      </c>
      <c r="T403" t="s">
        <v>1850</v>
      </c>
      <c r="U403">
        <v>1</v>
      </c>
      <c r="V403" t="s">
        <v>1364</v>
      </c>
      <c r="X403" t="s">
        <v>612</v>
      </c>
      <c r="Y403" t="s">
        <v>3114</v>
      </c>
      <c r="Z403" t="s">
        <v>1367</v>
      </c>
      <c r="AA403" t="s">
        <v>1615</v>
      </c>
      <c r="AB403" t="s">
        <v>2423</v>
      </c>
      <c r="AC403" t="s">
        <v>3115</v>
      </c>
      <c r="AF403" t="s">
        <v>3116</v>
      </c>
      <c r="AG403" t="s">
        <v>1385</v>
      </c>
      <c r="AH403" t="s">
        <v>3114</v>
      </c>
      <c r="AK403">
        <v>0</v>
      </c>
      <c r="AO403" t="s">
        <v>1372</v>
      </c>
      <c r="AP403" t="s">
        <v>1373</v>
      </c>
    </row>
    <row r="404" hidden="1" spans="1:42">
      <c r="A404" t="s">
        <v>3143</v>
      </c>
      <c r="B404" t="s">
        <v>1356</v>
      </c>
      <c r="C404" t="s">
        <v>1375</v>
      </c>
      <c r="D404" t="s">
        <v>2833</v>
      </c>
      <c r="F404" t="s">
        <v>1377</v>
      </c>
      <c r="G404" s="45">
        <v>44809.8425810185</v>
      </c>
      <c r="H404" s="45">
        <v>44809.8426736111</v>
      </c>
      <c r="J404" t="s">
        <v>407</v>
      </c>
      <c r="M404">
        <v>19.9</v>
      </c>
      <c r="N404">
        <v>0</v>
      </c>
      <c r="O404">
        <v>0</v>
      </c>
      <c r="P404">
        <v>0</v>
      </c>
      <c r="Q404">
        <v>19.9</v>
      </c>
      <c r="R404">
        <v>19.9</v>
      </c>
      <c r="T404" t="s">
        <v>1529</v>
      </c>
      <c r="U404">
        <v>1</v>
      </c>
      <c r="V404" t="s">
        <v>1364</v>
      </c>
      <c r="X404" t="s">
        <v>642</v>
      </c>
      <c r="Y404" t="s">
        <v>3144</v>
      </c>
      <c r="Z404" t="s">
        <v>1367</v>
      </c>
      <c r="AA404" t="s">
        <v>1943</v>
      </c>
      <c r="AB404" t="s">
        <v>2039</v>
      </c>
      <c r="AC404" t="s">
        <v>3145</v>
      </c>
      <c r="AF404" t="s">
        <v>3146</v>
      </c>
      <c r="AG404" t="s">
        <v>1372</v>
      </c>
      <c r="AH404" t="s">
        <v>3144</v>
      </c>
      <c r="AK404">
        <v>0</v>
      </c>
      <c r="AO404" t="s">
        <v>1372</v>
      </c>
      <c r="AP404" t="s">
        <v>1373</v>
      </c>
    </row>
    <row r="405" hidden="1" spans="1:42">
      <c r="A405" t="s">
        <v>3147</v>
      </c>
      <c r="B405" t="s">
        <v>1356</v>
      </c>
      <c r="C405" t="s">
        <v>1375</v>
      </c>
      <c r="D405" t="s">
        <v>1358</v>
      </c>
      <c r="F405" t="s">
        <v>1377</v>
      </c>
      <c r="G405" s="45">
        <v>44809.8424537037</v>
      </c>
      <c r="H405" s="45">
        <v>44809.8427083333</v>
      </c>
      <c r="J405" t="s">
        <v>407</v>
      </c>
      <c r="M405">
        <v>99</v>
      </c>
      <c r="N405">
        <v>0</v>
      </c>
      <c r="O405">
        <v>0</v>
      </c>
      <c r="P405">
        <v>0</v>
      </c>
      <c r="Q405">
        <v>99</v>
      </c>
      <c r="R405">
        <v>99</v>
      </c>
      <c r="T405" t="s">
        <v>1622</v>
      </c>
      <c r="U405">
        <v>1</v>
      </c>
      <c r="V405" t="s">
        <v>1364</v>
      </c>
      <c r="X405" t="s">
        <v>653</v>
      </c>
      <c r="Y405" t="s">
        <v>3134</v>
      </c>
      <c r="Z405" t="s">
        <v>1478</v>
      </c>
      <c r="AA405" t="s">
        <v>3135</v>
      </c>
      <c r="AB405" t="s">
        <v>3136</v>
      </c>
      <c r="AC405" t="s">
        <v>3137</v>
      </c>
      <c r="AF405" t="s">
        <v>653</v>
      </c>
      <c r="AG405" t="s">
        <v>1385</v>
      </c>
      <c r="AH405" t="s">
        <v>3134</v>
      </c>
      <c r="AK405">
        <v>0</v>
      </c>
      <c r="AO405" t="s">
        <v>1372</v>
      </c>
      <c r="AP405" t="s">
        <v>1373</v>
      </c>
    </row>
    <row r="406" hidden="1" spans="1:42">
      <c r="A406" t="s">
        <v>3148</v>
      </c>
      <c r="B406" t="s">
        <v>1356</v>
      </c>
      <c r="C406" t="s">
        <v>1375</v>
      </c>
      <c r="D406" t="s">
        <v>2833</v>
      </c>
      <c r="F406" t="s">
        <v>1359</v>
      </c>
      <c r="G406" s="45">
        <v>44809.8402546296</v>
      </c>
      <c r="H406" s="45">
        <v>44809.8403703704</v>
      </c>
      <c r="J406" t="s">
        <v>407</v>
      </c>
      <c r="M406">
        <v>99</v>
      </c>
      <c r="N406">
        <v>0</v>
      </c>
      <c r="O406">
        <v>-1</v>
      </c>
      <c r="P406">
        <v>0</v>
      </c>
      <c r="Q406">
        <v>98</v>
      </c>
      <c r="R406">
        <v>98</v>
      </c>
      <c r="S406" t="s">
        <v>1414</v>
      </c>
      <c r="T406" t="s">
        <v>2348</v>
      </c>
      <c r="U406">
        <v>1</v>
      </c>
      <c r="V406" t="s">
        <v>1364</v>
      </c>
      <c r="X406" t="s">
        <v>384</v>
      </c>
      <c r="Y406" t="s">
        <v>3149</v>
      </c>
      <c r="Z406" t="s">
        <v>1367</v>
      </c>
      <c r="AA406" t="s">
        <v>3150</v>
      </c>
      <c r="AB406" t="s">
        <v>3151</v>
      </c>
      <c r="AC406" t="s">
        <v>3152</v>
      </c>
      <c r="AF406" t="s">
        <v>3153</v>
      </c>
      <c r="AG406" t="s">
        <v>1385</v>
      </c>
      <c r="AH406" t="s">
        <v>3149</v>
      </c>
      <c r="AK406">
        <v>0</v>
      </c>
      <c r="AO406" t="s">
        <v>1372</v>
      </c>
      <c r="AP406" t="s">
        <v>1373</v>
      </c>
    </row>
    <row r="407" hidden="1" spans="1:42">
      <c r="A407" t="s">
        <v>3154</v>
      </c>
      <c r="B407" t="s">
        <v>1356</v>
      </c>
      <c r="C407" t="s">
        <v>1375</v>
      </c>
      <c r="D407" t="s">
        <v>2833</v>
      </c>
      <c r="F407" t="s">
        <v>1377</v>
      </c>
      <c r="G407" s="45">
        <v>44809.8372569444</v>
      </c>
      <c r="H407" s="45">
        <v>44809.837337963</v>
      </c>
      <c r="J407" t="s">
        <v>407</v>
      </c>
      <c r="M407">
        <v>99</v>
      </c>
      <c r="N407">
        <v>0</v>
      </c>
      <c r="O407">
        <v>-5</v>
      </c>
      <c r="P407">
        <v>0</v>
      </c>
      <c r="Q407">
        <v>94</v>
      </c>
      <c r="R407">
        <v>94</v>
      </c>
      <c r="S407" t="s">
        <v>1422</v>
      </c>
      <c r="T407" t="s">
        <v>2034</v>
      </c>
      <c r="U407">
        <v>1</v>
      </c>
      <c r="V407" t="s">
        <v>1364</v>
      </c>
      <c r="X407" t="s">
        <v>642</v>
      </c>
      <c r="Y407" t="s">
        <v>3144</v>
      </c>
      <c r="Z407" t="s">
        <v>1367</v>
      </c>
      <c r="AA407" t="s">
        <v>1943</v>
      </c>
      <c r="AB407" t="s">
        <v>2039</v>
      </c>
      <c r="AC407" t="s">
        <v>3145</v>
      </c>
      <c r="AF407" t="s">
        <v>3146</v>
      </c>
      <c r="AG407" t="s">
        <v>1372</v>
      </c>
      <c r="AH407" t="s">
        <v>3144</v>
      </c>
      <c r="AK407">
        <v>0</v>
      </c>
      <c r="AO407" t="s">
        <v>1372</v>
      </c>
      <c r="AP407" t="s">
        <v>1373</v>
      </c>
    </row>
    <row r="408" hidden="1" spans="1:42">
      <c r="A408" t="s">
        <v>3155</v>
      </c>
      <c r="B408" t="s">
        <v>1356</v>
      </c>
      <c r="C408" t="s">
        <v>1375</v>
      </c>
      <c r="D408" t="s">
        <v>1358</v>
      </c>
      <c r="F408" t="s">
        <v>1377</v>
      </c>
      <c r="G408" s="45">
        <v>44809.8320023148</v>
      </c>
      <c r="H408" s="45">
        <v>44809.8321064815</v>
      </c>
      <c r="J408" t="s">
        <v>407</v>
      </c>
      <c r="M408">
        <v>249</v>
      </c>
      <c r="N408">
        <v>0</v>
      </c>
      <c r="O408">
        <v>0</v>
      </c>
      <c r="P408">
        <v>0</v>
      </c>
      <c r="Q408">
        <v>249</v>
      </c>
      <c r="R408">
        <v>249</v>
      </c>
      <c r="T408" t="s">
        <v>1862</v>
      </c>
      <c r="U408">
        <v>1</v>
      </c>
      <c r="V408" t="s">
        <v>1364</v>
      </c>
      <c r="X408" t="s">
        <v>642</v>
      </c>
      <c r="Y408" t="s">
        <v>3144</v>
      </c>
      <c r="Z408" t="s">
        <v>1367</v>
      </c>
      <c r="AA408" t="s">
        <v>1943</v>
      </c>
      <c r="AB408" t="s">
        <v>2039</v>
      </c>
      <c r="AC408" t="s">
        <v>3145</v>
      </c>
      <c r="AF408" t="s">
        <v>3146</v>
      </c>
      <c r="AG408" t="s">
        <v>1372</v>
      </c>
      <c r="AH408" t="s">
        <v>3144</v>
      </c>
      <c r="AK408">
        <v>0</v>
      </c>
      <c r="AL408" t="s">
        <v>2907</v>
      </c>
      <c r="AO408" t="s">
        <v>1372</v>
      </c>
      <c r="AP408" t="s">
        <v>1373</v>
      </c>
    </row>
    <row r="409" hidden="1" spans="1:42">
      <c r="A409" t="s">
        <v>3156</v>
      </c>
      <c r="B409" t="s">
        <v>1356</v>
      </c>
      <c r="C409" t="s">
        <v>1375</v>
      </c>
      <c r="D409" t="s">
        <v>1780</v>
      </c>
      <c r="F409" t="s">
        <v>1377</v>
      </c>
      <c r="G409" s="45">
        <v>44809.8315509259</v>
      </c>
      <c r="M409">
        <v>249</v>
      </c>
      <c r="N409">
        <v>0</v>
      </c>
      <c r="O409">
        <v>-1</v>
      </c>
      <c r="P409">
        <v>0</v>
      </c>
      <c r="Q409">
        <v>248</v>
      </c>
      <c r="R409">
        <v>0</v>
      </c>
      <c r="S409" t="s">
        <v>1414</v>
      </c>
      <c r="T409" t="s">
        <v>1862</v>
      </c>
      <c r="U409">
        <v>1</v>
      </c>
      <c r="V409" t="s">
        <v>1364</v>
      </c>
      <c r="X409" t="s">
        <v>642</v>
      </c>
      <c r="Y409" t="s">
        <v>3144</v>
      </c>
      <c r="Z409" t="s">
        <v>1367</v>
      </c>
      <c r="AA409" t="s">
        <v>1943</v>
      </c>
      <c r="AB409" t="s">
        <v>2039</v>
      </c>
      <c r="AC409" t="s">
        <v>3145</v>
      </c>
      <c r="AF409" t="s">
        <v>3146</v>
      </c>
      <c r="AG409" t="s">
        <v>1372</v>
      </c>
      <c r="AH409" t="s">
        <v>3144</v>
      </c>
      <c r="AK409">
        <v>0</v>
      </c>
      <c r="AO409" t="s">
        <v>1372</v>
      </c>
      <c r="AP409" t="s">
        <v>1373</v>
      </c>
    </row>
    <row r="410" hidden="1" spans="1:42">
      <c r="A410" t="s">
        <v>3157</v>
      </c>
      <c r="B410" t="s">
        <v>1356</v>
      </c>
      <c r="C410" t="s">
        <v>1375</v>
      </c>
      <c r="D410" t="s">
        <v>1780</v>
      </c>
      <c r="F410" t="s">
        <v>1377</v>
      </c>
      <c r="G410" s="45">
        <v>44809.8311111111</v>
      </c>
      <c r="M410">
        <v>249</v>
      </c>
      <c r="N410">
        <v>0</v>
      </c>
      <c r="O410">
        <v>-1</v>
      </c>
      <c r="P410">
        <v>0</v>
      </c>
      <c r="Q410">
        <v>248</v>
      </c>
      <c r="R410">
        <v>0</v>
      </c>
      <c r="S410" t="s">
        <v>1414</v>
      </c>
      <c r="T410" t="s">
        <v>1708</v>
      </c>
      <c r="U410">
        <v>1</v>
      </c>
      <c r="V410" t="s">
        <v>1364</v>
      </c>
      <c r="X410" t="s">
        <v>653</v>
      </c>
      <c r="Y410" t="s">
        <v>3134</v>
      </c>
      <c r="Z410" t="s">
        <v>1478</v>
      </c>
      <c r="AA410" t="s">
        <v>3135</v>
      </c>
      <c r="AB410" t="s">
        <v>3136</v>
      </c>
      <c r="AC410" t="s">
        <v>3137</v>
      </c>
      <c r="AF410" t="s">
        <v>653</v>
      </c>
      <c r="AG410" t="s">
        <v>1385</v>
      </c>
      <c r="AH410" t="s">
        <v>3134</v>
      </c>
      <c r="AK410">
        <v>0</v>
      </c>
      <c r="AO410" t="s">
        <v>1372</v>
      </c>
      <c r="AP410" t="s">
        <v>1373</v>
      </c>
    </row>
    <row r="411" hidden="1" spans="1:42">
      <c r="A411" t="s">
        <v>3158</v>
      </c>
      <c r="B411" t="s">
        <v>1356</v>
      </c>
      <c r="C411" t="s">
        <v>1375</v>
      </c>
      <c r="D411" t="s">
        <v>1358</v>
      </c>
      <c r="F411" t="s">
        <v>1359</v>
      </c>
      <c r="G411" s="45">
        <v>44809.8300115741</v>
      </c>
      <c r="H411" s="45">
        <v>44809.8302199074</v>
      </c>
      <c r="J411" t="s">
        <v>407</v>
      </c>
      <c r="M411">
        <v>249</v>
      </c>
      <c r="N411">
        <v>0</v>
      </c>
      <c r="O411">
        <v>0</v>
      </c>
      <c r="P411">
        <v>0</v>
      </c>
      <c r="Q411">
        <v>249</v>
      </c>
      <c r="R411">
        <v>249</v>
      </c>
      <c r="T411" t="s">
        <v>1867</v>
      </c>
      <c r="U411">
        <v>1</v>
      </c>
      <c r="V411" t="s">
        <v>1364</v>
      </c>
      <c r="X411" t="s">
        <v>400</v>
      </c>
      <c r="Y411" t="s">
        <v>1379</v>
      </c>
      <c r="Z411" t="s">
        <v>1380</v>
      </c>
      <c r="AA411" t="s">
        <v>1381</v>
      </c>
      <c r="AB411" t="s">
        <v>1382</v>
      </c>
      <c r="AC411" t="s">
        <v>1383</v>
      </c>
      <c r="AF411" t="s">
        <v>1384</v>
      </c>
      <c r="AG411" t="s">
        <v>1385</v>
      </c>
      <c r="AH411" t="s">
        <v>1386</v>
      </c>
      <c r="AK411">
        <v>0</v>
      </c>
      <c r="AL411" t="s">
        <v>2907</v>
      </c>
      <c r="AO411" t="s">
        <v>1372</v>
      </c>
      <c r="AP411" t="s">
        <v>1373</v>
      </c>
    </row>
    <row r="412" hidden="1" spans="1:42">
      <c r="A412" t="s">
        <v>3159</v>
      </c>
      <c r="B412" t="s">
        <v>1356</v>
      </c>
      <c r="C412" t="s">
        <v>1375</v>
      </c>
      <c r="D412" t="s">
        <v>1780</v>
      </c>
      <c r="F412" t="s">
        <v>1359</v>
      </c>
      <c r="G412" s="45">
        <v>44809.8276157407</v>
      </c>
      <c r="M412">
        <v>739</v>
      </c>
      <c r="N412">
        <v>0</v>
      </c>
      <c r="O412">
        <v>0</v>
      </c>
      <c r="P412">
        <v>0</v>
      </c>
      <c r="Q412">
        <v>739</v>
      </c>
      <c r="R412">
        <v>0</v>
      </c>
      <c r="T412" t="s">
        <v>3160</v>
      </c>
      <c r="U412">
        <v>1</v>
      </c>
      <c r="V412" t="s">
        <v>1364</v>
      </c>
      <c r="X412" t="s">
        <v>3161</v>
      </c>
      <c r="Y412" t="s">
        <v>3162</v>
      </c>
      <c r="Z412" t="s">
        <v>1804</v>
      </c>
      <c r="AA412" t="s">
        <v>3163</v>
      </c>
      <c r="AB412" t="s">
        <v>3164</v>
      </c>
      <c r="AC412" t="s">
        <v>3165</v>
      </c>
      <c r="AF412" t="s">
        <v>3166</v>
      </c>
      <c r="AG412" t="s">
        <v>1372</v>
      </c>
      <c r="AH412" t="s">
        <v>3162</v>
      </c>
      <c r="AK412">
        <v>0</v>
      </c>
      <c r="AO412" t="s">
        <v>1372</v>
      </c>
      <c r="AP412" t="s">
        <v>1373</v>
      </c>
    </row>
    <row r="413" hidden="1" spans="1:42">
      <c r="A413" t="s">
        <v>3167</v>
      </c>
      <c r="B413" t="s">
        <v>1356</v>
      </c>
      <c r="C413" t="s">
        <v>1375</v>
      </c>
      <c r="D413" t="s">
        <v>1780</v>
      </c>
      <c r="F413" t="s">
        <v>1377</v>
      </c>
      <c r="G413" s="45">
        <v>44809.8250578704</v>
      </c>
      <c r="M413">
        <v>39.9</v>
      </c>
      <c r="N413">
        <v>0</v>
      </c>
      <c r="O413">
        <v>-3</v>
      </c>
      <c r="P413">
        <v>0</v>
      </c>
      <c r="Q413">
        <v>36.9</v>
      </c>
      <c r="R413">
        <v>0</v>
      </c>
      <c r="S413" t="s">
        <v>1397</v>
      </c>
      <c r="T413" t="s">
        <v>2068</v>
      </c>
      <c r="U413">
        <v>1</v>
      </c>
      <c r="V413" t="s">
        <v>1364</v>
      </c>
      <c r="X413" t="s">
        <v>659</v>
      </c>
      <c r="Y413" t="s">
        <v>3118</v>
      </c>
      <c r="Z413" t="s">
        <v>1380</v>
      </c>
      <c r="AA413" t="s">
        <v>1409</v>
      </c>
      <c r="AB413" t="s">
        <v>2155</v>
      </c>
      <c r="AC413" t="s">
        <v>3119</v>
      </c>
      <c r="AF413" t="s">
        <v>3120</v>
      </c>
      <c r="AG413" t="s">
        <v>1385</v>
      </c>
      <c r="AH413" t="s">
        <v>3121</v>
      </c>
      <c r="AK413">
        <v>0</v>
      </c>
      <c r="AO413" t="s">
        <v>1372</v>
      </c>
      <c r="AP413" t="s">
        <v>1373</v>
      </c>
    </row>
    <row r="414" hidden="1" spans="1:42">
      <c r="A414" t="s">
        <v>3168</v>
      </c>
      <c r="B414" t="s">
        <v>1356</v>
      </c>
      <c r="C414" t="s">
        <v>1375</v>
      </c>
      <c r="D414" t="s">
        <v>2833</v>
      </c>
      <c r="F414" t="s">
        <v>1377</v>
      </c>
      <c r="G414" s="45">
        <v>44809.8246759259</v>
      </c>
      <c r="H414" s="45">
        <v>44809.8247569444</v>
      </c>
      <c r="J414" t="s">
        <v>407</v>
      </c>
      <c r="M414">
        <v>39.9</v>
      </c>
      <c r="N414">
        <v>0</v>
      </c>
      <c r="O414">
        <v>0</v>
      </c>
      <c r="P414">
        <v>0</v>
      </c>
      <c r="Q414">
        <v>39.9</v>
      </c>
      <c r="R414">
        <v>39.9</v>
      </c>
      <c r="T414" t="s">
        <v>2068</v>
      </c>
      <c r="U414">
        <v>1</v>
      </c>
      <c r="V414" t="s">
        <v>1364</v>
      </c>
      <c r="X414" t="s">
        <v>642</v>
      </c>
      <c r="Y414" t="s">
        <v>3144</v>
      </c>
      <c r="Z414" t="s">
        <v>1367</v>
      </c>
      <c r="AA414" t="s">
        <v>1943</v>
      </c>
      <c r="AB414" t="s">
        <v>2039</v>
      </c>
      <c r="AC414" t="s">
        <v>3145</v>
      </c>
      <c r="AF414" t="s">
        <v>3146</v>
      </c>
      <c r="AG414" t="s">
        <v>1372</v>
      </c>
      <c r="AH414" t="s">
        <v>3144</v>
      </c>
      <c r="AK414">
        <v>0</v>
      </c>
      <c r="AO414" t="s">
        <v>1372</v>
      </c>
      <c r="AP414" t="s">
        <v>1373</v>
      </c>
    </row>
    <row r="415" hidden="1" spans="1:42">
      <c r="A415" t="s">
        <v>3169</v>
      </c>
      <c r="B415" t="s">
        <v>1356</v>
      </c>
      <c r="C415" t="s">
        <v>1375</v>
      </c>
      <c r="D415" t="s">
        <v>1358</v>
      </c>
      <c r="F415" t="s">
        <v>1377</v>
      </c>
      <c r="G415" s="45">
        <v>44809.8245717593</v>
      </c>
      <c r="H415" s="45">
        <v>44809.8246990741</v>
      </c>
      <c r="J415" t="s">
        <v>407</v>
      </c>
      <c r="M415">
        <v>39.9</v>
      </c>
      <c r="N415">
        <v>0</v>
      </c>
      <c r="O415">
        <v>-1</v>
      </c>
      <c r="P415">
        <v>0</v>
      </c>
      <c r="Q415">
        <v>38.9</v>
      </c>
      <c r="R415">
        <v>38.9</v>
      </c>
      <c r="S415" t="s">
        <v>1414</v>
      </c>
      <c r="T415" t="s">
        <v>2059</v>
      </c>
      <c r="U415">
        <v>1</v>
      </c>
      <c r="V415" t="s">
        <v>1364</v>
      </c>
      <c r="X415" t="s">
        <v>650</v>
      </c>
      <c r="Y415" t="s">
        <v>3170</v>
      </c>
      <c r="Z415" t="s">
        <v>1606</v>
      </c>
      <c r="AA415" t="s">
        <v>2204</v>
      </c>
      <c r="AB415" t="s">
        <v>3171</v>
      </c>
      <c r="AC415" t="s">
        <v>3172</v>
      </c>
      <c r="AF415" t="s">
        <v>3173</v>
      </c>
      <c r="AG415" t="s">
        <v>1372</v>
      </c>
      <c r="AK415">
        <v>0</v>
      </c>
      <c r="AL415" t="s">
        <v>2925</v>
      </c>
      <c r="AO415" t="s">
        <v>1372</v>
      </c>
      <c r="AP415" t="s">
        <v>1373</v>
      </c>
    </row>
    <row r="416" hidden="1" spans="1:42">
      <c r="A416" t="s">
        <v>3174</v>
      </c>
      <c r="B416" t="s">
        <v>1356</v>
      </c>
      <c r="C416" t="s">
        <v>1375</v>
      </c>
      <c r="D416" t="s">
        <v>1358</v>
      </c>
      <c r="F416" t="s">
        <v>1377</v>
      </c>
      <c r="G416" s="45">
        <v>44809.8228125</v>
      </c>
      <c r="H416" s="45">
        <v>44809.8230439815</v>
      </c>
      <c r="J416" t="s">
        <v>407</v>
      </c>
      <c r="M416">
        <v>39.9</v>
      </c>
      <c r="N416">
        <v>0</v>
      </c>
      <c r="O416">
        <v>-2</v>
      </c>
      <c r="P416">
        <v>0</v>
      </c>
      <c r="Q416">
        <v>37.9</v>
      </c>
      <c r="R416">
        <v>37.9</v>
      </c>
      <c r="S416" t="s">
        <v>1400</v>
      </c>
      <c r="T416" t="s">
        <v>1491</v>
      </c>
      <c r="U416">
        <v>1</v>
      </c>
      <c r="V416" t="s">
        <v>1364</v>
      </c>
      <c r="X416" t="s">
        <v>684</v>
      </c>
      <c r="Y416" t="s">
        <v>3175</v>
      </c>
      <c r="Z416" t="s">
        <v>1391</v>
      </c>
      <c r="AA416" t="s">
        <v>2579</v>
      </c>
      <c r="AB416" t="s">
        <v>2580</v>
      </c>
      <c r="AC416" t="s">
        <v>3176</v>
      </c>
      <c r="AF416" t="s">
        <v>3177</v>
      </c>
      <c r="AG416" t="s">
        <v>1385</v>
      </c>
      <c r="AH416" t="s">
        <v>3175</v>
      </c>
      <c r="AK416">
        <v>0</v>
      </c>
      <c r="AL416" t="s">
        <v>2925</v>
      </c>
      <c r="AO416" t="s">
        <v>1372</v>
      </c>
      <c r="AP416" t="s">
        <v>1373</v>
      </c>
    </row>
    <row r="417" hidden="1" spans="1:42">
      <c r="A417" t="s">
        <v>3178</v>
      </c>
      <c r="B417" t="s">
        <v>1356</v>
      </c>
      <c r="C417" t="s">
        <v>1375</v>
      </c>
      <c r="D417" t="s">
        <v>2833</v>
      </c>
      <c r="F417" t="s">
        <v>1377</v>
      </c>
      <c r="G417" s="45">
        <v>44809.8220833333</v>
      </c>
      <c r="H417" s="45">
        <v>44809.8221990741</v>
      </c>
      <c r="J417" t="s">
        <v>407</v>
      </c>
      <c r="M417">
        <v>39.9</v>
      </c>
      <c r="N417">
        <v>0</v>
      </c>
      <c r="O417">
        <v>-2</v>
      </c>
      <c r="P417">
        <v>0</v>
      </c>
      <c r="Q417">
        <v>37.9</v>
      </c>
      <c r="R417">
        <v>37.9</v>
      </c>
      <c r="S417" t="s">
        <v>1400</v>
      </c>
      <c r="T417" t="s">
        <v>1493</v>
      </c>
      <c r="U417">
        <v>1</v>
      </c>
      <c r="V417" t="s">
        <v>1364</v>
      </c>
      <c r="X417" t="s">
        <v>663</v>
      </c>
      <c r="Y417" t="s">
        <v>3179</v>
      </c>
      <c r="Z417" t="s">
        <v>1533</v>
      </c>
      <c r="AA417" t="s">
        <v>3180</v>
      </c>
      <c r="AB417" t="s">
        <v>3181</v>
      </c>
      <c r="AC417" t="s">
        <v>3182</v>
      </c>
      <c r="AF417" t="s">
        <v>3183</v>
      </c>
      <c r="AG417" t="s">
        <v>1385</v>
      </c>
      <c r="AH417" t="s">
        <v>3179</v>
      </c>
      <c r="AK417">
        <v>0</v>
      </c>
      <c r="AL417" t="s">
        <v>2925</v>
      </c>
      <c r="AO417" t="s">
        <v>1372</v>
      </c>
      <c r="AP417" t="s">
        <v>1373</v>
      </c>
    </row>
    <row r="418" hidden="1" spans="1:42">
      <c r="A418" t="s">
        <v>3184</v>
      </c>
      <c r="B418" t="s">
        <v>1356</v>
      </c>
      <c r="C418" t="s">
        <v>1375</v>
      </c>
      <c r="D418" t="s">
        <v>2833</v>
      </c>
      <c r="F418" t="s">
        <v>1377</v>
      </c>
      <c r="G418" s="45">
        <v>44809.8214583333</v>
      </c>
      <c r="H418" s="45">
        <v>44809.8215972222</v>
      </c>
      <c r="J418" t="s">
        <v>407</v>
      </c>
      <c r="M418">
        <v>39.9</v>
      </c>
      <c r="N418">
        <v>0</v>
      </c>
      <c r="O418">
        <v>0</v>
      </c>
      <c r="P418">
        <v>0</v>
      </c>
      <c r="Q418">
        <v>39.9</v>
      </c>
      <c r="R418">
        <v>39.9</v>
      </c>
      <c r="T418" t="s">
        <v>2115</v>
      </c>
      <c r="U418">
        <v>1</v>
      </c>
      <c r="V418" t="s">
        <v>1364</v>
      </c>
      <c r="X418" t="s">
        <v>650</v>
      </c>
      <c r="Y418" t="s">
        <v>3170</v>
      </c>
      <c r="Z418" t="s">
        <v>1606</v>
      </c>
      <c r="AA418" t="s">
        <v>2204</v>
      </c>
      <c r="AB418" t="s">
        <v>3171</v>
      </c>
      <c r="AC418" t="s">
        <v>3172</v>
      </c>
      <c r="AF418" t="s">
        <v>3173</v>
      </c>
      <c r="AG418" t="s">
        <v>1372</v>
      </c>
      <c r="AK418">
        <v>0</v>
      </c>
      <c r="AO418" t="s">
        <v>1372</v>
      </c>
      <c r="AP418" t="s">
        <v>1373</v>
      </c>
    </row>
    <row r="419" hidden="1" spans="1:42">
      <c r="A419" t="s">
        <v>3185</v>
      </c>
      <c r="B419" t="s">
        <v>1356</v>
      </c>
      <c r="C419" t="s">
        <v>1375</v>
      </c>
      <c r="D419" t="s">
        <v>2833</v>
      </c>
      <c r="F419" t="s">
        <v>1377</v>
      </c>
      <c r="G419" s="45">
        <v>44809.8212731481</v>
      </c>
      <c r="H419" s="45">
        <v>44809.8213888889</v>
      </c>
      <c r="J419" t="s">
        <v>407</v>
      </c>
      <c r="M419">
        <v>39.9</v>
      </c>
      <c r="N419">
        <v>0</v>
      </c>
      <c r="O419">
        <v>0</v>
      </c>
      <c r="P419">
        <v>0</v>
      </c>
      <c r="Q419">
        <v>39.9</v>
      </c>
      <c r="R419">
        <v>39.9</v>
      </c>
      <c r="T419" t="s">
        <v>2080</v>
      </c>
      <c r="U419">
        <v>1</v>
      </c>
      <c r="V419" t="s">
        <v>1364</v>
      </c>
      <c r="X419" t="s">
        <v>642</v>
      </c>
      <c r="Y419" t="s">
        <v>3144</v>
      </c>
      <c r="Z419" t="s">
        <v>1367</v>
      </c>
      <c r="AA419" t="s">
        <v>1943</v>
      </c>
      <c r="AB419" t="s">
        <v>2039</v>
      </c>
      <c r="AC419" t="s">
        <v>3145</v>
      </c>
      <c r="AF419" t="s">
        <v>3146</v>
      </c>
      <c r="AG419" t="s">
        <v>1372</v>
      </c>
      <c r="AH419" t="s">
        <v>3144</v>
      </c>
      <c r="AK419">
        <v>0</v>
      </c>
      <c r="AO419" t="s">
        <v>1372</v>
      </c>
      <c r="AP419" t="s">
        <v>1373</v>
      </c>
    </row>
    <row r="420" hidden="1" spans="1:42">
      <c r="A420" t="s">
        <v>3186</v>
      </c>
      <c r="B420" t="s">
        <v>1356</v>
      </c>
      <c r="C420" t="s">
        <v>1375</v>
      </c>
      <c r="D420" t="s">
        <v>2833</v>
      </c>
      <c r="F420" t="s">
        <v>1359</v>
      </c>
      <c r="G420" s="45">
        <v>44809.8185648148</v>
      </c>
      <c r="H420" s="45">
        <v>44809.8188425926</v>
      </c>
      <c r="J420" t="s">
        <v>407</v>
      </c>
      <c r="M420">
        <v>19.9</v>
      </c>
      <c r="N420">
        <v>0</v>
      </c>
      <c r="O420">
        <v>0</v>
      </c>
      <c r="P420">
        <v>0</v>
      </c>
      <c r="Q420">
        <v>19.9</v>
      </c>
      <c r="R420">
        <v>19.9</v>
      </c>
      <c r="T420" t="s">
        <v>1845</v>
      </c>
      <c r="U420">
        <v>1</v>
      </c>
      <c r="V420" t="s">
        <v>1364</v>
      </c>
      <c r="X420" t="s">
        <v>514</v>
      </c>
      <c r="Y420" t="s">
        <v>2916</v>
      </c>
      <c r="Z420" t="s">
        <v>1695</v>
      </c>
      <c r="AA420" t="s">
        <v>2917</v>
      </c>
      <c r="AB420" t="s">
        <v>2918</v>
      </c>
      <c r="AC420" t="s">
        <v>2919</v>
      </c>
      <c r="AF420" t="s">
        <v>1790</v>
      </c>
      <c r="AG420" t="s">
        <v>1385</v>
      </c>
      <c r="AH420" t="s">
        <v>2916</v>
      </c>
      <c r="AK420">
        <v>0</v>
      </c>
      <c r="AO420" t="s">
        <v>1372</v>
      </c>
      <c r="AP420" t="s">
        <v>1373</v>
      </c>
    </row>
    <row r="421" hidden="1" spans="1:42">
      <c r="A421" t="s">
        <v>3187</v>
      </c>
      <c r="B421" t="s">
        <v>1356</v>
      </c>
      <c r="C421" t="s">
        <v>1375</v>
      </c>
      <c r="D421" t="s">
        <v>2833</v>
      </c>
      <c r="F421" t="s">
        <v>1359</v>
      </c>
      <c r="G421" s="45">
        <v>44809.8179282407</v>
      </c>
      <c r="H421" s="45">
        <v>44809.8181712963</v>
      </c>
      <c r="J421" t="s">
        <v>407</v>
      </c>
      <c r="M421">
        <v>19.9</v>
      </c>
      <c r="N421">
        <v>0</v>
      </c>
      <c r="O421">
        <v>0</v>
      </c>
      <c r="P421">
        <v>0</v>
      </c>
      <c r="Q421">
        <v>19.9</v>
      </c>
      <c r="R421">
        <v>19.9</v>
      </c>
      <c r="T421" t="s">
        <v>1527</v>
      </c>
      <c r="U421">
        <v>1</v>
      </c>
      <c r="V421" t="s">
        <v>1364</v>
      </c>
      <c r="X421" t="s">
        <v>706</v>
      </c>
      <c r="Y421" t="s">
        <v>3188</v>
      </c>
      <c r="Z421" t="s">
        <v>1367</v>
      </c>
      <c r="AA421" t="s">
        <v>1615</v>
      </c>
      <c r="AB421" t="s">
        <v>1929</v>
      </c>
      <c r="AC421" t="s">
        <v>3189</v>
      </c>
      <c r="AF421" t="s">
        <v>3190</v>
      </c>
      <c r="AG421" t="s">
        <v>1372</v>
      </c>
      <c r="AH421" t="s">
        <v>3188</v>
      </c>
      <c r="AK421">
        <v>0</v>
      </c>
      <c r="AO421" t="s">
        <v>1372</v>
      </c>
      <c r="AP421" t="s">
        <v>1373</v>
      </c>
    </row>
    <row r="422" hidden="1" spans="1:42">
      <c r="A422" t="s">
        <v>3191</v>
      </c>
      <c r="B422" t="s">
        <v>1356</v>
      </c>
      <c r="C422" t="s">
        <v>1375</v>
      </c>
      <c r="D422" t="s">
        <v>2833</v>
      </c>
      <c r="F422" t="s">
        <v>1377</v>
      </c>
      <c r="G422" s="45">
        <v>44809.817662037</v>
      </c>
      <c r="H422" s="45">
        <v>44809.8178935185</v>
      </c>
      <c r="J422" t="s">
        <v>407</v>
      </c>
      <c r="M422">
        <v>19.9</v>
      </c>
      <c r="N422">
        <v>0</v>
      </c>
      <c r="O422">
        <v>0</v>
      </c>
      <c r="P422">
        <v>0</v>
      </c>
      <c r="Q422">
        <v>19.9</v>
      </c>
      <c r="R422">
        <v>19.9</v>
      </c>
      <c r="T422" t="s">
        <v>2102</v>
      </c>
      <c r="U422">
        <v>1</v>
      </c>
      <c r="V422" t="s">
        <v>1364</v>
      </c>
      <c r="X422" t="s">
        <v>663</v>
      </c>
      <c r="Y422" t="s">
        <v>3179</v>
      </c>
      <c r="Z422" t="s">
        <v>1533</v>
      </c>
      <c r="AA422" t="s">
        <v>3180</v>
      </c>
      <c r="AB422" t="s">
        <v>3181</v>
      </c>
      <c r="AC422" t="s">
        <v>3182</v>
      </c>
      <c r="AF422" t="s">
        <v>3183</v>
      </c>
      <c r="AG422" t="s">
        <v>1385</v>
      </c>
      <c r="AH422" t="s">
        <v>3179</v>
      </c>
      <c r="AK422">
        <v>0</v>
      </c>
      <c r="AL422" t="s">
        <v>2925</v>
      </c>
      <c r="AO422" t="s">
        <v>1372</v>
      </c>
      <c r="AP422" t="s">
        <v>1373</v>
      </c>
    </row>
    <row r="423" hidden="1" spans="1:42">
      <c r="A423" t="s">
        <v>3192</v>
      </c>
      <c r="B423" t="s">
        <v>1356</v>
      </c>
      <c r="C423" t="s">
        <v>1375</v>
      </c>
      <c r="D423" t="s">
        <v>2833</v>
      </c>
      <c r="F423" t="s">
        <v>1359</v>
      </c>
      <c r="G423" s="45">
        <v>44809.817662037</v>
      </c>
      <c r="H423" s="45">
        <v>44809.8178009259</v>
      </c>
      <c r="J423" t="s">
        <v>407</v>
      </c>
      <c r="M423">
        <v>19.9</v>
      </c>
      <c r="N423">
        <v>0</v>
      </c>
      <c r="O423">
        <v>0</v>
      </c>
      <c r="P423">
        <v>0</v>
      </c>
      <c r="Q423">
        <v>19.9</v>
      </c>
      <c r="R423">
        <v>19.9</v>
      </c>
      <c r="T423" t="s">
        <v>1527</v>
      </c>
      <c r="U423">
        <v>1</v>
      </c>
      <c r="V423" t="s">
        <v>1364</v>
      </c>
      <c r="X423" t="s">
        <v>687</v>
      </c>
      <c r="Y423" t="s">
        <v>3193</v>
      </c>
      <c r="Z423" t="s">
        <v>1495</v>
      </c>
      <c r="AA423" t="s">
        <v>2197</v>
      </c>
      <c r="AB423" t="s">
        <v>2776</v>
      </c>
      <c r="AC423" t="s">
        <v>3194</v>
      </c>
      <c r="AF423" t="s">
        <v>3195</v>
      </c>
      <c r="AG423" t="s">
        <v>1385</v>
      </c>
      <c r="AH423" t="s">
        <v>3193</v>
      </c>
      <c r="AK423">
        <v>0</v>
      </c>
      <c r="AO423" t="s">
        <v>1372</v>
      </c>
      <c r="AP423" t="s">
        <v>1373</v>
      </c>
    </row>
    <row r="424" hidden="1" spans="1:42">
      <c r="A424" t="s">
        <v>3196</v>
      </c>
      <c r="B424" t="s">
        <v>1356</v>
      </c>
      <c r="C424" t="s">
        <v>1375</v>
      </c>
      <c r="D424" t="s">
        <v>1358</v>
      </c>
      <c r="F424" t="s">
        <v>1377</v>
      </c>
      <c r="G424" s="45">
        <v>44809.8174421296</v>
      </c>
      <c r="H424" s="45">
        <v>44809.8175462963</v>
      </c>
      <c r="J424" t="s">
        <v>407</v>
      </c>
      <c r="M424">
        <v>19.9</v>
      </c>
      <c r="N424">
        <v>10</v>
      </c>
      <c r="O424">
        <v>0</v>
      </c>
      <c r="P424">
        <v>0</v>
      </c>
      <c r="Q424">
        <v>29.9</v>
      </c>
      <c r="R424">
        <v>29.9</v>
      </c>
      <c r="T424" t="s">
        <v>1540</v>
      </c>
      <c r="U424">
        <v>1</v>
      </c>
      <c r="V424" t="s">
        <v>1364</v>
      </c>
      <c r="X424" t="s">
        <v>685</v>
      </c>
      <c r="Y424" t="s">
        <v>3197</v>
      </c>
      <c r="Z424" t="s">
        <v>2298</v>
      </c>
      <c r="AA424" t="s">
        <v>3198</v>
      </c>
      <c r="AB424" t="s">
        <v>3199</v>
      </c>
      <c r="AC424" t="s">
        <v>3200</v>
      </c>
      <c r="AF424" t="s">
        <v>3201</v>
      </c>
      <c r="AG424" t="s">
        <v>1372</v>
      </c>
      <c r="AK424">
        <v>0</v>
      </c>
      <c r="AL424" t="s">
        <v>2925</v>
      </c>
      <c r="AO424" t="s">
        <v>1372</v>
      </c>
      <c r="AP424" t="s">
        <v>1373</v>
      </c>
    </row>
    <row r="425" hidden="1" spans="1:42">
      <c r="A425" t="s">
        <v>3202</v>
      </c>
      <c r="B425" t="s">
        <v>1356</v>
      </c>
      <c r="C425" t="s">
        <v>1375</v>
      </c>
      <c r="D425" t="s">
        <v>2833</v>
      </c>
      <c r="F425" t="s">
        <v>1377</v>
      </c>
      <c r="G425" s="45">
        <v>44809.8169328704</v>
      </c>
      <c r="H425" s="45">
        <v>44809.8171643519</v>
      </c>
      <c r="J425" t="s">
        <v>407</v>
      </c>
      <c r="M425">
        <v>19.9</v>
      </c>
      <c r="N425">
        <v>0</v>
      </c>
      <c r="O425">
        <v>0</v>
      </c>
      <c r="P425">
        <v>0</v>
      </c>
      <c r="Q425">
        <v>19.9</v>
      </c>
      <c r="R425">
        <v>19.9</v>
      </c>
      <c r="T425" t="s">
        <v>1831</v>
      </c>
      <c r="U425">
        <v>1</v>
      </c>
      <c r="V425" t="s">
        <v>1364</v>
      </c>
      <c r="X425" t="s">
        <v>650</v>
      </c>
      <c r="Y425" t="s">
        <v>3170</v>
      </c>
      <c r="Z425" t="s">
        <v>1606</v>
      </c>
      <c r="AA425" t="s">
        <v>2204</v>
      </c>
      <c r="AB425" t="s">
        <v>3171</v>
      </c>
      <c r="AC425" t="s">
        <v>3172</v>
      </c>
      <c r="AF425" t="s">
        <v>3203</v>
      </c>
      <c r="AG425" t="s">
        <v>1372</v>
      </c>
      <c r="AK425">
        <v>0</v>
      </c>
      <c r="AO425" t="s">
        <v>1372</v>
      </c>
      <c r="AP425" t="s">
        <v>1373</v>
      </c>
    </row>
    <row r="426" hidden="1" spans="1:42">
      <c r="A426" t="s">
        <v>3204</v>
      </c>
      <c r="B426" t="s">
        <v>1356</v>
      </c>
      <c r="C426" t="s">
        <v>1375</v>
      </c>
      <c r="D426" t="s">
        <v>2833</v>
      </c>
      <c r="F426" t="s">
        <v>1359</v>
      </c>
      <c r="G426" s="45">
        <v>44809.8166550926</v>
      </c>
      <c r="H426" s="45">
        <v>44809.8167708333</v>
      </c>
      <c r="J426" t="s">
        <v>1360</v>
      </c>
      <c r="K426" t="s">
        <v>3205</v>
      </c>
      <c r="L426" t="s">
        <v>3206</v>
      </c>
      <c r="M426">
        <v>134.64</v>
      </c>
      <c r="N426">
        <v>0</v>
      </c>
      <c r="O426">
        <v>-7</v>
      </c>
      <c r="P426">
        <v>0</v>
      </c>
      <c r="Q426">
        <v>127.64</v>
      </c>
      <c r="R426">
        <v>127.64</v>
      </c>
      <c r="S426" t="s">
        <v>2550</v>
      </c>
      <c r="T426" t="s">
        <v>3207</v>
      </c>
      <c r="U426">
        <v>1</v>
      </c>
      <c r="V426" t="s">
        <v>1364</v>
      </c>
      <c r="X426" t="s">
        <v>3208</v>
      </c>
      <c r="Y426" t="s">
        <v>3209</v>
      </c>
      <c r="Z426" t="s">
        <v>1853</v>
      </c>
      <c r="AA426" t="s">
        <v>3210</v>
      </c>
      <c r="AB426" t="s">
        <v>3211</v>
      </c>
      <c r="AC426" t="s">
        <v>3212</v>
      </c>
      <c r="AF426" t="s">
        <v>3213</v>
      </c>
      <c r="AG426" t="s">
        <v>1385</v>
      </c>
      <c r="AH426" t="s">
        <v>3209</v>
      </c>
      <c r="AK426">
        <v>0</v>
      </c>
      <c r="AO426" t="s">
        <v>1372</v>
      </c>
      <c r="AP426" t="s">
        <v>1373</v>
      </c>
    </row>
    <row r="427" hidden="1" spans="1:42">
      <c r="A427" t="s">
        <v>3214</v>
      </c>
      <c r="B427" t="s">
        <v>1356</v>
      </c>
      <c r="C427" t="s">
        <v>1375</v>
      </c>
      <c r="D427" t="s">
        <v>2833</v>
      </c>
      <c r="F427" t="s">
        <v>1359</v>
      </c>
      <c r="G427" s="45">
        <v>44809.7964236111</v>
      </c>
      <c r="H427" s="45">
        <v>44809.7965393519</v>
      </c>
      <c r="J427" t="s">
        <v>1360</v>
      </c>
      <c r="K427" t="s">
        <v>3215</v>
      </c>
      <c r="L427" t="s">
        <v>3216</v>
      </c>
      <c r="M427">
        <v>136.22</v>
      </c>
      <c r="N427">
        <v>0</v>
      </c>
      <c r="O427">
        <v>-5</v>
      </c>
      <c r="P427">
        <v>0</v>
      </c>
      <c r="Q427">
        <v>131.22</v>
      </c>
      <c r="R427">
        <v>131.22</v>
      </c>
      <c r="S427" t="s">
        <v>1422</v>
      </c>
      <c r="T427" t="s">
        <v>3217</v>
      </c>
      <c r="U427">
        <v>1</v>
      </c>
      <c r="V427" t="s">
        <v>1364</v>
      </c>
      <c r="X427" t="s">
        <v>480</v>
      </c>
      <c r="Y427" t="s">
        <v>2123</v>
      </c>
      <c r="Z427" t="s">
        <v>1367</v>
      </c>
      <c r="AA427" t="s">
        <v>2124</v>
      </c>
      <c r="AB427" t="s">
        <v>2124</v>
      </c>
      <c r="AC427" t="s">
        <v>2125</v>
      </c>
      <c r="AF427" t="s">
        <v>2126</v>
      </c>
      <c r="AG427" t="s">
        <v>1385</v>
      </c>
      <c r="AH427" t="s">
        <v>2127</v>
      </c>
      <c r="AK427">
        <v>0</v>
      </c>
      <c r="AL427" t="s">
        <v>3094</v>
      </c>
      <c r="AO427" t="s">
        <v>1372</v>
      </c>
      <c r="AP427" t="s">
        <v>1373</v>
      </c>
    </row>
    <row r="428" hidden="1" spans="1:42">
      <c r="A428" t="s">
        <v>3218</v>
      </c>
      <c r="B428" t="s">
        <v>1356</v>
      </c>
      <c r="C428" t="s">
        <v>1375</v>
      </c>
      <c r="D428" t="s">
        <v>2833</v>
      </c>
      <c r="F428" t="s">
        <v>1377</v>
      </c>
      <c r="G428" s="45">
        <v>44812.0114930556</v>
      </c>
      <c r="H428" s="45">
        <v>44812.0115972222</v>
      </c>
      <c r="J428" t="s">
        <v>407</v>
      </c>
      <c r="M428">
        <v>139</v>
      </c>
      <c r="N428">
        <v>0</v>
      </c>
      <c r="O428">
        <v>-5</v>
      </c>
      <c r="P428">
        <v>0</v>
      </c>
      <c r="Q428">
        <v>134</v>
      </c>
      <c r="R428">
        <v>134</v>
      </c>
      <c r="S428" t="s">
        <v>1422</v>
      </c>
      <c r="T428" t="s">
        <v>3219</v>
      </c>
      <c r="U428">
        <v>1</v>
      </c>
      <c r="V428" t="s">
        <v>1364</v>
      </c>
      <c r="X428" t="s">
        <v>374</v>
      </c>
      <c r="Y428" t="s">
        <v>3220</v>
      </c>
      <c r="Z428" t="s">
        <v>1478</v>
      </c>
      <c r="AA428" t="s">
        <v>2994</v>
      </c>
      <c r="AB428" t="s">
        <v>3221</v>
      </c>
      <c r="AC428" t="s">
        <v>3222</v>
      </c>
      <c r="AF428" t="s">
        <v>3223</v>
      </c>
      <c r="AG428" t="s">
        <v>1372</v>
      </c>
      <c r="AK428">
        <v>0</v>
      </c>
      <c r="AL428" t="s">
        <v>3224</v>
      </c>
      <c r="AO428" t="s">
        <v>1372</v>
      </c>
      <c r="AP428" t="s">
        <v>1373</v>
      </c>
    </row>
    <row r="429" hidden="1" spans="1:42">
      <c r="A429" t="s">
        <v>3225</v>
      </c>
      <c r="B429" t="s">
        <v>1356</v>
      </c>
      <c r="C429" t="s">
        <v>1375</v>
      </c>
      <c r="D429" t="s">
        <v>2833</v>
      </c>
      <c r="F429" t="s">
        <v>1377</v>
      </c>
      <c r="G429" s="45">
        <v>44812.0047453704</v>
      </c>
      <c r="H429" s="45">
        <v>44812.004849537</v>
      </c>
      <c r="J429" t="s">
        <v>407</v>
      </c>
      <c r="M429">
        <v>219</v>
      </c>
      <c r="N429">
        <v>0</v>
      </c>
      <c r="O429">
        <v>-5</v>
      </c>
      <c r="P429">
        <v>0</v>
      </c>
      <c r="Q429">
        <v>214</v>
      </c>
      <c r="R429">
        <v>214</v>
      </c>
      <c r="S429" t="s">
        <v>1422</v>
      </c>
      <c r="T429" t="s">
        <v>3226</v>
      </c>
      <c r="U429">
        <v>1</v>
      </c>
      <c r="V429" t="s">
        <v>1364</v>
      </c>
      <c r="X429" t="s">
        <v>374</v>
      </c>
      <c r="Y429" t="s">
        <v>3220</v>
      </c>
      <c r="Z429" t="s">
        <v>1478</v>
      </c>
      <c r="AA429" t="s">
        <v>2994</v>
      </c>
      <c r="AB429" t="s">
        <v>3221</v>
      </c>
      <c r="AC429" t="s">
        <v>3222</v>
      </c>
      <c r="AF429" t="s">
        <v>3227</v>
      </c>
      <c r="AG429" t="s">
        <v>1372</v>
      </c>
      <c r="AK429">
        <v>0</v>
      </c>
      <c r="AO429" t="s">
        <v>1372</v>
      </c>
      <c r="AP429" t="s">
        <v>1373</v>
      </c>
    </row>
    <row r="430" hidden="1" spans="1:42">
      <c r="A430" t="s">
        <v>3228</v>
      </c>
      <c r="B430" t="s">
        <v>1356</v>
      </c>
      <c r="C430" t="s">
        <v>1375</v>
      </c>
      <c r="D430" t="s">
        <v>2833</v>
      </c>
      <c r="F430" t="s">
        <v>1377</v>
      </c>
      <c r="G430" s="45">
        <v>44812.0045949074</v>
      </c>
      <c r="H430" s="45">
        <v>44812.9954861111</v>
      </c>
      <c r="J430" t="s">
        <v>407</v>
      </c>
      <c r="M430">
        <v>219</v>
      </c>
      <c r="N430">
        <v>0</v>
      </c>
      <c r="O430">
        <v>0</v>
      </c>
      <c r="P430">
        <v>0</v>
      </c>
      <c r="Q430">
        <v>219</v>
      </c>
      <c r="R430">
        <v>219</v>
      </c>
      <c r="T430" t="s">
        <v>3229</v>
      </c>
      <c r="U430">
        <v>1</v>
      </c>
      <c r="V430" t="s">
        <v>1364</v>
      </c>
      <c r="X430" t="s">
        <v>855</v>
      </c>
      <c r="Y430" t="s">
        <v>3230</v>
      </c>
      <c r="Z430" t="s">
        <v>3108</v>
      </c>
      <c r="AA430" t="s">
        <v>3124</v>
      </c>
      <c r="AB430" t="s">
        <v>3231</v>
      </c>
      <c r="AC430" t="s">
        <v>3232</v>
      </c>
      <c r="AF430" t="s">
        <v>3233</v>
      </c>
      <c r="AG430" t="s">
        <v>1385</v>
      </c>
      <c r="AH430" t="s">
        <v>3230</v>
      </c>
      <c r="AK430">
        <v>0</v>
      </c>
      <c r="AO430" t="s">
        <v>1372</v>
      </c>
      <c r="AP430" t="s">
        <v>1373</v>
      </c>
    </row>
    <row r="431" hidden="1" spans="1:42">
      <c r="A431" t="s">
        <v>3234</v>
      </c>
      <c r="B431" t="s">
        <v>1356</v>
      </c>
      <c r="C431" t="s">
        <v>1375</v>
      </c>
      <c r="D431" t="s">
        <v>1780</v>
      </c>
      <c r="F431" t="s">
        <v>1377</v>
      </c>
      <c r="G431" s="45">
        <v>44812.0025347222</v>
      </c>
      <c r="M431">
        <v>259</v>
      </c>
      <c r="N431">
        <v>0</v>
      </c>
      <c r="O431">
        <v>-1</v>
      </c>
      <c r="P431">
        <v>0</v>
      </c>
      <c r="Q431">
        <v>258</v>
      </c>
      <c r="R431">
        <v>0</v>
      </c>
      <c r="S431" t="s">
        <v>1414</v>
      </c>
      <c r="T431" t="s">
        <v>3235</v>
      </c>
      <c r="U431">
        <v>1</v>
      </c>
      <c r="V431" t="s">
        <v>1364</v>
      </c>
      <c r="X431" t="s">
        <v>855</v>
      </c>
      <c r="Y431" t="s">
        <v>3230</v>
      </c>
      <c r="Z431" t="s">
        <v>3108</v>
      </c>
      <c r="AA431" t="s">
        <v>3124</v>
      </c>
      <c r="AB431" t="s">
        <v>3231</v>
      </c>
      <c r="AC431" t="s">
        <v>3232</v>
      </c>
      <c r="AF431" t="s">
        <v>3233</v>
      </c>
      <c r="AG431" t="s">
        <v>1385</v>
      </c>
      <c r="AH431" t="s">
        <v>3230</v>
      </c>
      <c r="AK431">
        <v>0</v>
      </c>
      <c r="AO431" t="s">
        <v>1372</v>
      </c>
      <c r="AP431" t="s">
        <v>1373</v>
      </c>
    </row>
    <row r="432" hidden="1" spans="1:42">
      <c r="A432" t="s">
        <v>3236</v>
      </c>
      <c r="B432" t="s">
        <v>1356</v>
      </c>
      <c r="C432" t="s">
        <v>1375</v>
      </c>
      <c r="D432" t="s">
        <v>1780</v>
      </c>
      <c r="F432" t="s">
        <v>1377</v>
      </c>
      <c r="G432" s="45">
        <v>44812.0018402778</v>
      </c>
      <c r="M432">
        <v>39.9</v>
      </c>
      <c r="N432">
        <v>0</v>
      </c>
      <c r="O432">
        <v>-3</v>
      </c>
      <c r="P432">
        <v>0</v>
      </c>
      <c r="Q432">
        <v>36.9</v>
      </c>
      <c r="R432">
        <v>0</v>
      </c>
      <c r="S432" t="s">
        <v>1397</v>
      </c>
      <c r="T432" t="s">
        <v>2658</v>
      </c>
      <c r="U432">
        <v>1</v>
      </c>
      <c r="V432" t="s">
        <v>1364</v>
      </c>
      <c r="X432" t="s">
        <v>707</v>
      </c>
      <c r="Y432" t="s">
        <v>3237</v>
      </c>
      <c r="Z432" t="s">
        <v>2509</v>
      </c>
      <c r="AA432" t="s">
        <v>3238</v>
      </c>
      <c r="AB432" t="s">
        <v>3239</v>
      </c>
      <c r="AC432" t="s">
        <v>3240</v>
      </c>
      <c r="AF432" t="s">
        <v>3241</v>
      </c>
      <c r="AG432" t="s">
        <v>1372</v>
      </c>
      <c r="AH432" t="s">
        <v>3237</v>
      </c>
      <c r="AK432">
        <v>0</v>
      </c>
      <c r="AO432" t="s">
        <v>1372</v>
      </c>
      <c r="AP432" t="s">
        <v>1373</v>
      </c>
    </row>
    <row r="433" hidden="1" spans="1:42">
      <c r="A433" t="s">
        <v>3242</v>
      </c>
      <c r="B433" t="s">
        <v>1356</v>
      </c>
      <c r="C433" t="s">
        <v>1375</v>
      </c>
      <c r="D433" t="s">
        <v>1780</v>
      </c>
      <c r="F433" t="s">
        <v>1377</v>
      </c>
      <c r="G433" s="45">
        <v>44812.001400463</v>
      </c>
      <c r="M433">
        <v>39.9</v>
      </c>
      <c r="N433">
        <v>0</v>
      </c>
      <c r="O433">
        <v>-3</v>
      </c>
      <c r="P433">
        <v>0</v>
      </c>
      <c r="Q433">
        <v>36.9</v>
      </c>
      <c r="R433">
        <v>0</v>
      </c>
      <c r="S433" t="s">
        <v>1397</v>
      </c>
      <c r="T433" t="s">
        <v>3243</v>
      </c>
      <c r="U433">
        <v>1</v>
      </c>
      <c r="V433" t="s">
        <v>1364</v>
      </c>
      <c r="X433" t="s">
        <v>707</v>
      </c>
      <c r="Y433" t="s">
        <v>3237</v>
      </c>
      <c r="Z433" t="s">
        <v>2509</v>
      </c>
      <c r="AA433" t="s">
        <v>3238</v>
      </c>
      <c r="AB433" t="s">
        <v>3239</v>
      </c>
      <c r="AC433" t="s">
        <v>3240</v>
      </c>
      <c r="AF433" t="s">
        <v>3241</v>
      </c>
      <c r="AG433" t="s">
        <v>1372</v>
      </c>
      <c r="AH433" t="s">
        <v>3237</v>
      </c>
      <c r="AK433">
        <v>0</v>
      </c>
      <c r="AO433" t="s">
        <v>1372</v>
      </c>
      <c r="AP433" t="s">
        <v>1373</v>
      </c>
    </row>
    <row r="434" hidden="1" spans="1:42">
      <c r="A434" t="s">
        <v>3244</v>
      </c>
      <c r="B434" t="s">
        <v>1356</v>
      </c>
      <c r="C434" t="s">
        <v>1375</v>
      </c>
      <c r="D434" t="s">
        <v>2833</v>
      </c>
      <c r="F434" t="s">
        <v>1377</v>
      </c>
      <c r="G434" s="45">
        <v>44812.0007060185</v>
      </c>
      <c r="H434" s="45">
        <v>44812.0008101852</v>
      </c>
      <c r="J434" t="s">
        <v>407</v>
      </c>
      <c r="M434">
        <v>259</v>
      </c>
      <c r="N434">
        <v>0</v>
      </c>
      <c r="O434">
        <v>0</v>
      </c>
      <c r="P434">
        <v>0</v>
      </c>
      <c r="Q434">
        <v>259</v>
      </c>
      <c r="R434">
        <v>259</v>
      </c>
      <c r="T434" t="s">
        <v>3245</v>
      </c>
      <c r="U434">
        <v>1</v>
      </c>
      <c r="V434" t="s">
        <v>1364</v>
      </c>
      <c r="X434" t="s">
        <v>374</v>
      </c>
      <c r="Y434" t="s">
        <v>3220</v>
      </c>
      <c r="Z434" t="s">
        <v>1478</v>
      </c>
      <c r="AA434" t="s">
        <v>2994</v>
      </c>
      <c r="AB434" t="s">
        <v>3221</v>
      </c>
      <c r="AC434" t="s">
        <v>3222</v>
      </c>
      <c r="AF434" t="s">
        <v>3227</v>
      </c>
      <c r="AG434" t="s">
        <v>1372</v>
      </c>
      <c r="AK434">
        <v>0</v>
      </c>
      <c r="AO434" t="s">
        <v>1372</v>
      </c>
      <c r="AP434" t="s">
        <v>1373</v>
      </c>
    </row>
    <row r="435" hidden="1" spans="1:42">
      <c r="A435" t="s">
        <v>3246</v>
      </c>
      <c r="B435" t="s">
        <v>1356</v>
      </c>
      <c r="C435" t="s">
        <v>1375</v>
      </c>
      <c r="D435" t="s">
        <v>1780</v>
      </c>
      <c r="F435" t="s">
        <v>1377</v>
      </c>
      <c r="G435" s="45">
        <v>44812.0000925926</v>
      </c>
      <c r="M435">
        <v>259</v>
      </c>
      <c r="N435">
        <v>0</v>
      </c>
      <c r="O435">
        <v>0</v>
      </c>
      <c r="P435">
        <v>0</v>
      </c>
      <c r="Q435">
        <v>259</v>
      </c>
      <c r="R435">
        <v>0</v>
      </c>
      <c r="T435" t="s">
        <v>3245</v>
      </c>
      <c r="U435">
        <v>1</v>
      </c>
      <c r="V435" t="s">
        <v>1364</v>
      </c>
      <c r="X435" t="s">
        <v>374</v>
      </c>
      <c r="Y435" t="s">
        <v>3220</v>
      </c>
      <c r="Z435" t="s">
        <v>1478</v>
      </c>
      <c r="AA435" t="s">
        <v>2994</v>
      </c>
      <c r="AB435" t="s">
        <v>3221</v>
      </c>
      <c r="AC435" t="s">
        <v>3222</v>
      </c>
      <c r="AF435" t="s">
        <v>3227</v>
      </c>
      <c r="AG435" t="s">
        <v>1372</v>
      </c>
      <c r="AK435">
        <v>0</v>
      </c>
      <c r="AO435" t="s">
        <v>1372</v>
      </c>
      <c r="AP435" t="s">
        <v>1373</v>
      </c>
    </row>
    <row r="436" hidden="1" spans="1:42">
      <c r="A436" t="s">
        <v>3247</v>
      </c>
      <c r="B436" t="s">
        <v>1356</v>
      </c>
      <c r="C436" t="s">
        <v>1375</v>
      </c>
      <c r="D436" t="s">
        <v>1780</v>
      </c>
      <c r="F436" t="s">
        <v>1377</v>
      </c>
      <c r="G436" s="45">
        <v>44811.997349537</v>
      </c>
      <c r="M436">
        <v>39.9</v>
      </c>
      <c r="N436">
        <v>0</v>
      </c>
      <c r="O436">
        <v>-3</v>
      </c>
      <c r="P436">
        <v>0</v>
      </c>
      <c r="Q436">
        <v>36.9</v>
      </c>
      <c r="R436">
        <v>0</v>
      </c>
      <c r="S436" t="s">
        <v>1397</v>
      </c>
      <c r="T436" t="s">
        <v>2658</v>
      </c>
      <c r="U436">
        <v>1</v>
      </c>
      <c r="V436" t="s">
        <v>1364</v>
      </c>
      <c r="X436" t="s">
        <v>707</v>
      </c>
      <c r="Y436" t="s">
        <v>3237</v>
      </c>
      <c r="Z436" t="s">
        <v>2509</v>
      </c>
      <c r="AA436" t="s">
        <v>3238</v>
      </c>
      <c r="AB436" t="s">
        <v>3239</v>
      </c>
      <c r="AC436" t="s">
        <v>3240</v>
      </c>
      <c r="AF436" t="s">
        <v>3241</v>
      </c>
      <c r="AG436" t="s">
        <v>1372</v>
      </c>
      <c r="AH436" t="s">
        <v>3237</v>
      </c>
      <c r="AK436">
        <v>0</v>
      </c>
      <c r="AO436" t="s">
        <v>1372</v>
      </c>
      <c r="AP436" t="s">
        <v>1373</v>
      </c>
    </row>
    <row r="437" hidden="1" spans="1:42">
      <c r="A437" t="s">
        <v>3248</v>
      </c>
      <c r="B437" t="s">
        <v>1356</v>
      </c>
      <c r="C437" t="s">
        <v>1375</v>
      </c>
      <c r="D437" t="s">
        <v>2833</v>
      </c>
      <c r="F437" t="s">
        <v>1377</v>
      </c>
      <c r="G437" s="45">
        <v>44811.9946875</v>
      </c>
      <c r="H437" s="45">
        <v>44811.9947916667</v>
      </c>
      <c r="J437" t="s">
        <v>407</v>
      </c>
      <c r="M437">
        <v>39.9</v>
      </c>
      <c r="N437">
        <v>0</v>
      </c>
      <c r="O437">
        <v>-3</v>
      </c>
      <c r="P437">
        <v>0</v>
      </c>
      <c r="Q437">
        <v>36.9</v>
      </c>
      <c r="R437">
        <v>36.9</v>
      </c>
      <c r="S437" t="s">
        <v>1397</v>
      </c>
      <c r="T437" t="s">
        <v>2070</v>
      </c>
      <c r="U437">
        <v>1</v>
      </c>
      <c r="V437" t="s">
        <v>1364</v>
      </c>
      <c r="X437" t="s">
        <v>374</v>
      </c>
      <c r="Y437" t="s">
        <v>3220</v>
      </c>
      <c r="Z437" t="s">
        <v>1478</v>
      </c>
      <c r="AA437" t="s">
        <v>2994</v>
      </c>
      <c r="AB437" t="s">
        <v>3221</v>
      </c>
      <c r="AC437" t="s">
        <v>3222</v>
      </c>
      <c r="AF437" t="s">
        <v>3227</v>
      </c>
      <c r="AG437" t="s">
        <v>1372</v>
      </c>
      <c r="AK437">
        <v>0</v>
      </c>
      <c r="AL437" t="s">
        <v>3249</v>
      </c>
      <c r="AO437" t="s">
        <v>1372</v>
      </c>
      <c r="AP437" t="s">
        <v>1373</v>
      </c>
    </row>
    <row r="438" hidden="1" spans="1:42">
      <c r="A438" t="s">
        <v>3250</v>
      </c>
      <c r="B438" t="s">
        <v>1356</v>
      </c>
      <c r="C438" t="s">
        <v>1375</v>
      </c>
      <c r="D438" t="s">
        <v>2833</v>
      </c>
      <c r="F438" t="s">
        <v>1377</v>
      </c>
      <c r="G438" s="45">
        <v>44811.9911574074</v>
      </c>
      <c r="H438" s="45">
        <v>44811.9913310185</v>
      </c>
      <c r="J438" t="s">
        <v>407</v>
      </c>
      <c r="M438">
        <v>19.9</v>
      </c>
      <c r="N438">
        <v>0</v>
      </c>
      <c r="O438">
        <v>0</v>
      </c>
      <c r="P438">
        <v>0</v>
      </c>
      <c r="Q438">
        <v>19.9</v>
      </c>
      <c r="R438">
        <v>19.9</v>
      </c>
      <c r="T438" t="s">
        <v>3251</v>
      </c>
      <c r="U438">
        <v>1</v>
      </c>
      <c r="V438" t="s">
        <v>1364</v>
      </c>
      <c r="X438" t="s">
        <v>758</v>
      </c>
      <c r="Y438" t="s">
        <v>3252</v>
      </c>
      <c r="Z438" t="s">
        <v>1495</v>
      </c>
      <c r="AA438" t="s">
        <v>3090</v>
      </c>
      <c r="AB438" t="s">
        <v>3253</v>
      </c>
      <c r="AC438" t="s">
        <v>3254</v>
      </c>
      <c r="AF438" t="s">
        <v>3255</v>
      </c>
      <c r="AG438" t="s">
        <v>1372</v>
      </c>
      <c r="AK438">
        <v>0</v>
      </c>
      <c r="AO438" t="s">
        <v>1372</v>
      </c>
      <c r="AP438" t="s">
        <v>1373</v>
      </c>
    </row>
    <row r="439" hidden="1" spans="1:42">
      <c r="A439" t="s">
        <v>3256</v>
      </c>
      <c r="B439" t="s">
        <v>1356</v>
      </c>
      <c r="C439" t="s">
        <v>1375</v>
      </c>
      <c r="D439" t="s">
        <v>2833</v>
      </c>
      <c r="F439" t="s">
        <v>1377</v>
      </c>
      <c r="G439" s="45">
        <v>44811.9907291667</v>
      </c>
      <c r="H439" s="45">
        <v>44811.9908333333</v>
      </c>
      <c r="J439" t="s">
        <v>407</v>
      </c>
      <c r="M439">
        <v>39.9</v>
      </c>
      <c r="N439">
        <v>0</v>
      </c>
      <c r="O439">
        <v>-3</v>
      </c>
      <c r="P439">
        <v>0</v>
      </c>
      <c r="Q439">
        <v>36.9</v>
      </c>
      <c r="R439">
        <v>36.9</v>
      </c>
      <c r="S439" t="s">
        <v>1397</v>
      </c>
      <c r="T439" t="s">
        <v>1913</v>
      </c>
      <c r="U439">
        <v>1</v>
      </c>
      <c r="V439" t="s">
        <v>1364</v>
      </c>
      <c r="X439" t="s">
        <v>374</v>
      </c>
      <c r="Y439" t="s">
        <v>3220</v>
      </c>
      <c r="Z439" t="s">
        <v>1478</v>
      </c>
      <c r="AA439" t="s">
        <v>2994</v>
      </c>
      <c r="AB439" t="s">
        <v>3221</v>
      </c>
      <c r="AC439" t="s">
        <v>3222</v>
      </c>
      <c r="AF439" t="s">
        <v>3227</v>
      </c>
      <c r="AG439" t="s">
        <v>1372</v>
      </c>
      <c r="AK439">
        <v>0</v>
      </c>
      <c r="AO439" t="s">
        <v>1372</v>
      </c>
      <c r="AP439" t="s">
        <v>1373</v>
      </c>
    </row>
    <row r="440" hidden="1" spans="1:42">
      <c r="A440" t="s">
        <v>3257</v>
      </c>
      <c r="B440" t="s">
        <v>1356</v>
      </c>
      <c r="C440" t="s">
        <v>1375</v>
      </c>
      <c r="D440" t="s">
        <v>2833</v>
      </c>
      <c r="F440" t="s">
        <v>1377</v>
      </c>
      <c r="G440" s="45">
        <v>44811.989837963</v>
      </c>
      <c r="H440" s="45">
        <v>44811.9899421296</v>
      </c>
      <c r="J440" t="s">
        <v>407</v>
      </c>
      <c r="M440">
        <v>19.9</v>
      </c>
      <c r="N440">
        <v>0</v>
      </c>
      <c r="O440">
        <v>0</v>
      </c>
      <c r="P440">
        <v>0</v>
      </c>
      <c r="Q440">
        <v>19.9</v>
      </c>
      <c r="R440">
        <v>19.9</v>
      </c>
      <c r="T440" t="s">
        <v>1845</v>
      </c>
      <c r="U440">
        <v>1</v>
      </c>
      <c r="V440" t="s">
        <v>1364</v>
      </c>
      <c r="X440" t="s">
        <v>374</v>
      </c>
      <c r="Y440" t="s">
        <v>3220</v>
      </c>
      <c r="Z440" t="s">
        <v>1478</v>
      </c>
      <c r="AA440" t="s">
        <v>2994</v>
      </c>
      <c r="AB440" t="s">
        <v>3221</v>
      </c>
      <c r="AC440" t="s">
        <v>3222</v>
      </c>
      <c r="AF440" t="s">
        <v>3227</v>
      </c>
      <c r="AG440" t="s">
        <v>1372</v>
      </c>
      <c r="AK440">
        <v>0</v>
      </c>
      <c r="AO440" t="s">
        <v>1372</v>
      </c>
      <c r="AP440" t="s">
        <v>1373</v>
      </c>
    </row>
    <row r="441" hidden="1" spans="1:42">
      <c r="A441" t="s">
        <v>3258</v>
      </c>
      <c r="B441" t="s">
        <v>1356</v>
      </c>
      <c r="C441" t="s">
        <v>1375</v>
      </c>
      <c r="D441" t="s">
        <v>2833</v>
      </c>
      <c r="F441" t="s">
        <v>1377</v>
      </c>
      <c r="G441" s="45">
        <v>44811.985462963</v>
      </c>
      <c r="H441" s="45">
        <v>44811.9855787037</v>
      </c>
      <c r="J441" t="s">
        <v>407</v>
      </c>
      <c r="M441">
        <v>249</v>
      </c>
      <c r="N441">
        <v>0</v>
      </c>
      <c r="O441">
        <v>0</v>
      </c>
      <c r="P441">
        <v>0</v>
      </c>
      <c r="Q441">
        <v>249</v>
      </c>
      <c r="R441">
        <v>249</v>
      </c>
      <c r="T441" t="s">
        <v>3259</v>
      </c>
      <c r="U441">
        <v>1</v>
      </c>
      <c r="V441" t="s">
        <v>1364</v>
      </c>
      <c r="X441" t="s">
        <v>374</v>
      </c>
      <c r="Y441" t="s">
        <v>3220</v>
      </c>
      <c r="Z441" t="s">
        <v>1478</v>
      </c>
      <c r="AA441" t="s">
        <v>2994</v>
      </c>
      <c r="AB441" t="s">
        <v>3221</v>
      </c>
      <c r="AC441" t="s">
        <v>3222</v>
      </c>
      <c r="AF441" t="s">
        <v>3227</v>
      </c>
      <c r="AG441" t="s">
        <v>1372</v>
      </c>
      <c r="AK441">
        <v>0</v>
      </c>
      <c r="AO441" t="s">
        <v>1372</v>
      </c>
      <c r="AP441" t="s">
        <v>1373</v>
      </c>
    </row>
    <row r="442" hidden="1" spans="1:42">
      <c r="A442" t="s">
        <v>3260</v>
      </c>
      <c r="B442" t="s">
        <v>1356</v>
      </c>
      <c r="C442" t="s">
        <v>1375</v>
      </c>
      <c r="D442" t="s">
        <v>2833</v>
      </c>
      <c r="F442" t="s">
        <v>1377</v>
      </c>
      <c r="G442" s="45">
        <v>44811.98375</v>
      </c>
      <c r="H442" s="45">
        <v>44811.983900463</v>
      </c>
      <c r="J442" t="s">
        <v>407</v>
      </c>
      <c r="M442">
        <v>249</v>
      </c>
      <c r="N442">
        <v>0</v>
      </c>
      <c r="O442">
        <v>0</v>
      </c>
      <c r="P442">
        <v>0</v>
      </c>
      <c r="Q442">
        <v>249</v>
      </c>
      <c r="R442">
        <v>249</v>
      </c>
      <c r="T442" t="s">
        <v>3261</v>
      </c>
      <c r="U442">
        <v>1</v>
      </c>
      <c r="V442" t="s">
        <v>1364</v>
      </c>
      <c r="X442" t="s">
        <v>727</v>
      </c>
      <c r="Y442" t="s">
        <v>3262</v>
      </c>
      <c r="Z442" t="s">
        <v>1367</v>
      </c>
      <c r="AA442" t="s">
        <v>3150</v>
      </c>
      <c r="AB442" t="s">
        <v>3263</v>
      </c>
      <c r="AC442" t="s">
        <v>3264</v>
      </c>
      <c r="AD442" t="s">
        <v>3265</v>
      </c>
      <c r="AF442" t="s">
        <v>3266</v>
      </c>
      <c r="AG442" t="s">
        <v>1372</v>
      </c>
      <c r="AJ442" t="s">
        <v>1649</v>
      </c>
      <c r="AK442">
        <v>0</v>
      </c>
      <c r="AL442" t="s">
        <v>3267</v>
      </c>
      <c r="AO442" t="s">
        <v>1372</v>
      </c>
      <c r="AP442" t="s">
        <v>1373</v>
      </c>
    </row>
    <row r="443" hidden="1" spans="1:42">
      <c r="A443" t="s">
        <v>3268</v>
      </c>
      <c r="B443" t="s">
        <v>1356</v>
      </c>
      <c r="C443" t="s">
        <v>1375</v>
      </c>
      <c r="D443" t="s">
        <v>2833</v>
      </c>
      <c r="F443" t="s">
        <v>1377</v>
      </c>
      <c r="G443" s="45">
        <v>44811.9806828704</v>
      </c>
      <c r="H443" s="45">
        <v>44811.9808912037</v>
      </c>
      <c r="J443" t="s">
        <v>407</v>
      </c>
      <c r="M443">
        <v>249</v>
      </c>
      <c r="N443">
        <v>0</v>
      </c>
      <c r="O443">
        <v>-5</v>
      </c>
      <c r="P443">
        <v>0</v>
      </c>
      <c r="Q443">
        <v>244</v>
      </c>
      <c r="R443">
        <v>244</v>
      </c>
      <c r="S443" t="s">
        <v>1422</v>
      </c>
      <c r="T443" t="s">
        <v>1708</v>
      </c>
      <c r="U443">
        <v>1</v>
      </c>
      <c r="V443" t="s">
        <v>1364</v>
      </c>
      <c r="X443" t="s">
        <v>619</v>
      </c>
      <c r="Y443" t="s">
        <v>3269</v>
      </c>
      <c r="Z443" t="s">
        <v>1367</v>
      </c>
      <c r="AA443" t="s">
        <v>1368</v>
      </c>
      <c r="AB443" t="s">
        <v>3270</v>
      </c>
      <c r="AC443" t="s">
        <v>3271</v>
      </c>
      <c r="AF443" t="s">
        <v>3272</v>
      </c>
      <c r="AG443" t="s">
        <v>1372</v>
      </c>
      <c r="AK443">
        <v>0</v>
      </c>
      <c r="AL443" t="s">
        <v>3273</v>
      </c>
      <c r="AO443" t="s">
        <v>1372</v>
      </c>
      <c r="AP443" t="s">
        <v>1373</v>
      </c>
    </row>
    <row r="444" hidden="1" spans="1:42">
      <c r="A444" t="s">
        <v>3274</v>
      </c>
      <c r="B444" t="s">
        <v>1356</v>
      </c>
      <c r="C444" t="s">
        <v>1375</v>
      </c>
      <c r="D444" t="s">
        <v>1358</v>
      </c>
      <c r="F444" t="s">
        <v>1377</v>
      </c>
      <c r="G444" s="45">
        <v>44811.9789814815</v>
      </c>
      <c r="H444" s="45">
        <v>44811.9790972222</v>
      </c>
      <c r="J444" t="s">
        <v>407</v>
      </c>
      <c r="M444">
        <v>259</v>
      </c>
      <c r="N444">
        <v>0</v>
      </c>
      <c r="O444">
        <v>0</v>
      </c>
      <c r="P444">
        <v>0</v>
      </c>
      <c r="Q444">
        <v>259</v>
      </c>
      <c r="R444">
        <v>259</v>
      </c>
      <c r="T444" t="s">
        <v>3275</v>
      </c>
      <c r="U444">
        <v>1</v>
      </c>
      <c r="V444" t="s">
        <v>1364</v>
      </c>
      <c r="X444" t="s">
        <v>619</v>
      </c>
      <c r="Y444" t="s">
        <v>3269</v>
      </c>
      <c r="Z444" t="s">
        <v>1367</v>
      </c>
      <c r="AA444" t="s">
        <v>1368</v>
      </c>
      <c r="AB444" t="s">
        <v>3270</v>
      </c>
      <c r="AC444" t="s">
        <v>3271</v>
      </c>
      <c r="AF444" t="s">
        <v>3272</v>
      </c>
      <c r="AG444" t="s">
        <v>1372</v>
      </c>
      <c r="AK444">
        <v>0</v>
      </c>
      <c r="AL444" t="s">
        <v>3276</v>
      </c>
      <c r="AO444" t="s">
        <v>1372</v>
      </c>
      <c r="AP444" t="s">
        <v>1373</v>
      </c>
    </row>
    <row r="445" hidden="1" spans="1:42">
      <c r="A445" t="s">
        <v>3277</v>
      </c>
      <c r="B445" t="s">
        <v>1356</v>
      </c>
      <c r="C445" t="s">
        <v>1375</v>
      </c>
      <c r="D445" t="s">
        <v>1358</v>
      </c>
      <c r="F445" t="s">
        <v>1377</v>
      </c>
      <c r="G445" s="45">
        <v>44811.9774189815</v>
      </c>
      <c r="H445" s="45">
        <v>44811.977662037</v>
      </c>
      <c r="J445" t="s">
        <v>407</v>
      </c>
      <c r="M445">
        <v>19.9</v>
      </c>
      <c r="N445">
        <v>0</v>
      </c>
      <c r="O445">
        <v>0</v>
      </c>
      <c r="P445">
        <v>0</v>
      </c>
      <c r="Q445">
        <v>19.9</v>
      </c>
      <c r="R445">
        <v>19.9</v>
      </c>
      <c r="T445" t="s">
        <v>1540</v>
      </c>
      <c r="U445">
        <v>1</v>
      </c>
      <c r="V445" t="s">
        <v>1364</v>
      </c>
      <c r="X445" t="s">
        <v>684</v>
      </c>
      <c r="Y445" t="s">
        <v>3175</v>
      </c>
      <c r="Z445" t="s">
        <v>1391</v>
      </c>
      <c r="AA445" t="s">
        <v>2579</v>
      </c>
      <c r="AB445" t="s">
        <v>2580</v>
      </c>
      <c r="AC445" t="s">
        <v>3176</v>
      </c>
      <c r="AF445" t="s">
        <v>3177</v>
      </c>
      <c r="AG445" t="s">
        <v>1385</v>
      </c>
      <c r="AH445" t="s">
        <v>3175</v>
      </c>
      <c r="AK445">
        <v>0</v>
      </c>
      <c r="AL445" t="s">
        <v>2925</v>
      </c>
      <c r="AO445" t="s">
        <v>1372</v>
      </c>
      <c r="AP445" t="s">
        <v>1373</v>
      </c>
    </row>
    <row r="446" hidden="1" spans="1:42">
      <c r="A446" t="s">
        <v>3278</v>
      </c>
      <c r="B446" t="s">
        <v>1356</v>
      </c>
      <c r="C446" t="s">
        <v>1375</v>
      </c>
      <c r="D446" t="s">
        <v>1780</v>
      </c>
      <c r="F446" t="s">
        <v>1377</v>
      </c>
      <c r="G446" s="45">
        <v>44811.9737615741</v>
      </c>
      <c r="M446">
        <v>139</v>
      </c>
      <c r="N446">
        <v>0</v>
      </c>
      <c r="O446">
        <v>0</v>
      </c>
      <c r="P446">
        <v>0</v>
      </c>
      <c r="Q446">
        <v>139</v>
      </c>
      <c r="R446">
        <v>0</v>
      </c>
      <c r="T446" t="s">
        <v>3279</v>
      </c>
      <c r="U446">
        <v>1</v>
      </c>
      <c r="V446" t="s">
        <v>1364</v>
      </c>
      <c r="X446" t="s">
        <v>3280</v>
      </c>
      <c r="Y446" t="s">
        <v>3281</v>
      </c>
      <c r="Z446" t="s">
        <v>1513</v>
      </c>
      <c r="AA446" t="s">
        <v>3282</v>
      </c>
      <c r="AB446" t="s">
        <v>3283</v>
      </c>
      <c r="AC446" t="s">
        <v>3284</v>
      </c>
      <c r="AF446" t="s">
        <v>3285</v>
      </c>
      <c r="AG446" t="s">
        <v>1372</v>
      </c>
      <c r="AK446">
        <v>0</v>
      </c>
      <c r="AO446" t="s">
        <v>1372</v>
      </c>
      <c r="AP446" t="s">
        <v>1373</v>
      </c>
    </row>
    <row r="447" hidden="1" spans="1:42">
      <c r="A447" t="s">
        <v>3286</v>
      </c>
      <c r="B447" t="s">
        <v>1356</v>
      </c>
      <c r="C447" t="s">
        <v>1375</v>
      </c>
      <c r="D447" t="s">
        <v>2833</v>
      </c>
      <c r="F447" t="s">
        <v>1377</v>
      </c>
      <c r="G447" s="45">
        <v>44811.9685532407</v>
      </c>
      <c r="H447" s="45">
        <v>44811.969212963</v>
      </c>
      <c r="J447" t="s">
        <v>407</v>
      </c>
      <c r="M447">
        <v>139</v>
      </c>
      <c r="N447">
        <v>0</v>
      </c>
      <c r="O447">
        <v>-13</v>
      </c>
      <c r="P447">
        <v>0</v>
      </c>
      <c r="Q447">
        <v>126</v>
      </c>
      <c r="R447">
        <v>126</v>
      </c>
      <c r="S447" t="s">
        <v>3287</v>
      </c>
      <c r="T447" t="s">
        <v>3288</v>
      </c>
      <c r="U447">
        <v>1</v>
      </c>
      <c r="V447" t="s">
        <v>1364</v>
      </c>
      <c r="X447" t="s">
        <v>707</v>
      </c>
      <c r="Y447" t="s">
        <v>3237</v>
      </c>
      <c r="Z447" t="s">
        <v>2509</v>
      </c>
      <c r="AA447" t="s">
        <v>3238</v>
      </c>
      <c r="AB447" t="s">
        <v>3239</v>
      </c>
      <c r="AC447" t="s">
        <v>3240</v>
      </c>
      <c r="AF447" t="s">
        <v>3241</v>
      </c>
      <c r="AG447" t="s">
        <v>1372</v>
      </c>
      <c r="AH447" t="s">
        <v>3237</v>
      </c>
      <c r="AK447">
        <v>0</v>
      </c>
      <c r="AO447" t="s">
        <v>1372</v>
      </c>
      <c r="AP447" t="s">
        <v>1373</v>
      </c>
    </row>
    <row r="448" hidden="1" spans="1:42">
      <c r="A448" t="s">
        <v>3289</v>
      </c>
      <c r="B448" t="s">
        <v>1356</v>
      </c>
      <c r="C448" t="s">
        <v>1375</v>
      </c>
      <c r="D448" t="s">
        <v>1358</v>
      </c>
      <c r="F448" t="s">
        <v>1377</v>
      </c>
      <c r="G448" s="45">
        <v>44811.9672106481</v>
      </c>
      <c r="H448" s="45">
        <v>44811.9673263889</v>
      </c>
      <c r="J448" t="s">
        <v>407</v>
      </c>
      <c r="M448">
        <v>19.9</v>
      </c>
      <c r="N448">
        <v>10</v>
      </c>
      <c r="O448">
        <v>0</v>
      </c>
      <c r="P448">
        <v>0</v>
      </c>
      <c r="Q448">
        <v>29.9</v>
      </c>
      <c r="R448">
        <v>29.9</v>
      </c>
      <c r="T448" t="s">
        <v>1831</v>
      </c>
      <c r="U448">
        <v>1</v>
      </c>
      <c r="V448" t="s">
        <v>1364</v>
      </c>
      <c r="X448" t="s">
        <v>743</v>
      </c>
      <c r="Y448" t="s">
        <v>3290</v>
      </c>
      <c r="Z448" t="s">
        <v>2298</v>
      </c>
      <c r="AA448" t="s">
        <v>2299</v>
      </c>
      <c r="AB448" t="s">
        <v>3291</v>
      </c>
      <c r="AC448" t="s">
        <v>3292</v>
      </c>
      <c r="AF448" t="s">
        <v>3293</v>
      </c>
      <c r="AG448" t="s">
        <v>1385</v>
      </c>
      <c r="AH448" t="s">
        <v>3290</v>
      </c>
      <c r="AK448">
        <v>0</v>
      </c>
      <c r="AL448" t="s">
        <v>2925</v>
      </c>
      <c r="AO448" t="s">
        <v>1372</v>
      </c>
      <c r="AP448" t="s">
        <v>1373</v>
      </c>
    </row>
    <row r="449" hidden="1" spans="1:42">
      <c r="A449" t="s">
        <v>3294</v>
      </c>
      <c r="B449" t="s">
        <v>1356</v>
      </c>
      <c r="C449" t="s">
        <v>1375</v>
      </c>
      <c r="D449" t="s">
        <v>1780</v>
      </c>
      <c r="F449" t="s">
        <v>1377</v>
      </c>
      <c r="G449" s="45">
        <v>44811.9666898148</v>
      </c>
      <c r="M449">
        <v>19.9</v>
      </c>
      <c r="N449">
        <v>10</v>
      </c>
      <c r="O449">
        <v>0</v>
      </c>
      <c r="P449">
        <v>0</v>
      </c>
      <c r="Q449">
        <v>29.9</v>
      </c>
      <c r="R449">
        <v>0</v>
      </c>
      <c r="T449" t="s">
        <v>1831</v>
      </c>
      <c r="U449">
        <v>1</v>
      </c>
      <c r="V449" t="s">
        <v>1364</v>
      </c>
      <c r="X449" t="s">
        <v>743</v>
      </c>
      <c r="Y449" t="s">
        <v>3290</v>
      </c>
      <c r="Z449" t="s">
        <v>2298</v>
      </c>
      <c r="AA449" t="s">
        <v>2299</v>
      </c>
      <c r="AB449" t="s">
        <v>3291</v>
      </c>
      <c r="AC449" t="s">
        <v>3292</v>
      </c>
      <c r="AF449" t="s">
        <v>3293</v>
      </c>
      <c r="AG449" t="s">
        <v>1385</v>
      </c>
      <c r="AH449" t="s">
        <v>3290</v>
      </c>
      <c r="AK449">
        <v>0</v>
      </c>
      <c r="AO449" t="s">
        <v>1372</v>
      </c>
      <c r="AP449" t="s">
        <v>1373</v>
      </c>
    </row>
    <row r="450" hidden="1" spans="1:42">
      <c r="A450" t="s">
        <v>3295</v>
      </c>
      <c r="B450" t="s">
        <v>1356</v>
      </c>
      <c r="C450" t="s">
        <v>1375</v>
      </c>
      <c r="D450" t="s">
        <v>2833</v>
      </c>
      <c r="F450" t="s">
        <v>1359</v>
      </c>
      <c r="G450" s="45">
        <v>44811.9656597222</v>
      </c>
      <c r="H450" s="45">
        <v>44811.9658796296</v>
      </c>
      <c r="J450" t="s">
        <v>407</v>
      </c>
      <c r="M450">
        <v>19.9</v>
      </c>
      <c r="N450">
        <v>0</v>
      </c>
      <c r="O450">
        <v>0</v>
      </c>
      <c r="P450">
        <v>0</v>
      </c>
      <c r="Q450">
        <v>19.9</v>
      </c>
      <c r="R450">
        <v>19.9</v>
      </c>
      <c r="T450" t="s">
        <v>3251</v>
      </c>
      <c r="U450">
        <v>1</v>
      </c>
      <c r="V450" t="s">
        <v>1364</v>
      </c>
      <c r="X450" t="s">
        <v>745</v>
      </c>
      <c r="Y450" t="s">
        <v>3296</v>
      </c>
      <c r="Z450" t="s">
        <v>1367</v>
      </c>
      <c r="AA450" t="s">
        <v>1439</v>
      </c>
      <c r="AB450" t="s">
        <v>3297</v>
      </c>
      <c r="AC450" t="s">
        <v>3298</v>
      </c>
      <c r="AF450" t="s">
        <v>3299</v>
      </c>
      <c r="AG450" t="s">
        <v>1372</v>
      </c>
      <c r="AK450">
        <v>0</v>
      </c>
      <c r="AO450" t="s">
        <v>1372</v>
      </c>
      <c r="AP450" t="s">
        <v>1373</v>
      </c>
    </row>
    <row r="451" hidden="1" spans="1:42">
      <c r="A451" t="s">
        <v>3300</v>
      </c>
      <c r="B451" t="s">
        <v>1356</v>
      </c>
      <c r="C451" t="s">
        <v>1375</v>
      </c>
      <c r="D451" t="s">
        <v>2833</v>
      </c>
      <c r="F451" t="s">
        <v>1377</v>
      </c>
      <c r="G451" s="45">
        <v>44811.9651967593</v>
      </c>
      <c r="H451" s="45">
        <v>44811.9652893519</v>
      </c>
      <c r="J451" t="s">
        <v>407</v>
      </c>
      <c r="M451">
        <v>19.9</v>
      </c>
      <c r="N451">
        <v>0</v>
      </c>
      <c r="O451">
        <v>0</v>
      </c>
      <c r="P451">
        <v>0</v>
      </c>
      <c r="Q451">
        <v>19.9</v>
      </c>
      <c r="R451">
        <v>19.9</v>
      </c>
      <c r="T451" t="s">
        <v>1529</v>
      </c>
      <c r="U451">
        <v>1</v>
      </c>
      <c r="V451" t="s">
        <v>1364</v>
      </c>
      <c r="X451" t="s">
        <v>390</v>
      </c>
      <c r="Y451" t="s">
        <v>3301</v>
      </c>
      <c r="Z451" t="s">
        <v>1794</v>
      </c>
      <c r="AA451" t="s">
        <v>3302</v>
      </c>
      <c r="AB451" t="s">
        <v>3303</v>
      </c>
      <c r="AC451" t="s">
        <v>3304</v>
      </c>
      <c r="AF451" t="s">
        <v>3305</v>
      </c>
      <c r="AG451" t="s">
        <v>1385</v>
      </c>
      <c r="AH451" t="s">
        <v>3301</v>
      </c>
      <c r="AK451">
        <v>0</v>
      </c>
      <c r="AO451" t="s">
        <v>1372</v>
      </c>
      <c r="AP451" t="s">
        <v>1373</v>
      </c>
    </row>
    <row r="452" hidden="1" spans="1:42">
      <c r="A452" t="s">
        <v>3306</v>
      </c>
      <c r="B452" t="s">
        <v>1356</v>
      </c>
      <c r="C452" t="s">
        <v>1375</v>
      </c>
      <c r="D452" t="s">
        <v>1780</v>
      </c>
      <c r="F452" t="s">
        <v>1377</v>
      </c>
      <c r="G452" s="45">
        <v>44811.9577777778</v>
      </c>
      <c r="H452" s="45">
        <v>44811.9578819444</v>
      </c>
      <c r="J452" t="s">
        <v>407</v>
      </c>
      <c r="M452">
        <v>219</v>
      </c>
      <c r="N452">
        <v>0</v>
      </c>
      <c r="O452">
        <v>-2</v>
      </c>
      <c r="P452">
        <v>0</v>
      </c>
      <c r="Q452">
        <v>217</v>
      </c>
      <c r="R452">
        <v>217</v>
      </c>
      <c r="S452" t="s">
        <v>1400</v>
      </c>
      <c r="T452" t="s">
        <v>1445</v>
      </c>
      <c r="U452">
        <v>1</v>
      </c>
      <c r="V452" t="s">
        <v>1364</v>
      </c>
      <c r="X452" t="s">
        <v>390</v>
      </c>
      <c r="Y452" t="s">
        <v>3301</v>
      </c>
      <c r="Z452" t="s">
        <v>1794</v>
      </c>
      <c r="AA452" t="s">
        <v>3302</v>
      </c>
      <c r="AB452" t="s">
        <v>3303</v>
      </c>
      <c r="AC452" t="s">
        <v>3304</v>
      </c>
      <c r="AF452" t="s">
        <v>3305</v>
      </c>
      <c r="AG452" t="s">
        <v>1385</v>
      </c>
      <c r="AH452" t="s">
        <v>3301</v>
      </c>
      <c r="AJ452" t="s">
        <v>2945</v>
      </c>
      <c r="AK452">
        <v>217</v>
      </c>
      <c r="AO452" t="s">
        <v>1372</v>
      </c>
      <c r="AP452" t="s">
        <v>1373</v>
      </c>
    </row>
    <row r="453" hidden="1" spans="1:42">
      <c r="A453" t="s">
        <v>3307</v>
      </c>
      <c r="B453" t="s">
        <v>1356</v>
      </c>
      <c r="C453" t="s">
        <v>1375</v>
      </c>
      <c r="D453" t="s">
        <v>1780</v>
      </c>
      <c r="F453" t="s">
        <v>1377</v>
      </c>
      <c r="G453" s="45">
        <v>44811.957337963</v>
      </c>
      <c r="H453" s="45">
        <v>44811.9575347222</v>
      </c>
      <c r="J453" t="s">
        <v>407</v>
      </c>
      <c r="M453">
        <v>89</v>
      </c>
      <c r="N453">
        <v>0</v>
      </c>
      <c r="O453">
        <v>-1</v>
      </c>
      <c r="P453">
        <v>0</v>
      </c>
      <c r="Q453">
        <v>88</v>
      </c>
      <c r="R453">
        <v>88</v>
      </c>
      <c r="S453" t="s">
        <v>1414</v>
      </c>
      <c r="T453" t="s">
        <v>3308</v>
      </c>
      <c r="U453">
        <v>1</v>
      </c>
      <c r="V453" t="s">
        <v>1364</v>
      </c>
      <c r="X453" t="s">
        <v>798</v>
      </c>
      <c r="Y453" t="s">
        <v>3309</v>
      </c>
      <c r="Z453" t="s">
        <v>1824</v>
      </c>
      <c r="AA453" t="s">
        <v>1825</v>
      </c>
      <c r="AB453" t="s">
        <v>3310</v>
      </c>
      <c r="AC453" t="s">
        <v>3311</v>
      </c>
      <c r="AF453" t="s">
        <v>3312</v>
      </c>
      <c r="AG453" t="s">
        <v>1372</v>
      </c>
      <c r="AH453" t="s">
        <v>3309</v>
      </c>
      <c r="AJ453" t="s">
        <v>2945</v>
      </c>
      <c r="AK453">
        <v>88</v>
      </c>
      <c r="AL453" t="s">
        <v>3313</v>
      </c>
      <c r="AO453" t="s">
        <v>1372</v>
      </c>
      <c r="AP453" t="s">
        <v>1373</v>
      </c>
    </row>
    <row r="454" hidden="1" spans="1:42">
      <c r="A454" t="s">
        <v>3314</v>
      </c>
      <c r="B454" t="s">
        <v>1356</v>
      </c>
      <c r="C454" t="s">
        <v>1375</v>
      </c>
      <c r="D454" t="s">
        <v>2833</v>
      </c>
      <c r="F454" t="s">
        <v>1377</v>
      </c>
      <c r="G454" s="45">
        <v>44811.9520601852</v>
      </c>
      <c r="H454" s="45">
        <v>44811.9522453704</v>
      </c>
      <c r="J454" t="s">
        <v>407</v>
      </c>
      <c r="M454">
        <v>99</v>
      </c>
      <c r="N454">
        <v>0</v>
      </c>
      <c r="O454">
        <v>-3</v>
      </c>
      <c r="P454">
        <v>0</v>
      </c>
      <c r="Q454">
        <v>96</v>
      </c>
      <c r="R454">
        <v>96</v>
      </c>
      <c r="S454" t="s">
        <v>1397</v>
      </c>
      <c r="T454" t="s">
        <v>3315</v>
      </c>
      <c r="U454">
        <v>1</v>
      </c>
      <c r="V454" t="s">
        <v>1364</v>
      </c>
      <c r="X454" t="s">
        <v>675</v>
      </c>
      <c r="Y454" t="s">
        <v>3316</v>
      </c>
      <c r="Z454" t="s">
        <v>1466</v>
      </c>
      <c r="AA454" t="s">
        <v>1835</v>
      </c>
      <c r="AB454" t="s">
        <v>3317</v>
      </c>
      <c r="AC454" t="s">
        <v>3318</v>
      </c>
      <c r="AF454" t="s">
        <v>675</v>
      </c>
      <c r="AG454" t="s">
        <v>1385</v>
      </c>
      <c r="AH454" t="s">
        <v>3316</v>
      </c>
      <c r="AK454">
        <v>0</v>
      </c>
      <c r="AO454" t="s">
        <v>1372</v>
      </c>
      <c r="AP454" t="s">
        <v>1373</v>
      </c>
    </row>
    <row r="455" hidden="1" spans="1:42">
      <c r="A455" t="s">
        <v>3319</v>
      </c>
      <c r="B455" t="s">
        <v>1356</v>
      </c>
      <c r="C455" t="s">
        <v>1375</v>
      </c>
      <c r="D455" t="s">
        <v>2833</v>
      </c>
      <c r="F455" t="s">
        <v>1377</v>
      </c>
      <c r="G455" s="45">
        <v>44811.9512268519</v>
      </c>
      <c r="H455" s="45">
        <v>44811.9521180556</v>
      </c>
      <c r="J455" t="s">
        <v>407</v>
      </c>
      <c r="M455">
        <v>109</v>
      </c>
      <c r="N455">
        <v>0</v>
      </c>
      <c r="O455">
        <v>0</v>
      </c>
      <c r="P455">
        <v>0</v>
      </c>
      <c r="Q455">
        <v>109</v>
      </c>
      <c r="R455">
        <v>109</v>
      </c>
      <c r="T455" t="s">
        <v>3320</v>
      </c>
      <c r="U455">
        <v>1</v>
      </c>
      <c r="V455" t="s">
        <v>1364</v>
      </c>
      <c r="X455" t="s">
        <v>729</v>
      </c>
      <c r="Y455" t="s">
        <v>3321</v>
      </c>
      <c r="Z455" t="s">
        <v>1710</v>
      </c>
      <c r="AA455" t="s">
        <v>3322</v>
      </c>
      <c r="AB455" t="s">
        <v>3323</v>
      </c>
      <c r="AC455" t="s">
        <v>3324</v>
      </c>
      <c r="AF455" t="s">
        <v>3325</v>
      </c>
      <c r="AG455" t="s">
        <v>1372</v>
      </c>
      <c r="AK455">
        <v>0</v>
      </c>
      <c r="AO455" t="s">
        <v>1372</v>
      </c>
      <c r="AP455" t="s">
        <v>1373</v>
      </c>
    </row>
    <row r="456" hidden="1" spans="1:42">
      <c r="A456" t="s">
        <v>3326</v>
      </c>
      <c r="B456" t="s">
        <v>1356</v>
      </c>
      <c r="C456" t="s">
        <v>1375</v>
      </c>
      <c r="D456" t="s">
        <v>1780</v>
      </c>
      <c r="F456" t="s">
        <v>1548</v>
      </c>
      <c r="G456" s="45">
        <v>44811.9507060185</v>
      </c>
      <c r="H456" s="45">
        <v>44811.9508101852</v>
      </c>
      <c r="J456" t="s">
        <v>407</v>
      </c>
      <c r="M456">
        <v>109</v>
      </c>
      <c r="N456">
        <v>0</v>
      </c>
      <c r="O456">
        <v>0</v>
      </c>
      <c r="P456">
        <v>0</v>
      </c>
      <c r="Q456">
        <v>109</v>
      </c>
      <c r="R456">
        <v>109</v>
      </c>
      <c r="T456" t="s">
        <v>3327</v>
      </c>
      <c r="U456">
        <v>1</v>
      </c>
      <c r="V456" t="s">
        <v>1364</v>
      </c>
      <c r="X456" t="s">
        <v>390</v>
      </c>
      <c r="Y456" t="s">
        <v>3301</v>
      </c>
      <c r="Z456" t="s">
        <v>1794</v>
      </c>
      <c r="AA456" t="s">
        <v>3302</v>
      </c>
      <c r="AB456" t="s">
        <v>3303</v>
      </c>
      <c r="AC456" t="s">
        <v>3304</v>
      </c>
      <c r="AF456" t="s">
        <v>3305</v>
      </c>
      <c r="AG456" t="s">
        <v>1385</v>
      </c>
      <c r="AH456" t="s">
        <v>3301</v>
      </c>
      <c r="AJ456" t="s">
        <v>2945</v>
      </c>
      <c r="AK456">
        <v>109</v>
      </c>
      <c r="AO456" t="s">
        <v>1372</v>
      </c>
      <c r="AP456" t="s">
        <v>1373</v>
      </c>
    </row>
    <row r="457" hidden="1" spans="1:42">
      <c r="A457" t="s">
        <v>3328</v>
      </c>
      <c r="B457" t="s">
        <v>1356</v>
      </c>
      <c r="C457" t="s">
        <v>1375</v>
      </c>
      <c r="D457" t="s">
        <v>2833</v>
      </c>
      <c r="F457" t="s">
        <v>1377</v>
      </c>
      <c r="G457" s="45">
        <v>44811.9477314815</v>
      </c>
      <c r="H457" s="45">
        <v>44811.9508680556</v>
      </c>
      <c r="J457" t="s">
        <v>407</v>
      </c>
      <c r="M457">
        <v>89</v>
      </c>
      <c r="N457">
        <v>0</v>
      </c>
      <c r="O457">
        <v>-5</v>
      </c>
      <c r="P457">
        <v>0</v>
      </c>
      <c r="Q457">
        <v>84</v>
      </c>
      <c r="R457">
        <v>84</v>
      </c>
      <c r="S457" t="s">
        <v>1422</v>
      </c>
      <c r="T457" t="s">
        <v>3329</v>
      </c>
      <c r="U457">
        <v>1</v>
      </c>
      <c r="V457" t="s">
        <v>1364</v>
      </c>
      <c r="X457" t="s">
        <v>593</v>
      </c>
      <c r="Y457" t="s">
        <v>3025</v>
      </c>
      <c r="Z457" t="s">
        <v>2336</v>
      </c>
      <c r="AA457" t="s">
        <v>2336</v>
      </c>
      <c r="AB457" t="s">
        <v>3026</v>
      </c>
      <c r="AC457" t="s">
        <v>3027</v>
      </c>
      <c r="AF457" t="s">
        <v>3028</v>
      </c>
      <c r="AG457" t="s">
        <v>1385</v>
      </c>
      <c r="AH457" t="s">
        <v>3025</v>
      </c>
      <c r="AK457">
        <v>0</v>
      </c>
      <c r="AO457" t="s">
        <v>1372</v>
      </c>
      <c r="AP457" t="s">
        <v>1373</v>
      </c>
    </row>
    <row r="458" hidden="1" spans="1:42">
      <c r="A458" t="s">
        <v>3330</v>
      </c>
      <c r="B458" t="s">
        <v>1356</v>
      </c>
      <c r="C458" t="s">
        <v>1375</v>
      </c>
      <c r="D458" t="s">
        <v>2833</v>
      </c>
      <c r="F458" t="s">
        <v>1377</v>
      </c>
      <c r="G458" s="45">
        <v>44811.9419328704</v>
      </c>
      <c r="H458" s="45">
        <v>44811.942025463</v>
      </c>
      <c r="J458" t="s">
        <v>407</v>
      </c>
      <c r="M458">
        <v>89</v>
      </c>
      <c r="N458">
        <v>0</v>
      </c>
      <c r="O458">
        <v>-1</v>
      </c>
      <c r="P458">
        <v>0</v>
      </c>
      <c r="Q458">
        <v>88</v>
      </c>
      <c r="R458">
        <v>88</v>
      </c>
      <c r="S458" t="s">
        <v>1414</v>
      </c>
      <c r="T458" t="s">
        <v>3331</v>
      </c>
      <c r="U458">
        <v>1</v>
      </c>
      <c r="V458" t="s">
        <v>1364</v>
      </c>
      <c r="X458" t="s">
        <v>723</v>
      </c>
      <c r="Y458" t="s">
        <v>3332</v>
      </c>
      <c r="Z458" t="s">
        <v>1678</v>
      </c>
      <c r="AA458" t="s">
        <v>3333</v>
      </c>
      <c r="AB458" t="s">
        <v>3334</v>
      </c>
      <c r="AC458" t="s">
        <v>3335</v>
      </c>
      <c r="AF458" t="s">
        <v>3336</v>
      </c>
      <c r="AG458" t="s">
        <v>1372</v>
      </c>
      <c r="AH458" t="s">
        <v>3332</v>
      </c>
      <c r="AK458">
        <v>0</v>
      </c>
      <c r="AO458" t="s">
        <v>1372</v>
      </c>
      <c r="AP458" t="s">
        <v>1373</v>
      </c>
    </row>
    <row r="459" hidden="1" spans="1:42">
      <c r="A459" t="s">
        <v>3337</v>
      </c>
      <c r="B459" t="s">
        <v>1356</v>
      </c>
      <c r="C459" t="s">
        <v>1375</v>
      </c>
      <c r="D459" t="s">
        <v>2833</v>
      </c>
      <c r="F459" t="s">
        <v>1377</v>
      </c>
      <c r="G459" s="45">
        <v>44811.9416319444</v>
      </c>
      <c r="H459" s="45">
        <v>44811.9417476852</v>
      </c>
      <c r="J459" t="s">
        <v>407</v>
      </c>
      <c r="M459">
        <v>99</v>
      </c>
      <c r="N459">
        <v>0</v>
      </c>
      <c r="O459">
        <v>-5</v>
      </c>
      <c r="P459">
        <v>0</v>
      </c>
      <c r="Q459">
        <v>94</v>
      </c>
      <c r="R459">
        <v>94</v>
      </c>
      <c r="S459" t="s">
        <v>1422</v>
      </c>
      <c r="T459" t="s">
        <v>2012</v>
      </c>
      <c r="U459">
        <v>1</v>
      </c>
      <c r="V459" t="s">
        <v>1364</v>
      </c>
      <c r="X459" t="s">
        <v>664</v>
      </c>
      <c r="Y459" t="s">
        <v>3338</v>
      </c>
      <c r="Z459" t="s">
        <v>1380</v>
      </c>
      <c r="AA459" t="s">
        <v>1409</v>
      </c>
      <c r="AB459" t="s">
        <v>2381</v>
      </c>
      <c r="AC459" t="s">
        <v>3339</v>
      </c>
      <c r="AF459" t="s">
        <v>664</v>
      </c>
      <c r="AG459" t="s">
        <v>1372</v>
      </c>
      <c r="AK459">
        <v>0</v>
      </c>
      <c r="AL459" t="s">
        <v>3340</v>
      </c>
      <c r="AO459" t="s">
        <v>1372</v>
      </c>
      <c r="AP459" t="s">
        <v>1373</v>
      </c>
    </row>
    <row r="460" hidden="1" spans="1:42">
      <c r="A460" t="s">
        <v>3341</v>
      </c>
      <c r="B460" t="s">
        <v>1356</v>
      </c>
      <c r="C460" t="s">
        <v>1375</v>
      </c>
      <c r="D460" t="s">
        <v>2833</v>
      </c>
      <c r="F460" t="s">
        <v>1377</v>
      </c>
      <c r="G460" s="45">
        <v>44811.9399768518</v>
      </c>
      <c r="H460" s="45">
        <v>44811.9401041667</v>
      </c>
      <c r="J460" t="s">
        <v>407</v>
      </c>
      <c r="M460">
        <v>99</v>
      </c>
      <c r="N460">
        <v>0</v>
      </c>
      <c r="O460">
        <v>0</v>
      </c>
      <c r="P460">
        <v>0</v>
      </c>
      <c r="Q460">
        <v>99</v>
      </c>
      <c r="R460">
        <v>99</v>
      </c>
      <c r="T460" t="s">
        <v>2012</v>
      </c>
      <c r="U460">
        <v>1</v>
      </c>
      <c r="V460" t="s">
        <v>1364</v>
      </c>
      <c r="X460" t="s">
        <v>732</v>
      </c>
      <c r="Y460" t="s">
        <v>3342</v>
      </c>
      <c r="Z460" t="s">
        <v>1367</v>
      </c>
      <c r="AA460" t="s">
        <v>3343</v>
      </c>
      <c r="AB460" t="s">
        <v>3344</v>
      </c>
      <c r="AC460" t="s">
        <v>3345</v>
      </c>
      <c r="AF460" t="s">
        <v>3346</v>
      </c>
      <c r="AG460" t="s">
        <v>1372</v>
      </c>
      <c r="AK460">
        <v>0</v>
      </c>
      <c r="AL460" t="s">
        <v>3340</v>
      </c>
      <c r="AO460" t="s">
        <v>1372</v>
      </c>
      <c r="AP460" t="s">
        <v>1373</v>
      </c>
    </row>
    <row r="461" hidden="1" spans="1:42">
      <c r="A461" t="s">
        <v>3347</v>
      </c>
      <c r="B461" t="s">
        <v>1356</v>
      </c>
      <c r="C461" t="s">
        <v>1375</v>
      </c>
      <c r="D461" t="s">
        <v>2833</v>
      </c>
      <c r="F461" t="s">
        <v>1377</v>
      </c>
      <c r="G461" s="45">
        <v>44811.934537037</v>
      </c>
      <c r="H461" s="45">
        <v>44811.9346180556</v>
      </c>
      <c r="J461" t="s">
        <v>407</v>
      </c>
      <c r="M461">
        <v>39.9</v>
      </c>
      <c r="N461">
        <v>0</v>
      </c>
      <c r="O461">
        <v>-3</v>
      </c>
      <c r="P461">
        <v>0</v>
      </c>
      <c r="Q461">
        <v>36.9</v>
      </c>
      <c r="R461">
        <v>36.9</v>
      </c>
      <c r="S461" t="s">
        <v>1397</v>
      </c>
      <c r="T461" t="s">
        <v>1907</v>
      </c>
      <c r="U461">
        <v>1</v>
      </c>
      <c r="V461" t="s">
        <v>1364</v>
      </c>
      <c r="X461" t="s">
        <v>723</v>
      </c>
      <c r="Y461" t="s">
        <v>3332</v>
      </c>
      <c r="Z461" t="s">
        <v>1678</v>
      </c>
      <c r="AA461" t="s">
        <v>3333</v>
      </c>
      <c r="AB461" t="s">
        <v>3334</v>
      </c>
      <c r="AC461" t="s">
        <v>3335</v>
      </c>
      <c r="AF461" t="s">
        <v>3336</v>
      </c>
      <c r="AG461" t="s">
        <v>1372</v>
      </c>
      <c r="AH461" t="s">
        <v>3332</v>
      </c>
      <c r="AK461">
        <v>0</v>
      </c>
      <c r="AO461" t="s">
        <v>1372</v>
      </c>
      <c r="AP461" t="s">
        <v>1373</v>
      </c>
    </row>
    <row r="462" hidden="1" spans="1:42">
      <c r="A462" t="s">
        <v>3348</v>
      </c>
      <c r="B462" t="s">
        <v>1356</v>
      </c>
      <c r="C462" t="s">
        <v>1375</v>
      </c>
      <c r="D462" t="s">
        <v>2833</v>
      </c>
      <c r="F462" t="s">
        <v>1377</v>
      </c>
      <c r="G462" s="45">
        <v>44811.9344560185</v>
      </c>
      <c r="H462" s="45">
        <v>44811.9347453704</v>
      </c>
      <c r="J462" t="s">
        <v>407</v>
      </c>
      <c r="M462">
        <v>39.9</v>
      </c>
      <c r="N462">
        <v>0</v>
      </c>
      <c r="O462">
        <v>0</v>
      </c>
      <c r="P462">
        <v>0</v>
      </c>
      <c r="Q462">
        <v>39.9</v>
      </c>
      <c r="R462">
        <v>39.9</v>
      </c>
      <c r="T462" t="s">
        <v>1693</v>
      </c>
      <c r="U462">
        <v>1</v>
      </c>
      <c r="V462" t="s">
        <v>1364</v>
      </c>
      <c r="X462" t="s">
        <v>729</v>
      </c>
      <c r="Y462" t="s">
        <v>3321</v>
      </c>
      <c r="Z462" t="s">
        <v>1710</v>
      </c>
      <c r="AA462" t="s">
        <v>3322</v>
      </c>
      <c r="AB462" t="s">
        <v>3323</v>
      </c>
      <c r="AC462" t="s">
        <v>3324</v>
      </c>
      <c r="AF462" t="s">
        <v>3325</v>
      </c>
      <c r="AG462" t="s">
        <v>1372</v>
      </c>
      <c r="AK462">
        <v>0</v>
      </c>
      <c r="AO462" t="s">
        <v>1372</v>
      </c>
      <c r="AP462" t="s">
        <v>1373</v>
      </c>
    </row>
    <row r="463" hidden="1" spans="1:42">
      <c r="A463" t="s">
        <v>3349</v>
      </c>
      <c r="B463" t="s">
        <v>1356</v>
      </c>
      <c r="C463" t="s">
        <v>1375</v>
      </c>
      <c r="D463" t="s">
        <v>2833</v>
      </c>
      <c r="F463" t="s">
        <v>1377</v>
      </c>
      <c r="G463" s="45">
        <v>44811.9301041667</v>
      </c>
      <c r="H463" s="45">
        <v>44811.9301851852</v>
      </c>
      <c r="J463" t="s">
        <v>407</v>
      </c>
      <c r="M463">
        <v>19.9</v>
      </c>
      <c r="N463">
        <v>0</v>
      </c>
      <c r="O463">
        <v>0</v>
      </c>
      <c r="P463">
        <v>0</v>
      </c>
      <c r="Q463">
        <v>19.9</v>
      </c>
      <c r="R463">
        <v>19.9</v>
      </c>
      <c r="T463" t="s">
        <v>1540</v>
      </c>
      <c r="U463">
        <v>1</v>
      </c>
      <c r="V463" t="s">
        <v>1364</v>
      </c>
      <c r="X463" t="s">
        <v>723</v>
      </c>
      <c r="Y463" t="s">
        <v>3332</v>
      </c>
      <c r="Z463" t="s">
        <v>1678</v>
      </c>
      <c r="AA463" t="s">
        <v>3333</v>
      </c>
      <c r="AB463" t="s">
        <v>3334</v>
      </c>
      <c r="AC463" t="s">
        <v>3335</v>
      </c>
      <c r="AF463" t="s">
        <v>3336</v>
      </c>
      <c r="AG463" t="s">
        <v>1372</v>
      </c>
      <c r="AH463" t="s">
        <v>3332</v>
      </c>
      <c r="AK463">
        <v>0</v>
      </c>
      <c r="AO463" t="s">
        <v>1372</v>
      </c>
      <c r="AP463" t="s">
        <v>1373</v>
      </c>
    </row>
    <row r="464" hidden="1" spans="1:42">
      <c r="A464" t="s">
        <v>3350</v>
      </c>
      <c r="B464" t="s">
        <v>1356</v>
      </c>
      <c r="C464" t="s">
        <v>1375</v>
      </c>
      <c r="D464" t="s">
        <v>2833</v>
      </c>
      <c r="F464" t="s">
        <v>1377</v>
      </c>
      <c r="G464" s="45">
        <v>44811.9287847222</v>
      </c>
      <c r="H464" s="45">
        <v>44811.9289236111</v>
      </c>
      <c r="J464" t="s">
        <v>407</v>
      </c>
      <c r="M464">
        <v>139</v>
      </c>
      <c r="N464">
        <v>0</v>
      </c>
      <c r="O464">
        <v>-1</v>
      </c>
      <c r="P464">
        <v>0</v>
      </c>
      <c r="Q464">
        <v>138</v>
      </c>
      <c r="R464">
        <v>138</v>
      </c>
      <c r="S464" t="s">
        <v>1414</v>
      </c>
      <c r="T464" t="s">
        <v>3288</v>
      </c>
      <c r="U464">
        <v>1</v>
      </c>
      <c r="V464" t="s">
        <v>1364</v>
      </c>
      <c r="X464" t="s">
        <v>723</v>
      </c>
      <c r="Y464" t="s">
        <v>3332</v>
      </c>
      <c r="Z464" t="s">
        <v>1678</v>
      </c>
      <c r="AA464" t="s">
        <v>3333</v>
      </c>
      <c r="AB464" t="s">
        <v>3334</v>
      </c>
      <c r="AC464" t="s">
        <v>3335</v>
      </c>
      <c r="AF464" t="s">
        <v>3336</v>
      </c>
      <c r="AG464" t="s">
        <v>1372</v>
      </c>
      <c r="AH464" t="s">
        <v>3332</v>
      </c>
      <c r="AK464">
        <v>0</v>
      </c>
      <c r="AO464" t="s">
        <v>1372</v>
      </c>
      <c r="AP464" t="s">
        <v>1373</v>
      </c>
    </row>
    <row r="465" hidden="1" spans="1:42">
      <c r="A465" t="s">
        <v>3351</v>
      </c>
      <c r="B465" t="s">
        <v>1356</v>
      </c>
      <c r="C465" t="s">
        <v>1375</v>
      </c>
      <c r="D465" t="s">
        <v>2833</v>
      </c>
      <c r="F465" t="s">
        <v>1359</v>
      </c>
      <c r="G465" s="45">
        <v>44811.9287152778</v>
      </c>
      <c r="H465" s="45">
        <v>44811.9290046296</v>
      </c>
      <c r="J465" t="s">
        <v>1360</v>
      </c>
      <c r="K465" t="s">
        <v>3352</v>
      </c>
      <c r="L465" t="s">
        <v>3353</v>
      </c>
      <c r="M465">
        <v>230.86</v>
      </c>
      <c r="N465">
        <v>0</v>
      </c>
      <c r="O465">
        <v>-12</v>
      </c>
      <c r="P465">
        <v>0</v>
      </c>
      <c r="Q465">
        <v>218.86</v>
      </c>
      <c r="R465">
        <v>218.86</v>
      </c>
      <c r="S465" t="s">
        <v>3354</v>
      </c>
      <c r="T465" t="s">
        <v>3355</v>
      </c>
      <c r="U465">
        <v>1</v>
      </c>
      <c r="V465" t="s">
        <v>1364</v>
      </c>
      <c r="X465" t="s">
        <v>1250</v>
      </c>
      <c r="Y465" t="s">
        <v>3356</v>
      </c>
      <c r="Z465" t="s">
        <v>1478</v>
      </c>
      <c r="AA465" t="s">
        <v>3357</v>
      </c>
      <c r="AB465" t="s">
        <v>3358</v>
      </c>
      <c r="AC465" t="s">
        <v>3359</v>
      </c>
      <c r="AF465" t="s">
        <v>3356</v>
      </c>
      <c r="AG465" t="s">
        <v>1385</v>
      </c>
      <c r="AH465" t="s">
        <v>3356</v>
      </c>
      <c r="AK465">
        <v>0</v>
      </c>
      <c r="AO465" t="s">
        <v>1372</v>
      </c>
      <c r="AP465" t="s">
        <v>1373</v>
      </c>
    </row>
    <row r="466" hidden="1" spans="1:42">
      <c r="A466" t="s">
        <v>3360</v>
      </c>
      <c r="B466" t="s">
        <v>1356</v>
      </c>
      <c r="C466" t="s">
        <v>1375</v>
      </c>
      <c r="D466" t="s">
        <v>2833</v>
      </c>
      <c r="F466" t="s">
        <v>1377</v>
      </c>
      <c r="G466" s="45">
        <v>44811.9244328704</v>
      </c>
      <c r="H466" s="45">
        <v>44811.9249189815</v>
      </c>
      <c r="J466" t="s">
        <v>407</v>
      </c>
      <c r="M466">
        <v>329</v>
      </c>
      <c r="N466">
        <v>0</v>
      </c>
      <c r="O466">
        <v>0</v>
      </c>
      <c r="P466">
        <v>0</v>
      </c>
      <c r="Q466">
        <v>329</v>
      </c>
      <c r="R466">
        <v>329</v>
      </c>
      <c r="T466" t="s">
        <v>3361</v>
      </c>
      <c r="U466">
        <v>1</v>
      </c>
      <c r="V466" t="s">
        <v>1364</v>
      </c>
      <c r="X466" t="s">
        <v>716</v>
      </c>
      <c r="Y466" t="s">
        <v>3362</v>
      </c>
      <c r="Z466" t="s">
        <v>1380</v>
      </c>
      <c r="AA466" t="s">
        <v>1638</v>
      </c>
      <c r="AB466" t="s">
        <v>2646</v>
      </c>
      <c r="AC466" t="s">
        <v>3363</v>
      </c>
      <c r="AF466" t="s">
        <v>3364</v>
      </c>
      <c r="AG466" t="s">
        <v>1372</v>
      </c>
      <c r="AK466">
        <v>0</v>
      </c>
      <c r="AO466" t="s">
        <v>1372</v>
      </c>
      <c r="AP466" t="s">
        <v>1373</v>
      </c>
    </row>
    <row r="467" hidden="1" spans="1:42">
      <c r="A467" t="s">
        <v>3365</v>
      </c>
      <c r="B467" t="s">
        <v>1356</v>
      </c>
      <c r="C467" t="s">
        <v>1375</v>
      </c>
      <c r="D467" t="s">
        <v>1358</v>
      </c>
      <c r="F467" t="s">
        <v>1359</v>
      </c>
      <c r="G467" s="45">
        <v>44811.9223148148</v>
      </c>
      <c r="H467" s="45">
        <v>44811.9224652778</v>
      </c>
      <c r="J467" t="s">
        <v>407</v>
      </c>
      <c r="M467">
        <v>99</v>
      </c>
      <c r="N467">
        <v>0</v>
      </c>
      <c r="O467">
        <v>-1</v>
      </c>
      <c r="P467">
        <v>0</v>
      </c>
      <c r="Q467">
        <v>98</v>
      </c>
      <c r="R467">
        <v>98</v>
      </c>
      <c r="S467" t="s">
        <v>1414</v>
      </c>
      <c r="T467" t="s">
        <v>3366</v>
      </c>
      <c r="U467">
        <v>1</v>
      </c>
      <c r="V467" t="s">
        <v>1364</v>
      </c>
      <c r="X467" t="s">
        <v>647</v>
      </c>
      <c r="Y467" t="s">
        <v>3367</v>
      </c>
      <c r="Z467" t="s">
        <v>1367</v>
      </c>
      <c r="AA467" t="s">
        <v>1417</v>
      </c>
      <c r="AB467" t="s">
        <v>1418</v>
      </c>
      <c r="AC467" t="s">
        <v>3368</v>
      </c>
      <c r="AF467" t="s">
        <v>647</v>
      </c>
      <c r="AG467" t="s">
        <v>1385</v>
      </c>
      <c r="AH467" t="s">
        <v>3367</v>
      </c>
      <c r="AK467">
        <v>0</v>
      </c>
      <c r="AO467" t="s">
        <v>1372</v>
      </c>
      <c r="AP467" t="s">
        <v>1373</v>
      </c>
    </row>
    <row r="468" hidden="1" spans="1:42">
      <c r="A468" t="s">
        <v>3369</v>
      </c>
      <c r="B468" t="s">
        <v>1356</v>
      </c>
      <c r="C468" t="s">
        <v>1375</v>
      </c>
      <c r="D468" t="s">
        <v>2833</v>
      </c>
      <c r="F468" t="s">
        <v>1377</v>
      </c>
      <c r="G468" s="45">
        <v>44811.9215393519</v>
      </c>
      <c r="H468" s="45">
        <v>44811.9216435185</v>
      </c>
      <c r="J468" t="s">
        <v>407</v>
      </c>
      <c r="M468">
        <v>39.9</v>
      </c>
      <c r="N468">
        <v>0</v>
      </c>
      <c r="O468">
        <v>-3</v>
      </c>
      <c r="P468">
        <v>0</v>
      </c>
      <c r="Q468">
        <v>36.9</v>
      </c>
      <c r="R468">
        <v>36.9</v>
      </c>
      <c r="S468" t="s">
        <v>1397</v>
      </c>
      <c r="T468" t="s">
        <v>1676</v>
      </c>
      <c r="U468">
        <v>1</v>
      </c>
      <c r="V468" t="s">
        <v>1364</v>
      </c>
      <c r="X468" t="s">
        <v>394</v>
      </c>
      <c r="Y468" t="s">
        <v>1933</v>
      </c>
      <c r="Z468" t="s">
        <v>1678</v>
      </c>
      <c r="AA468" t="s">
        <v>1934</v>
      </c>
      <c r="AB468" t="s">
        <v>1935</v>
      </c>
      <c r="AC468" t="s">
        <v>1936</v>
      </c>
      <c r="AF468" t="s">
        <v>1937</v>
      </c>
      <c r="AG468" t="s">
        <v>1372</v>
      </c>
      <c r="AH468" t="s">
        <v>1933</v>
      </c>
      <c r="AK468">
        <v>0</v>
      </c>
      <c r="AO468" t="s">
        <v>1372</v>
      </c>
      <c r="AP468" t="s">
        <v>1373</v>
      </c>
    </row>
    <row r="469" hidden="1" spans="1:42">
      <c r="A469" t="s">
        <v>3370</v>
      </c>
      <c r="B469" t="s">
        <v>1356</v>
      </c>
      <c r="C469" t="s">
        <v>1375</v>
      </c>
      <c r="D469" t="s">
        <v>1358</v>
      </c>
      <c r="F469" t="s">
        <v>1377</v>
      </c>
      <c r="G469" s="45">
        <v>44811.9209490741</v>
      </c>
      <c r="H469" s="45">
        <v>44811.9211805556</v>
      </c>
      <c r="J469" t="s">
        <v>407</v>
      </c>
      <c r="M469">
        <v>39.9</v>
      </c>
      <c r="N469">
        <v>0</v>
      </c>
      <c r="O469">
        <v>0</v>
      </c>
      <c r="P469">
        <v>0</v>
      </c>
      <c r="Q469">
        <v>39.9</v>
      </c>
      <c r="R469">
        <v>39.9</v>
      </c>
      <c r="T469" t="s">
        <v>2115</v>
      </c>
      <c r="U469">
        <v>1</v>
      </c>
      <c r="V469" t="s">
        <v>1364</v>
      </c>
      <c r="X469" t="s">
        <v>737</v>
      </c>
      <c r="Y469" t="s">
        <v>3371</v>
      </c>
      <c r="Z469" t="s">
        <v>1367</v>
      </c>
      <c r="AA469" t="s">
        <v>1943</v>
      </c>
      <c r="AB469" t="s">
        <v>2670</v>
      </c>
      <c r="AC469" t="s">
        <v>3372</v>
      </c>
      <c r="AF469" t="s">
        <v>3373</v>
      </c>
      <c r="AG469" t="s">
        <v>1372</v>
      </c>
      <c r="AK469">
        <v>0</v>
      </c>
      <c r="AL469" t="s">
        <v>2925</v>
      </c>
      <c r="AO469" t="s">
        <v>1372</v>
      </c>
      <c r="AP469" t="s">
        <v>1373</v>
      </c>
    </row>
    <row r="470" hidden="1" spans="1:42">
      <c r="A470" t="s">
        <v>3374</v>
      </c>
      <c r="B470" t="s">
        <v>1356</v>
      </c>
      <c r="C470" t="s">
        <v>1375</v>
      </c>
      <c r="D470" t="s">
        <v>2833</v>
      </c>
      <c r="F470" t="s">
        <v>1377</v>
      </c>
      <c r="G470" s="45">
        <v>44811.9205208333</v>
      </c>
      <c r="H470" s="45">
        <v>44811.9206134259</v>
      </c>
      <c r="J470" t="s">
        <v>407</v>
      </c>
      <c r="M470">
        <v>249</v>
      </c>
      <c r="N470">
        <v>0</v>
      </c>
      <c r="O470">
        <v>-4</v>
      </c>
      <c r="P470">
        <v>0</v>
      </c>
      <c r="Q470">
        <v>245</v>
      </c>
      <c r="R470">
        <v>245</v>
      </c>
      <c r="S470" t="s">
        <v>1388</v>
      </c>
      <c r="T470" t="s">
        <v>3375</v>
      </c>
      <c r="U470">
        <v>1</v>
      </c>
      <c r="V470" t="s">
        <v>1364</v>
      </c>
      <c r="X470" t="s">
        <v>394</v>
      </c>
      <c r="Y470" t="s">
        <v>1933</v>
      </c>
      <c r="Z470" t="s">
        <v>1678</v>
      </c>
      <c r="AA470" t="s">
        <v>1934</v>
      </c>
      <c r="AB470" t="s">
        <v>1935</v>
      </c>
      <c r="AC470" t="s">
        <v>1936</v>
      </c>
      <c r="AF470" t="s">
        <v>1937</v>
      </c>
      <c r="AG470" t="s">
        <v>1372</v>
      </c>
      <c r="AH470" t="s">
        <v>1933</v>
      </c>
      <c r="AK470">
        <v>0</v>
      </c>
      <c r="AO470" t="s">
        <v>1372</v>
      </c>
      <c r="AP470" t="s">
        <v>1373</v>
      </c>
    </row>
    <row r="471" hidden="1" spans="1:42">
      <c r="A471" t="s">
        <v>3376</v>
      </c>
      <c r="B471" t="s">
        <v>1356</v>
      </c>
      <c r="C471" t="s">
        <v>1375</v>
      </c>
      <c r="D471" t="s">
        <v>1780</v>
      </c>
      <c r="F471" t="s">
        <v>1359</v>
      </c>
      <c r="G471" s="45">
        <v>44811.9201273148</v>
      </c>
      <c r="M471">
        <v>113.52</v>
      </c>
      <c r="N471">
        <v>0</v>
      </c>
      <c r="O471">
        <v>0</v>
      </c>
      <c r="P471">
        <v>0</v>
      </c>
      <c r="Q471">
        <v>113.52</v>
      </c>
      <c r="R471">
        <v>0</v>
      </c>
      <c r="T471" t="s">
        <v>3377</v>
      </c>
      <c r="U471">
        <v>1</v>
      </c>
      <c r="V471" t="s">
        <v>1364</v>
      </c>
      <c r="X471" t="s">
        <v>718</v>
      </c>
      <c r="Y471" t="s">
        <v>3378</v>
      </c>
      <c r="Z471" t="s">
        <v>1391</v>
      </c>
      <c r="AA471" t="s">
        <v>3379</v>
      </c>
      <c r="AB471" t="s">
        <v>3380</v>
      </c>
      <c r="AC471" t="s">
        <v>3381</v>
      </c>
      <c r="AF471" t="s">
        <v>3382</v>
      </c>
      <c r="AG471" t="s">
        <v>1385</v>
      </c>
      <c r="AH471" t="s">
        <v>3378</v>
      </c>
      <c r="AK471">
        <v>0</v>
      </c>
      <c r="AO471" t="s">
        <v>1372</v>
      </c>
      <c r="AP471" t="s">
        <v>1373</v>
      </c>
    </row>
    <row r="472" hidden="1" spans="1:42">
      <c r="A472" t="s">
        <v>3383</v>
      </c>
      <c r="B472" t="s">
        <v>1356</v>
      </c>
      <c r="C472" t="s">
        <v>1375</v>
      </c>
      <c r="D472" t="s">
        <v>2833</v>
      </c>
      <c r="F472" t="s">
        <v>1377</v>
      </c>
      <c r="G472" s="45">
        <v>44811.9201157407</v>
      </c>
      <c r="H472" s="45">
        <v>44811.9202314815</v>
      </c>
      <c r="J472" t="s">
        <v>407</v>
      </c>
      <c r="M472">
        <v>249</v>
      </c>
      <c r="N472">
        <v>0</v>
      </c>
      <c r="O472">
        <v>-8</v>
      </c>
      <c r="P472">
        <v>0</v>
      </c>
      <c r="Q472">
        <v>241</v>
      </c>
      <c r="R472">
        <v>241</v>
      </c>
      <c r="S472" t="s">
        <v>2959</v>
      </c>
      <c r="T472" t="s">
        <v>3384</v>
      </c>
      <c r="U472">
        <v>1</v>
      </c>
      <c r="V472" t="s">
        <v>1364</v>
      </c>
      <c r="X472" t="s">
        <v>394</v>
      </c>
      <c r="Y472" t="s">
        <v>1933</v>
      </c>
      <c r="Z472" t="s">
        <v>1678</v>
      </c>
      <c r="AA472" t="s">
        <v>1934</v>
      </c>
      <c r="AB472" t="s">
        <v>1935</v>
      </c>
      <c r="AC472" t="s">
        <v>1936</v>
      </c>
      <c r="AF472" t="s">
        <v>1937</v>
      </c>
      <c r="AG472" t="s">
        <v>1372</v>
      </c>
      <c r="AH472" t="s">
        <v>1933</v>
      </c>
      <c r="AK472">
        <v>0</v>
      </c>
      <c r="AO472" t="s">
        <v>1372</v>
      </c>
      <c r="AP472" t="s">
        <v>1373</v>
      </c>
    </row>
    <row r="473" hidden="1" spans="1:42">
      <c r="A473" t="s">
        <v>3385</v>
      </c>
      <c r="B473" t="s">
        <v>1356</v>
      </c>
      <c r="C473" t="s">
        <v>1375</v>
      </c>
      <c r="D473" t="s">
        <v>1780</v>
      </c>
      <c r="F473" t="s">
        <v>1359</v>
      </c>
      <c r="G473" s="45">
        <v>44811.9187847222</v>
      </c>
      <c r="M473">
        <v>113.52</v>
      </c>
      <c r="N473">
        <v>0</v>
      </c>
      <c r="O473">
        <v>-2</v>
      </c>
      <c r="P473">
        <v>0</v>
      </c>
      <c r="Q473">
        <v>111.52</v>
      </c>
      <c r="R473">
        <v>0</v>
      </c>
      <c r="S473" t="s">
        <v>1400</v>
      </c>
      <c r="T473" t="s">
        <v>3377</v>
      </c>
      <c r="U473">
        <v>1</v>
      </c>
      <c r="V473" t="s">
        <v>1364</v>
      </c>
      <c r="X473" t="s">
        <v>718</v>
      </c>
      <c r="Y473" t="s">
        <v>3378</v>
      </c>
      <c r="Z473" t="s">
        <v>1391</v>
      </c>
      <c r="AA473" t="s">
        <v>3379</v>
      </c>
      <c r="AB473" t="s">
        <v>3380</v>
      </c>
      <c r="AC473" t="s">
        <v>3381</v>
      </c>
      <c r="AF473" t="s">
        <v>3382</v>
      </c>
      <c r="AG473" t="s">
        <v>1385</v>
      </c>
      <c r="AH473" t="s">
        <v>3378</v>
      </c>
      <c r="AK473">
        <v>0</v>
      </c>
      <c r="AO473" t="s">
        <v>1372</v>
      </c>
      <c r="AP473" t="s">
        <v>1373</v>
      </c>
    </row>
    <row r="474" hidden="1" spans="1:42">
      <c r="A474" t="s">
        <v>3386</v>
      </c>
      <c r="B474" t="s">
        <v>1356</v>
      </c>
      <c r="C474" t="s">
        <v>1375</v>
      </c>
      <c r="D474" t="s">
        <v>2833</v>
      </c>
      <c r="F474" t="s">
        <v>1377</v>
      </c>
      <c r="G474" s="45">
        <v>44811.9165393518</v>
      </c>
      <c r="H474" s="45">
        <v>44811.9167824074</v>
      </c>
      <c r="J474" t="s">
        <v>407</v>
      </c>
      <c r="M474">
        <v>329</v>
      </c>
      <c r="N474">
        <v>0</v>
      </c>
      <c r="O474">
        <v>0</v>
      </c>
      <c r="P474">
        <v>0</v>
      </c>
      <c r="Q474">
        <v>329</v>
      </c>
      <c r="R474">
        <v>329</v>
      </c>
      <c r="T474" t="s">
        <v>3387</v>
      </c>
      <c r="U474">
        <v>1</v>
      </c>
      <c r="V474" t="s">
        <v>1364</v>
      </c>
      <c r="X474" t="s">
        <v>717</v>
      </c>
      <c r="Y474" t="s">
        <v>3388</v>
      </c>
      <c r="Z474" t="s">
        <v>1794</v>
      </c>
      <c r="AA474" t="s">
        <v>3389</v>
      </c>
      <c r="AB474" t="s">
        <v>3390</v>
      </c>
      <c r="AC474" t="s">
        <v>3391</v>
      </c>
      <c r="AF474" t="s">
        <v>3392</v>
      </c>
      <c r="AG474" t="s">
        <v>1372</v>
      </c>
      <c r="AK474">
        <v>0</v>
      </c>
      <c r="AO474" t="s">
        <v>1372</v>
      </c>
      <c r="AP474" t="s">
        <v>1373</v>
      </c>
    </row>
    <row r="475" hidden="1" spans="1:42">
      <c r="A475" t="s">
        <v>3393</v>
      </c>
      <c r="B475" t="s">
        <v>1356</v>
      </c>
      <c r="C475" t="s">
        <v>1375</v>
      </c>
      <c r="D475" t="s">
        <v>1780</v>
      </c>
      <c r="F475" t="s">
        <v>1377</v>
      </c>
      <c r="G475" s="45">
        <v>44811.9163078704</v>
      </c>
      <c r="H475" s="45">
        <v>44811.916400463</v>
      </c>
      <c r="J475" t="s">
        <v>407</v>
      </c>
      <c r="M475">
        <v>329</v>
      </c>
      <c r="N475">
        <v>0</v>
      </c>
      <c r="O475">
        <v>-7</v>
      </c>
      <c r="P475">
        <v>0</v>
      </c>
      <c r="Q475">
        <v>322</v>
      </c>
      <c r="R475">
        <v>322</v>
      </c>
      <c r="S475" t="s">
        <v>2550</v>
      </c>
      <c r="T475" t="s">
        <v>3394</v>
      </c>
      <c r="U475">
        <v>1</v>
      </c>
      <c r="V475" t="s">
        <v>1364</v>
      </c>
      <c r="X475" t="s">
        <v>440</v>
      </c>
      <c r="Y475" t="s">
        <v>1846</v>
      </c>
      <c r="Z475" t="s">
        <v>1367</v>
      </c>
      <c r="AA475" t="s">
        <v>1551</v>
      </c>
      <c r="AB475" t="s">
        <v>1647</v>
      </c>
      <c r="AC475" t="s">
        <v>1847</v>
      </c>
      <c r="AF475" t="s">
        <v>1848</v>
      </c>
      <c r="AG475" t="s">
        <v>1372</v>
      </c>
      <c r="AH475" t="s">
        <v>1846</v>
      </c>
      <c r="AJ475" t="s">
        <v>2945</v>
      </c>
      <c r="AK475">
        <v>322</v>
      </c>
      <c r="AO475" t="s">
        <v>1372</v>
      </c>
      <c r="AP475" t="s">
        <v>1373</v>
      </c>
    </row>
    <row r="476" hidden="1" spans="1:42">
      <c r="A476" t="s">
        <v>3395</v>
      </c>
      <c r="B476" t="s">
        <v>1356</v>
      </c>
      <c r="C476" t="s">
        <v>1375</v>
      </c>
      <c r="D476" t="s">
        <v>2833</v>
      </c>
      <c r="F476" t="s">
        <v>1377</v>
      </c>
      <c r="G476" s="45">
        <v>44811.914375</v>
      </c>
      <c r="H476" s="45">
        <v>44811.914525463</v>
      </c>
      <c r="J476" t="s">
        <v>407</v>
      </c>
      <c r="M476">
        <v>499</v>
      </c>
      <c r="N476">
        <v>0</v>
      </c>
      <c r="O476">
        <v>0</v>
      </c>
      <c r="P476">
        <v>0</v>
      </c>
      <c r="Q476">
        <v>499</v>
      </c>
      <c r="R476">
        <v>499</v>
      </c>
      <c r="T476" t="s">
        <v>3396</v>
      </c>
      <c r="U476">
        <v>1</v>
      </c>
      <c r="V476" t="s">
        <v>1364</v>
      </c>
      <c r="X476" t="s">
        <v>499</v>
      </c>
      <c r="Y476" t="s">
        <v>3397</v>
      </c>
      <c r="Z476" t="s">
        <v>1824</v>
      </c>
      <c r="AA476" t="s">
        <v>3398</v>
      </c>
      <c r="AB476" t="s">
        <v>3399</v>
      </c>
      <c r="AC476" t="s">
        <v>3400</v>
      </c>
      <c r="AD476" t="s">
        <v>3401</v>
      </c>
      <c r="AF476" t="s">
        <v>3402</v>
      </c>
      <c r="AG476" t="s">
        <v>1372</v>
      </c>
      <c r="AH476" t="s">
        <v>3397</v>
      </c>
      <c r="AK476">
        <v>0</v>
      </c>
      <c r="AL476" t="s">
        <v>3403</v>
      </c>
      <c r="AO476" t="s">
        <v>1372</v>
      </c>
      <c r="AP476" t="s">
        <v>1373</v>
      </c>
    </row>
    <row r="477" hidden="1" spans="1:42">
      <c r="A477" t="s">
        <v>3404</v>
      </c>
      <c r="B477" t="s">
        <v>1356</v>
      </c>
      <c r="C477" t="s">
        <v>1375</v>
      </c>
      <c r="D477" t="s">
        <v>1780</v>
      </c>
      <c r="F477" t="s">
        <v>1377</v>
      </c>
      <c r="G477" s="45">
        <v>44811.9125347222</v>
      </c>
      <c r="M477">
        <v>499</v>
      </c>
      <c r="N477">
        <v>0</v>
      </c>
      <c r="O477">
        <v>-5</v>
      </c>
      <c r="P477">
        <v>0</v>
      </c>
      <c r="Q477">
        <v>494</v>
      </c>
      <c r="R477">
        <v>0</v>
      </c>
      <c r="S477" t="s">
        <v>1422</v>
      </c>
      <c r="T477" t="s">
        <v>3396</v>
      </c>
      <c r="U477">
        <v>1</v>
      </c>
      <c r="V477" t="s">
        <v>1364</v>
      </c>
      <c r="X477" t="s">
        <v>499</v>
      </c>
      <c r="Y477" t="s">
        <v>3397</v>
      </c>
      <c r="Z477" t="s">
        <v>1824</v>
      </c>
      <c r="AA477" t="s">
        <v>3398</v>
      </c>
      <c r="AB477" t="s">
        <v>3399</v>
      </c>
      <c r="AC477" t="s">
        <v>3400</v>
      </c>
      <c r="AF477" t="s">
        <v>3402</v>
      </c>
      <c r="AG477" t="s">
        <v>1372</v>
      </c>
      <c r="AH477" t="s">
        <v>3397</v>
      </c>
      <c r="AK477">
        <v>0</v>
      </c>
      <c r="AO477" t="s">
        <v>1372</v>
      </c>
      <c r="AP477" t="s">
        <v>1373</v>
      </c>
    </row>
    <row r="478" hidden="1" spans="1:42">
      <c r="A478" t="s">
        <v>3405</v>
      </c>
      <c r="B478" t="s">
        <v>1356</v>
      </c>
      <c r="C478" t="s">
        <v>1375</v>
      </c>
      <c r="D478" t="s">
        <v>2833</v>
      </c>
      <c r="F478" t="s">
        <v>1377</v>
      </c>
      <c r="G478" s="45">
        <v>44811.908599537</v>
      </c>
      <c r="H478" s="45">
        <v>44811.9086921296</v>
      </c>
      <c r="J478" t="s">
        <v>407</v>
      </c>
      <c r="M478">
        <v>499</v>
      </c>
      <c r="N478">
        <v>0</v>
      </c>
      <c r="O478">
        <v>-5</v>
      </c>
      <c r="P478">
        <v>0</v>
      </c>
      <c r="Q478">
        <v>494</v>
      </c>
      <c r="R478">
        <v>494</v>
      </c>
      <c r="S478" t="s">
        <v>1422</v>
      </c>
      <c r="T478" t="s">
        <v>3406</v>
      </c>
      <c r="U478">
        <v>1</v>
      </c>
      <c r="V478" t="s">
        <v>1364</v>
      </c>
      <c r="X478" t="s">
        <v>376</v>
      </c>
      <c r="Y478" t="s">
        <v>3407</v>
      </c>
      <c r="Z478" t="s">
        <v>1626</v>
      </c>
      <c r="AA478" t="s">
        <v>1627</v>
      </c>
      <c r="AB478" t="s">
        <v>3408</v>
      </c>
      <c r="AC478" t="s">
        <v>3409</v>
      </c>
      <c r="AD478" t="s">
        <v>3410</v>
      </c>
      <c r="AF478" t="s">
        <v>3411</v>
      </c>
      <c r="AG478" t="s">
        <v>1385</v>
      </c>
      <c r="AH478" t="s">
        <v>3407</v>
      </c>
      <c r="AJ478" t="s">
        <v>1649</v>
      </c>
      <c r="AK478">
        <v>0</v>
      </c>
      <c r="AL478" t="s">
        <v>3412</v>
      </c>
      <c r="AO478" t="s">
        <v>1372</v>
      </c>
      <c r="AP478" t="s">
        <v>1373</v>
      </c>
    </row>
    <row r="479" hidden="1" spans="1:42">
      <c r="A479" t="s">
        <v>3413</v>
      </c>
      <c r="B479" t="s">
        <v>1356</v>
      </c>
      <c r="C479" t="s">
        <v>1375</v>
      </c>
      <c r="D479" t="s">
        <v>2833</v>
      </c>
      <c r="F479" t="s">
        <v>1377</v>
      </c>
      <c r="G479" s="45">
        <v>44811.8986689815</v>
      </c>
      <c r="H479" s="45">
        <v>44811.8987962963</v>
      </c>
      <c r="J479" t="s">
        <v>407</v>
      </c>
      <c r="M479">
        <v>359</v>
      </c>
      <c r="N479">
        <v>0</v>
      </c>
      <c r="O479">
        <v>0</v>
      </c>
      <c r="P479">
        <v>0</v>
      </c>
      <c r="Q479">
        <v>359</v>
      </c>
      <c r="R479">
        <v>359</v>
      </c>
      <c r="T479" t="s">
        <v>3414</v>
      </c>
      <c r="U479">
        <v>1</v>
      </c>
      <c r="V479" t="s">
        <v>1364</v>
      </c>
      <c r="X479" t="s">
        <v>394</v>
      </c>
      <c r="Y479" t="s">
        <v>1933</v>
      </c>
      <c r="Z479" t="s">
        <v>1678</v>
      </c>
      <c r="AA479" t="s">
        <v>1934</v>
      </c>
      <c r="AB479" t="s">
        <v>1935</v>
      </c>
      <c r="AC479" t="s">
        <v>1936</v>
      </c>
      <c r="AF479" t="s">
        <v>1937</v>
      </c>
      <c r="AG479" t="s">
        <v>1372</v>
      </c>
      <c r="AH479" t="s">
        <v>1933</v>
      </c>
      <c r="AK479">
        <v>0</v>
      </c>
      <c r="AO479" t="s">
        <v>1372</v>
      </c>
      <c r="AP479" t="s">
        <v>1373</v>
      </c>
    </row>
    <row r="480" hidden="1" spans="1:42">
      <c r="A480" t="s">
        <v>3415</v>
      </c>
      <c r="B480" t="s">
        <v>1356</v>
      </c>
      <c r="C480" t="s">
        <v>1375</v>
      </c>
      <c r="D480" t="s">
        <v>1780</v>
      </c>
      <c r="F480" t="s">
        <v>1377</v>
      </c>
      <c r="G480" s="45">
        <v>44811.8980902778</v>
      </c>
      <c r="H480" s="45">
        <v>44811.8982291667</v>
      </c>
      <c r="J480" t="s">
        <v>407</v>
      </c>
      <c r="M480">
        <v>359</v>
      </c>
      <c r="N480">
        <v>0</v>
      </c>
      <c r="O480">
        <v>0</v>
      </c>
      <c r="P480">
        <v>0</v>
      </c>
      <c r="Q480">
        <v>359</v>
      </c>
      <c r="R480">
        <v>359</v>
      </c>
      <c r="T480" t="s">
        <v>3416</v>
      </c>
      <c r="U480">
        <v>1</v>
      </c>
      <c r="V480" t="s">
        <v>1364</v>
      </c>
      <c r="X480" t="s">
        <v>440</v>
      </c>
      <c r="Y480" t="s">
        <v>1846</v>
      </c>
      <c r="Z480" t="s">
        <v>1367</v>
      </c>
      <c r="AA480" t="s">
        <v>1551</v>
      </c>
      <c r="AB480" t="s">
        <v>1647</v>
      </c>
      <c r="AC480" t="s">
        <v>1847</v>
      </c>
      <c r="AF480" t="s">
        <v>1848</v>
      </c>
      <c r="AG480" t="s">
        <v>1372</v>
      </c>
      <c r="AH480" t="s">
        <v>1846</v>
      </c>
      <c r="AJ480" t="s">
        <v>2945</v>
      </c>
      <c r="AK480">
        <v>359</v>
      </c>
      <c r="AO480" t="s">
        <v>1372</v>
      </c>
      <c r="AP480" t="s">
        <v>1373</v>
      </c>
    </row>
    <row r="481" hidden="1" spans="1:42">
      <c r="A481" t="s">
        <v>3417</v>
      </c>
      <c r="B481" t="s">
        <v>1356</v>
      </c>
      <c r="C481" t="s">
        <v>1375</v>
      </c>
      <c r="D481" t="s">
        <v>1358</v>
      </c>
      <c r="F481" t="s">
        <v>1377</v>
      </c>
      <c r="G481" s="45">
        <v>44811.8940625</v>
      </c>
      <c r="H481" s="45">
        <v>44811.8941782407</v>
      </c>
      <c r="J481" t="s">
        <v>407</v>
      </c>
      <c r="M481">
        <v>249</v>
      </c>
      <c r="N481">
        <v>0</v>
      </c>
      <c r="O481">
        <v>-1</v>
      </c>
      <c r="P481">
        <v>0</v>
      </c>
      <c r="Q481">
        <v>248</v>
      </c>
      <c r="R481">
        <v>248</v>
      </c>
      <c r="S481" t="s">
        <v>1414</v>
      </c>
      <c r="T481" t="s">
        <v>1862</v>
      </c>
      <c r="U481">
        <v>1</v>
      </c>
      <c r="V481" t="s">
        <v>1364</v>
      </c>
      <c r="X481" t="s">
        <v>664</v>
      </c>
      <c r="Y481" t="s">
        <v>3338</v>
      </c>
      <c r="Z481" t="s">
        <v>1380</v>
      </c>
      <c r="AA481" t="s">
        <v>1409</v>
      </c>
      <c r="AB481" t="s">
        <v>2381</v>
      </c>
      <c r="AC481" t="s">
        <v>3339</v>
      </c>
      <c r="AF481" t="s">
        <v>664</v>
      </c>
      <c r="AG481" t="s">
        <v>1372</v>
      </c>
      <c r="AK481">
        <v>0</v>
      </c>
      <c r="AL481" t="s">
        <v>3418</v>
      </c>
      <c r="AO481" t="s">
        <v>1372</v>
      </c>
      <c r="AP481" t="s">
        <v>1373</v>
      </c>
    </row>
    <row r="482" hidden="1" spans="1:42">
      <c r="A482" t="s">
        <v>3419</v>
      </c>
      <c r="B482" t="s">
        <v>1356</v>
      </c>
      <c r="C482" t="s">
        <v>1375</v>
      </c>
      <c r="D482" t="s">
        <v>1780</v>
      </c>
      <c r="F482" t="s">
        <v>1377</v>
      </c>
      <c r="G482" s="45">
        <v>44811.8924884259</v>
      </c>
      <c r="M482">
        <v>249</v>
      </c>
      <c r="N482">
        <v>0</v>
      </c>
      <c r="O482">
        <v>0</v>
      </c>
      <c r="P482">
        <v>0</v>
      </c>
      <c r="Q482">
        <v>249</v>
      </c>
      <c r="R482">
        <v>0</v>
      </c>
      <c r="T482" t="s">
        <v>1867</v>
      </c>
      <c r="U482">
        <v>1</v>
      </c>
      <c r="V482" t="s">
        <v>1364</v>
      </c>
      <c r="X482" t="s">
        <v>3420</v>
      </c>
      <c r="Y482" t="s">
        <v>3421</v>
      </c>
      <c r="Z482" t="s">
        <v>1380</v>
      </c>
      <c r="AA482" t="s">
        <v>1506</v>
      </c>
      <c r="AB482" t="s">
        <v>3422</v>
      </c>
      <c r="AC482" t="s">
        <v>3423</v>
      </c>
      <c r="AF482" t="s">
        <v>3424</v>
      </c>
      <c r="AG482" t="s">
        <v>1385</v>
      </c>
      <c r="AH482" t="s">
        <v>3421</v>
      </c>
      <c r="AK482">
        <v>0</v>
      </c>
      <c r="AO482" t="s">
        <v>1372</v>
      </c>
      <c r="AP482" t="s">
        <v>1373</v>
      </c>
    </row>
    <row r="483" hidden="1" spans="1:42">
      <c r="A483" t="s">
        <v>3425</v>
      </c>
      <c r="B483" t="s">
        <v>1356</v>
      </c>
      <c r="C483" t="s">
        <v>1375</v>
      </c>
      <c r="D483" t="s">
        <v>1780</v>
      </c>
      <c r="F483" t="s">
        <v>1377</v>
      </c>
      <c r="G483" s="45">
        <v>44811.8905092593</v>
      </c>
      <c r="M483">
        <v>99</v>
      </c>
      <c r="N483">
        <v>0</v>
      </c>
      <c r="O483">
        <v>0</v>
      </c>
      <c r="P483">
        <v>0</v>
      </c>
      <c r="Q483">
        <v>99</v>
      </c>
      <c r="R483">
        <v>0</v>
      </c>
      <c r="T483" t="s">
        <v>3366</v>
      </c>
      <c r="U483">
        <v>1</v>
      </c>
      <c r="V483" t="s">
        <v>1364</v>
      </c>
      <c r="X483" t="s">
        <v>3420</v>
      </c>
      <c r="Y483" t="s">
        <v>3421</v>
      </c>
      <c r="Z483" t="s">
        <v>1380</v>
      </c>
      <c r="AA483" t="s">
        <v>1506</v>
      </c>
      <c r="AB483" t="s">
        <v>3422</v>
      </c>
      <c r="AC483" t="s">
        <v>3423</v>
      </c>
      <c r="AF483" t="s">
        <v>3424</v>
      </c>
      <c r="AG483" t="s">
        <v>1385</v>
      </c>
      <c r="AH483" t="s">
        <v>3421</v>
      </c>
      <c r="AK483">
        <v>0</v>
      </c>
      <c r="AO483" t="s">
        <v>1372</v>
      </c>
      <c r="AP483" t="s">
        <v>1373</v>
      </c>
    </row>
    <row r="484" hidden="1" spans="1:42">
      <c r="A484" t="s">
        <v>3426</v>
      </c>
      <c r="B484" t="s">
        <v>1356</v>
      </c>
      <c r="C484" t="s">
        <v>1375</v>
      </c>
      <c r="D484" t="s">
        <v>2833</v>
      </c>
      <c r="F484" t="s">
        <v>1377</v>
      </c>
      <c r="G484" s="45">
        <v>44811.8891435185</v>
      </c>
      <c r="H484" s="45">
        <v>44811.8895833333</v>
      </c>
      <c r="J484" t="s">
        <v>407</v>
      </c>
      <c r="M484">
        <v>259</v>
      </c>
      <c r="N484">
        <v>0</v>
      </c>
      <c r="O484">
        <v>-2</v>
      </c>
      <c r="P484">
        <v>0</v>
      </c>
      <c r="Q484">
        <v>257</v>
      </c>
      <c r="R484">
        <v>257</v>
      </c>
      <c r="S484" t="s">
        <v>1400</v>
      </c>
      <c r="T484" t="s">
        <v>1602</v>
      </c>
      <c r="U484">
        <v>1</v>
      </c>
      <c r="V484" t="s">
        <v>1364</v>
      </c>
      <c r="X484" t="s">
        <v>483</v>
      </c>
      <c r="Y484" t="s">
        <v>3427</v>
      </c>
      <c r="Z484" t="s">
        <v>1513</v>
      </c>
      <c r="AA484" t="s">
        <v>3428</v>
      </c>
      <c r="AB484" t="s">
        <v>3429</v>
      </c>
      <c r="AC484" t="s">
        <v>3430</v>
      </c>
      <c r="AF484" t="s">
        <v>3431</v>
      </c>
      <c r="AG484" t="s">
        <v>1385</v>
      </c>
      <c r="AH484" t="s">
        <v>3427</v>
      </c>
      <c r="AK484">
        <v>0</v>
      </c>
      <c r="AO484" t="s">
        <v>1372</v>
      </c>
      <c r="AP484" t="s">
        <v>1373</v>
      </c>
    </row>
    <row r="485" hidden="1" spans="1:42">
      <c r="A485" t="s">
        <v>3432</v>
      </c>
      <c r="B485" t="s">
        <v>1356</v>
      </c>
      <c r="C485" t="s">
        <v>1375</v>
      </c>
      <c r="D485" t="s">
        <v>1780</v>
      </c>
      <c r="F485" t="s">
        <v>1377</v>
      </c>
      <c r="G485" s="45">
        <v>44811.8891087963</v>
      </c>
      <c r="M485">
        <v>259</v>
      </c>
      <c r="N485">
        <v>0</v>
      </c>
      <c r="O485">
        <v>-3</v>
      </c>
      <c r="P485">
        <v>0</v>
      </c>
      <c r="Q485">
        <v>256</v>
      </c>
      <c r="R485">
        <v>0</v>
      </c>
      <c r="S485" t="s">
        <v>1397</v>
      </c>
      <c r="T485" t="s">
        <v>3433</v>
      </c>
      <c r="U485">
        <v>1</v>
      </c>
      <c r="V485" t="s">
        <v>1364</v>
      </c>
      <c r="X485" t="s">
        <v>3420</v>
      </c>
      <c r="Y485" t="s">
        <v>3421</v>
      </c>
      <c r="Z485" t="s">
        <v>1380</v>
      </c>
      <c r="AA485" t="s">
        <v>1506</v>
      </c>
      <c r="AB485" t="s">
        <v>3422</v>
      </c>
      <c r="AC485" t="s">
        <v>3423</v>
      </c>
      <c r="AF485" t="s">
        <v>3424</v>
      </c>
      <c r="AG485" t="s">
        <v>1385</v>
      </c>
      <c r="AH485" t="s">
        <v>3421</v>
      </c>
      <c r="AK485">
        <v>0</v>
      </c>
      <c r="AO485" t="s">
        <v>1372</v>
      </c>
      <c r="AP485" t="s">
        <v>1373</v>
      </c>
    </row>
    <row r="486" hidden="1" spans="1:42">
      <c r="A486" t="s">
        <v>3434</v>
      </c>
      <c r="B486" t="s">
        <v>1356</v>
      </c>
      <c r="C486" t="s">
        <v>1375</v>
      </c>
      <c r="D486" t="s">
        <v>2833</v>
      </c>
      <c r="F486" t="s">
        <v>1377</v>
      </c>
      <c r="G486" s="45">
        <v>44811.8849537037</v>
      </c>
      <c r="H486" s="45">
        <v>44811.8852199074</v>
      </c>
      <c r="J486" t="s">
        <v>407</v>
      </c>
      <c r="M486">
        <v>39.9</v>
      </c>
      <c r="N486">
        <v>0</v>
      </c>
      <c r="O486">
        <v>0</v>
      </c>
      <c r="P486">
        <v>0</v>
      </c>
      <c r="Q486">
        <v>39.9</v>
      </c>
      <c r="R486">
        <v>39.9</v>
      </c>
      <c r="T486" t="s">
        <v>1813</v>
      </c>
      <c r="U486">
        <v>1</v>
      </c>
      <c r="V486" t="s">
        <v>1364</v>
      </c>
      <c r="X486" t="s">
        <v>722</v>
      </c>
      <c r="Y486" t="s">
        <v>3435</v>
      </c>
      <c r="Z486" t="s">
        <v>1678</v>
      </c>
      <c r="AA486" t="s">
        <v>3436</v>
      </c>
      <c r="AB486" t="s">
        <v>3437</v>
      </c>
      <c r="AC486" t="s">
        <v>3438</v>
      </c>
      <c r="AF486" t="s">
        <v>3439</v>
      </c>
      <c r="AG486" t="s">
        <v>1372</v>
      </c>
      <c r="AH486" t="s">
        <v>3435</v>
      </c>
      <c r="AK486">
        <v>0</v>
      </c>
      <c r="AO486" t="s">
        <v>1372</v>
      </c>
      <c r="AP486" t="s">
        <v>1373</v>
      </c>
    </row>
    <row r="487" hidden="1" spans="1:42">
      <c r="A487" t="s">
        <v>3440</v>
      </c>
      <c r="B487" t="s">
        <v>1356</v>
      </c>
      <c r="C487" t="s">
        <v>1375</v>
      </c>
      <c r="D487" t="s">
        <v>2833</v>
      </c>
      <c r="F487" t="s">
        <v>1377</v>
      </c>
      <c r="G487" s="45">
        <v>44811.8848032407</v>
      </c>
      <c r="H487" s="45">
        <v>44811.8849189815</v>
      </c>
      <c r="J487" t="s">
        <v>407</v>
      </c>
      <c r="M487">
        <v>39.9</v>
      </c>
      <c r="N487">
        <v>0</v>
      </c>
      <c r="O487">
        <v>-3</v>
      </c>
      <c r="P487">
        <v>0</v>
      </c>
      <c r="Q487">
        <v>36.9</v>
      </c>
      <c r="R487">
        <v>36.9</v>
      </c>
      <c r="S487" t="s">
        <v>1397</v>
      </c>
      <c r="T487" t="s">
        <v>1493</v>
      </c>
      <c r="U487">
        <v>1</v>
      </c>
      <c r="V487" t="s">
        <v>1364</v>
      </c>
      <c r="X487" t="s">
        <v>739</v>
      </c>
      <c r="Y487" t="s">
        <v>3441</v>
      </c>
      <c r="Z487" t="s">
        <v>1626</v>
      </c>
      <c r="AA487" t="s">
        <v>3442</v>
      </c>
      <c r="AB487" t="s">
        <v>3443</v>
      </c>
      <c r="AC487" t="s">
        <v>3444</v>
      </c>
      <c r="AF487" t="s">
        <v>3445</v>
      </c>
      <c r="AG487" t="s">
        <v>1385</v>
      </c>
      <c r="AH487" t="s">
        <v>3441</v>
      </c>
      <c r="AK487">
        <v>0</v>
      </c>
      <c r="AO487" t="s">
        <v>1372</v>
      </c>
      <c r="AP487" t="s">
        <v>1373</v>
      </c>
    </row>
    <row r="488" hidden="1" spans="1:42">
      <c r="A488" t="s">
        <v>3446</v>
      </c>
      <c r="B488" t="s">
        <v>1356</v>
      </c>
      <c r="C488" t="s">
        <v>1375</v>
      </c>
      <c r="D488" t="s">
        <v>2833</v>
      </c>
      <c r="F488" t="s">
        <v>1377</v>
      </c>
      <c r="G488" s="45">
        <v>44811.8845949074</v>
      </c>
      <c r="H488" s="45">
        <v>44811.8847106481</v>
      </c>
      <c r="J488" t="s">
        <v>407</v>
      </c>
      <c r="M488">
        <v>39.9</v>
      </c>
      <c r="N488">
        <v>0</v>
      </c>
      <c r="O488">
        <v>0</v>
      </c>
      <c r="P488">
        <v>0</v>
      </c>
      <c r="Q488">
        <v>39.9</v>
      </c>
      <c r="R488">
        <v>39.9</v>
      </c>
      <c r="T488" t="s">
        <v>1811</v>
      </c>
      <c r="U488">
        <v>1</v>
      </c>
      <c r="V488" t="s">
        <v>1364</v>
      </c>
      <c r="X488" t="s">
        <v>664</v>
      </c>
      <c r="Y488" t="s">
        <v>3338</v>
      </c>
      <c r="Z488" t="s">
        <v>1380</v>
      </c>
      <c r="AA488" t="s">
        <v>1409</v>
      </c>
      <c r="AB488" t="s">
        <v>2381</v>
      </c>
      <c r="AC488" t="s">
        <v>3339</v>
      </c>
      <c r="AF488" t="s">
        <v>664</v>
      </c>
      <c r="AG488" t="s">
        <v>1372</v>
      </c>
      <c r="AK488">
        <v>0</v>
      </c>
      <c r="AO488" t="s">
        <v>1372</v>
      </c>
      <c r="AP488" t="s">
        <v>1373</v>
      </c>
    </row>
    <row r="489" hidden="1" spans="1:42">
      <c r="A489" t="s">
        <v>3447</v>
      </c>
      <c r="B489" t="s">
        <v>1356</v>
      </c>
      <c r="C489" t="s">
        <v>1375</v>
      </c>
      <c r="D489" t="s">
        <v>2833</v>
      </c>
      <c r="F489" t="s">
        <v>1377</v>
      </c>
      <c r="G489" s="45">
        <v>44811.8819560185</v>
      </c>
      <c r="H489" s="45">
        <v>44811.8821990741</v>
      </c>
      <c r="J489" t="s">
        <v>407</v>
      </c>
      <c r="M489">
        <v>19.9</v>
      </c>
      <c r="N489">
        <v>0</v>
      </c>
      <c r="O489">
        <v>0</v>
      </c>
      <c r="P489">
        <v>0</v>
      </c>
      <c r="Q489">
        <v>19.9</v>
      </c>
      <c r="R489">
        <v>19.9</v>
      </c>
      <c r="T489" t="s">
        <v>1540</v>
      </c>
      <c r="U489">
        <v>1</v>
      </c>
      <c r="V489" t="s">
        <v>1364</v>
      </c>
      <c r="X489" t="s">
        <v>664</v>
      </c>
      <c r="Y489" t="s">
        <v>3338</v>
      </c>
      <c r="Z489" t="s">
        <v>1380</v>
      </c>
      <c r="AA489" t="s">
        <v>1409</v>
      </c>
      <c r="AB489" t="s">
        <v>2381</v>
      </c>
      <c r="AC489" t="s">
        <v>3339</v>
      </c>
      <c r="AF489" t="s">
        <v>664</v>
      </c>
      <c r="AG489" t="s">
        <v>1372</v>
      </c>
      <c r="AK489">
        <v>0</v>
      </c>
      <c r="AO489" t="s">
        <v>1372</v>
      </c>
      <c r="AP489" t="s">
        <v>1373</v>
      </c>
    </row>
    <row r="490" hidden="1" spans="1:42">
      <c r="A490" t="s">
        <v>3448</v>
      </c>
      <c r="B490" t="s">
        <v>1356</v>
      </c>
      <c r="C490" t="s">
        <v>1375</v>
      </c>
      <c r="D490" t="s">
        <v>2833</v>
      </c>
      <c r="F490" t="s">
        <v>1377</v>
      </c>
      <c r="G490" s="45">
        <v>44811.8815856481</v>
      </c>
      <c r="H490" s="45">
        <v>44811.8817361111</v>
      </c>
      <c r="J490" t="s">
        <v>407</v>
      </c>
      <c r="M490">
        <v>19.9</v>
      </c>
      <c r="N490">
        <v>0</v>
      </c>
      <c r="O490">
        <v>0</v>
      </c>
      <c r="P490">
        <v>0</v>
      </c>
      <c r="Q490">
        <v>19.9</v>
      </c>
      <c r="R490">
        <v>19.9</v>
      </c>
      <c r="T490" t="s">
        <v>1733</v>
      </c>
      <c r="U490">
        <v>1</v>
      </c>
      <c r="V490" t="s">
        <v>1364</v>
      </c>
      <c r="X490" t="s">
        <v>739</v>
      </c>
      <c r="Y490" t="s">
        <v>3441</v>
      </c>
      <c r="Z490" t="s">
        <v>1626</v>
      </c>
      <c r="AA490" t="s">
        <v>3442</v>
      </c>
      <c r="AB490" t="s">
        <v>3443</v>
      </c>
      <c r="AC490" t="s">
        <v>3444</v>
      </c>
      <c r="AF490" t="s">
        <v>3445</v>
      </c>
      <c r="AG490" t="s">
        <v>1385</v>
      </c>
      <c r="AH490" t="s">
        <v>3441</v>
      </c>
      <c r="AK490">
        <v>0</v>
      </c>
      <c r="AO490" t="s">
        <v>1372</v>
      </c>
      <c r="AP490" t="s">
        <v>1373</v>
      </c>
    </row>
    <row r="491" hidden="1" spans="1:42">
      <c r="A491" t="s">
        <v>3449</v>
      </c>
      <c r="B491" t="s">
        <v>1356</v>
      </c>
      <c r="C491" t="s">
        <v>1375</v>
      </c>
      <c r="D491" t="s">
        <v>1358</v>
      </c>
      <c r="F491" t="s">
        <v>1377</v>
      </c>
      <c r="G491" s="45">
        <v>44811.881400463</v>
      </c>
      <c r="H491" s="45">
        <v>44811.8817476852</v>
      </c>
      <c r="J491" t="s">
        <v>407</v>
      </c>
      <c r="M491">
        <v>19.9</v>
      </c>
      <c r="N491">
        <v>0</v>
      </c>
      <c r="O491">
        <v>0</v>
      </c>
      <c r="P491">
        <v>0</v>
      </c>
      <c r="Q491">
        <v>19.9</v>
      </c>
      <c r="R491">
        <v>19.9</v>
      </c>
      <c r="T491" t="s">
        <v>1529</v>
      </c>
      <c r="U491">
        <v>1</v>
      </c>
      <c r="V491" t="s">
        <v>1364</v>
      </c>
      <c r="X491" t="s">
        <v>737</v>
      </c>
      <c r="Y491" t="s">
        <v>3371</v>
      </c>
      <c r="Z491" t="s">
        <v>1367</v>
      </c>
      <c r="AA491" t="s">
        <v>1943</v>
      </c>
      <c r="AB491" t="s">
        <v>2670</v>
      </c>
      <c r="AC491" t="s">
        <v>3372</v>
      </c>
      <c r="AF491" t="s">
        <v>3373</v>
      </c>
      <c r="AG491" t="s">
        <v>1372</v>
      </c>
      <c r="AK491">
        <v>0</v>
      </c>
      <c r="AL491" t="s">
        <v>2925</v>
      </c>
      <c r="AO491" t="s">
        <v>1372</v>
      </c>
      <c r="AP491" t="s">
        <v>1373</v>
      </c>
    </row>
    <row r="492" hidden="1" spans="1:42">
      <c r="A492" t="s">
        <v>3450</v>
      </c>
      <c r="B492" t="s">
        <v>1356</v>
      </c>
      <c r="C492" t="s">
        <v>1375</v>
      </c>
      <c r="D492" t="s">
        <v>1358</v>
      </c>
      <c r="F492" t="s">
        <v>1377</v>
      </c>
      <c r="G492" s="45">
        <v>44811.8813773148</v>
      </c>
      <c r="H492" s="45">
        <v>44811.8815625</v>
      </c>
      <c r="J492" t="s">
        <v>407</v>
      </c>
      <c r="M492">
        <v>249</v>
      </c>
      <c r="N492">
        <v>0</v>
      </c>
      <c r="O492">
        <v>-5</v>
      </c>
      <c r="P492">
        <v>0</v>
      </c>
      <c r="Q492">
        <v>244</v>
      </c>
      <c r="R492">
        <v>244</v>
      </c>
      <c r="S492" t="s">
        <v>1422</v>
      </c>
      <c r="T492" t="s">
        <v>1867</v>
      </c>
      <c r="U492">
        <v>1</v>
      </c>
      <c r="V492" t="s">
        <v>1364</v>
      </c>
      <c r="X492" t="s">
        <v>376</v>
      </c>
      <c r="Y492" t="s">
        <v>3407</v>
      </c>
      <c r="Z492" t="s">
        <v>1626</v>
      </c>
      <c r="AA492" t="s">
        <v>1627</v>
      </c>
      <c r="AB492" t="s">
        <v>3408</v>
      </c>
      <c r="AC492" t="s">
        <v>3409</v>
      </c>
      <c r="AD492" t="s">
        <v>3451</v>
      </c>
      <c r="AF492" t="s">
        <v>3411</v>
      </c>
      <c r="AG492" t="s">
        <v>1385</v>
      </c>
      <c r="AH492" t="s">
        <v>3407</v>
      </c>
      <c r="AK492">
        <v>0</v>
      </c>
      <c r="AL492" t="s">
        <v>3452</v>
      </c>
      <c r="AO492" t="s">
        <v>1372</v>
      </c>
      <c r="AP492" t="s">
        <v>1373</v>
      </c>
    </row>
    <row r="493" hidden="1" spans="1:42">
      <c r="A493" t="s">
        <v>3453</v>
      </c>
      <c r="B493" t="s">
        <v>1356</v>
      </c>
      <c r="C493" t="s">
        <v>1375</v>
      </c>
      <c r="D493" t="s">
        <v>1358</v>
      </c>
      <c r="F493" t="s">
        <v>1377</v>
      </c>
      <c r="G493" s="45">
        <v>44811.8800694444</v>
      </c>
      <c r="H493" s="45">
        <v>44811.8802083333</v>
      </c>
      <c r="J493" t="s">
        <v>407</v>
      </c>
      <c r="M493">
        <v>259</v>
      </c>
      <c r="N493">
        <v>0</v>
      </c>
      <c r="O493">
        <v>-3</v>
      </c>
      <c r="P493">
        <v>0</v>
      </c>
      <c r="Q493">
        <v>256</v>
      </c>
      <c r="R493">
        <v>256</v>
      </c>
      <c r="S493" t="s">
        <v>1397</v>
      </c>
      <c r="T493" t="s">
        <v>3454</v>
      </c>
      <c r="U493">
        <v>1</v>
      </c>
      <c r="V493" t="s">
        <v>1364</v>
      </c>
      <c r="X493" t="s">
        <v>488</v>
      </c>
      <c r="Y493" t="s">
        <v>3455</v>
      </c>
      <c r="Z493" t="s">
        <v>1478</v>
      </c>
      <c r="AA493" t="s">
        <v>1587</v>
      </c>
      <c r="AB493" t="s">
        <v>1588</v>
      </c>
      <c r="AC493" t="s">
        <v>3456</v>
      </c>
      <c r="AF493" t="s">
        <v>3457</v>
      </c>
      <c r="AG493" t="s">
        <v>1372</v>
      </c>
      <c r="AH493" t="s">
        <v>3455</v>
      </c>
      <c r="AK493">
        <v>0</v>
      </c>
      <c r="AO493" t="s">
        <v>1372</v>
      </c>
      <c r="AP493" t="s">
        <v>1373</v>
      </c>
    </row>
    <row r="494" hidden="1" spans="1:42">
      <c r="A494" t="s">
        <v>3458</v>
      </c>
      <c r="B494" t="s">
        <v>1356</v>
      </c>
      <c r="C494" t="s">
        <v>1375</v>
      </c>
      <c r="D494" t="s">
        <v>1780</v>
      </c>
      <c r="F494" t="s">
        <v>1548</v>
      </c>
      <c r="G494" s="45">
        <v>44811.8760763889</v>
      </c>
      <c r="M494">
        <v>69</v>
      </c>
      <c r="N494">
        <v>0</v>
      </c>
      <c r="O494">
        <v>0</v>
      </c>
      <c r="P494">
        <v>0</v>
      </c>
      <c r="Q494">
        <v>69</v>
      </c>
      <c r="R494">
        <v>0</v>
      </c>
      <c r="T494" t="s">
        <v>1850</v>
      </c>
      <c r="U494">
        <v>1</v>
      </c>
      <c r="V494" t="s">
        <v>1364</v>
      </c>
      <c r="X494" t="s">
        <v>593</v>
      </c>
      <c r="Y494" t="s">
        <v>3025</v>
      </c>
      <c r="Z494" t="s">
        <v>2336</v>
      </c>
      <c r="AA494" t="s">
        <v>2336</v>
      </c>
      <c r="AB494" t="s">
        <v>3026</v>
      </c>
      <c r="AC494" t="s">
        <v>3027</v>
      </c>
      <c r="AF494" t="s">
        <v>3028</v>
      </c>
      <c r="AG494" t="s">
        <v>1385</v>
      </c>
      <c r="AH494" t="s">
        <v>3025</v>
      </c>
      <c r="AK494">
        <v>0</v>
      </c>
      <c r="AO494" t="s">
        <v>1372</v>
      </c>
      <c r="AP494" t="s">
        <v>1373</v>
      </c>
    </row>
    <row r="495" hidden="1" spans="1:42">
      <c r="A495" t="s">
        <v>3459</v>
      </c>
      <c r="B495" t="s">
        <v>1356</v>
      </c>
      <c r="C495" t="s">
        <v>1375</v>
      </c>
      <c r="D495" t="s">
        <v>2833</v>
      </c>
      <c r="F495" t="s">
        <v>1377</v>
      </c>
      <c r="G495" s="45">
        <v>44811.8739699074</v>
      </c>
      <c r="H495" s="45">
        <v>44811.874212963</v>
      </c>
      <c r="J495" t="s">
        <v>407</v>
      </c>
      <c r="M495">
        <v>249</v>
      </c>
      <c r="N495">
        <v>0</v>
      </c>
      <c r="O495">
        <v>0</v>
      </c>
      <c r="P495">
        <v>0</v>
      </c>
      <c r="Q495">
        <v>249</v>
      </c>
      <c r="R495">
        <v>249</v>
      </c>
      <c r="T495" t="s">
        <v>3259</v>
      </c>
      <c r="U495">
        <v>1</v>
      </c>
      <c r="V495" t="s">
        <v>1364</v>
      </c>
      <c r="X495" t="s">
        <v>725</v>
      </c>
      <c r="Y495" t="s">
        <v>3460</v>
      </c>
      <c r="Z495" t="s">
        <v>1748</v>
      </c>
      <c r="AA495" t="s">
        <v>2072</v>
      </c>
      <c r="AB495" t="s">
        <v>3461</v>
      </c>
      <c r="AC495" t="s">
        <v>3462</v>
      </c>
      <c r="AF495" t="s">
        <v>3463</v>
      </c>
      <c r="AG495" t="s">
        <v>1372</v>
      </c>
      <c r="AK495">
        <v>0</v>
      </c>
      <c r="AO495" t="s">
        <v>1372</v>
      </c>
      <c r="AP495" t="s">
        <v>1373</v>
      </c>
    </row>
    <row r="496" hidden="1" spans="1:42">
      <c r="A496" t="s">
        <v>3464</v>
      </c>
      <c r="B496" t="s">
        <v>1356</v>
      </c>
      <c r="C496" t="s">
        <v>1375</v>
      </c>
      <c r="D496" t="s">
        <v>2833</v>
      </c>
      <c r="F496" t="s">
        <v>1377</v>
      </c>
      <c r="G496" s="45">
        <v>44811.867337963</v>
      </c>
      <c r="H496" s="45">
        <v>44811.8675578704</v>
      </c>
      <c r="J496" t="s">
        <v>407</v>
      </c>
      <c r="M496">
        <v>249</v>
      </c>
      <c r="N496">
        <v>0</v>
      </c>
      <c r="O496">
        <v>0</v>
      </c>
      <c r="P496">
        <v>0</v>
      </c>
      <c r="Q496">
        <v>249</v>
      </c>
      <c r="R496">
        <v>249</v>
      </c>
      <c r="T496" t="s">
        <v>3465</v>
      </c>
      <c r="U496">
        <v>1</v>
      </c>
      <c r="V496" t="s">
        <v>1364</v>
      </c>
      <c r="X496" t="s">
        <v>726</v>
      </c>
      <c r="Y496" t="s">
        <v>3466</v>
      </c>
      <c r="Z496" t="s">
        <v>1367</v>
      </c>
      <c r="AA496" t="s">
        <v>1943</v>
      </c>
      <c r="AB496" t="s">
        <v>2039</v>
      </c>
      <c r="AC496" t="s">
        <v>3467</v>
      </c>
      <c r="AD496" t="s">
        <v>3468</v>
      </c>
      <c r="AF496" t="s">
        <v>3469</v>
      </c>
      <c r="AG496" t="s">
        <v>1372</v>
      </c>
      <c r="AH496" t="s">
        <v>3466</v>
      </c>
      <c r="AJ496" t="s">
        <v>1649</v>
      </c>
      <c r="AK496">
        <v>0</v>
      </c>
      <c r="AO496" t="s">
        <v>1372</v>
      </c>
      <c r="AP496" t="s">
        <v>1373</v>
      </c>
    </row>
    <row r="497" hidden="1" spans="1:42">
      <c r="A497" t="s">
        <v>3470</v>
      </c>
      <c r="B497" t="s">
        <v>1356</v>
      </c>
      <c r="C497" t="s">
        <v>1375</v>
      </c>
      <c r="D497" t="s">
        <v>2833</v>
      </c>
      <c r="F497" t="s">
        <v>1359</v>
      </c>
      <c r="G497" s="45">
        <v>44811.8658680556</v>
      </c>
      <c r="H497" s="45">
        <v>44811.8659606481</v>
      </c>
      <c r="J497" t="s">
        <v>1360</v>
      </c>
      <c r="K497" t="s">
        <v>3471</v>
      </c>
      <c r="L497" t="s">
        <v>3472</v>
      </c>
      <c r="M497">
        <v>238</v>
      </c>
      <c r="N497">
        <v>0</v>
      </c>
      <c r="O497">
        <v>0</v>
      </c>
      <c r="P497">
        <v>0</v>
      </c>
      <c r="Q497">
        <v>238</v>
      </c>
      <c r="R497">
        <v>238</v>
      </c>
      <c r="T497" t="s">
        <v>3473</v>
      </c>
      <c r="U497">
        <v>1</v>
      </c>
      <c r="V497" t="s">
        <v>1364</v>
      </c>
      <c r="X497" t="s">
        <v>3474</v>
      </c>
      <c r="Y497" t="s">
        <v>3475</v>
      </c>
      <c r="Z497" t="s">
        <v>1560</v>
      </c>
      <c r="AA497" t="s">
        <v>1560</v>
      </c>
      <c r="AB497" t="s">
        <v>3476</v>
      </c>
      <c r="AC497" t="s">
        <v>3477</v>
      </c>
      <c r="AF497" t="s">
        <v>3475</v>
      </c>
      <c r="AG497" t="s">
        <v>1372</v>
      </c>
      <c r="AH497" t="s">
        <v>3475</v>
      </c>
      <c r="AK497">
        <v>0</v>
      </c>
      <c r="AL497" t="s">
        <v>3340</v>
      </c>
      <c r="AO497" t="s">
        <v>1372</v>
      </c>
      <c r="AP497" t="s">
        <v>1373</v>
      </c>
    </row>
    <row r="498" hidden="1" spans="1:42">
      <c r="A498" t="s">
        <v>3478</v>
      </c>
      <c r="B498" t="s">
        <v>1356</v>
      </c>
      <c r="C498" t="s">
        <v>1375</v>
      </c>
      <c r="D498" t="s">
        <v>2833</v>
      </c>
      <c r="F498" t="s">
        <v>1377</v>
      </c>
      <c r="G498" s="45">
        <v>44811.8658333333</v>
      </c>
      <c r="H498" s="45">
        <v>44811.8659490741</v>
      </c>
      <c r="J498" t="s">
        <v>407</v>
      </c>
      <c r="M498">
        <v>39.9</v>
      </c>
      <c r="N498">
        <v>0</v>
      </c>
      <c r="O498">
        <v>-3</v>
      </c>
      <c r="P498">
        <v>0</v>
      </c>
      <c r="Q498">
        <v>36.9</v>
      </c>
      <c r="R498">
        <v>36.9</v>
      </c>
      <c r="S498" t="s">
        <v>1397</v>
      </c>
      <c r="T498" t="s">
        <v>1897</v>
      </c>
      <c r="U498">
        <v>1</v>
      </c>
      <c r="V498" t="s">
        <v>1364</v>
      </c>
      <c r="X498" t="s">
        <v>488</v>
      </c>
      <c r="Y498" t="s">
        <v>3455</v>
      </c>
      <c r="Z498" t="s">
        <v>1478</v>
      </c>
      <c r="AA498" t="s">
        <v>1587</v>
      </c>
      <c r="AB498" t="s">
        <v>1588</v>
      </c>
      <c r="AC498" t="s">
        <v>3456</v>
      </c>
      <c r="AF498" t="s">
        <v>3457</v>
      </c>
      <c r="AG498" t="s">
        <v>1372</v>
      </c>
      <c r="AH498" t="s">
        <v>3455</v>
      </c>
      <c r="AK498">
        <v>0</v>
      </c>
      <c r="AO498" t="s">
        <v>1372</v>
      </c>
      <c r="AP498" t="s">
        <v>1373</v>
      </c>
    </row>
    <row r="499" hidden="1" spans="1:42">
      <c r="A499" t="s">
        <v>3479</v>
      </c>
      <c r="B499" t="s">
        <v>1356</v>
      </c>
      <c r="C499" t="s">
        <v>1375</v>
      </c>
      <c r="D499" t="s">
        <v>2833</v>
      </c>
      <c r="F499" t="s">
        <v>1377</v>
      </c>
      <c r="G499" s="45">
        <v>44811.8614467593</v>
      </c>
      <c r="H499" s="45">
        <v>44811.8615393518</v>
      </c>
      <c r="J499" t="s">
        <v>407</v>
      </c>
      <c r="M499">
        <v>19.9</v>
      </c>
      <c r="N499">
        <v>0</v>
      </c>
      <c r="O499">
        <v>0</v>
      </c>
      <c r="P499">
        <v>0</v>
      </c>
      <c r="Q499">
        <v>19.9</v>
      </c>
      <c r="R499">
        <v>19.9</v>
      </c>
      <c r="T499" t="s">
        <v>1540</v>
      </c>
      <c r="U499">
        <v>1</v>
      </c>
      <c r="V499" t="s">
        <v>1364</v>
      </c>
      <c r="X499" t="s">
        <v>376</v>
      </c>
      <c r="Y499" t="s">
        <v>3407</v>
      </c>
      <c r="Z499" t="s">
        <v>1626</v>
      </c>
      <c r="AA499" t="s">
        <v>1627</v>
      </c>
      <c r="AB499" t="s">
        <v>3408</v>
      </c>
      <c r="AC499" t="s">
        <v>3409</v>
      </c>
      <c r="AF499" t="s">
        <v>3411</v>
      </c>
      <c r="AG499" t="s">
        <v>1385</v>
      </c>
      <c r="AH499" t="s">
        <v>3407</v>
      </c>
      <c r="AK499">
        <v>0</v>
      </c>
      <c r="AL499" t="s">
        <v>3480</v>
      </c>
      <c r="AO499" t="s">
        <v>1372</v>
      </c>
      <c r="AP499" t="s">
        <v>1373</v>
      </c>
    </row>
    <row r="500" hidden="1" spans="1:42">
      <c r="A500" t="s">
        <v>3481</v>
      </c>
      <c r="B500" t="s">
        <v>1356</v>
      </c>
      <c r="C500" t="s">
        <v>1375</v>
      </c>
      <c r="D500" t="s">
        <v>2833</v>
      </c>
      <c r="F500" t="s">
        <v>1377</v>
      </c>
      <c r="G500" s="45">
        <v>44811.8610300926</v>
      </c>
      <c r="H500" s="45">
        <v>44811.8611574074</v>
      </c>
      <c r="J500" t="s">
        <v>407</v>
      </c>
      <c r="M500">
        <v>19.9</v>
      </c>
      <c r="N500">
        <v>0</v>
      </c>
      <c r="O500">
        <v>0</v>
      </c>
      <c r="P500">
        <v>0</v>
      </c>
      <c r="Q500">
        <v>19.9</v>
      </c>
      <c r="R500">
        <v>19.9</v>
      </c>
      <c r="T500" t="s">
        <v>1529</v>
      </c>
      <c r="U500">
        <v>1</v>
      </c>
      <c r="V500" t="s">
        <v>1364</v>
      </c>
      <c r="X500" t="s">
        <v>488</v>
      </c>
      <c r="Y500" t="s">
        <v>3455</v>
      </c>
      <c r="Z500" t="s">
        <v>1478</v>
      </c>
      <c r="AA500" t="s">
        <v>1587</v>
      </c>
      <c r="AB500" t="s">
        <v>1588</v>
      </c>
      <c r="AC500" t="s">
        <v>3456</v>
      </c>
      <c r="AF500" t="s">
        <v>3457</v>
      </c>
      <c r="AG500" t="s">
        <v>1372</v>
      </c>
      <c r="AH500" t="s">
        <v>3455</v>
      </c>
      <c r="AK500">
        <v>0</v>
      </c>
      <c r="AO500" t="s">
        <v>1372</v>
      </c>
      <c r="AP500" t="s">
        <v>1373</v>
      </c>
    </row>
    <row r="501" hidden="1" spans="1:42">
      <c r="A501" t="s">
        <v>3482</v>
      </c>
      <c r="B501" t="s">
        <v>1356</v>
      </c>
      <c r="C501" t="s">
        <v>1375</v>
      </c>
      <c r="D501" t="s">
        <v>1358</v>
      </c>
      <c r="F501" t="s">
        <v>1377</v>
      </c>
      <c r="G501" s="45">
        <v>44811.8592476852</v>
      </c>
      <c r="H501" s="45">
        <v>44811.8593402778</v>
      </c>
      <c r="J501" t="s">
        <v>407</v>
      </c>
      <c r="M501">
        <v>249</v>
      </c>
      <c r="N501">
        <v>0</v>
      </c>
      <c r="O501">
        <v>-5</v>
      </c>
      <c r="P501">
        <v>0</v>
      </c>
      <c r="Q501">
        <v>244</v>
      </c>
      <c r="R501">
        <v>244</v>
      </c>
      <c r="S501" t="s">
        <v>1422</v>
      </c>
      <c r="T501" t="s">
        <v>3483</v>
      </c>
      <c r="U501">
        <v>1</v>
      </c>
      <c r="V501" t="s">
        <v>1364</v>
      </c>
      <c r="X501" t="s">
        <v>376</v>
      </c>
      <c r="Y501" t="s">
        <v>3407</v>
      </c>
      <c r="Z501" t="s">
        <v>1626</v>
      </c>
      <c r="AA501" t="s">
        <v>1627</v>
      </c>
      <c r="AB501" t="s">
        <v>3408</v>
      </c>
      <c r="AC501" t="s">
        <v>3409</v>
      </c>
      <c r="AF501" t="s">
        <v>3411</v>
      </c>
      <c r="AG501" t="s">
        <v>1385</v>
      </c>
      <c r="AH501" t="s">
        <v>3407</v>
      </c>
      <c r="AK501">
        <v>0</v>
      </c>
      <c r="AL501" t="s">
        <v>3484</v>
      </c>
      <c r="AO501" t="s">
        <v>1372</v>
      </c>
      <c r="AP501" t="s">
        <v>1373</v>
      </c>
    </row>
    <row r="502" hidden="1" spans="1:42">
      <c r="A502" t="s">
        <v>3485</v>
      </c>
      <c r="B502" t="s">
        <v>1356</v>
      </c>
      <c r="C502" t="s">
        <v>1375</v>
      </c>
      <c r="D502" t="s">
        <v>1358</v>
      </c>
      <c r="F502" t="s">
        <v>1377</v>
      </c>
      <c r="G502" s="45">
        <v>44811.8589467593</v>
      </c>
      <c r="H502" s="45">
        <v>44811.8590625</v>
      </c>
      <c r="J502" t="s">
        <v>407</v>
      </c>
      <c r="M502">
        <v>249</v>
      </c>
      <c r="N502">
        <v>0</v>
      </c>
      <c r="O502">
        <v>-5</v>
      </c>
      <c r="P502">
        <v>0</v>
      </c>
      <c r="Q502">
        <v>244</v>
      </c>
      <c r="R502">
        <v>244</v>
      </c>
      <c r="S502" t="s">
        <v>1422</v>
      </c>
      <c r="T502" t="s">
        <v>3483</v>
      </c>
      <c r="U502">
        <v>1</v>
      </c>
      <c r="V502" t="s">
        <v>1364</v>
      </c>
      <c r="X502" t="s">
        <v>488</v>
      </c>
      <c r="Y502" t="s">
        <v>3455</v>
      </c>
      <c r="Z502" t="s">
        <v>1478</v>
      </c>
      <c r="AA502" t="s">
        <v>1587</v>
      </c>
      <c r="AB502" t="s">
        <v>1588</v>
      </c>
      <c r="AC502" t="s">
        <v>3456</v>
      </c>
      <c r="AF502" t="s">
        <v>3457</v>
      </c>
      <c r="AG502" t="s">
        <v>1372</v>
      </c>
      <c r="AH502" t="s">
        <v>3455</v>
      </c>
      <c r="AK502">
        <v>0</v>
      </c>
      <c r="AL502" t="s">
        <v>3486</v>
      </c>
      <c r="AO502" t="s">
        <v>1372</v>
      </c>
      <c r="AP502" t="s">
        <v>1373</v>
      </c>
    </row>
    <row r="503" hidden="1" spans="1:42">
      <c r="A503" t="s">
        <v>3487</v>
      </c>
      <c r="B503" t="s">
        <v>1356</v>
      </c>
      <c r="C503" t="s">
        <v>1375</v>
      </c>
      <c r="D503" t="s">
        <v>2833</v>
      </c>
      <c r="F503" t="s">
        <v>1377</v>
      </c>
      <c r="G503" s="45">
        <v>44811.8541203704</v>
      </c>
      <c r="H503" s="45">
        <v>44811.8546064815</v>
      </c>
      <c r="J503" t="s">
        <v>407</v>
      </c>
      <c r="M503">
        <v>249</v>
      </c>
      <c r="N503">
        <v>0</v>
      </c>
      <c r="O503">
        <v>-1</v>
      </c>
      <c r="P503">
        <v>0</v>
      </c>
      <c r="Q503">
        <v>248</v>
      </c>
      <c r="R503">
        <v>248</v>
      </c>
      <c r="S503" t="s">
        <v>1414</v>
      </c>
      <c r="T503" t="s">
        <v>3488</v>
      </c>
      <c r="U503">
        <v>1</v>
      </c>
      <c r="V503" t="s">
        <v>1364</v>
      </c>
      <c r="X503" t="s">
        <v>488</v>
      </c>
      <c r="Y503" t="s">
        <v>3455</v>
      </c>
      <c r="Z503" t="s">
        <v>1478</v>
      </c>
      <c r="AA503" t="s">
        <v>1587</v>
      </c>
      <c r="AB503" t="s">
        <v>1588</v>
      </c>
      <c r="AC503" t="s">
        <v>3456</v>
      </c>
      <c r="AF503" t="s">
        <v>3457</v>
      </c>
      <c r="AG503" t="s">
        <v>1372</v>
      </c>
      <c r="AH503" t="s">
        <v>3455</v>
      </c>
      <c r="AK503">
        <v>0</v>
      </c>
      <c r="AL503" t="s">
        <v>3063</v>
      </c>
      <c r="AO503" t="s">
        <v>1372</v>
      </c>
      <c r="AP503" t="s">
        <v>1373</v>
      </c>
    </row>
    <row r="504" hidden="1" spans="1:42">
      <c r="A504" t="s">
        <v>3489</v>
      </c>
      <c r="B504" t="s">
        <v>1356</v>
      </c>
      <c r="C504" t="s">
        <v>1375</v>
      </c>
      <c r="D504" t="s">
        <v>2833</v>
      </c>
      <c r="F504" t="s">
        <v>1377</v>
      </c>
      <c r="G504" s="45">
        <v>44811.8499305556</v>
      </c>
      <c r="H504" s="45">
        <v>44811.8500462963</v>
      </c>
      <c r="J504" t="s">
        <v>407</v>
      </c>
      <c r="M504">
        <v>39.9</v>
      </c>
      <c r="N504">
        <v>0</v>
      </c>
      <c r="O504">
        <v>-3</v>
      </c>
      <c r="P504">
        <v>0</v>
      </c>
      <c r="Q504">
        <v>36.9</v>
      </c>
      <c r="R504">
        <v>36.9</v>
      </c>
      <c r="S504" t="s">
        <v>1397</v>
      </c>
      <c r="T504" t="s">
        <v>2059</v>
      </c>
      <c r="U504">
        <v>1</v>
      </c>
      <c r="V504" t="s">
        <v>1364</v>
      </c>
      <c r="X504" t="s">
        <v>394</v>
      </c>
      <c r="Y504" t="s">
        <v>1933</v>
      </c>
      <c r="Z504" t="s">
        <v>1678</v>
      </c>
      <c r="AA504" t="s">
        <v>1934</v>
      </c>
      <c r="AB504" t="s">
        <v>1935</v>
      </c>
      <c r="AC504" t="s">
        <v>1936</v>
      </c>
      <c r="AF504" t="s">
        <v>1937</v>
      </c>
      <c r="AG504" t="s">
        <v>1372</v>
      </c>
      <c r="AH504" t="s">
        <v>1933</v>
      </c>
      <c r="AK504">
        <v>0</v>
      </c>
      <c r="AO504" t="s">
        <v>1372</v>
      </c>
      <c r="AP504" t="s">
        <v>1373</v>
      </c>
    </row>
    <row r="505" hidden="1" spans="1:42">
      <c r="A505" t="s">
        <v>3490</v>
      </c>
      <c r="B505" t="s">
        <v>1356</v>
      </c>
      <c r="C505" t="s">
        <v>1375</v>
      </c>
      <c r="D505" t="s">
        <v>2833</v>
      </c>
      <c r="F505" t="s">
        <v>1377</v>
      </c>
      <c r="G505" s="45">
        <v>44811.8496180556</v>
      </c>
      <c r="H505" s="45">
        <v>44811.8496990741</v>
      </c>
      <c r="J505" t="s">
        <v>407</v>
      </c>
      <c r="M505">
        <v>39.9</v>
      </c>
      <c r="N505">
        <v>0</v>
      </c>
      <c r="O505">
        <v>-3</v>
      </c>
      <c r="P505">
        <v>0</v>
      </c>
      <c r="Q505">
        <v>36.9</v>
      </c>
      <c r="R505">
        <v>36.9</v>
      </c>
      <c r="S505" t="s">
        <v>1397</v>
      </c>
      <c r="T505" t="s">
        <v>2215</v>
      </c>
      <c r="U505">
        <v>1</v>
      </c>
      <c r="V505" t="s">
        <v>1364</v>
      </c>
      <c r="X505" t="s">
        <v>376</v>
      </c>
      <c r="Y505" t="s">
        <v>3407</v>
      </c>
      <c r="Z505" t="s">
        <v>1626</v>
      </c>
      <c r="AA505" t="s">
        <v>1627</v>
      </c>
      <c r="AB505" t="s">
        <v>3408</v>
      </c>
      <c r="AC505" t="s">
        <v>3409</v>
      </c>
      <c r="AF505" t="s">
        <v>3411</v>
      </c>
      <c r="AG505" t="s">
        <v>1385</v>
      </c>
      <c r="AH505" t="s">
        <v>3407</v>
      </c>
      <c r="AK505">
        <v>0</v>
      </c>
      <c r="AO505" t="s">
        <v>1372</v>
      </c>
      <c r="AP505" t="s">
        <v>1373</v>
      </c>
    </row>
    <row r="506" hidden="1" spans="1:42">
      <c r="A506" t="s">
        <v>3491</v>
      </c>
      <c r="B506" t="s">
        <v>1356</v>
      </c>
      <c r="C506" t="s">
        <v>1375</v>
      </c>
      <c r="D506" t="s">
        <v>2833</v>
      </c>
      <c r="F506" t="s">
        <v>1377</v>
      </c>
      <c r="G506" s="45">
        <v>44811.8490625</v>
      </c>
      <c r="H506" s="45">
        <v>44811.8491435185</v>
      </c>
      <c r="J506" t="s">
        <v>407</v>
      </c>
      <c r="M506">
        <v>39.9</v>
      </c>
      <c r="N506">
        <v>0</v>
      </c>
      <c r="O506">
        <v>-3</v>
      </c>
      <c r="P506">
        <v>0</v>
      </c>
      <c r="Q506">
        <v>36.9</v>
      </c>
      <c r="R506">
        <v>36.9</v>
      </c>
      <c r="S506" t="s">
        <v>1397</v>
      </c>
      <c r="T506" t="s">
        <v>2059</v>
      </c>
      <c r="U506">
        <v>1</v>
      </c>
      <c r="V506" t="s">
        <v>1364</v>
      </c>
      <c r="X506" t="s">
        <v>741</v>
      </c>
      <c r="Y506" t="s">
        <v>3492</v>
      </c>
      <c r="Z506" t="s">
        <v>1853</v>
      </c>
      <c r="AA506" t="s">
        <v>3493</v>
      </c>
      <c r="AB506" t="s">
        <v>3494</v>
      </c>
      <c r="AC506" t="s">
        <v>3495</v>
      </c>
      <c r="AF506" t="s">
        <v>741</v>
      </c>
      <c r="AG506" t="s">
        <v>1385</v>
      </c>
      <c r="AH506" t="s">
        <v>3492</v>
      </c>
      <c r="AK506">
        <v>0</v>
      </c>
      <c r="AO506" t="s">
        <v>1372</v>
      </c>
      <c r="AP506" t="s">
        <v>1373</v>
      </c>
    </row>
    <row r="507" hidden="1" spans="1:42">
      <c r="A507" t="s">
        <v>3496</v>
      </c>
      <c r="B507" t="s">
        <v>1356</v>
      </c>
      <c r="C507" t="s">
        <v>1375</v>
      </c>
      <c r="D507" t="s">
        <v>2833</v>
      </c>
      <c r="F507" t="s">
        <v>1377</v>
      </c>
      <c r="G507" s="45">
        <v>44811.8487152778</v>
      </c>
      <c r="H507" s="45">
        <v>44811.8488888889</v>
      </c>
      <c r="J507" t="s">
        <v>407</v>
      </c>
      <c r="M507">
        <v>39.9</v>
      </c>
      <c r="N507">
        <v>0</v>
      </c>
      <c r="O507">
        <v>0</v>
      </c>
      <c r="P507">
        <v>0</v>
      </c>
      <c r="Q507">
        <v>39.9</v>
      </c>
      <c r="R507">
        <v>39.9</v>
      </c>
      <c r="T507" t="s">
        <v>1491</v>
      </c>
      <c r="U507">
        <v>1</v>
      </c>
      <c r="V507" t="s">
        <v>1364</v>
      </c>
      <c r="X507" t="s">
        <v>488</v>
      </c>
      <c r="Y507" t="s">
        <v>3455</v>
      </c>
      <c r="Z507" t="s">
        <v>1478</v>
      </c>
      <c r="AA507" t="s">
        <v>1587</v>
      </c>
      <c r="AB507" t="s">
        <v>1588</v>
      </c>
      <c r="AC507" t="s">
        <v>3456</v>
      </c>
      <c r="AF507" t="s">
        <v>3457</v>
      </c>
      <c r="AG507" t="s">
        <v>1372</v>
      </c>
      <c r="AH507" t="s">
        <v>3455</v>
      </c>
      <c r="AK507">
        <v>0</v>
      </c>
      <c r="AO507" t="s">
        <v>1372</v>
      </c>
      <c r="AP507" t="s">
        <v>1373</v>
      </c>
    </row>
    <row r="508" hidden="1" spans="1:42">
      <c r="A508" t="s">
        <v>3497</v>
      </c>
      <c r="B508" t="s">
        <v>1356</v>
      </c>
      <c r="C508" t="s">
        <v>1375</v>
      </c>
      <c r="D508" t="s">
        <v>2833</v>
      </c>
      <c r="F508" t="s">
        <v>1377</v>
      </c>
      <c r="G508" s="45">
        <v>44811.8430324074</v>
      </c>
      <c r="H508" s="45">
        <v>44811.8431712963</v>
      </c>
      <c r="J508" t="s">
        <v>407</v>
      </c>
      <c r="M508">
        <v>19.9</v>
      </c>
      <c r="N508">
        <v>0</v>
      </c>
      <c r="O508">
        <v>0</v>
      </c>
      <c r="P508">
        <v>0</v>
      </c>
      <c r="Q508">
        <v>19.9</v>
      </c>
      <c r="R508">
        <v>19.9</v>
      </c>
      <c r="T508" t="s">
        <v>1540</v>
      </c>
      <c r="U508">
        <v>1</v>
      </c>
      <c r="V508" t="s">
        <v>1364</v>
      </c>
      <c r="X508" t="s">
        <v>436</v>
      </c>
      <c r="Y508" t="s">
        <v>1446</v>
      </c>
      <c r="Z508" t="s">
        <v>1447</v>
      </c>
      <c r="AA508" t="s">
        <v>1448</v>
      </c>
      <c r="AB508" t="s">
        <v>1449</v>
      </c>
      <c r="AC508" t="s">
        <v>1450</v>
      </c>
      <c r="AF508" t="s">
        <v>1451</v>
      </c>
      <c r="AG508" t="s">
        <v>1385</v>
      </c>
      <c r="AH508" t="s">
        <v>1446</v>
      </c>
      <c r="AK508">
        <v>0</v>
      </c>
      <c r="AO508" t="s">
        <v>1372</v>
      </c>
      <c r="AP508" t="s">
        <v>1373</v>
      </c>
    </row>
    <row r="509" hidden="1" spans="1:42">
      <c r="A509" t="s">
        <v>3498</v>
      </c>
      <c r="B509" t="s">
        <v>1356</v>
      </c>
      <c r="C509" t="s">
        <v>1375</v>
      </c>
      <c r="D509" t="s">
        <v>2833</v>
      </c>
      <c r="F509" t="s">
        <v>1377</v>
      </c>
      <c r="G509" s="45">
        <v>44811.8426736111</v>
      </c>
      <c r="H509" s="45">
        <v>44811.8427662037</v>
      </c>
      <c r="J509" t="s">
        <v>407</v>
      </c>
      <c r="M509">
        <v>19.9</v>
      </c>
      <c r="N509">
        <v>0</v>
      </c>
      <c r="O509">
        <v>0</v>
      </c>
      <c r="P509">
        <v>0</v>
      </c>
      <c r="Q509">
        <v>19.9</v>
      </c>
      <c r="R509">
        <v>19.9</v>
      </c>
      <c r="T509" t="s">
        <v>1845</v>
      </c>
      <c r="U509">
        <v>1</v>
      </c>
      <c r="V509" t="s">
        <v>1364</v>
      </c>
      <c r="X509" t="s">
        <v>674</v>
      </c>
      <c r="Y509" t="s">
        <v>3019</v>
      </c>
      <c r="Z509" t="s">
        <v>1678</v>
      </c>
      <c r="AA509" t="s">
        <v>3020</v>
      </c>
      <c r="AB509" t="s">
        <v>3021</v>
      </c>
      <c r="AC509" t="s">
        <v>3022</v>
      </c>
      <c r="AF509" t="s">
        <v>3023</v>
      </c>
      <c r="AG509" t="s">
        <v>1372</v>
      </c>
      <c r="AK509">
        <v>0</v>
      </c>
      <c r="AO509" t="s">
        <v>1372</v>
      </c>
      <c r="AP509" t="s">
        <v>1373</v>
      </c>
    </row>
    <row r="510" hidden="1" spans="1:42">
      <c r="A510" t="s">
        <v>3499</v>
      </c>
      <c r="B510" t="s">
        <v>1356</v>
      </c>
      <c r="C510" t="s">
        <v>1375</v>
      </c>
      <c r="D510" t="s">
        <v>2833</v>
      </c>
      <c r="F510" t="s">
        <v>1377</v>
      </c>
      <c r="G510" s="45">
        <v>44811.8424305556</v>
      </c>
      <c r="H510" s="45">
        <v>44811.8425694444</v>
      </c>
      <c r="J510" t="s">
        <v>407</v>
      </c>
      <c r="M510">
        <v>19.9</v>
      </c>
      <c r="N510">
        <v>0</v>
      </c>
      <c r="O510">
        <v>0</v>
      </c>
      <c r="P510">
        <v>0</v>
      </c>
      <c r="Q510">
        <v>19.9</v>
      </c>
      <c r="R510">
        <v>19.9</v>
      </c>
      <c r="T510" t="s">
        <v>1831</v>
      </c>
      <c r="U510">
        <v>1</v>
      </c>
      <c r="V510" t="s">
        <v>1364</v>
      </c>
      <c r="X510" t="s">
        <v>754</v>
      </c>
      <c r="Y510" t="s">
        <v>3500</v>
      </c>
      <c r="Z510" t="s">
        <v>1495</v>
      </c>
      <c r="AA510" t="s">
        <v>3501</v>
      </c>
      <c r="AB510" t="s">
        <v>3502</v>
      </c>
      <c r="AC510" t="s">
        <v>3503</v>
      </c>
      <c r="AF510" t="s">
        <v>3504</v>
      </c>
      <c r="AG510" t="s">
        <v>1372</v>
      </c>
      <c r="AK510">
        <v>0</v>
      </c>
      <c r="AO510" t="s">
        <v>1372</v>
      </c>
      <c r="AP510" t="s">
        <v>1373</v>
      </c>
    </row>
    <row r="511" hidden="1" spans="1:42">
      <c r="A511" t="s">
        <v>3505</v>
      </c>
      <c r="B511" t="s">
        <v>1356</v>
      </c>
      <c r="C511" t="s">
        <v>1375</v>
      </c>
      <c r="D511" t="s">
        <v>1780</v>
      </c>
      <c r="F511" t="s">
        <v>1377</v>
      </c>
      <c r="G511" s="45">
        <v>44811.8403819444</v>
      </c>
      <c r="H511" s="45">
        <v>44811.8405439815</v>
      </c>
      <c r="J511" t="s">
        <v>407</v>
      </c>
      <c r="M511">
        <v>249</v>
      </c>
      <c r="N511">
        <v>0</v>
      </c>
      <c r="O511">
        <v>0</v>
      </c>
      <c r="P511">
        <v>0</v>
      </c>
      <c r="Q511">
        <v>249</v>
      </c>
      <c r="R511">
        <v>249</v>
      </c>
      <c r="T511" t="s">
        <v>1867</v>
      </c>
      <c r="U511">
        <v>1</v>
      </c>
      <c r="V511" t="s">
        <v>1364</v>
      </c>
      <c r="X511" t="s">
        <v>566</v>
      </c>
      <c r="Y511" t="s">
        <v>3506</v>
      </c>
      <c r="Z511" t="s">
        <v>1794</v>
      </c>
      <c r="AA511" t="s">
        <v>3507</v>
      </c>
      <c r="AB511" t="s">
        <v>3508</v>
      </c>
      <c r="AC511" t="s">
        <v>3509</v>
      </c>
      <c r="AF511" t="s">
        <v>3510</v>
      </c>
      <c r="AG511" t="s">
        <v>1372</v>
      </c>
      <c r="AJ511" t="s">
        <v>2945</v>
      </c>
      <c r="AK511">
        <v>249</v>
      </c>
      <c r="AL511" t="s">
        <v>2907</v>
      </c>
      <c r="AO511" t="s">
        <v>1372</v>
      </c>
      <c r="AP511" t="s">
        <v>1373</v>
      </c>
    </row>
    <row r="512" hidden="1" spans="1:42">
      <c r="A512" t="s">
        <v>3511</v>
      </c>
      <c r="B512" t="s">
        <v>1356</v>
      </c>
      <c r="C512" t="s">
        <v>1375</v>
      </c>
      <c r="D512" t="s">
        <v>1780</v>
      </c>
      <c r="F512" t="s">
        <v>1359</v>
      </c>
      <c r="G512" s="45">
        <v>44811.8328125</v>
      </c>
      <c r="M512">
        <v>39</v>
      </c>
      <c r="N512">
        <v>0</v>
      </c>
      <c r="O512">
        <v>-1</v>
      </c>
      <c r="P512">
        <v>0</v>
      </c>
      <c r="Q512">
        <v>38</v>
      </c>
      <c r="R512">
        <v>0</v>
      </c>
      <c r="S512" t="s">
        <v>1414</v>
      </c>
      <c r="T512" t="s">
        <v>2249</v>
      </c>
      <c r="U512">
        <v>1</v>
      </c>
      <c r="V512" t="s">
        <v>1364</v>
      </c>
      <c r="X512" t="s">
        <v>983</v>
      </c>
      <c r="Y512" t="s">
        <v>3512</v>
      </c>
      <c r="Z512" t="s">
        <v>1367</v>
      </c>
      <c r="AA512" t="s">
        <v>1402</v>
      </c>
      <c r="AB512" t="s">
        <v>3513</v>
      </c>
      <c r="AC512" t="s">
        <v>3514</v>
      </c>
      <c r="AF512" t="s">
        <v>3515</v>
      </c>
      <c r="AG512" t="s">
        <v>1385</v>
      </c>
      <c r="AH512" t="s">
        <v>3512</v>
      </c>
      <c r="AK512">
        <v>0</v>
      </c>
      <c r="AO512" t="s">
        <v>1372</v>
      </c>
      <c r="AP512" t="s">
        <v>1373</v>
      </c>
    </row>
    <row r="513" hidden="1" spans="1:42">
      <c r="A513" t="s">
        <v>3516</v>
      </c>
      <c r="B513" t="s">
        <v>1356</v>
      </c>
      <c r="C513" t="s">
        <v>1375</v>
      </c>
      <c r="D513" t="s">
        <v>2833</v>
      </c>
      <c r="F513" t="s">
        <v>1377</v>
      </c>
      <c r="G513" s="45">
        <v>44811.8318287037</v>
      </c>
      <c r="H513" s="45">
        <v>44811.8319560185</v>
      </c>
      <c r="J513" t="s">
        <v>407</v>
      </c>
      <c r="M513">
        <v>39</v>
      </c>
      <c r="N513">
        <v>0</v>
      </c>
      <c r="O513">
        <v>-3</v>
      </c>
      <c r="P513">
        <v>0</v>
      </c>
      <c r="Q513">
        <v>36</v>
      </c>
      <c r="R513">
        <v>36</v>
      </c>
      <c r="S513" t="s">
        <v>1397</v>
      </c>
      <c r="T513" t="s">
        <v>1491</v>
      </c>
      <c r="U513">
        <v>1</v>
      </c>
      <c r="V513" t="s">
        <v>1364</v>
      </c>
      <c r="X513" t="s">
        <v>376</v>
      </c>
      <c r="Y513" t="s">
        <v>3407</v>
      </c>
      <c r="Z513" t="s">
        <v>1626</v>
      </c>
      <c r="AA513" t="s">
        <v>1627</v>
      </c>
      <c r="AB513" t="s">
        <v>3408</v>
      </c>
      <c r="AC513" t="s">
        <v>3409</v>
      </c>
      <c r="AF513" t="s">
        <v>3411</v>
      </c>
      <c r="AG513" t="s">
        <v>1385</v>
      </c>
      <c r="AH513" t="s">
        <v>3407</v>
      </c>
      <c r="AK513">
        <v>0</v>
      </c>
      <c r="AL513" t="s">
        <v>3517</v>
      </c>
      <c r="AO513" t="s">
        <v>1372</v>
      </c>
      <c r="AP513" t="s">
        <v>1373</v>
      </c>
    </row>
    <row r="514" hidden="1" spans="1:42">
      <c r="A514" t="s">
        <v>3518</v>
      </c>
      <c r="B514" t="s">
        <v>1356</v>
      </c>
      <c r="C514" t="s">
        <v>1375</v>
      </c>
      <c r="D514" t="s">
        <v>2833</v>
      </c>
      <c r="F514" t="s">
        <v>1377</v>
      </c>
      <c r="G514" s="45">
        <v>44811.8290625</v>
      </c>
      <c r="H514" s="45">
        <v>44811.8293171296</v>
      </c>
      <c r="J514" t="s">
        <v>407</v>
      </c>
      <c r="M514">
        <v>19.9</v>
      </c>
      <c r="N514">
        <v>0</v>
      </c>
      <c r="O514">
        <v>0</v>
      </c>
      <c r="P514">
        <v>0</v>
      </c>
      <c r="Q514">
        <v>19.9</v>
      </c>
      <c r="R514">
        <v>19.9</v>
      </c>
      <c r="T514" t="s">
        <v>1578</v>
      </c>
      <c r="U514">
        <v>1</v>
      </c>
      <c r="V514" t="s">
        <v>1364</v>
      </c>
      <c r="X514" t="s">
        <v>755</v>
      </c>
      <c r="Y514" t="s">
        <v>3519</v>
      </c>
      <c r="Z514" t="s">
        <v>1430</v>
      </c>
      <c r="AA514" t="s">
        <v>2934</v>
      </c>
      <c r="AB514" t="s">
        <v>2935</v>
      </c>
      <c r="AC514" t="s">
        <v>3520</v>
      </c>
      <c r="AF514" t="s">
        <v>3519</v>
      </c>
      <c r="AG514" t="s">
        <v>1372</v>
      </c>
      <c r="AH514" t="s">
        <v>3519</v>
      </c>
      <c r="AK514">
        <v>0</v>
      </c>
      <c r="AO514" t="s">
        <v>1372</v>
      </c>
      <c r="AP514" t="s">
        <v>1373</v>
      </c>
    </row>
    <row r="515" hidden="1" spans="1:42">
      <c r="A515" t="s">
        <v>3521</v>
      </c>
      <c r="B515" t="s">
        <v>1356</v>
      </c>
      <c r="C515" t="s">
        <v>1375</v>
      </c>
      <c r="D515" t="s">
        <v>2833</v>
      </c>
      <c r="F515" t="s">
        <v>1377</v>
      </c>
      <c r="G515" s="45">
        <v>44811.8269097222</v>
      </c>
      <c r="H515" s="45">
        <v>44811.8270601852</v>
      </c>
      <c r="J515" t="s">
        <v>407</v>
      </c>
      <c r="M515">
        <v>19.9</v>
      </c>
      <c r="N515">
        <v>0</v>
      </c>
      <c r="O515">
        <v>0</v>
      </c>
      <c r="P515">
        <v>0</v>
      </c>
      <c r="Q515">
        <v>19.9</v>
      </c>
      <c r="R515">
        <v>19.9</v>
      </c>
      <c r="T515" t="s">
        <v>1519</v>
      </c>
      <c r="U515">
        <v>1</v>
      </c>
      <c r="V515" t="s">
        <v>1364</v>
      </c>
      <c r="X515" t="s">
        <v>748</v>
      </c>
      <c r="Y515" t="s">
        <v>3522</v>
      </c>
      <c r="Z515" t="s">
        <v>1678</v>
      </c>
      <c r="AA515" t="s">
        <v>3523</v>
      </c>
      <c r="AB515" t="s">
        <v>3524</v>
      </c>
      <c r="AC515" t="s">
        <v>3525</v>
      </c>
      <c r="AF515" t="s">
        <v>748</v>
      </c>
      <c r="AG515" t="s">
        <v>1372</v>
      </c>
      <c r="AH515" t="s">
        <v>3522</v>
      </c>
      <c r="AK515">
        <v>0</v>
      </c>
      <c r="AO515" t="s">
        <v>1372</v>
      </c>
      <c r="AP515" t="s">
        <v>1373</v>
      </c>
    </row>
    <row r="516" hidden="1" spans="1:42">
      <c r="A516" t="s">
        <v>3526</v>
      </c>
      <c r="B516" t="s">
        <v>1356</v>
      </c>
      <c r="C516" t="s">
        <v>1375</v>
      </c>
      <c r="D516" t="s">
        <v>2833</v>
      </c>
      <c r="F516" t="s">
        <v>1377</v>
      </c>
      <c r="G516" s="45">
        <v>44811.8256712963</v>
      </c>
      <c r="H516" s="45">
        <v>44811.825775463</v>
      </c>
      <c r="J516" t="s">
        <v>407</v>
      </c>
      <c r="M516">
        <v>19.9</v>
      </c>
      <c r="N516">
        <v>0</v>
      </c>
      <c r="O516">
        <v>0</v>
      </c>
      <c r="P516">
        <v>0</v>
      </c>
      <c r="Q516">
        <v>19.9</v>
      </c>
      <c r="R516">
        <v>19.9</v>
      </c>
      <c r="T516" t="s">
        <v>1527</v>
      </c>
      <c r="U516">
        <v>1</v>
      </c>
      <c r="V516" t="s">
        <v>1364</v>
      </c>
      <c r="X516" t="s">
        <v>672</v>
      </c>
      <c r="Y516" t="s">
        <v>3012</v>
      </c>
      <c r="Z516" t="s">
        <v>1478</v>
      </c>
      <c r="AA516" t="s">
        <v>3013</v>
      </c>
      <c r="AB516" t="s">
        <v>3527</v>
      </c>
      <c r="AC516" t="s">
        <v>3528</v>
      </c>
      <c r="AF516" t="s">
        <v>3016</v>
      </c>
      <c r="AG516" t="s">
        <v>1372</v>
      </c>
      <c r="AK516">
        <v>0</v>
      </c>
      <c r="AO516" t="s">
        <v>1372</v>
      </c>
      <c r="AP516" t="s">
        <v>1373</v>
      </c>
    </row>
    <row r="517" hidden="1" spans="1:42">
      <c r="A517" t="s">
        <v>3529</v>
      </c>
      <c r="B517" t="s">
        <v>1356</v>
      </c>
      <c r="C517" t="s">
        <v>1375</v>
      </c>
      <c r="D517" t="s">
        <v>2833</v>
      </c>
      <c r="F517" t="s">
        <v>1377</v>
      </c>
      <c r="G517" s="45">
        <v>44811.8256365741</v>
      </c>
      <c r="H517" s="45">
        <v>44811.8257986111</v>
      </c>
      <c r="J517" t="s">
        <v>407</v>
      </c>
      <c r="M517">
        <v>19.9</v>
      </c>
      <c r="N517">
        <v>0</v>
      </c>
      <c r="O517">
        <v>0</v>
      </c>
      <c r="P517">
        <v>0</v>
      </c>
      <c r="Q517">
        <v>19.9</v>
      </c>
      <c r="R517">
        <v>19.9</v>
      </c>
      <c r="T517" t="s">
        <v>1733</v>
      </c>
      <c r="U517">
        <v>1</v>
      </c>
      <c r="V517" t="s">
        <v>1364</v>
      </c>
      <c r="X517" t="s">
        <v>752</v>
      </c>
      <c r="Y517" t="s">
        <v>1727</v>
      </c>
      <c r="Z517" t="s">
        <v>1367</v>
      </c>
      <c r="AA517" t="s">
        <v>1615</v>
      </c>
      <c r="AB517" t="s">
        <v>1728</v>
      </c>
      <c r="AC517" t="s">
        <v>1729</v>
      </c>
      <c r="AF517" t="s">
        <v>1730</v>
      </c>
      <c r="AG517" t="s">
        <v>1372</v>
      </c>
      <c r="AH517" t="s">
        <v>1731</v>
      </c>
      <c r="AK517">
        <v>0</v>
      </c>
      <c r="AO517" t="s">
        <v>1372</v>
      </c>
      <c r="AP517" t="s">
        <v>1373</v>
      </c>
    </row>
    <row r="518" hidden="1" spans="1:42">
      <c r="A518" t="s">
        <v>3530</v>
      </c>
      <c r="B518" t="s">
        <v>1356</v>
      </c>
      <c r="C518" t="s">
        <v>1375</v>
      </c>
      <c r="D518" t="s">
        <v>2833</v>
      </c>
      <c r="F518" t="s">
        <v>1377</v>
      </c>
      <c r="G518" s="45">
        <v>44811.8254976852</v>
      </c>
      <c r="H518" s="45">
        <v>44811.8256018519</v>
      </c>
      <c r="J518" t="s">
        <v>407</v>
      </c>
      <c r="M518">
        <v>19.9</v>
      </c>
      <c r="N518">
        <v>0</v>
      </c>
      <c r="O518">
        <v>0</v>
      </c>
      <c r="P518">
        <v>0</v>
      </c>
      <c r="Q518">
        <v>19.9</v>
      </c>
      <c r="R518">
        <v>19.9</v>
      </c>
      <c r="T518" t="s">
        <v>1504</v>
      </c>
      <c r="U518">
        <v>1</v>
      </c>
      <c r="V518" t="s">
        <v>1364</v>
      </c>
      <c r="X518" t="s">
        <v>697</v>
      </c>
      <c r="Y518" t="s">
        <v>3005</v>
      </c>
      <c r="Z518" t="s">
        <v>1824</v>
      </c>
      <c r="AA518" t="s">
        <v>3006</v>
      </c>
      <c r="AB518" t="s">
        <v>3007</v>
      </c>
      <c r="AC518" t="s">
        <v>3008</v>
      </c>
      <c r="AF518" t="s">
        <v>3009</v>
      </c>
      <c r="AG518" t="s">
        <v>1372</v>
      </c>
      <c r="AK518">
        <v>0</v>
      </c>
      <c r="AO518" t="s">
        <v>1372</v>
      </c>
      <c r="AP518" t="s">
        <v>1373</v>
      </c>
    </row>
    <row r="519" hidden="1" spans="1:42">
      <c r="A519" t="s">
        <v>3531</v>
      </c>
      <c r="B519" t="s">
        <v>1356</v>
      </c>
      <c r="C519" t="s">
        <v>1375</v>
      </c>
      <c r="D519" t="s">
        <v>1358</v>
      </c>
      <c r="F519" t="s">
        <v>1377</v>
      </c>
      <c r="G519" s="45">
        <v>44814.0456712963</v>
      </c>
      <c r="H519" s="45">
        <v>44814.0458564815</v>
      </c>
      <c r="J519" t="s">
        <v>407</v>
      </c>
      <c r="M519">
        <v>99</v>
      </c>
      <c r="N519">
        <v>0</v>
      </c>
      <c r="O519">
        <v>0</v>
      </c>
      <c r="P519">
        <v>0</v>
      </c>
      <c r="Q519">
        <v>99</v>
      </c>
      <c r="R519">
        <v>99</v>
      </c>
      <c r="T519" t="s">
        <v>2348</v>
      </c>
      <c r="U519">
        <v>1</v>
      </c>
      <c r="V519" t="s">
        <v>1364</v>
      </c>
      <c r="X519" t="s">
        <v>791</v>
      </c>
      <c r="Y519" t="s">
        <v>3532</v>
      </c>
      <c r="Z519" t="s">
        <v>2028</v>
      </c>
      <c r="AA519" t="s">
        <v>2762</v>
      </c>
      <c r="AB519" t="s">
        <v>2763</v>
      </c>
      <c r="AC519" t="s">
        <v>3533</v>
      </c>
      <c r="AF519" t="s">
        <v>3534</v>
      </c>
      <c r="AG519" t="s">
        <v>1372</v>
      </c>
      <c r="AH519" t="s">
        <v>3532</v>
      </c>
      <c r="AK519">
        <v>0</v>
      </c>
      <c r="AO519" t="s">
        <v>1372</v>
      </c>
      <c r="AP519" t="s">
        <v>1373</v>
      </c>
    </row>
    <row r="520" hidden="1" spans="1:42">
      <c r="A520" t="s">
        <v>3535</v>
      </c>
      <c r="B520" t="s">
        <v>1356</v>
      </c>
      <c r="C520" t="s">
        <v>1375</v>
      </c>
      <c r="D520" t="s">
        <v>1358</v>
      </c>
      <c r="F520" t="s">
        <v>1377</v>
      </c>
      <c r="G520" s="45">
        <v>44814.0452777778</v>
      </c>
      <c r="H520" s="45">
        <v>44814.0455208333</v>
      </c>
      <c r="J520" t="s">
        <v>407</v>
      </c>
      <c r="M520">
        <v>99</v>
      </c>
      <c r="N520">
        <v>0</v>
      </c>
      <c r="O520">
        <v>-4</v>
      </c>
      <c r="P520">
        <v>0</v>
      </c>
      <c r="Q520">
        <v>95</v>
      </c>
      <c r="R520">
        <v>95</v>
      </c>
      <c r="S520" t="s">
        <v>1388</v>
      </c>
      <c r="T520" t="s">
        <v>3536</v>
      </c>
      <c r="U520">
        <v>1</v>
      </c>
      <c r="V520" t="s">
        <v>1364</v>
      </c>
      <c r="X520" t="s">
        <v>392</v>
      </c>
      <c r="Y520" t="s">
        <v>3537</v>
      </c>
      <c r="Z520" t="s">
        <v>1560</v>
      </c>
      <c r="AA520" t="s">
        <v>1560</v>
      </c>
      <c r="AB520" t="s">
        <v>3538</v>
      </c>
      <c r="AC520" t="s">
        <v>3539</v>
      </c>
      <c r="AF520" t="s">
        <v>392</v>
      </c>
      <c r="AG520" t="s">
        <v>1372</v>
      </c>
      <c r="AH520" t="s">
        <v>3537</v>
      </c>
      <c r="AK520">
        <v>0</v>
      </c>
      <c r="AL520" t="s">
        <v>3540</v>
      </c>
      <c r="AO520" t="s">
        <v>1372</v>
      </c>
      <c r="AP520" t="s">
        <v>1373</v>
      </c>
    </row>
    <row r="521" hidden="1" spans="1:42">
      <c r="A521" t="s">
        <v>3541</v>
      </c>
      <c r="B521" t="s">
        <v>1356</v>
      </c>
      <c r="C521" t="s">
        <v>1375</v>
      </c>
      <c r="D521" t="s">
        <v>1780</v>
      </c>
      <c r="F521" t="s">
        <v>1377</v>
      </c>
      <c r="G521" s="45">
        <v>44814.0447685185</v>
      </c>
      <c r="M521">
        <v>99</v>
      </c>
      <c r="N521">
        <v>0</v>
      </c>
      <c r="O521">
        <v>0</v>
      </c>
      <c r="P521">
        <v>0</v>
      </c>
      <c r="Q521">
        <v>99</v>
      </c>
      <c r="R521">
        <v>0</v>
      </c>
      <c r="T521" t="s">
        <v>2049</v>
      </c>
      <c r="U521">
        <v>1</v>
      </c>
      <c r="V521" t="s">
        <v>1364</v>
      </c>
      <c r="X521" t="s">
        <v>791</v>
      </c>
      <c r="Y521" t="s">
        <v>3532</v>
      </c>
      <c r="Z521" t="s">
        <v>2028</v>
      </c>
      <c r="AA521" t="s">
        <v>2762</v>
      </c>
      <c r="AB521" t="s">
        <v>2763</v>
      </c>
      <c r="AC521" t="s">
        <v>3533</v>
      </c>
      <c r="AF521" t="s">
        <v>3534</v>
      </c>
      <c r="AG521" t="s">
        <v>1372</v>
      </c>
      <c r="AH521" t="s">
        <v>3532</v>
      </c>
      <c r="AK521">
        <v>0</v>
      </c>
      <c r="AO521" t="s">
        <v>1372</v>
      </c>
      <c r="AP521" t="s">
        <v>1373</v>
      </c>
    </row>
    <row r="522" hidden="1" spans="1:42">
      <c r="A522" t="s">
        <v>3542</v>
      </c>
      <c r="B522" t="s">
        <v>1356</v>
      </c>
      <c r="C522" t="s">
        <v>1375</v>
      </c>
      <c r="D522" t="s">
        <v>1358</v>
      </c>
      <c r="F522" t="s">
        <v>1377</v>
      </c>
      <c r="G522" s="45">
        <v>44814.0407638889</v>
      </c>
      <c r="H522" s="45">
        <v>44814.0410416667</v>
      </c>
      <c r="J522" t="s">
        <v>407</v>
      </c>
      <c r="M522">
        <v>99</v>
      </c>
      <c r="N522">
        <v>0</v>
      </c>
      <c r="O522">
        <v>-1</v>
      </c>
      <c r="P522">
        <v>0</v>
      </c>
      <c r="Q522">
        <v>98</v>
      </c>
      <c r="R522">
        <v>98</v>
      </c>
      <c r="S522" t="s">
        <v>1414</v>
      </c>
      <c r="T522" t="s">
        <v>1423</v>
      </c>
      <c r="U522">
        <v>1</v>
      </c>
      <c r="V522" t="s">
        <v>1364</v>
      </c>
      <c r="X522" t="s">
        <v>795</v>
      </c>
      <c r="Y522" t="s">
        <v>3543</v>
      </c>
      <c r="Z522" t="s">
        <v>1367</v>
      </c>
      <c r="AA522" t="s">
        <v>1899</v>
      </c>
      <c r="AB522" t="s">
        <v>1900</v>
      </c>
      <c r="AC522" t="s">
        <v>3544</v>
      </c>
      <c r="AF522" t="s">
        <v>3545</v>
      </c>
      <c r="AG522" t="s">
        <v>1372</v>
      </c>
      <c r="AH522" t="s">
        <v>3543</v>
      </c>
      <c r="AK522">
        <v>0</v>
      </c>
      <c r="AO522" t="s">
        <v>1372</v>
      </c>
      <c r="AP522" t="s">
        <v>1373</v>
      </c>
    </row>
    <row r="523" hidden="1" spans="1:42">
      <c r="A523" t="s">
        <v>3546</v>
      </c>
      <c r="B523" t="s">
        <v>1356</v>
      </c>
      <c r="C523" t="s">
        <v>1375</v>
      </c>
      <c r="D523" t="s">
        <v>1358</v>
      </c>
      <c r="F523" t="s">
        <v>1377</v>
      </c>
      <c r="G523" s="45">
        <v>44814.0390509259</v>
      </c>
      <c r="H523" s="45">
        <v>44814.0391666667</v>
      </c>
      <c r="J523" t="s">
        <v>407</v>
      </c>
      <c r="M523">
        <v>99</v>
      </c>
      <c r="N523">
        <v>0</v>
      </c>
      <c r="O523">
        <v>-6</v>
      </c>
      <c r="P523">
        <v>0</v>
      </c>
      <c r="Q523">
        <v>93</v>
      </c>
      <c r="R523">
        <v>93</v>
      </c>
      <c r="S523" t="s">
        <v>1463</v>
      </c>
      <c r="T523" t="s">
        <v>2034</v>
      </c>
      <c r="U523">
        <v>1</v>
      </c>
      <c r="V523" t="s">
        <v>1364</v>
      </c>
      <c r="X523" t="s">
        <v>491</v>
      </c>
      <c r="Y523" t="s">
        <v>2876</v>
      </c>
      <c r="Z523" t="s">
        <v>1495</v>
      </c>
      <c r="AA523" t="s">
        <v>2877</v>
      </c>
      <c r="AB523" t="s">
        <v>2878</v>
      </c>
      <c r="AC523" t="s">
        <v>2879</v>
      </c>
      <c r="AF523" t="s">
        <v>2880</v>
      </c>
      <c r="AG523" t="s">
        <v>1385</v>
      </c>
      <c r="AH523" t="s">
        <v>2876</v>
      </c>
      <c r="AK523">
        <v>0</v>
      </c>
      <c r="AL523" t="s">
        <v>3540</v>
      </c>
      <c r="AO523" t="s">
        <v>1372</v>
      </c>
      <c r="AP523" t="s">
        <v>1373</v>
      </c>
    </row>
    <row r="524" hidden="1" spans="1:42">
      <c r="A524" t="s">
        <v>3547</v>
      </c>
      <c r="B524" t="s">
        <v>1356</v>
      </c>
      <c r="C524" t="s">
        <v>1375</v>
      </c>
      <c r="D524" t="s">
        <v>1358</v>
      </c>
      <c r="F524" t="s">
        <v>1377</v>
      </c>
      <c r="G524" s="45">
        <v>44814.0390277778</v>
      </c>
      <c r="H524" s="45">
        <v>44814.0392939815</v>
      </c>
      <c r="J524" t="s">
        <v>407</v>
      </c>
      <c r="M524">
        <v>249</v>
      </c>
      <c r="N524">
        <v>0</v>
      </c>
      <c r="O524">
        <v>0</v>
      </c>
      <c r="P524">
        <v>0</v>
      </c>
      <c r="Q524">
        <v>249</v>
      </c>
      <c r="R524">
        <v>249</v>
      </c>
      <c r="T524" t="s">
        <v>3548</v>
      </c>
      <c r="U524">
        <v>1</v>
      </c>
      <c r="V524" t="s">
        <v>1364</v>
      </c>
      <c r="X524" t="s">
        <v>751</v>
      </c>
      <c r="Y524" t="s">
        <v>3549</v>
      </c>
      <c r="Z524" t="s">
        <v>1367</v>
      </c>
      <c r="AA524" t="s">
        <v>1615</v>
      </c>
      <c r="AB524" t="s">
        <v>1728</v>
      </c>
      <c r="AC524" t="s">
        <v>3550</v>
      </c>
      <c r="AF524" t="s">
        <v>3551</v>
      </c>
      <c r="AG524" t="s">
        <v>1372</v>
      </c>
      <c r="AK524">
        <v>0</v>
      </c>
      <c r="AL524" t="s">
        <v>3552</v>
      </c>
      <c r="AO524" t="s">
        <v>1372</v>
      </c>
      <c r="AP524" t="s">
        <v>1373</v>
      </c>
    </row>
    <row r="525" hidden="1" spans="1:42">
      <c r="A525" t="s">
        <v>3553</v>
      </c>
      <c r="B525" t="s">
        <v>1356</v>
      </c>
      <c r="C525" t="s">
        <v>1375</v>
      </c>
      <c r="D525" t="s">
        <v>1358</v>
      </c>
      <c r="F525" t="s">
        <v>1377</v>
      </c>
      <c r="G525" s="45">
        <v>44814.0383564815</v>
      </c>
      <c r="H525" s="45">
        <v>44814.0387268519</v>
      </c>
      <c r="J525" t="s">
        <v>407</v>
      </c>
      <c r="M525">
        <v>219</v>
      </c>
      <c r="N525">
        <v>0</v>
      </c>
      <c r="O525">
        <v>-2</v>
      </c>
      <c r="P525">
        <v>0</v>
      </c>
      <c r="Q525">
        <v>217</v>
      </c>
      <c r="R525">
        <v>217</v>
      </c>
      <c r="S525" t="s">
        <v>1400</v>
      </c>
      <c r="T525" t="s">
        <v>3554</v>
      </c>
      <c r="U525">
        <v>1</v>
      </c>
      <c r="V525" t="s">
        <v>1364</v>
      </c>
      <c r="X525" t="s">
        <v>640</v>
      </c>
      <c r="Y525" t="s">
        <v>3555</v>
      </c>
      <c r="Z525" t="s">
        <v>1533</v>
      </c>
      <c r="AA525" t="s">
        <v>3067</v>
      </c>
      <c r="AB525" t="s">
        <v>3556</v>
      </c>
      <c r="AC525" t="s">
        <v>3557</v>
      </c>
      <c r="AF525" t="s">
        <v>3558</v>
      </c>
      <c r="AG525" t="s">
        <v>1385</v>
      </c>
      <c r="AH525" t="s">
        <v>3555</v>
      </c>
      <c r="AK525">
        <v>0</v>
      </c>
      <c r="AO525" t="s">
        <v>1372</v>
      </c>
      <c r="AP525" t="s">
        <v>1373</v>
      </c>
    </row>
    <row r="526" hidden="1" spans="1:42">
      <c r="A526" t="s">
        <v>3559</v>
      </c>
      <c r="B526" t="s">
        <v>1356</v>
      </c>
      <c r="C526" t="s">
        <v>1375</v>
      </c>
      <c r="D526" t="s">
        <v>1358</v>
      </c>
      <c r="F526" t="s">
        <v>3560</v>
      </c>
      <c r="G526" s="45">
        <v>44814.0327546296</v>
      </c>
      <c r="H526" s="45">
        <v>44814.0338773148</v>
      </c>
      <c r="J526" t="s">
        <v>407</v>
      </c>
      <c r="M526">
        <v>19.9</v>
      </c>
      <c r="N526">
        <v>0</v>
      </c>
      <c r="O526">
        <v>0</v>
      </c>
      <c r="P526">
        <v>0</v>
      </c>
      <c r="Q526">
        <v>19.9</v>
      </c>
      <c r="R526">
        <v>19.9</v>
      </c>
      <c r="T526" t="s">
        <v>1940</v>
      </c>
      <c r="U526">
        <v>1</v>
      </c>
      <c r="V526" t="s">
        <v>1364</v>
      </c>
      <c r="X526" t="s">
        <v>810</v>
      </c>
      <c r="Y526" t="s">
        <v>3561</v>
      </c>
      <c r="Z526" t="s">
        <v>1478</v>
      </c>
      <c r="AA526" t="s">
        <v>3357</v>
      </c>
      <c r="AB526" t="s">
        <v>3358</v>
      </c>
      <c r="AC526" t="s">
        <v>3562</v>
      </c>
      <c r="AF526" t="s">
        <v>3563</v>
      </c>
      <c r="AG526" t="s">
        <v>1372</v>
      </c>
      <c r="AK526">
        <v>0</v>
      </c>
      <c r="AO526" t="s">
        <v>1372</v>
      </c>
      <c r="AP526" t="s">
        <v>1373</v>
      </c>
    </row>
    <row r="527" hidden="1" spans="1:42">
      <c r="A527" t="s">
        <v>3564</v>
      </c>
      <c r="B527" t="s">
        <v>1356</v>
      </c>
      <c r="C527" t="s">
        <v>1375</v>
      </c>
      <c r="D527" t="s">
        <v>1780</v>
      </c>
      <c r="F527" t="s">
        <v>1377</v>
      </c>
      <c r="G527" s="45">
        <v>44814.0309375</v>
      </c>
      <c r="H527" s="45">
        <v>44814.033587963</v>
      </c>
      <c r="J527" t="s">
        <v>407</v>
      </c>
      <c r="M527">
        <v>599</v>
      </c>
      <c r="N527">
        <v>10</v>
      </c>
      <c r="O527">
        <v>0</v>
      </c>
      <c r="P527">
        <v>0</v>
      </c>
      <c r="Q527">
        <v>609</v>
      </c>
      <c r="R527">
        <v>609</v>
      </c>
      <c r="T527" t="s">
        <v>3565</v>
      </c>
      <c r="U527">
        <v>1</v>
      </c>
      <c r="V527" t="s">
        <v>1364</v>
      </c>
      <c r="X527" t="s">
        <v>3566</v>
      </c>
      <c r="Y527" t="s">
        <v>3567</v>
      </c>
      <c r="Z527" t="s">
        <v>2298</v>
      </c>
      <c r="AA527" t="s">
        <v>3568</v>
      </c>
      <c r="AB527" t="s">
        <v>3569</v>
      </c>
      <c r="AC527" t="s">
        <v>3570</v>
      </c>
      <c r="AF527" t="s">
        <v>3571</v>
      </c>
      <c r="AG527" t="s">
        <v>1372</v>
      </c>
      <c r="AJ527" t="s">
        <v>2945</v>
      </c>
      <c r="AK527">
        <v>609</v>
      </c>
      <c r="AO527" t="s">
        <v>1372</v>
      </c>
      <c r="AP527" t="s">
        <v>1373</v>
      </c>
    </row>
    <row r="528" hidden="1" spans="1:42">
      <c r="A528" t="s">
        <v>3572</v>
      </c>
      <c r="B528" t="s">
        <v>1356</v>
      </c>
      <c r="C528" t="s">
        <v>1375</v>
      </c>
      <c r="D528" t="s">
        <v>1358</v>
      </c>
      <c r="F528" t="s">
        <v>1377</v>
      </c>
      <c r="G528" s="45">
        <v>44814.0306944444</v>
      </c>
      <c r="H528" s="45">
        <v>44814.0308101852</v>
      </c>
      <c r="J528" t="s">
        <v>407</v>
      </c>
      <c r="M528">
        <v>599</v>
      </c>
      <c r="N528">
        <v>0</v>
      </c>
      <c r="O528">
        <v>-12</v>
      </c>
      <c r="P528">
        <v>0</v>
      </c>
      <c r="Q528">
        <v>587</v>
      </c>
      <c r="R528">
        <v>587</v>
      </c>
      <c r="S528" t="s">
        <v>3354</v>
      </c>
      <c r="T528" t="s">
        <v>3573</v>
      </c>
      <c r="U528">
        <v>1</v>
      </c>
      <c r="V528" t="s">
        <v>1364</v>
      </c>
      <c r="X528" t="s">
        <v>391</v>
      </c>
      <c r="Y528" t="s">
        <v>3574</v>
      </c>
      <c r="Z528" t="s">
        <v>1380</v>
      </c>
      <c r="AA528" t="s">
        <v>1506</v>
      </c>
      <c r="AB528" t="s">
        <v>3575</v>
      </c>
      <c r="AC528" t="s">
        <v>3576</v>
      </c>
      <c r="AF528" t="s">
        <v>391</v>
      </c>
      <c r="AG528" t="s">
        <v>1372</v>
      </c>
      <c r="AK528">
        <v>0</v>
      </c>
      <c r="AL528" t="s">
        <v>3577</v>
      </c>
      <c r="AO528" t="s">
        <v>1372</v>
      </c>
      <c r="AP528" t="s">
        <v>1373</v>
      </c>
    </row>
    <row r="529" hidden="1" spans="1:42">
      <c r="A529" t="s">
        <v>3578</v>
      </c>
      <c r="B529" t="s">
        <v>1356</v>
      </c>
      <c r="C529" t="s">
        <v>1375</v>
      </c>
      <c r="D529" t="s">
        <v>1358</v>
      </c>
      <c r="F529" t="s">
        <v>1377</v>
      </c>
      <c r="G529" s="45">
        <v>44814.0298842593</v>
      </c>
      <c r="H529" s="45">
        <v>44814.0301967593</v>
      </c>
      <c r="J529" t="s">
        <v>407</v>
      </c>
      <c r="M529">
        <v>99</v>
      </c>
      <c r="N529">
        <v>0</v>
      </c>
      <c r="O529">
        <v>-2</v>
      </c>
      <c r="P529">
        <v>0</v>
      </c>
      <c r="Q529">
        <v>97</v>
      </c>
      <c r="R529">
        <v>97</v>
      </c>
      <c r="S529" t="s">
        <v>1400</v>
      </c>
      <c r="T529" t="s">
        <v>3579</v>
      </c>
      <c r="U529">
        <v>1</v>
      </c>
      <c r="V529" t="s">
        <v>1364</v>
      </c>
      <c r="X529" t="s">
        <v>758</v>
      </c>
      <c r="Y529" t="s">
        <v>3252</v>
      </c>
      <c r="Z529" t="s">
        <v>1495</v>
      </c>
      <c r="AA529" t="s">
        <v>3090</v>
      </c>
      <c r="AB529" t="s">
        <v>3253</v>
      </c>
      <c r="AC529" t="s">
        <v>3254</v>
      </c>
      <c r="AF529" t="s">
        <v>3255</v>
      </c>
      <c r="AG529" t="s">
        <v>1372</v>
      </c>
      <c r="AK529">
        <v>0</v>
      </c>
      <c r="AO529" t="s">
        <v>1372</v>
      </c>
      <c r="AP529" t="s">
        <v>1373</v>
      </c>
    </row>
    <row r="530" hidden="1" spans="1:42">
      <c r="A530" t="s">
        <v>3580</v>
      </c>
      <c r="B530" t="s">
        <v>1356</v>
      </c>
      <c r="C530" t="s">
        <v>1375</v>
      </c>
      <c r="D530" t="s">
        <v>1780</v>
      </c>
      <c r="F530" t="s">
        <v>1377</v>
      </c>
      <c r="G530" s="45">
        <v>44814.028912037</v>
      </c>
      <c r="H530" s="45">
        <v>44814.0291087963</v>
      </c>
      <c r="J530" t="s">
        <v>407</v>
      </c>
      <c r="M530">
        <v>599</v>
      </c>
      <c r="N530">
        <v>0</v>
      </c>
      <c r="O530">
        <v>-4</v>
      </c>
      <c r="P530">
        <v>0</v>
      </c>
      <c r="Q530">
        <v>595</v>
      </c>
      <c r="R530">
        <v>595</v>
      </c>
      <c r="S530" t="s">
        <v>1388</v>
      </c>
      <c r="T530" t="s">
        <v>3573</v>
      </c>
      <c r="U530">
        <v>1</v>
      </c>
      <c r="V530" t="s">
        <v>1364</v>
      </c>
      <c r="X530" t="s">
        <v>391</v>
      </c>
      <c r="Y530" t="s">
        <v>3574</v>
      </c>
      <c r="Z530" t="s">
        <v>1380</v>
      </c>
      <c r="AA530" t="s">
        <v>1506</v>
      </c>
      <c r="AB530" t="s">
        <v>3575</v>
      </c>
      <c r="AC530" t="s">
        <v>3576</v>
      </c>
      <c r="AF530" t="s">
        <v>391</v>
      </c>
      <c r="AG530" t="s">
        <v>1372</v>
      </c>
      <c r="AJ530" t="s">
        <v>2945</v>
      </c>
      <c r="AK530">
        <v>595</v>
      </c>
      <c r="AO530" t="s">
        <v>1372</v>
      </c>
      <c r="AP530" t="s">
        <v>1373</v>
      </c>
    </row>
    <row r="531" hidden="1" spans="1:42">
      <c r="A531" t="s">
        <v>3581</v>
      </c>
      <c r="B531" t="s">
        <v>1356</v>
      </c>
      <c r="C531" t="s">
        <v>1375</v>
      </c>
      <c r="D531" t="s">
        <v>1358</v>
      </c>
      <c r="F531" t="s">
        <v>1377</v>
      </c>
      <c r="G531" s="45">
        <v>44814.0277314815</v>
      </c>
      <c r="H531" s="45">
        <v>44814.027962963</v>
      </c>
      <c r="J531" t="s">
        <v>407</v>
      </c>
      <c r="M531">
        <v>99</v>
      </c>
      <c r="N531">
        <v>0</v>
      </c>
      <c r="O531">
        <v>0</v>
      </c>
      <c r="P531">
        <v>0</v>
      </c>
      <c r="Q531">
        <v>99</v>
      </c>
      <c r="R531">
        <v>99</v>
      </c>
      <c r="T531" t="s">
        <v>3582</v>
      </c>
      <c r="U531">
        <v>1</v>
      </c>
      <c r="V531" t="s">
        <v>1364</v>
      </c>
      <c r="X531" t="s">
        <v>793</v>
      </c>
      <c r="Y531" t="s">
        <v>3583</v>
      </c>
      <c r="Z531" t="s">
        <v>1560</v>
      </c>
      <c r="AA531" t="s">
        <v>1560</v>
      </c>
      <c r="AB531" t="s">
        <v>3584</v>
      </c>
      <c r="AC531" t="s">
        <v>3585</v>
      </c>
      <c r="AF531" t="s">
        <v>3586</v>
      </c>
      <c r="AG531" t="s">
        <v>1372</v>
      </c>
      <c r="AK531">
        <v>0</v>
      </c>
      <c r="AO531" t="s">
        <v>1372</v>
      </c>
      <c r="AP531" t="s">
        <v>1373</v>
      </c>
    </row>
    <row r="532" hidden="1" spans="1:42">
      <c r="A532" t="s">
        <v>3587</v>
      </c>
      <c r="B532" t="s">
        <v>1356</v>
      </c>
      <c r="C532" t="s">
        <v>1375</v>
      </c>
      <c r="D532" t="s">
        <v>1358</v>
      </c>
      <c r="F532" t="s">
        <v>1377</v>
      </c>
      <c r="G532" s="45">
        <v>44814.027650463</v>
      </c>
      <c r="H532" s="45">
        <v>44814.0277546296</v>
      </c>
      <c r="J532" t="s">
        <v>407</v>
      </c>
      <c r="M532">
        <v>99</v>
      </c>
      <c r="N532">
        <v>0</v>
      </c>
      <c r="O532">
        <v>-2</v>
      </c>
      <c r="P532">
        <v>0</v>
      </c>
      <c r="Q532">
        <v>97</v>
      </c>
      <c r="R532">
        <v>97</v>
      </c>
      <c r="S532" t="s">
        <v>1400</v>
      </c>
      <c r="T532" t="s">
        <v>3588</v>
      </c>
      <c r="U532">
        <v>1</v>
      </c>
      <c r="V532" t="s">
        <v>1364</v>
      </c>
      <c r="X532" t="s">
        <v>605</v>
      </c>
      <c r="Y532" t="s">
        <v>3589</v>
      </c>
      <c r="Z532" t="s">
        <v>1367</v>
      </c>
      <c r="AA532" t="s">
        <v>1615</v>
      </c>
      <c r="AB532" t="s">
        <v>3590</v>
      </c>
      <c r="AC532" t="s">
        <v>3591</v>
      </c>
      <c r="AF532" t="s">
        <v>3589</v>
      </c>
      <c r="AG532" t="s">
        <v>1372</v>
      </c>
      <c r="AH532" t="s">
        <v>3589</v>
      </c>
      <c r="AK532">
        <v>0</v>
      </c>
      <c r="AL532" t="s">
        <v>3540</v>
      </c>
      <c r="AO532" t="s">
        <v>1372</v>
      </c>
      <c r="AP532" t="s">
        <v>1373</v>
      </c>
    </row>
    <row r="533" hidden="1" spans="1:42">
      <c r="A533" t="s">
        <v>3592</v>
      </c>
      <c r="B533" t="s">
        <v>1356</v>
      </c>
      <c r="C533" t="s">
        <v>1375</v>
      </c>
      <c r="D533" t="s">
        <v>1358</v>
      </c>
      <c r="F533" t="s">
        <v>1377</v>
      </c>
      <c r="G533" s="45">
        <v>44814.0263310185</v>
      </c>
      <c r="H533" s="45">
        <v>44814.0264351852</v>
      </c>
      <c r="J533" t="s">
        <v>407</v>
      </c>
      <c r="M533">
        <v>89</v>
      </c>
      <c r="N533">
        <v>0</v>
      </c>
      <c r="O533">
        <v>0</v>
      </c>
      <c r="P533">
        <v>0</v>
      </c>
      <c r="Q533">
        <v>89</v>
      </c>
      <c r="R533">
        <v>89</v>
      </c>
      <c r="T533" t="s">
        <v>3593</v>
      </c>
      <c r="U533">
        <v>1</v>
      </c>
      <c r="V533" t="s">
        <v>1364</v>
      </c>
      <c r="X533" t="s">
        <v>605</v>
      </c>
      <c r="Y533" t="s">
        <v>3589</v>
      </c>
      <c r="Z533" t="s">
        <v>1367</v>
      </c>
      <c r="AA533" t="s">
        <v>1615</v>
      </c>
      <c r="AB533" t="s">
        <v>3590</v>
      </c>
      <c r="AC533" t="s">
        <v>3591</v>
      </c>
      <c r="AF533" t="s">
        <v>3589</v>
      </c>
      <c r="AG533" t="s">
        <v>1372</v>
      </c>
      <c r="AH533" t="s">
        <v>3589</v>
      </c>
      <c r="AK533">
        <v>0</v>
      </c>
      <c r="AO533" t="s">
        <v>1372</v>
      </c>
      <c r="AP533" t="s">
        <v>1373</v>
      </c>
    </row>
    <row r="534" hidden="1" spans="1:42">
      <c r="A534" t="s">
        <v>3594</v>
      </c>
      <c r="B534" t="s">
        <v>1356</v>
      </c>
      <c r="C534" t="s">
        <v>1375</v>
      </c>
      <c r="D534" t="s">
        <v>1780</v>
      </c>
      <c r="F534" t="s">
        <v>1377</v>
      </c>
      <c r="G534" s="45">
        <v>44814.0259722222</v>
      </c>
      <c r="M534">
        <v>89</v>
      </c>
      <c r="N534">
        <v>0</v>
      </c>
      <c r="O534">
        <v>-2</v>
      </c>
      <c r="P534">
        <v>0</v>
      </c>
      <c r="Q534">
        <v>87</v>
      </c>
      <c r="R534">
        <v>0</v>
      </c>
      <c r="S534" t="s">
        <v>1400</v>
      </c>
      <c r="T534" t="s">
        <v>3593</v>
      </c>
      <c r="U534">
        <v>1</v>
      </c>
      <c r="V534" t="s">
        <v>1364</v>
      </c>
      <c r="X534" t="s">
        <v>605</v>
      </c>
      <c r="Y534" t="s">
        <v>3589</v>
      </c>
      <c r="Z534" t="s">
        <v>1367</v>
      </c>
      <c r="AA534" t="s">
        <v>1615</v>
      </c>
      <c r="AB534" t="s">
        <v>2320</v>
      </c>
      <c r="AC534" t="s">
        <v>3595</v>
      </c>
      <c r="AF534" t="s">
        <v>3589</v>
      </c>
      <c r="AG534" t="s">
        <v>1372</v>
      </c>
      <c r="AH534" t="s">
        <v>3589</v>
      </c>
      <c r="AK534">
        <v>0</v>
      </c>
      <c r="AO534" t="s">
        <v>1372</v>
      </c>
      <c r="AP534" t="s">
        <v>1373</v>
      </c>
    </row>
    <row r="535" hidden="1" spans="1:42">
      <c r="A535" t="s">
        <v>3596</v>
      </c>
      <c r="B535" t="s">
        <v>1356</v>
      </c>
      <c r="C535" t="s">
        <v>1375</v>
      </c>
      <c r="D535" t="s">
        <v>1358</v>
      </c>
      <c r="F535" t="s">
        <v>1377</v>
      </c>
      <c r="G535" s="45">
        <v>44814.0253472222</v>
      </c>
      <c r="H535" s="45">
        <v>44814.0257407407</v>
      </c>
      <c r="J535" t="s">
        <v>407</v>
      </c>
      <c r="M535">
        <v>249</v>
      </c>
      <c r="N535">
        <v>0</v>
      </c>
      <c r="O535">
        <v>-5</v>
      </c>
      <c r="P535">
        <v>0</v>
      </c>
      <c r="Q535">
        <v>244</v>
      </c>
      <c r="R535">
        <v>244</v>
      </c>
      <c r="S535" t="s">
        <v>1422</v>
      </c>
      <c r="T535" t="s">
        <v>1867</v>
      </c>
      <c r="U535">
        <v>1</v>
      </c>
      <c r="V535" t="s">
        <v>1364</v>
      </c>
      <c r="X535" t="s">
        <v>392</v>
      </c>
      <c r="Y535" t="s">
        <v>3537</v>
      </c>
      <c r="Z535" t="s">
        <v>1560</v>
      </c>
      <c r="AA535" t="s">
        <v>1560</v>
      </c>
      <c r="AB535" t="s">
        <v>3538</v>
      </c>
      <c r="AC535" t="s">
        <v>3539</v>
      </c>
      <c r="AF535" t="s">
        <v>392</v>
      </c>
      <c r="AG535" t="s">
        <v>1372</v>
      </c>
      <c r="AH535" t="s">
        <v>3537</v>
      </c>
      <c r="AK535">
        <v>0</v>
      </c>
      <c r="AO535" t="s">
        <v>1372</v>
      </c>
      <c r="AP535" t="s">
        <v>1373</v>
      </c>
    </row>
    <row r="536" hidden="1" spans="1:42">
      <c r="A536" t="s">
        <v>3597</v>
      </c>
      <c r="B536" t="s">
        <v>1356</v>
      </c>
      <c r="C536" t="s">
        <v>1375</v>
      </c>
      <c r="D536" t="s">
        <v>1358</v>
      </c>
      <c r="F536" t="s">
        <v>1377</v>
      </c>
      <c r="G536" s="45">
        <v>44814.0246643519</v>
      </c>
      <c r="H536" s="45">
        <v>44814.0247800926</v>
      </c>
      <c r="J536" t="s">
        <v>407</v>
      </c>
      <c r="M536">
        <v>89</v>
      </c>
      <c r="N536">
        <v>0</v>
      </c>
      <c r="O536">
        <v>-4</v>
      </c>
      <c r="P536">
        <v>0</v>
      </c>
      <c r="Q536">
        <v>85</v>
      </c>
      <c r="R536">
        <v>85</v>
      </c>
      <c r="S536" t="s">
        <v>1388</v>
      </c>
      <c r="T536" t="s">
        <v>3598</v>
      </c>
      <c r="U536">
        <v>1</v>
      </c>
      <c r="V536" t="s">
        <v>1364</v>
      </c>
      <c r="X536" t="s">
        <v>605</v>
      </c>
      <c r="Y536" t="s">
        <v>3589</v>
      </c>
      <c r="Z536" t="s">
        <v>1367</v>
      </c>
      <c r="AA536" t="s">
        <v>1615</v>
      </c>
      <c r="AB536" t="s">
        <v>2320</v>
      </c>
      <c r="AC536" t="s">
        <v>3595</v>
      </c>
      <c r="AF536" t="s">
        <v>3589</v>
      </c>
      <c r="AG536" t="s">
        <v>1372</v>
      </c>
      <c r="AH536" t="s">
        <v>3589</v>
      </c>
      <c r="AK536">
        <v>0</v>
      </c>
      <c r="AO536" t="s">
        <v>1372</v>
      </c>
      <c r="AP536" t="s">
        <v>1373</v>
      </c>
    </row>
    <row r="537" hidden="1" spans="1:42">
      <c r="A537" t="s">
        <v>3599</v>
      </c>
      <c r="B537" t="s">
        <v>1356</v>
      </c>
      <c r="C537" t="s">
        <v>1375</v>
      </c>
      <c r="D537" t="s">
        <v>1358</v>
      </c>
      <c r="F537" t="s">
        <v>1377</v>
      </c>
      <c r="G537" s="45">
        <v>44814.0229861111</v>
      </c>
      <c r="H537" s="45">
        <v>44814.0231481481</v>
      </c>
      <c r="J537" t="s">
        <v>407</v>
      </c>
      <c r="M537">
        <v>109</v>
      </c>
      <c r="N537">
        <v>0</v>
      </c>
      <c r="O537">
        <v>0</v>
      </c>
      <c r="P537">
        <v>0</v>
      </c>
      <c r="Q537">
        <v>109</v>
      </c>
      <c r="R537">
        <v>109</v>
      </c>
      <c r="T537" t="s">
        <v>3600</v>
      </c>
      <c r="U537">
        <v>1</v>
      </c>
      <c r="V537" t="s">
        <v>1364</v>
      </c>
      <c r="X537" t="s">
        <v>758</v>
      </c>
      <c r="Y537" t="s">
        <v>3252</v>
      </c>
      <c r="Z537" t="s">
        <v>1495</v>
      </c>
      <c r="AA537" t="s">
        <v>3090</v>
      </c>
      <c r="AB537" t="s">
        <v>3253</v>
      </c>
      <c r="AC537" t="s">
        <v>3254</v>
      </c>
      <c r="AF537" t="s">
        <v>3255</v>
      </c>
      <c r="AG537" t="s">
        <v>1372</v>
      </c>
      <c r="AK537">
        <v>0</v>
      </c>
      <c r="AO537" t="s">
        <v>1372</v>
      </c>
      <c r="AP537" t="s">
        <v>1373</v>
      </c>
    </row>
    <row r="538" hidden="1" spans="1:42">
      <c r="A538" t="s">
        <v>3601</v>
      </c>
      <c r="B538" t="s">
        <v>1356</v>
      </c>
      <c r="C538" t="s">
        <v>1375</v>
      </c>
      <c r="D538" t="s">
        <v>1358</v>
      </c>
      <c r="F538" t="s">
        <v>1377</v>
      </c>
      <c r="G538" s="45">
        <v>44814.0211342593</v>
      </c>
      <c r="H538" s="45">
        <v>44814.0212152778</v>
      </c>
      <c r="J538" t="s">
        <v>407</v>
      </c>
      <c r="M538">
        <v>599</v>
      </c>
      <c r="N538">
        <v>0</v>
      </c>
      <c r="O538">
        <v>0</v>
      </c>
      <c r="P538">
        <v>0</v>
      </c>
      <c r="Q538">
        <v>599</v>
      </c>
      <c r="R538">
        <v>599</v>
      </c>
      <c r="T538" t="s">
        <v>3602</v>
      </c>
      <c r="U538">
        <v>1</v>
      </c>
      <c r="V538" t="s">
        <v>1364</v>
      </c>
      <c r="X538" t="s">
        <v>556</v>
      </c>
      <c r="Y538" t="s">
        <v>3603</v>
      </c>
      <c r="Z538" t="s">
        <v>1466</v>
      </c>
      <c r="AA538" t="s">
        <v>1835</v>
      </c>
      <c r="AB538" t="s">
        <v>3604</v>
      </c>
      <c r="AC538" t="s">
        <v>3605</v>
      </c>
      <c r="AF538" t="s">
        <v>3606</v>
      </c>
      <c r="AG538" t="s">
        <v>1372</v>
      </c>
      <c r="AK538">
        <v>0</v>
      </c>
      <c r="AL538" t="s">
        <v>3607</v>
      </c>
      <c r="AO538" t="s">
        <v>1372</v>
      </c>
      <c r="AP538" t="s">
        <v>1373</v>
      </c>
    </row>
    <row r="539" hidden="1" spans="1:42">
      <c r="A539" t="s">
        <v>3608</v>
      </c>
      <c r="B539" t="s">
        <v>1356</v>
      </c>
      <c r="C539" t="s">
        <v>1375</v>
      </c>
      <c r="D539" t="s">
        <v>1358</v>
      </c>
      <c r="F539" t="s">
        <v>1377</v>
      </c>
      <c r="G539" s="45">
        <v>44814.0161921296</v>
      </c>
      <c r="H539" s="45">
        <v>44814.0166782407</v>
      </c>
      <c r="J539" t="s">
        <v>407</v>
      </c>
      <c r="M539">
        <v>249</v>
      </c>
      <c r="N539">
        <v>0</v>
      </c>
      <c r="O539">
        <v>0</v>
      </c>
      <c r="P539">
        <v>0</v>
      </c>
      <c r="Q539">
        <v>249</v>
      </c>
      <c r="R539">
        <v>249</v>
      </c>
      <c r="T539" t="s">
        <v>2573</v>
      </c>
      <c r="U539">
        <v>1</v>
      </c>
      <c r="V539" t="s">
        <v>1364</v>
      </c>
      <c r="X539" t="s">
        <v>774</v>
      </c>
      <c r="Y539" t="s">
        <v>3609</v>
      </c>
      <c r="Z539" t="s">
        <v>1466</v>
      </c>
      <c r="AA539" t="s">
        <v>1835</v>
      </c>
      <c r="AB539" t="s">
        <v>3610</v>
      </c>
      <c r="AC539" t="s">
        <v>3611</v>
      </c>
      <c r="AF539" t="s">
        <v>3612</v>
      </c>
      <c r="AG539" t="s">
        <v>1372</v>
      </c>
      <c r="AK539">
        <v>0</v>
      </c>
      <c r="AO539" t="s">
        <v>1372</v>
      </c>
      <c r="AP539" t="s">
        <v>1373</v>
      </c>
    </row>
    <row r="540" hidden="1" spans="1:42">
      <c r="A540" t="s">
        <v>3613</v>
      </c>
      <c r="B540" t="s">
        <v>1356</v>
      </c>
      <c r="C540" t="s">
        <v>1375</v>
      </c>
      <c r="D540" t="s">
        <v>1780</v>
      </c>
      <c r="F540" t="s">
        <v>3560</v>
      </c>
      <c r="G540" s="45">
        <v>44814.0117592593</v>
      </c>
      <c r="M540">
        <v>236.55</v>
      </c>
      <c r="N540">
        <v>0</v>
      </c>
      <c r="O540">
        <v>-6</v>
      </c>
      <c r="P540">
        <v>0</v>
      </c>
      <c r="Q540">
        <v>230.55</v>
      </c>
      <c r="R540">
        <v>0</v>
      </c>
      <c r="S540" t="s">
        <v>1463</v>
      </c>
      <c r="T540" t="s">
        <v>3614</v>
      </c>
      <c r="U540">
        <v>1</v>
      </c>
      <c r="V540" t="s">
        <v>1364</v>
      </c>
      <c r="X540" t="s">
        <v>855</v>
      </c>
      <c r="Y540" t="s">
        <v>3230</v>
      </c>
      <c r="Z540" t="s">
        <v>3108</v>
      </c>
      <c r="AA540" t="s">
        <v>3124</v>
      </c>
      <c r="AB540" t="s">
        <v>3231</v>
      </c>
      <c r="AC540" t="s">
        <v>3232</v>
      </c>
      <c r="AF540" t="s">
        <v>3233</v>
      </c>
      <c r="AG540" t="s">
        <v>1385</v>
      </c>
      <c r="AH540" t="s">
        <v>3230</v>
      </c>
      <c r="AK540">
        <v>0</v>
      </c>
      <c r="AO540" t="s">
        <v>1372</v>
      </c>
      <c r="AP540" t="s">
        <v>1373</v>
      </c>
    </row>
    <row r="541" hidden="1" spans="1:42">
      <c r="A541" t="s">
        <v>3615</v>
      </c>
      <c r="B541" t="s">
        <v>1356</v>
      </c>
      <c r="C541" t="s">
        <v>1375</v>
      </c>
      <c r="D541" t="s">
        <v>1358</v>
      </c>
      <c r="F541" t="s">
        <v>1377</v>
      </c>
      <c r="G541" s="45">
        <v>44814.0107291667</v>
      </c>
      <c r="H541" s="45">
        <v>44814.0109490741</v>
      </c>
      <c r="J541" t="s">
        <v>407</v>
      </c>
      <c r="M541">
        <v>249</v>
      </c>
      <c r="N541">
        <v>0</v>
      </c>
      <c r="O541">
        <v>-5</v>
      </c>
      <c r="P541">
        <v>0</v>
      </c>
      <c r="Q541">
        <v>244</v>
      </c>
      <c r="R541">
        <v>244</v>
      </c>
      <c r="S541" t="s">
        <v>1422</v>
      </c>
      <c r="T541" t="s">
        <v>3616</v>
      </c>
      <c r="U541">
        <v>1</v>
      </c>
      <c r="V541" t="s">
        <v>1364</v>
      </c>
      <c r="X541" t="s">
        <v>392</v>
      </c>
      <c r="Y541" t="s">
        <v>3537</v>
      </c>
      <c r="Z541" t="s">
        <v>1560</v>
      </c>
      <c r="AA541" t="s">
        <v>1560</v>
      </c>
      <c r="AB541" t="s">
        <v>3538</v>
      </c>
      <c r="AC541" t="s">
        <v>3539</v>
      </c>
      <c r="AF541" t="s">
        <v>392</v>
      </c>
      <c r="AG541" t="s">
        <v>1372</v>
      </c>
      <c r="AH541" t="s">
        <v>3537</v>
      </c>
      <c r="AK541">
        <v>0</v>
      </c>
      <c r="AO541" t="s">
        <v>1372</v>
      </c>
      <c r="AP541" t="s">
        <v>1373</v>
      </c>
    </row>
    <row r="542" hidden="1" spans="1:42">
      <c r="A542" t="s">
        <v>3617</v>
      </c>
      <c r="B542" t="s">
        <v>1356</v>
      </c>
      <c r="C542" t="s">
        <v>1375</v>
      </c>
      <c r="D542" t="s">
        <v>1358</v>
      </c>
      <c r="F542" t="s">
        <v>1377</v>
      </c>
      <c r="G542" s="45">
        <v>44814.0086226852</v>
      </c>
      <c r="H542" s="45">
        <v>44814.0087962963</v>
      </c>
      <c r="J542" t="s">
        <v>407</v>
      </c>
      <c r="M542">
        <v>249</v>
      </c>
      <c r="N542">
        <v>0</v>
      </c>
      <c r="O542">
        <v>0</v>
      </c>
      <c r="P542">
        <v>0</v>
      </c>
      <c r="Q542">
        <v>249</v>
      </c>
      <c r="R542">
        <v>249</v>
      </c>
      <c r="T542" t="s">
        <v>3618</v>
      </c>
      <c r="U542">
        <v>1</v>
      </c>
      <c r="V542" t="s">
        <v>1364</v>
      </c>
      <c r="X542" t="s">
        <v>623</v>
      </c>
      <c r="Y542" t="s">
        <v>3619</v>
      </c>
      <c r="Z542" t="s">
        <v>2386</v>
      </c>
      <c r="AA542" t="s">
        <v>2386</v>
      </c>
      <c r="AB542" t="s">
        <v>3620</v>
      </c>
      <c r="AC542" t="s">
        <v>3621</v>
      </c>
      <c r="AF542" t="s">
        <v>3622</v>
      </c>
      <c r="AG542" t="s">
        <v>1372</v>
      </c>
      <c r="AK542">
        <v>0</v>
      </c>
      <c r="AO542" t="s">
        <v>1372</v>
      </c>
      <c r="AP542" t="s">
        <v>1373</v>
      </c>
    </row>
    <row r="543" hidden="1" spans="1:42">
      <c r="A543" t="s">
        <v>3623</v>
      </c>
      <c r="B543" t="s">
        <v>1356</v>
      </c>
      <c r="C543" t="s">
        <v>1375</v>
      </c>
      <c r="D543" t="s">
        <v>1358</v>
      </c>
      <c r="F543" t="s">
        <v>3560</v>
      </c>
      <c r="G543" s="45">
        <v>44814.0047685185</v>
      </c>
      <c r="H543" s="45">
        <v>44814.0048958333</v>
      </c>
      <c r="J543" t="s">
        <v>407</v>
      </c>
      <c r="M543">
        <v>249</v>
      </c>
      <c r="N543">
        <v>0</v>
      </c>
      <c r="O543">
        <v>0</v>
      </c>
      <c r="P543">
        <v>0</v>
      </c>
      <c r="Q543">
        <v>249</v>
      </c>
      <c r="R543">
        <v>249</v>
      </c>
      <c r="T543" t="s">
        <v>3624</v>
      </c>
      <c r="U543">
        <v>1</v>
      </c>
      <c r="V543" t="s">
        <v>1364</v>
      </c>
      <c r="X543" t="s">
        <v>777</v>
      </c>
      <c r="Y543" t="s">
        <v>3625</v>
      </c>
      <c r="Z543" t="s">
        <v>1560</v>
      </c>
      <c r="AA543" t="s">
        <v>1560</v>
      </c>
      <c r="AB543" t="s">
        <v>3476</v>
      </c>
      <c r="AC543" t="s">
        <v>3626</v>
      </c>
      <c r="AF543" t="s">
        <v>3627</v>
      </c>
      <c r="AG543" t="s">
        <v>1372</v>
      </c>
      <c r="AH543" t="s">
        <v>3628</v>
      </c>
      <c r="AK543">
        <v>0</v>
      </c>
      <c r="AO543" t="s">
        <v>1372</v>
      </c>
      <c r="AP543" t="s">
        <v>1373</v>
      </c>
    </row>
    <row r="544" hidden="1" spans="1:42">
      <c r="A544" t="s">
        <v>3629</v>
      </c>
      <c r="B544" t="s">
        <v>1356</v>
      </c>
      <c r="C544" t="s">
        <v>1375</v>
      </c>
      <c r="D544" t="s">
        <v>1780</v>
      </c>
      <c r="F544" t="s">
        <v>1377</v>
      </c>
      <c r="G544" s="45">
        <v>44814.0032638889</v>
      </c>
      <c r="M544">
        <v>249</v>
      </c>
      <c r="N544">
        <v>0</v>
      </c>
      <c r="O544">
        <v>0</v>
      </c>
      <c r="P544">
        <v>0</v>
      </c>
      <c r="Q544">
        <v>249</v>
      </c>
      <c r="R544">
        <v>0</v>
      </c>
      <c r="T544" t="s">
        <v>3483</v>
      </c>
      <c r="U544">
        <v>1</v>
      </c>
      <c r="V544" t="s">
        <v>1364</v>
      </c>
      <c r="X544" t="s">
        <v>3630</v>
      </c>
      <c r="Y544" t="s">
        <v>3631</v>
      </c>
      <c r="Z544" t="s">
        <v>1478</v>
      </c>
      <c r="AA544" t="s">
        <v>3357</v>
      </c>
      <c r="AB544" t="s">
        <v>3632</v>
      </c>
      <c r="AC544" t="s">
        <v>3633</v>
      </c>
      <c r="AF544" t="s">
        <v>3634</v>
      </c>
      <c r="AG544" t="s">
        <v>1372</v>
      </c>
      <c r="AK544">
        <v>0</v>
      </c>
      <c r="AO544" t="s">
        <v>1372</v>
      </c>
      <c r="AP544" t="s">
        <v>1373</v>
      </c>
    </row>
    <row r="545" hidden="1" spans="1:42">
      <c r="A545" t="s">
        <v>3635</v>
      </c>
      <c r="B545" t="s">
        <v>1356</v>
      </c>
      <c r="C545" t="s">
        <v>1375</v>
      </c>
      <c r="D545" t="s">
        <v>1780</v>
      </c>
      <c r="F545" t="s">
        <v>1377</v>
      </c>
      <c r="G545" s="45">
        <v>44814.0027314815</v>
      </c>
      <c r="M545">
        <v>249</v>
      </c>
      <c r="N545">
        <v>0</v>
      </c>
      <c r="O545">
        <v>0</v>
      </c>
      <c r="P545">
        <v>0</v>
      </c>
      <c r="Q545">
        <v>249</v>
      </c>
      <c r="R545">
        <v>0</v>
      </c>
      <c r="T545" t="s">
        <v>3624</v>
      </c>
      <c r="U545">
        <v>1</v>
      </c>
      <c r="V545" t="s">
        <v>1364</v>
      </c>
      <c r="X545" t="s">
        <v>623</v>
      </c>
      <c r="Y545" t="s">
        <v>3619</v>
      </c>
      <c r="Z545" t="s">
        <v>2386</v>
      </c>
      <c r="AA545" t="s">
        <v>2386</v>
      </c>
      <c r="AB545" t="s">
        <v>3620</v>
      </c>
      <c r="AC545" t="s">
        <v>3621</v>
      </c>
      <c r="AF545" t="s">
        <v>3622</v>
      </c>
      <c r="AG545" t="s">
        <v>1372</v>
      </c>
      <c r="AK545">
        <v>0</v>
      </c>
      <c r="AO545" t="s">
        <v>1372</v>
      </c>
      <c r="AP545" t="s">
        <v>1373</v>
      </c>
    </row>
    <row r="546" hidden="1" spans="1:42">
      <c r="A546" t="s">
        <v>3636</v>
      </c>
      <c r="B546" t="s">
        <v>1356</v>
      </c>
      <c r="C546" t="s">
        <v>1375</v>
      </c>
      <c r="D546" t="s">
        <v>1358</v>
      </c>
      <c r="F546" t="s">
        <v>1377</v>
      </c>
      <c r="G546" s="45">
        <v>44813.9953703704</v>
      </c>
      <c r="H546" s="45">
        <v>44813.9962384259</v>
      </c>
      <c r="J546" t="s">
        <v>407</v>
      </c>
      <c r="M546">
        <v>249</v>
      </c>
      <c r="N546">
        <v>0</v>
      </c>
      <c r="O546">
        <v>0</v>
      </c>
      <c r="P546">
        <v>0</v>
      </c>
      <c r="Q546">
        <v>249</v>
      </c>
      <c r="R546">
        <v>249</v>
      </c>
      <c r="T546" t="s">
        <v>3483</v>
      </c>
      <c r="U546">
        <v>1</v>
      </c>
      <c r="V546" t="s">
        <v>1364</v>
      </c>
      <c r="X546" t="s">
        <v>779</v>
      </c>
      <c r="Y546" t="s">
        <v>3637</v>
      </c>
      <c r="Z546" t="s">
        <v>1380</v>
      </c>
      <c r="AA546" t="s">
        <v>1409</v>
      </c>
      <c r="AB546" t="s">
        <v>1410</v>
      </c>
      <c r="AC546" t="s">
        <v>3638</v>
      </c>
      <c r="AF546" t="s">
        <v>3639</v>
      </c>
      <c r="AG546" t="s">
        <v>1372</v>
      </c>
      <c r="AH546" t="s">
        <v>3637</v>
      </c>
      <c r="AK546">
        <v>0</v>
      </c>
      <c r="AO546" t="s">
        <v>1372</v>
      </c>
      <c r="AP546" t="s">
        <v>1373</v>
      </c>
    </row>
    <row r="547" hidden="1" spans="1:42">
      <c r="A547" t="s">
        <v>3640</v>
      </c>
      <c r="B547" t="s">
        <v>1356</v>
      </c>
      <c r="C547" t="s">
        <v>1375</v>
      </c>
      <c r="D547" t="s">
        <v>1358</v>
      </c>
      <c r="F547" t="s">
        <v>1377</v>
      </c>
      <c r="G547" s="45">
        <v>44813.9946296296</v>
      </c>
      <c r="H547" s="45">
        <v>44813.9947337963</v>
      </c>
      <c r="J547" t="s">
        <v>407</v>
      </c>
      <c r="M547">
        <v>19.9</v>
      </c>
      <c r="N547">
        <v>0</v>
      </c>
      <c r="O547">
        <v>0</v>
      </c>
      <c r="P547">
        <v>0</v>
      </c>
      <c r="Q547">
        <v>19.9</v>
      </c>
      <c r="R547">
        <v>19.9</v>
      </c>
      <c r="T547" t="s">
        <v>1484</v>
      </c>
      <c r="U547">
        <v>1</v>
      </c>
      <c r="V547" t="s">
        <v>1364</v>
      </c>
      <c r="X547" t="s">
        <v>520</v>
      </c>
      <c r="Y547" t="s">
        <v>3641</v>
      </c>
      <c r="Z547" t="s">
        <v>1367</v>
      </c>
      <c r="AA547" t="s">
        <v>1943</v>
      </c>
      <c r="AB547" t="s">
        <v>1944</v>
      </c>
      <c r="AC547" t="s">
        <v>3642</v>
      </c>
      <c r="AF547" t="s">
        <v>3643</v>
      </c>
      <c r="AG547" t="s">
        <v>1372</v>
      </c>
      <c r="AK547">
        <v>0</v>
      </c>
      <c r="AO547" t="s">
        <v>1372</v>
      </c>
      <c r="AP547" t="s">
        <v>1373</v>
      </c>
    </row>
    <row r="548" hidden="1" spans="1:42">
      <c r="A548" t="s">
        <v>3644</v>
      </c>
      <c r="B548" t="s">
        <v>1356</v>
      </c>
      <c r="C548" t="s">
        <v>1375</v>
      </c>
      <c r="D548" t="s">
        <v>1358</v>
      </c>
      <c r="F548" t="s">
        <v>1377</v>
      </c>
      <c r="G548" s="45">
        <v>44813.9923958333</v>
      </c>
      <c r="H548" s="45">
        <v>44813.9925</v>
      </c>
      <c r="J548" t="s">
        <v>407</v>
      </c>
      <c r="M548">
        <v>19.9</v>
      </c>
      <c r="N548">
        <v>0</v>
      </c>
      <c r="O548">
        <v>0</v>
      </c>
      <c r="P548">
        <v>0</v>
      </c>
      <c r="Q548">
        <v>19.9</v>
      </c>
      <c r="R548">
        <v>19.9</v>
      </c>
      <c r="T548" t="s">
        <v>1540</v>
      </c>
      <c r="U548">
        <v>1</v>
      </c>
      <c r="V548" t="s">
        <v>1364</v>
      </c>
      <c r="X548" t="s">
        <v>709</v>
      </c>
      <c r="Y548" t="s">
        <v>3645</v>
      </c>
      <c r="Z548" t="s">
        <v>1678</v>
      </c>
      <c r="AA548" t="s">
        <v>3020</v>
      </c>
      <c r="AB548" t="s">
        <v>3646</v>
      </c>
      <c r="AC548" t="s">
        <v>3647</v>
      </c>
      <c r="AF548" t="s">
        <v>709</v>
      </c>
      <c r="AG548" t="s">
        <v>1372</v>
      </c>
      <c r="AH548" t="s">
        <v>3645</v>
      </c>
      <c r="AK548">
        <v>0</v>
      </c>
      <c r="AO548" t="s">
        <v>1372</v>
      </c>
      <c r="AP548" t="s">
        <v>1373</v>
      </c>
    </row>
    <row r="549" hidden="1" spans="1:42">
      <c r="A549" t="s">
        <v>3648</v>
      </c>
      <c r="B549" t="s">
        <v>1356</v>
      </c>
      <c r="C549" t="s">
        <v>1375</v>
      </c>
      <c r="D549" t="s">
        <v>1358</v>
      </c>
      <c r="F549" t="s">
        <v>3560</v>
      </c>
      <c r="G549" s="45">
        <v>44813.9905324074</v>
      </c>
      <c r="H549" s="45">
        <v>44813.9906481481</v>
      </c>
      <c r="J549" t="s">
        <v>407</v>
      </c>
      <c r="M549">
        <v>19.9</v>
      </c>
      <c r="N549">
        <v>0</v>
      </c>
      <c r="O549">
        <v>0</v>
      </c>
      <c r="P549">
        <v>0</v>
      </c>
      <c r="Q549">
        <v>19.9</v>
      </c>
      <c r="R549">
        <v>19.9</v>
      </c>
      <c r="T549" t="s">
        <v>1940</v>
      </c>
      <c r="U549">
        <v>1</v>
      </c>
      <c r="V549" t="s">
        <v>1364</v>
      </c>
      <c r="X549" t="s">
        <v>709</v>
      </c>
      <c r="Y549" t="s">
        <v>3645</v>
      </c>
      <c r="Z549" t="s">
        <v>1678</v>
      </c>
      <c r="AA549" t="s">
        <v>3020</v>
      </c>
      <c r="AB549" t="s">
        <v>3646</v>
      </c>
      <c r="AC549" t="s">
        <v>3647</v>
      </c>
      <c r="AF549" t="s">
        <v>709</v>
      </c>
      <c r="AG549" t="s">
        <v>1372</v>
      </c>
      <c r="AH549" t="s">
        <v>3645</v>
      </c>
      <c r="AK549">
        <v>0</v>
      </c>
      <c r="AO549" t="s">
        <v>1372</v>
      </c>
      <c r="AP549" t="s">
        <v>1373</v>
      </c>
    </row>
    <row r="550" hidden="1" spans="1:42">
      <c r="A550" t="s">
        <v>3649</v>
      </c>
      <c r="B550" t="s">
        <v>1356</v>
      </c>
      <c r="C550" t="s">
        <v>1375</v>
      </c>
      <c r="D550" t="s">
        <v>1358</v>
      </c>
      <c r="F550" t="s">
        <v>1377</v>
      </c>
      <c r="G550" s="45">
        <v>44813.9883333333</v>
      </c>
      <c r="H550" s="45">
        <v>44813.9885185185</v>
      </c>
      <c r="J550" t="s">
        <v>407</v>
      </c>
      <c r="M550">
        <v>249</v>
      </c>
      <c r="N550">
        <v>0</v>
      </c>
      <c r="O550">
        <v>-1</v>
      </c>
      <c r="P550">
        <v>0</v>
      </c>
      <c r="Q550">
        <v>248</v>
      </c>
      <c r="R550">
        <v>248</v>
      </c>
      <c r="S550" t="s">
        <v>1414</v>
      </c>
      <c r="T550" t="s">
        <v>3375</v>
      </c>
      <c r="U550">
        <v>1</v>
      </c>
      <c r="V550" t="s">
        <v>1364</v>
      </c>
      <c r="X550" t="s">
        <v>392</v>
      </c>
      <c r="Y550" t="s">
        <v>3537</v>
      </c>
      <c r="Z550" t="s">
        <v>1560</v>
      </c>
      <c r="AA550" t="s">
        <v>1560</v>
      </c>
      <c r="AB550" t="s">
        <v>3538</v>
      </c>
      <c r="AC550" t="s">
        <v>3650</v>
      </c>
      <c r="AF550" t="s">
        <v>392</v>
      </c>
      <c r="AG550" t="s">
        <v>1372</v>
      </c>
      <c r="AH550" t="s">
        <v>3537</v>
      </c>
      <c r="AK550">
        <v>0</v>
      </c>
      <c r="AO550" t="s">
        <v>1372</v>
      </c>
      <c r="AP550" t="s">
        <v>1373</v>
      </c>
    </row>
    <row r="551" hidden="1" spans="1:42">
      <c r="A551" t="s">
        <v>3651</v>
      </c>
      <c r="B551" t="s">
        <v>1356</v>
      </c>
      <c r="C551" t="s">
        <v>1375</v>
      </c>
      <c r="D551" t="s">
        <v>1358</v>
      </c>
      <c r="F551" t="s">
        <v>1377</v>
      </c>
      <c r="G551" s="45">
        <v>44813.9883333333</v>
      </c>
      <c r="H551" s="45">
        <v>44813.9884490741</v>
      </c>
      <c r="J551" t="s">
        <v>407</v>
      </c>
      <c r="M551">
        <v>259</v>
      </c>
      <c r="N551">
        <v>0</v>
      </c>
      <c r="O551">
        <v>0</v>
      </c>
      <c r="P551">
        <v>0</v>
      </c>
      <c r="Q551">
        <v>259</v>
      </c>
      <c r="R551">
        <v>259</v>
      </c>
      <c r="T551" t="s">
        <v>3652</v>
      </c>
      <c r="U551">
        <v>1</v>
      </c>
      <c r="V551" t="s">
        <v>1364</v>
      </c>
      <c r="X551" t="s">
        <v>766</v>
      </c>
      <c r="Y551" t="s">
        <v>3653</v>
      </c>
      <c r="Z551" t="s">
        <v>1380</v>
      </c>
      <c r="AA551" t="s">
        <v>1506</v>
      </c>
      <c r="AB551" t="s">
        <v>3654</v>
      </c>
      <c r="AC551" t="s">
        <v>3655</v>
      </c>
      <c r="AF551" t="s">
        <v>3656</v>
      </c>
      <c r="AG551" t="s">
        <v>1372</v>
      </c>
      <c r="AK551">
        <v>0</v>
      </c>
      <c r="AO551" t="s">
        <v>1372</v>
      </c>
      <c r="AP551" t="s">
        <v>1373</v>
      </c>
    </row>
    <row r="552" hidden="1" spans="1:42">
      <c r="A552" t="s">
        <v>3657</v>
      </c>
      <c r="B552" t="s">
        <v>1356</v>
      </c>
      <c r="C552" t="s">
        <v>1375</v>
      </c>
      <c r="D552" t="s">
        <v>1358</v>
      </c>
      <c r="F552" t="s">
        <v>1377</v>
      </c>
      <c r="G552" s="45">
        <v>44813.9875462963</v>
      </c>
      <c r="H552" s="45">
        <v>44813.987662037</v>
      </c>
      <c r="J552" t="s">
        <v>407</v>
      </c>
      <c r="M552">
        <v>249</v>
      </c>
      <c r="N552">
        <v>0</v>
      </c>
      <c r="O552">
        <v>0</v>
      </c>
      <c r="P552">
        <v>0</v>
      </c>
      <c r="Q552">
        <v>249</v>
      </c>
      <c r="R552">
        <v>249</v>
      </c>
      <c r="T552" t="s">
        <v>3375</v>
      </c>
      <c r="U552">
        <v>1</v>
      </c>
      <c r="V552" t="s">
        <v>1364</v>
      </c>
      <c r="X552" t="s">
        <v>772</v>
      </c>
      <c r="Y552" t="s">
        <v>3658</v>
      </c>
      <c r="Z552" t="s">
        <v>2386</v>
      </c>
      <c r="AA552" t="s">
        <v>2386</v>
      </c>
      <c r="AB552" t="s">
        <v>3659</v>
      </c>
      <c r="AC552" t="s">
        <v>3660</v>
      </c>
      <c r="AF552" t="s">
        <v>3661</v>
      </c>
      <c r="AG552" t="s">
        <v>1372</v>
      </c>
      <c r="AK552">
        <v>0</v>
      </c>
      <c r="AO552" t="s">
        <v>1372</v>
      </c>
      <c r="AP552" t="s">
        <v>1373</v>
      </c>
    </row>
    <row r="553" hidden="1" spans="1:42">
      <c r="A553" t="s">
        <v>3662</v>
      </c>
      <c r="B553" t="s">
        <v>1356</v>
      </c>
      <c r="C553" t="s">
        <v>1375</v>
      </c>
      <c r="D553" t="s">
        <v>1358</v>
      </c>
      <c r="F553" t="s">
        <v>1377</v>
      </c>
      <c r="G553" s="45">
        <v>44813.9868287037</v>
      </c>
      <c r="H553" s="45">
        <v>44813.9869907407</v>
      </c>
      <c r="J553" t="s">
        <v>407</v>
      </c>
      <c r="M553">
        <v>249</v>
      </c>
      <c r="N553">
        <v>0</v>
      </c>
      <c r="O553">
        <v>0</v>
      </c>
      <c r="P553">
        <v>0</v>
      </c>
      <c r="Q553">
        <v>249</v>
      </c>
      <c r="R553">
        <v>249</v>
      </c>
      <c r="T553" t="s">
        <v>3618</v>
      </c>
      <c r="U553">
        <v>1</v>
      </c>
      <c r="V553" t="s">
        <v>1364</v>
      </c>
      <c r="X553" t="s">
        <v>605</v>
      </c>
      <c r="Y553" t="s">
        <v>3589</v>
      </c>
      <c r="Z553" t="s">
        <v>1367</v>
      </c>
      <c r="AA553" t="s">
        <v>1615</v>
      </c>
      <c r="AB553" t="s">
        <v>3590</v>
      </c>
      <c r="AC553" t="s">
        <v>3591</v>
      </c>
      <c r="AF553" t="s">
        <v>3663</v>
      </c>
      <c r="AG553" t="s">
        <v>1372</v>
      </c>
      <c r="AK553">
        <v>0</v>
      </c>
      <c r="AO553" t="s">
        <v>1372</v>
      </c>
      <c r="AP553" t="s">
        <v>1373</v>
      </c>
    </row>
    <row r="554" hidden="1" spans="1:42">
      <c r="A554" t="s">
        <v>3664</v>
      </c>
      <c r="B554" t="s">
        <v>1356</v>
      </c>
      <c r="C554" t="s">
        <v>1375</v>
      </c>
      <c r="D554" t="s">
        <v>1358</v>
      </c>
      <c r="F554" t="s">
        <v>1377</v>
      </c>
      <c r="G554" s="45">
        <v>44813.9862731481</v>
      </c>
      <c r="H554" s="45">
        <v>44813.986412037</v>
      </c>
      <c r="J554" t="s">
        <v>407</v>
      </c>
      <c r="M554">
        <v>249</v>
      </c>
      <c r="N554">
        <v>0</v>
      </c>
      <c r="O554">
        <v>-2</v>
      </c>
      <c r="P554">
        <v>0</v>
      </c>
      <c r="Q554">
        <v>247</v>
      </c>
      <c r="R554">
        <v>247</v>
      </c>
      <c r="S554" t="s">
        <v>1400</v>
      </c>
      <c r="T554" t="s">
        <v>2098</v>
      </c>
      <c r="U554">
        <v>1</v>
      </c>
      <c r="V554" t="s">
        <v>1364</v>
      </c>
      <c r="X554" t="s">
        <v>783</v>
      </c>
      <c r="Y554" t="s">
        <v>3665</v>
      </c>
      <c r="Z554" t="s">
        <v>1367</v>
      </c>
      <c r="AA554" t="s">
        <v>1486</v>
      </c>
      <c r="AB554" t="s">
        <v>2437</v>
      </c>
      <c r="AC554" t="s">
        <v>3666</v>
      </c>
      <c r="AF554" t="s">
        <v>3667</v>
      </c>
      <c r="AG554" t="s">
        <v>1385</v>
      </c>
      <c r="AH554" t="s">
        <v>3668</v>
      </c>
      <c r="AK554">
        <v>0</v>
      </c>
      <c r="AO554" t="s">
        <v>1372</v>
      </c>
      <c r="AP554" t="s">
        <v>1373</v>
      </c>
    </row>
    <row r="555" hidden="1" spans="1:42">
      <c r="A555" t="s">
        <v>3669</v>
      </c>
      <c r="B555" t="s">
        <v>1356</v>
      </c>
      <c r="C555" t="s">
        <v>1375</v>
      </c>
      <c r="D555" t="s">
        <v>1358</v>
      </c>
      <c r="F555" t="s">
        <v>1377</v>
      </c>
      <c r="G555" s="45">
        <v>44813.9853240741</v>
      </c>
      <c r="H555" s="45">
        <v>44813.9870486111</v>
      </c>
      <c r="J555" t="s">
        <v>407</v>
      </c>
      <c r="M555">
        <v>249</v>
      </c>
      <c r="N555">
        <v>0</v>
      </c>
      <c r="O555">
        <v>-3</v>
      </c>
      <c r="P555">
        <v>0</v>
      </c>
      <c r="Q555">
        <v>246</v>
      </c>
      <c r="R555">
        <v>246</v>
      </c>
      <c r="S555" t="s">
        <v>1397</v>
      </c>
      <c r="T555" t="s">
        <v>3670</v>
      </c>
      <c r="U555">
        <v>1</v>
      </c>
      <c r="V555" t="s">
        <v>1364</v>
      </c>
      <c r="X555" t="s">
        <v>514</v>
      </c>
      <c r="Y555" t="s">
        <v>2916</v>
      </c>
      <c r="Z555" t="s">
        <v>1695</v>
      </c>
      <c r="AA555" t="s">
        <v>2917</v>
      </c>
      <c r="AB555" t="s">
        <v>2918</v>
      </c>
      <c r="AC555" t="s">
        <v>2919</v>
      </c>
      <c r="AF555" t="s">
        <v>1790</v>
      </c>
      <c r="AG555" t="s">
        <v>1385</v>
      </c>
      <c r="AH555" t="s">
        <v>2916</v>
      </c>
      <c r="AK555">
        <v>0</v>
      </c>
      <c r="AO555" t="s">
        <v>1372</v>
      </c>
      <c r="AP555" t="s">
        <v>1373</v>
      </c>
    </row>
    <row r="556" hidden="1" spans="1:42">
      <c r="A556" t="s">
        <v>3671</v>
      </c>
      <c r="B556" t="s">
        <v>1356</v>
      </c>
      <c r="C556" t="s">
        <v>1375</v>
      </c>
      <c r="D556" t="s">
        <v>1358</v>
      </c>
      <c r="F556" t="s">
        <v>1377</v>
      </c>
      <c r="G556" s="45">
        <v>44813.981712963</v>
      </c>
      <c r="H556" s="45">
        <v>44813.9818518519</v>
      </c>
      <c r="J556" t="s">
        <v>407</v>
      </c>
      <c r="M556">
        <v>249</v>
      </c>
      <c r="N556">
        <v>0</v>
      </c>
      <c r="O556">
        <v>0</v>
      </c>
      <c r="P556">
        <v>0</v>
      </c>
      <c r="Q556">
        <v>249</v>
      </c>
      <c r="R556">
        <v>249</v>
      </c>
      <c r="T556" t="s">
        <v>3616</v>
      </c>
      <c r="U556">
        <v>1</v>
      </c>
      <c r="V556" t="s">
        <v>1364</v>
      </c>
      <c r="X556" t="s">
        <v>391</v>
      </c>
      <c r="Y556" t="s">
        <v>3574</v>
      </c>
      <c r="Z556" t="s">
        <v>1380</v>
      </c>
      <c r="AA556" t="s">
        <v>1506</v>
      </c>
      <c r="AB556" t="s">
        <v>3575</v>
      </c>
      <c r="AC556" t="s">
        <v>3576</v>
      </c>
      <c r="AF556" t="s">
        <v>391</v>
      </c>
      <c r="AG556" t="s">
        <v>1372</v>
      </c>
      <c r="AK556">
        <v>0</v>
      </c>
      <c r="AO556" t="s">
        <v>1372</v>
      </c>
      <c r="AP556" t="s">
        <v>1373</v>
      </c>
    </row>
    <row r="557" hidden="1" spans="1:42">
      <c r="A557" t="s">
        <v>3672</v>
      </c>
      <c r="B557" t="s">
        <v>1356</v>
      </c>
      <c r="C557" t="s">
        <v>1375</v>
      </c>
      <c r="D557" t="s">
        <v>1780</v>
      </c>
      <c r="F557" t="s">
        <v>1359</v>
      </c>
      <c r="G557" s="45">
        <v>44813.9755787037</v>
      </c>
      <c r="H557" s="45">
        <v>44813.9757407407</v>
      </c>
      <c r="J557" t="s">
        <v>1360</v>
      </c>
      <c r="K557" t="s">
        <v>3673</v>
      </c>
      <c r="L557" t="s">
        <v>3674</v>
      </c>
      <c r="M557">
        <v>215.82</v>
      </c>
      <c r="N557">
        <v>0</v>
      </c>
      <c r="O557">
        <v>-4</v>
      </c>
      <c r="P557">
        <v>0</v>
      </c>
      <c r="Q557">
        <v>211.82</v>
      </c>
      <c r="R557">
        <v>211.82</v>
      </c>
      <c r="S557" t="s">
        <v>1388</v>
      </c>
      <c r="T557" t="s">
        <v>3675</v>
      </c>
      <c r="U557">
        <v>1</v>
      </c>
      <c r="V557" t="s">
        <v>1364</v>
      </c>
      <c r="X557" t="s">
        <v>3676</v>
      </c>
      <c r="Y557" t="s">
        <v>3677</v>
      </c>
      <c r="Z557" t="s">
        <v>1430</v>
      </c>
      <c r="AA557" t="s">
        <v>2088</v>
      </c>
      <c r="AB557" t="s">
        <v>2089</v>
      </c>
      <c r="AC557" t="s">
        <v>3678</v>
      </c>
      <c r="AF557" t="s">
        <v>3679</v>
      </c>
      <c r="AG557" t="s">
        <v>1385</v>
      </c>
      <c r="AH557" t="s">
        <v>3677</v>
      </c>
      <c r="AJ557" t="s">
        <v>2945</v>
      </c>
      <c r="AK557">
        <v>211.82</v>
      </c>
      <c r="AO557" t="s">
        <v>1372</v>
      </c>
      <c r="AP557" t="s">
        <v>1373</v>
      </c>
    </row>
    <row r="558" hidden="1" spans="1:42">
      <c r="A558" t="s">
        <v>3680</v>
      </c>
      <c r="B558" t="s">
        <v>1356</v>
      </c>
      <c r="C558" t="s">
        <v>1375</v>
      </c>
      <c r="D558" t="s">
        <v>1358</v>
      </c>
      <c r="F558" t="s">
        <v>1548</v>
      </c>
      <c r="G558" s="45">
        <v>44813.974375</v>
      </c>
      <c r="H558" s="45">
        <v>44813.9744675926</v>
      </c>
      <c r="J558" t="s">
        <v>407</v>
      </c>
      <c r="M558">
        <v>857</v>
      </c>
      <c r="N558">
        <v>0</v>
      </c>
      <c r="O558">
        <v>-7</v>
      </c>
      <c r="P558">
        <v>0</v>
      </c>
      <c r="Q558">
        <v>850</v>
      </c>
      <c r="R558">
        <v>850</v>
      </c>
      <c r="S558" t="s">
        <v>2550</v>
      </c>
      <c r="T558" t="s">
        <v>3681</v>
      </c>
      <c r="U558">
        <v>3</v>
      </c>
      <c r="V558" t="s">
        <v>1364</v>
      </c>
      <c r="X558" t="s">
        <v>379</v>
      </c>
      <c r="Y558" t="s">
        <v>1550</v>
      </c>
      <c r="Z558" t="s">
        <v>1367</v>
      </c>
      <c r="AA558" t="s">
        <v>1551</v>
      </c>
      <c r="AB558" t="s">
        <v>3682</v>
      </c>
      <c r="AC558" t="s">
        <v>3683</v>
      </c>
      <c r="AF558" t="s">
        <v>1554</v>
      </c>
      <c r="AG558" t="s">
        <v>1372</v>
      </c>
      <c r="AH558" t="s">
        <v>1550</v>
      </c>
      <c r="AK558">
        <v>0</v>
      </c>
      <c r="AO558" t="s">
        <v>1372</v>
      </c>
      <c r="AP558" t="s">
        <v>1373</v>
      </c>
    </row>
    <row r="559" hidden="1" spans="1:42">
      <c r="A559" t="s">
        <v>3684</v>
      </c>
      <c r="B559" t="s">
        <v>1356</v>
      </c>
      <c r="C559" t="s">
        <v>1375</v>
      </c>
      <c r="D559" t="s">
        <v>1358</v>
      </c>
      <c r="F559" t="s">
        <v>1377</v>
      </c>
      <c r="G559" s="45">
        <v>44813.9641203704</v>
      </c>
      <c r="H559" s="45">
        <v>44813.9642476852</v>
      </c>
      <c r="J559" t="s">
        <v>407</v>
      </c>
      <c r="M559">
        <v>249</v>
      </c>
      <c r="N559">
        <v>0</v>
      </c>
      <c r="O559">
        <v>-1</v>
      </c>
      <c r="P559">
        <v>0</v>
      </c>
      <c r="Q559">
        <v>248</v>
      </c>
      <c r="R559">
        <v>248</v>
      </c>
      <c r="S559" t="s">
        <v>1414</v>
      </c>
      <c r="T559" t="s">
        <v>3261</v>
      </c>
      <c r="U559">
        <v>1</v>
      </c>
      <c r="V559" t="s">
        <v>1364</v>
      </c>
      <c r="X559" t="s">
        <v>667</v>
      </c>
      <c r="Y559" t="s">
        <v>3685</v>
      </c>
      <c r="Z559" t="s">
        <v>1367</v>
      </c>
      <c r="AA559" t="s">
        <v>1368</v>
      </c>
      <c r="AB559" t="s">
        <v>3686</v>
      </c>
      <c r="AC559" t="s">
        <v>3687</v>
      </c>
      <c r="AD559" t="s">
        <v>3688</v>
      </c>
      <c r="AF559" t="s">
        <v>3689</v>
      </c>
      <c r="AG559" t="s">
        <v>1385</v>
      </c>
      <c r="AH559" t="s">
        <v>3685</v>
      </c>
      <c r="AK559">
        <v>0</v>
      </c>
      <c r="AL559" t="s">
        <v>3690</v>
      </c>
      <c r="AO559" t="s">
        <v>1372</v>
      </c>
      <c r="AP559" t="s">
        <v>1373</v>
      </c>
    </row>
    <row r="560" hidden="1" spans="1:42">
      <c r="A560" t="s">
        <v>3691</v>
      </c>
      <c r="B560" t="s">
        <v>1356</v>
      </c>
      <c r="C560" t="s">
        <v>1375</v>
      </c>
      <c r="D560" t="s">
        <v>1358</v>
      </c>
      <c r="F560" t="s">
        <v>1377</v>
      </c>
      <c r="G560" s="45">
        <v>44813.9626388889</v>
      </c>
      <c r="H560" s="45">
        <v>44813.9627314815</v>
      </c>
      <c r="J560" t="s">
        <v>407</v>
      </c>
      <c r="M560">
        <v>19.9</v>
      </c>
      <c r="N560">
        <v>0</v>
      </c>
      <c r="O560">
        <v>0</v>
      </c>
      <c r="P560">
        <v>0</v>
      </c>
      <c r="Q560">
        <v>19.9</v>
      </c>
      <c r="R560">
        <v>19.9</v>
      </c>
      <c r="T560" t="s">
        <v>1831</v>
      </c>
      <c r="U560">
        <v>1</v>
      </c>
      <c r="V560" t="s">
        <v>1364</v>
      </c>
      <c r="X560" t="s">
        <v>512</v>
      </c>
      <c r="Y560" t="s">
        <v>3692</v>
      </c>
      <c r="Z560" t="s">
        <v>1367</v>
      </c>
      <c r="AA560" t="s">
        <v>1943</v>
      </c>
      <c r="AB560" t="s">
        <v>2039</v>
      </c>
      <c r="AC560" t="s">
        <v>3693</v>
      </c>
      <c r="AF560" t="s">
        <v>3694</v>
      </c>
      <c r="AG560" t="s">
        <v>1385</v>
      </c>
      <c r="AH560" t="s">
        <v>3692</v>
      </c>
      <c r="AK560">
        <v>0</v>
      </c>
      <c r="AO560" t="s">
        <v>1372</v>
      </c>
      <c r="AP560" t="s">
        <v>1373</v>
      </c>
    </row>
    <row r="561" hidden="1" spans="1:42">
      <c r="A561" t="s">
        <v>3695</v>
      </c>
      <c r="B561" t="s">
        <v>1356</v>
      </c>
      <c r="C561" t="s">
        <v>1375</v>
      </c>
      <c r="D561" t="s">
        <v>1358</v>
      </c>
      <c r="F561" t="s">
        <v>1377</v>
      </c>
      <c r="G561" s="45">
        <v>44813.9597800926</v>
      </c>
      <c r="H561" s="45">
        <v>44813.9601851852</v>
      </c>
      <c r="J561" t="s">
        <v>407</v>
      </c>
      <c r="M561">
        <v>249</v>
      </c>
      <c r="N561">
        <v>0</v>
      </c>
      <c r="O561">
        <v>-2</v>
      </c>
      <c r="P561">
        <v>0</v>
      </c>
      <c r="Q561">
        <v>247</v>
      </c>
      <c r="R561">
        <v>247</v>
      </c>
      <c r="S561" t="s">
        <v>1400</v>
      </c>
      <c r="T561" t="s">
        <v>3616</v>
      </c>
      <c r="U561">
        <v>1</v>
      </c>
      <c r="V561" t="s">
        <v>1364</v>
      </c>
      <c r="X561" t="s">
        <v>709</v>
      </c>
      <c r="Y561" t="s">
        <v>3645</v>
      </c>
      <c r="Z561" t="s">
        <v>1678</v>
      </c>
      <c r="AA561" t="s">
        <v>3020</v>
      </c>
      <c r="AB561" t="s">
        <v>3646</v>
      </c>
      <c r="AC561" t="s">
        <v>3647</v>
      </c>
      <c r="AF561" t="s">
        <v>709</v>
      </c>
      <c r="AG561" t="s">
        <v>1372</v>
      </c>
      <c r="AH561" t="s">
        <v>3645</v>
      </c>
      <c r="AK561">
        <v>0</v>
      </c>
      <c r="AO561" t="s">
        <v>1372</v>
      </c>
      <c r="AP561" t="s">
        <v>1373</v>
      </c>
    </row>
    <row r="562" hidden="1" spans="1:42">
      <c r="A562" t="s">
        <v>3696</v>
      </c>
      <c r="B562" t="s">
        <v>1356</v>
      </c>
      <c r="C562" t="s">
        <v>1375</v>
      </c>
      <c r="D562" t="s">
        <v>1358</v>
      </c>
      <c r="F562" t="s">
        <v>1377</v>
      </c>
      <c r="G562" s="45">
        <v>44813.9556944444</v>
      </c>
      <c r="H562" s="45">
        <v>44813.9559143518</v>
      </c>
      <c r="J562" t="s">
        <v>407</v>
      </c>
      <c r="M562">
        <v>249</v>
      </c>
      <c r="N562">
        <v>0</v>
      </c>
      <c r="O562">
        <v>0</v>
      </c>
      <c r="P562">
        <v>0</v>
      </c>
      <c r="Q562">
        <v>249</v>
      </c>
      <c r="R562">
        <v>249</v>
      </c>
      <c r="T562" t="s">
        <v>3697</v>
      </c>
      <c r="U562">
        <v>1</v>
      </c>
      <c r="V562" t="s">
        <v>1364</v>
      </c>
      <c r="X562" t="s">
        <v>540</v>
      </c>
      <c r="Y562" t="s">
        <v>3698</v>
      </c>
      <c r="Z562" t="s">
        <v>1695</v>
      </c>
      <c r="AA562" t="s">
        <v>2917</v>
      </c>
      <c r="AB562" t="s">
        <v>2918</v>
      </c>
      <c r="AC562" t="s">
        <v>3699</v>
      </c>
      <c r="AF562" t="s">
        <v>540</v>
      </c>
      <c r="AG562" t="s">
        <v>1372</v>
      </c>
      <c r="AH562" t="s">
        <v>3698</v>
      </c>
      <c r="AK562">
        <v>0</v>
      </c>
      <c r="AO562" t="s">
        <v>1372</v>
      </c>
      <c r="AP562" t="s">
        <v>1373</v>
      </c>
    </row>
    <row r="563" hidden="1" spans="1:42">
      <c r="A563" t="s">
        <v>3700</v>
      </c>
      <c r="B563" t="s">
        <v>1356</v>
      </c>
      <c r="C563" t="s">
        <v>1375</v>
      </c>
      <c r="D563" t="s">
        <v>1780</v>
      </c>
      <c r="F563" t="s">
        <v>1377</v>
      </c>
      <c r="G563" s="45">
        <v>44813.9527662037</v>
      </c>
      <c r="M563">
        <v>359</v>
      </c>
      <c r="N563">
        <v>0</v>
      </c>
      <c r="O563">
        <v>0</v>
      </c>
      <c r="P563">
        <v>0</v>
      </c>
      <c r="Q563">
        <v>359</v>
      </c>
      <c r="R563">
        <v>0</v>
      </c>
      <c r="T563" t="s">
        <v>3701</v>
      </c>
      <c r="U563">
        <v>1</v>
      </c>
      <c r="V563" t="s">
        <v>1364</v>
      </c>
      <c r="X563" t="s">
        <v>540</v>
      </c>
      <c r="Y563" t="s">
        <v>3698</v>
      </c>
      <c r="Z563" t="s">
        <v>1695</v>
      </c>
      <c r="AA563" t="s">
        <v>2917</v>
      </c>
      <c r="AB563" t="s">
        <v>2918</v>
      </c>
      <c r="AC563" t="s">
        <v>3699</v>
      </c>
      <c r="AF563" t="s">
        <v>540</v>
      </c>
      <c r="AG563" t="s">
        <v>1372</v>
      </c>
      <c r="AH563" t="s">
        <v>3698</v>
      </c>
      <c r="AK563">
        <v>0</v>
      </c>
      <c r="AO563" t="s">
        <v>1372</v>
      </c>
      <c r="AP563" t="s">
        <v>1373</v>
      </c>
    </row>
    <row r="564" hidden="1" spans="1:42">
      <c r="A564" t="s">
        <v>3702</v>
      </c>
      <c r="B564" t="s">
        <v>1356</v>
      </c>
      <c r="C564" t="s">
        <v>1375</v>
      </c>
      <c r="D564" t="s">
        <v>1358</v>
      </c>
      <c r="F564" t="s">
        <v>1377</v>
      </c>
      <c r="G564" s="45">
        <v>44813.9487037037</v>
      </c>
      <c r="H564" s="45">
        <v>44813.9493055556</v>
      </c>
      <c r="J564" t="s">
        <v>407</v>
      </c>
      <c r="M564">
        <v>249</v>
      </c>
      <c r="N564">
        <v>0</v>
      </c>
      <c r="O564">
        <v>0</v>
      </c>
      <c r="P564">
        <v>0</v>
      </c>
      <c r="Q564">
        <v>249</v>
      </c>
      <c r="R564">
        <v>249</v>
      </c>
      <c r="T564" t="s">
        <v>3703</v>
      </c>
      <c r="U564">
        <v>1</v>
      </c>
      <c r="V564" t="s">
        <v>1364</v>
      </c>
      <c r="X564" t="s">
        <v>405</v>
      </c>
      <c r="Y564" t="s">
        <v>3704</v>
      </c>
      <c r="Z564" t="s">
        <v>2336</v>
      </c>
      <c r="AA564" t="s">
        <v>2336</v>
      </c>
      <c r="AB564" t="s">
        <v>3705</v>
      </c>
      <c r="AC564" t="s">
        <v>3706</v>
      </c>
      <c r="AF564" t="s">
        <v>3707</v>
      </c>
      <c r="AG564" t="s">
        <v>1372</v>
      </c>
      <c r="AK564">
        <v>0</v>
      </c>
      <c r="AO564" t="s">
        <v>1372</v>
      </c>
      <c r="AP564" t="s">
        <v>1373</v>
      </c>
    </row>
    <row r="565" hidden="1" spans="1:42">
      <c r="A565" t="s">
        <v>3708</v>
      </c>
      <c r="B565" t="s">
        <v>1356</v>
      </c>
      <c r="C565" t="s">
        <v>1375</v>
      </c>
      <c r="D565" t="s">
        <v>1780</v>
      </c>
      <c r="F565" t="s">
        <v>1377</v>
      </c>
      <c r="G565" s="45">
        <v>44813.9461342593</v>
      </c>
      <c r="M565">
        <v>249</v>
      </c>
      <c r="N565">
        <v>0</v>
      </c>
      <c r="O565">
        <v>-7</v>
      </c>
      <c r="P565">
        <v>0</v>
      </c>
      <c r="Q565">
        <v>242</v>
      </c>
      <c r="R565">
        <v>0</v>
      </c>
      <c r="S565" t="s">
        <v>2550</v>
      </c>
      <c r="T565" t="s">
        <v>3697</v>
      </c>
      <c r="U565">
        <v>1</v>
      </c>
      <c r="V565" t="s">
        <v>1364</v>
      </c>
      <c r="X565" t="s">
        <v>540</v>
      </c>
      <c r="Y565" t="s">
        <v>3698</v>
      </c>
      <c r="Z565" t="s">
        <v>1695</v>
      </c>
      <c r="AA565" t="s">
        <v>2917</v>
      </c>
      <c r="AB565" t="s">
        <v>2918</v>
      </c>
      <c r="AC565" t="s">
        <v>3699</v>
      </c>
      <c r="AF565" t="s">
        <v>540</v>
      </c>
      <c r="AG565" t="s">
        <v>1372</v>
      </c>
      <c r="AH565" t="s">
        <v>3698</v>
      </c>
      <c r="AK565">
        <v>0</v>
      </c>
      <c r="AO565" t="s">
        <v>1372</v>
      </c>
      <c r="AP565" t="s">
        <v>1373</v>
      </c>
    </row>
    <row r="566" hidden="1" spans="1:42">
      <c r="A566" t="s">
        <v>3709</v>
      </c>
      <c r="B566" t="s">
        <v>1356</v>
      </c>
      <c r="C566" t="s">
        <v>1375</v>
      </c>
      <c r="D566" t="s">
        <v>1358</v>
      </c>
      <c r="F566" t="s">
        <v>1377</v>
      </c>
      <c r="G566" s="45">
        <v>44813.9419444444</v>
      </c>
      <c r="H566" s="45">
        <v>44813.942037037</v>
      </c>
      <c r="J566" t="s">
        <v>407</v>
      </c>
      <c r="M566">
        <v>359</v>
      </c>
      <c r="N566">
        <v>0</v>
      </c>
      <c r="O566">
        <v>-7</v>
      </c>
      <c r="P566">
        <v>0</v>
      </c>
      <c r="Q566">
        <v>352</v>
      </c>
      <c r="R566">
        <v>352</v>
      </c>
      <c r="S566" t="s">
        <v>2550</v>
      </c>
      <c r="T566" t="s">
        <v>3710</v>
      </c>
      <c r="U566">
        <v>1</v>
      </c>
      <c r="V566" t="s">
        <v>1364</v>
      </c>
      <c r="X566" t="s">
        <v>386</v>
      </c>
      <c r="Y566" t="s">
        <v>3711</v>
      </c>
      <c r="Z566" t="s">
        <v>1513</v>
      </c>
      <c r="AA566" t="s">
        <v>3428</v>
      </c>
      <c r="AB566" t="s">
        <v>3712</v>
      </c>
      <c r="AC566" t="s">
        <v>3713</v>
      </c>
      <c r="AF566" t="s">
        <v>3714</v>
      </c>
      <c r="AG566" t="s">
        <v>1385</v>
      </c>
      <c r="AH566" t="s">
        <v>3715</v>
      </c>
      <c r="AK566">
        <v>0</v>
      </c>
      <c r="AO566" t="s">
        <v>1372</v>
      </c>
      <c r="AP566" t="s">
        <v>1373</v>
      </c>
    </row>
    <row r="567" hidden="1" spans="1:42">
      <c r="A567" t="s">
        <v>3716</v>
      </c>
      <c r="B567" t="s">
        <v>1356</v>
      </c>
      <c r="C567" t="s">
        <v>1375</v>
      </c>
      <c r="D567" t="s">
        <v>1358</v>
      </c>
      <c r="F567" t="s">
        <v>1377</v>
      </c>
      <c r="G567" s="45">
        <v>44813.9408333333</v>
      </c>
      <c r="H567" s="45">
        <v>44813.9411689815</v>
      </c>
      <c r="J567" t="s">
        <v>407</v>
      </c>
      <c r="M567">
        <v>359</v>
      </c>
      <c r="N567">
        <v>0</v>
      </c>
      <c r="O567">
        <v>0</v>
      </c>
      <c r="P567">
        <v>0</v>
      </c>
      <c r="Q567">
        <v>359</v>
      </c>
      <c r="R567">
        <v>359</v>
      </c>
      <c r="T567" t="s">
        <v>3717</v>
      </c>
      <c r="U567">
        <v>1</v>
      </c>
      <c r="V567" t="s">
        <v>1364</v>
      </c>
      <c r="X567" t="s">
        <v>540</v>
      </c>
      <c r="Y567" t="s">
        <v>3698</v>
      </c>
      <c r="Z567" t="s">
        <v>1695</v>
      </c>
      <c r="AA567" t="s">
        <v>2917</v>
      </c>
      <c r="AB567" t="s">
        <v>2918</v>
      </c>
      <c r="AC567" t="s">
        <v>3699</v>
      </c>
      <c r="AF567" t="s">
        <v>540</v>
      </c>
      <c r="AG567" t="s">
        <v>1372</v>
      </c>
      <c r="AK567">
        <v>0</v>
      </c>
      <c r="AL567" t="s">
        <v>3718</v>
      </c>
      <c r="AO567" t="s">
        <v>1372</v>
      </c>
      <c r="AP567" t="s">
        <v>1373</v>
      </c>
    </row>
    <row r="568" hidden="1" spans="1:42">
      <c r="A568" t="s">
        <v>3719</v>
      </c>
      <c r="B568" t="s">
        <v>1356</v>
      </c>
      <c r="C568" t="s">
        <v>1375</v>
      </c>
      <c r="D568" t="s">
        <v>1780</v>
      </c>
      <c r="F568" t="s">
        <v>1548</v>
      </c>
      <c r="G568" s="45">
        <v>44813.9343981482</v>
      </c>
      <c r="H568" s="45">
        <v>44813.9345023148</v>
      </c>
      <c r="J568" t="s">
        <v>407</v>
      </c>
      <c r="M568">
        <v>329</v>
      </c>
      <c r="N568">
        <v>0</v>
      </c>
      <c r="O568">
        <v>-11</v>
      </c>
      <c r="P568">
        <v>0</v>
      </c>
      <c r="Q568">
        <v>318</v>
      </c>
      <c r="R568">
        <v>318</v>
      </c>
      <c r="S568" t="s">
        <v>3720</v>
      </c>
      <c r="T568" t="s">
        <v>3721</v>
      </c>
      <c r="U568">
        <v>1</v>
      </c>
      <c r="V568" t="s">
        <v>1364</v>
      </c>
      <c r="X568" t="s">
        <v>386</v>
      </c>
      <c r="Y568" t="s">
        <v>3711</v>
      </c>
      <c r="Z568" t="s">
        <v>1513</v>
      </c>
      <c r="AA568" t="s">
        <v>3428</v>
      </c>
      <c r="AB568" t="s">
        <v>3712</v>
      </c>
      <c r="AC568" t="s">
        <v>3713</v>
      </c>
      <c r="AF568" t="s">
        <v>3714</v>
      </c>
      <c r="AG568" t="s">
        <v>1385</v>
      </c>
      <c r="AH568" t="s">
        <v>3715</v>
      </c>
      <c r="AJ568" t="s">
        <v>2945</v>
      </c>
      <c r="AK568">
        <v>318</v>
      </c>
      <c r="AO568" t="s">
        <v>1372</v>
      </c>
      <c r="AP568" t="s">
        <v>1373</v>
      </c>
    </row>
    <row r="569" hidden="1" spans="1:42">
      <c r="A569" t="s">
        <v>3722</v>
      </c>
      <c r="B569" t="s">
        <v>1356</v>
      </c>
      <c r="C569" t="s">
        <v>1375</v>
      </c>
      <c r="D569" t="s">
        <v>1358</v>
      </c>
      <c r="F569" t="s">
        <v>1377</v>
      </c>
      <c r="G569" s="45">
        <v>44813.9321296296</v>
      </c>
      <c r="H569" s="45">
        <v>44813.9322337963</v>
      </c>
      <c r="J569" t="s">
        <v>407</v>
      </c>
      <c r="M569">
        <v>219.12</v>
      </c>
      <c r="N569">
        <v>0</v>
      </c>
      <c r="O569">
        <v>0</v>
      </c>
      <c r="P569">
        <v>0</v>
      </c>
      <c r="Q569">
        <v>219.12</v>
      </c>
      <c r="R569">
        <v>219.12</v>
      </c>
      <c r="T569" t="s">
        <v>3723</v>
      </c>
      <c r="U569">
        <v>1</v>
      </c>
      <c r="V569" t="s">
        <v>1364</v>
      </c>
      <c r="X569" t="s">
        <v>386</v>
      </c>
      <c r="Y569" t="s">
        <v>3711</v>
      </c>
      <c r="Z569" t="s">
        <v>1513</v>
      </c>
      <c r="AA569" t="s">
        <v>3428</v>
      </c>
      <c r="AB569" t="s">
        <v>3712</v>
      </c>
      <c r="AC569" t="s">
        <v>3713</v>
      </c>
      <c r="AF569" t="s">
        <v>3714</v>
      </c>
      <c r="AG569" t="s">
        <v>1385</v>
      </c>
      <c r="AH569" t="s">
        <v>3715</v>
      </c>
      <c r="AK569">
        <v>0</v>
      </c>
      <c r="AO569" t="s">
        <v>1372</v>
      </c>
      <c r="AP569" t="s">
        <v>1373</v>
      </c>
    </row>
    <row r="570" hidden="1" spans="1:42">
      <c r="A570" t="s">
        <v>3724</v>
      </c>
      <c r="B570" t="s">
        <v>1356</v>
      </c>
      <c r="C570" t="s">
        <v>1375</v>
      </c>
      <c r="D570" t="s">
        <v>1358</v>
      </c>
      <c r="F570" t="s">
        <v>1377</v>
      </c>
      <c r="G570" s="45">
        <v>44813.9308449074</v>
      </c>
      <c r="H570" s="45">
        <v>44813.9314814815</v>
      </c>
      <c r="J570" t="s">
        <v>407</v>
      </c>
      <c r="M570">
        <v>249</v>
      </c>
      <c r="N570">
        <v>0</v>
      </c>
      <c r="O570">
        <v>-3</v>
      </c>
      <c r="P570">
        <v>0</v>
      </c>
      <c r="Q570">
        <v>246</v>
      </c>
      <c r="R570">
        <v>246</v>
      </c>
      <c r="S570" t="s">
        <v>1397</v>
      </c>
      <c r="T570" t="s">
        <v>3618</v>
      </c>
      <c r="U570">
        <v>1</v>
      </c>
      <c r="V570" t="s">
        <v>1364</v>
      </c>
      <c r="X570" t="s">
        <v>784</v>
      </c>
      <c r="Y570" t="s">
        <v>3725</v>
      </c>
      <c r="Z570" t="s">
        <v>1678</v>
      </c>
      <c r="AA570" t="s">
        <v>3020</v>
      </c>
      <c r="AB570" t="s">
        <v>3726</v>
      </c>
      <c r="AC570" t="s">
        <v>3727</v>
      </c>
      <c r="AF570" t="s">
        <v>3728</v>
      </c>
      <c r="AG570" t="s">
        <v>1385</v>
      </c>
      <c r="AH570" t="s">
        <v>3725</v>
      </c>
      <c r="AK570">
        <v>0</v>
      </c>
      <c r="AO570" t="s">
        <v>1372</v>
      </c>
      <c r="AP570" t="s">
        <v>1373</v>
      </c>
    </row>
    <row r="571" hidden="1" spans="1:42">
      <c r="A571" t="s">
        <v>3729</v>
      </c>
      <c r="B571" t="s">
        <v>1356</v>
      </c>
      <c r="C571" t="s">
        <v>1375</v>
      </c>
      <c r="D571" t="s">
        <v>1780</v>
      </c>
      <c r="F571" t="s">
        <v>1377</v>
      </c>
      <c r="G571" s="45">
        <v>44813.9253009259</v>
      </c>
      <c r="M571">
        <v>249</v>
      </c>
      <c r="N571">
        <v>0</v>
      </c>
      <c r="O571">
        <v>-1</v>
      </c>
      <c r="P571">
        <v>0</v>
      </c>
      <c r="Q571">
        <v>248</v>
      </c>
      <c r="R571">
        <v>0</v>
      </c>
      <c r="S571" t="s">
        <v>1414</v>
      </c>
      <c r="T571" t="s">
        <v>3730</v>
      </c>
      <c r="U571">
        <v>1</v>
      </c>
      <c r="V571" t="s">
        <v>1364</v>
      </c>
      <c r="X571" t="s">
        <v>692</v>
      </c>
      <c r="Y571" t="s">
        <v>2870</v>
      </c>
      <c r="Z571" t="s">
        <v>1447</v>
      </c>
      <c r="AA571" t="s">
        <v>2871</v>
      </c>
      <c r="AB571" t="s">
        <v>2872</v>
      </c>
      <c r="AC571" t="s">
        <v>2873</v>
      </c>
      <c r="AF571" t="s">
        <v>2874</v>
      </c>
      <c r="AG571" t="s">
        <v>1385</v>
      </c>
      <c r="AH571" t="s">
        <v>2870</v>
      </c>
      <c r="AK571">
        <v>0</v>
      </c>
      <c r="AO571" t="s">
        <v>1372</v>
      </c>
      <c r="AP571" t="s">
        <v>1373</v>
      </c>
    </row>
    <row r="572" hidden="1" spans="1:42">
      <c r="A572" t="s">
        <v>3731</v>
      </c>
      <c r="B572" t="s">
        <v>1356</v>
      </c>
      <c r="C572" t="s">
        <v>1375</v>
      </c>
      <c r="D572" t="s">
        <v>2833</v>
      </c>
      <c r="F572" t="s">
        <v>3560</v>
      </c>
      <c r="G572" s="45">
        <v>44813.9221296296</v>
      </c>
      <c r="H572" s="45">
        <v>44813.9222106481</v>
      </c>
      <c r="J572" t="s">
        <v>407</v>
      </c>
      <c r="M572">
        <v>19.9</v>
      </c>
      <c r="N572">
        <v>0</v>
      </c>
      <c r="O572">
        <v>0</v>
      </c>
      <c r="P572">
        <v>0</v>
      </c>
      <c r="Q572">
        <v>19.9</v>
      </c>
      <c r="R572">
        <v>19.9</v>
      </c>
      <c r="T572" t="s">
        <v>1845</v>
      </c>
      <c r="U572">
        <v>1</v>
      </c>
      <c r="V572" t="s">
        <v>1364</v>
      </c>
      <c r="X572" t="s">
        <v>811</v>
      </c>
      <c r="Y572" t="s">
        <v>3732</v>
      </c>
      <c r="Z572" t="s">
        <v>1794</v>
      </c>
      <c r="AA572" t="s">
        <v>3733</v>
      </c>
      <c r="AB572" t="s">
        <v>3734</v>
      </c>
      <c r="AC572" t="s">
        <v>3735</v>
      </c>
      <c r="AF572" t="s">
        <v>3736</v>
      </c>
      <c r="AG572" t="s">
        <v>1372</v>
      </c>
      <c r="AK572">
        <v>0</v>
      </c>
      <c r="AO572" t="s">
        <v>1372</v>
      </c>
      <c r="AP572" t="s">
        <v>1373</v>
      </c>
    </row>
    <row r="573" hidden="1" spans="1:42">
      <c r="A573" t="s">
        <v>3737</v>
      </c>
      <c r="B573" t="s">
        <v>1356</v>
      </c>
      <c r="C573" t="s">
        <v>1375</v>
      </c>
      <c r="D573" t="s">
        <v>1780</v>
      </c>
      <c r="F573" t="s">
        <v>1377</v>
      </c>
      <c r="G573" s="45">
        <v>44813.9134606481</v>
      </c>
      <c r="H573" s="45">
        <v>44813.9135648148</v>
      </c>
      <c r="J573" t="s">
        <v>407</v>
      </c>
      <c r="M573">
        <v>39.9</v>
      </c>
      <c r="N573">
        <v>0</v>
      </c>
      <c r="O573">
        <v>-3</v>
      </c>
      <c r="P573">
        <v>0</v>
      </c>
      <c r="Q573">
        <v>36.9</v>
      </c>
      <c r="R573">
        <v>36.9</v>
      </c>
      <c r="S573" t="s">
        <v>1397</v>
      </c>
      <c r="T573" t="s">
        <v>1897</v>
      </c>
      <c r="U573">
        <v>1</v>
      </c>
      <c r="V573" t="s">
        <v>1364</v>
      </c>
      <c r="X573" t="s">
        <v>769</v>
      </c>
      <c r="Y573" t="s">
        <v>3738</v>
      </c>
      <c r="Z573" t="s">
        <v>1367</v>
      </c>
      <c r="AA573" t="s">
        <v>1943</v>
      </c>
      <c r="AB573" t="s">
        <v>2670</v>
      </c>
      <c r="AC573" t="s">
        <v>3739</v>
      </c>
      <c r="AF573" t="s">
        <v>3740</v>
      </c>
      <c r="AG573" t="s">
        <v>1372</v>
      </c>
      <c r="AJ573" t="s">
        <v>2945</v>
      </c>
      <c r="AK573">
        <v>36.9</v>
      </c>
      <c r="AO573" t="s">
        <v>1372</v>
      </c>
      <c r="AP573" t="s">
        <v>1373</v>
      </c>
    </row>
    <row r="574" hidden="1" spans="1:42">
      <c r="A574" t="s">
        <v>3741</v>
      </c>
      <c r="B574" t="s">
        <v>1356</v>
      </c>
      <c r="C574" t="s">
        <v>1375</v>
      </c>
      <c r="D574" t="s">
        <v>1358</v>
      </c>
      <c r="F574" t="s">
        <v>1377</v>
      </c>
      <c r="G574" s="45">
        <v>44813.9103703704</v>
      </c>
      <c r="H574" s="45">
        <v>44813.9104861111</v>
      </c>
      <c r="J574" t="s">
        <v>407</v>
      </c>
      <c r="M574">
        <v>19.9</v>
      </c>
      <c r="N574">
        <v>0</v>
      </c>
      <c r="O574">
        <v>0</v>
      </c>
      <c r="P574">
        <v>0</v>
      </c>
      <c r="Q574">
        <v>19.9</v>
      </c>
      <c r="R574">
        <v>19.9</v>
      </c>
      <c r="T574" t="s">
        <v>1531</v>
      </c>
      <c r="U574">
        <v>1</v>
      </c>
      <c r="V574" t="s">
        <v>1364</v>
      </c>
      <c r="X574" t="s">
        <v>813</v>
      </c>
      <c r="Y574" t="s">
        <v>3742</v>
      </c>
      <c r="Z574" t="s">
        <v>1678</v>
      </c>
      <c r="AA574" t="s">
        <v>1979</v>
      </c>
      <c r="AB574" t="s">
        <v>2314</v>
      </c>
      <c r="AC574" t="s">
        <v>3743</v>
      </c>
      <c r="AF574" t="s">
        <v>3744</v>
      </c>
      <c r="AG574" t="s">
        <v>1385</v>
      </c>
      <c r="AH574" t="s">
        <v>3742</v>
      </c>
      <c r="AK574">
        <v>0</v>
      </c>
      <c r="AO574" t="s">
        <v>1372</v>
      </c>
      <c r="AP574" t="s">
        <v>1373</v>
      </c>
    </row>
    <row r="575" hidden="1" spans="1:42">
      <c r="A575" t="s">
        <v>3745</v>
      </c>
      <c r="B575" t="s">
        <v>1356</v>
      </c>
      <c r="C575" t="s">
        <v>1375</v>
      </c>
      <c r="D575" t="s">
        <v>1358</v>
      </c>
      <c r="F575" t="s">
        <v>1377</v>
      </c>
      <c r="G575" s="45">
        <v>44813.9090162037</v>
      </c>
      <c r="H575" s="45">
        <v>44813.9091087963</v>
      </c>
      <c r="J575" t="s">
        <v>407</v>
      </c>
      <c r="M575">
        <v>89</v>
      </c>
      <c r="N575">
        <v>0</v>
      </c>
      <c r="O575">
        <v>-1</v>
      </c>
      <c r="P575">
        <v>0</v>
      </c>
      <c r="Q575">
        <v>88</v>
      </c>
      <c r="R575">
        <v>88</v>
      </c>
      <c r="S575" t="s">
        <v>1414</v>
      </c>
      <c r="T575" t="s">
        <v>3746</v>
      </c>
      <c r="U575">
        <v>1</v>
      </c>
      <c r="V575" t="s">
        <v>1364</v>
      </c>
      <c r="X575" t="s">
        <v>798</v>
      </c>
      <c r="Y575" t="s">
        <v>3309</v>
      </c>
      <c r="Z575" t="s">
        <v>1824</v>
      </c>
      <c r="AA575" t="s">
        <v>1825</v>
      </c>
      <c r="AB575" t="s">
        <v>3310</v>
      </c>
      <c r="AC575" t="s">
        <v>3311</v>
      </c>
      <c r="AF575" t="s">
        <v>3312</v>
      </c>
      <c r="AG575" t="s">
        <v>1372</v>
      </c>
      <c r="AH575" t="s">
        <v>3309</v>
      </c>
      <c r="AK575">
        <v>0</v>
      </c>
      <c r="AO575" t="s">
        <v>1372</v>
      </c>
      <c r="AP575" t="s">
        <v>1373</v>
      </c>
    </row>
    <row r="576" hidden="1" spans="1:42">
      <c r="A576" t="s">
        <v>3747</v>
      </c>
      <c r="B576" t="s">
        <v>1356</v>
      </c>
      <c r="C576" t="s">
        <v>1375</v>
      </c>
      <c r="D576" t="s">
        <v>1358</v>
      </c>
      <c r="F576" t="s">
        <v>3560</v>
      </c>
      <c r="G576" s="45">
        <v>44813.9077199074</v>
      </c>
      <c r="H576" s="45">
        <v>44813.9079398148</v>
      </c>
      <c r="J576" t="s">
        <v>407</v>
      </c>
      <c r="M576">
        <v>249</v>
      </c>
      <c r="N576">
        <v>0</v>
      </c>
      <c r="O576">
        <v>-4</v>
      </c>
      <c r="P576">
        <v>0</v>
      </c>
      <c r="Q576">
        <v>245</v>
      </c>
      <c r="R576">
        <v>245</v>
      </c>
      <c r="S576" t="s">
        <v>1388</v>
      </c>
      <c r="T576" t="s">
        <v>3259</v>
      </c>
      <c r="U576">
        <v>1</v>
      </c>
      <c r="V576" t="s">
        <v>1364</v>
      </c>
      <c r="X576" t="s">
        <v>469</v>
      </c>
      <c r="Y576" t="s">
        <v>2428</v>
      </c>
      <c r="Z576" t="s">
        <v>1367</v>
      </c>
      <c r="AA576" t="s">
        <v>1551</v>
      </c>
      <c r="AB576" t="s">
        <v>2429</v>
      </c>
      <c r="AC576" t="s">
        <v>2430</v>
      </c>
      <c r="AF576" t="s">
        <v>2431</v>
      </c>
      <c r="AG576" t="s">
        <v>1385</v>
      </c>
      <c r="AH576" t="s">
        <v>2428</v>
      </c>
      <c r="AK576">
        <v>0</v>
      </c>
      <c r="AO576" t="s">
        <v>1372</v>
      </c>
      <c r="AP576" t="s">
        <v>1373</v>
      </c>
    </row>
    <row r="577" hidden="1" spans="1:42">
      <c r="A577" t="s">
        <v>3748</v>
      </c>
      <c r="B577" t="s">
        <v>1356</v>
      </c>
      <c r="C577" t="s">
        <v>1375</v>
      </c>
      <c r="D577" t="s">
        <v>1358</v>
      </c>
      <c r="F577" t="s">
        <v>1377</v>
      </c>
      <c r="G577" s="45">
        <v>44813.9075925926</v>
      </c>
      <c r="H577" s="45">
        <v>44813.9077083333</v>
      </c>
      <c r="J577" t="s">
        <v>407</v>
      </c>
      <c r="M577">
        <v>249</v>
      </c>
      <c r="N577">
        <v>0</v>
      </c>
      <c r="O577">
        <v>0</v>
      </c>
      <c r="P577">
        <v>0</v>
      </c>
      <c r="Q577">
        <v>249</v>
      </c>
      <c r="R577">
        <v>249</v>
      </c>
      <c r="T577" t="s">
        <v>3697</v>
      </c>
      <c r="U577">
        <v>1</v>
      </c>
      <c r="V577" t="s">
        <v>1364</v>
      </c>
      <c r="X577" t="s">
        <v>769</v>
      </c>
      <c r="Y577" t="s">
        <v>3738</v>
      </c>
      <c r="Z577" t="s">
        <v>1367</v>
      </c>
      <c r="AA577" t="s">
        <v>1943</v>
      </c>
      <c r="AB577" t="s">
        <v>2670</v>
      </c>
      <c r="AC577" t="s">
        <v>3739</v>
      </c>
      <c r="AF577" t="s">
        <v>3740</v>
      </c>
      <c r="AG577" t="s">
        <v>1372</v>
      </c>
      <c r="AK577">
        <v>0</v>
      </c>
      <c r="AO577" t="s">
        <v>1372</v>
      </c>
      <c r="AP577" t="s">
        <v>1373</v>
      </c>
    </row>
    <row r="578" hidden="1" spans="1:42">
      <c r="A578" t="s">
        <v>3749</v>
      </c>
      <c r="B578" t="s">
        <v>1356</v>
      </c>
      <c r="C578" t="s">
        <v>1375</v>
      </c>
      <c r="D578" t="s">
        <v>1358</v>
      </c>
      <c r="F578" t="s">
        <v>1377</v>
      </c>
      <c r="G578" s="45">
        <v>44813.8997453704</v>
      </c>
      <c r="H578" s="45">
        <v>44813.9001041667</v>
      </c>
      <c r="J578" t="s">
        <v>407</v>
      </c>
      <c r="M578">
        <v>39.9</v>
      </c>
      <c r="N578">
        <v>0</v>
      </c>
      <c r="O578">
        <v>0</v>
      </c>
      <c r="P578">
        <v>0</v>
      </c>
      <c r="Q578">
        <v>39.9</v>
      </c>
      <c r="R578">
        <v>39.9</v>
      </c>
      <c r="T578" t="s">
        <v>1811</v>
      </c>
      <c r="U578">
        <v>1</v>
      </c>
      <c r="V578" t="s">
        <v>1364</v>
      </c>
      <c r="X578" t="s">
        <v>802</v>
      </c>
      <c r="Y578" t="s">
        <v>3750</v>
      </c>
      <c r="Z578" t="s">
        <v>1710</v>
      </c>
      <c r="AA578" t="s">
        <v>3751</v>
      </c>
      <c r="AB578" t="s">
        <v>3752</v>
      </c>
      <c r="AC578" t="s">
        <v>3753</v>
      </c>
      <c r="AF578" t="s">
        <v>3754</v>
      </c>
      <c r="AG578" t="s">
        <v>1372</v>
      </c>
      <c r="AH578" t="s">
        <v>3750</v>
      </c>
      <c r="AK578">
        <v>0</v>
      </c>
      <c r="AO578" t="s">
        <v>1372</v>
      </c>
      <c r="AP578" t="s">
        <v>1373</v>
      </c>
    </row>
    <row r="579" hidden="1" spans="1:42">
      <c r="A579" t="s">
        <v>3755</v>
      </c>
      <c r="B579" t="s">
        <v>1356</v>
      </c>
      <c r="C579" t="s">
        <v>1375</v>
      </c>
      <c r="D579" t="s">
        <v>2833</v>
      </c>
      <c r="F579" t="s">
        <v>1377</v>
      </c>
      <c r="G579" s="45">
        <v>44813.8994907407</v>
      </c>
      <c r="H579" s="45">
        <v>44813.8995949074</v>
      </c>
      <c r="J579" t="s">
        <v>407</v>
      </c>
      <c r="M579">
        <v>39.9</v>
      </c>
      <c r="N579">
        <v>0</v>
      </c>
      <c r="O579">
        <v>0</v>
      </c>
      <c r="P579">
        <v>0</v>
      </c>
      <c r="Q579">
        <v>39.9</v>
      </c>
      <c r="R579">
        <v>39.9</v>
      </c>
      <c r="T579" t="s">
        <v>1721</v>
      </c>
      <c r="U579">
        <v>1</v>
      </c>
      <c r="V579" t="s">
        <v>1364</v>
      </c>
      <c r="X579" t="s">
        <v>804</v>
      </c>
      <c r="Y579" t="s">
        <v>3756</v>
      </c>
      <c r="Z579" t="s">
        <v>1626</v>
      </c>
      <c r="AA579" t="s">
        <v>2741</v>
      </c>
      <c r="AB579" t="s">
        <v>2742</v>
      </c>
      <c r="AC579" t="s">
        <v>3757</v>
      </c>
      <c r="AF579" t="s">
        <v>3758</v>
      </c>
      <c r="AG579" t="s">
        <v>1372</v>
      </c>
      <c r="AK579">
        <v>0</v>
      </c>
      <c r="AO579" t="s">
        <v>1372</v>
      </c>
      <c r="AP579" t="s">
        <v>1373</v>
      </c>
    </row>
    <row r="580" hidden="1" spans="1:42">
      <c r="A580" t="s">
        <v>3759</v>
      </c>
      <c r="B580" t="s">
        <v>1356</v>
      </c>
      <c r="C580" t="s">
        <v>1375</v>
      </c>
      <c r="D580" t="s">
        <v>1358</v>
      </c>
      <c r="F580" t="s">
        <v>1377</v>
      </c>
      <c r="G580" s="45">
        <v>44813.8977893519</v>
      </c>
      <c r="H580" s="45">
        <v>44813.8979282407</v>
      </c>
      <c r="J580" t="s">
        <v>407</v>
      </c>
      <c r="M580">
        <v>39.9</v>
      </c>
      <c r="N580">
        <v>0</v>
      </c>
      <c r="O580">
        <v>0</v>
      </c>
      <c r="P580">
        <v>0</v>
      </c>
      <c r="Q580">
        <v>39.9</v>
      </c>
      <c r="R580">
        <v>39.9</v>
      </c>
      <c r="T580" t="s">
        <v>1676</v>
      </c>
      <c r="U580">
        <v>1</v>
      </c>
      <c r="V580" t="s">
        <v>1364</v>
      </c>
      <c r="X580" t="s">
        <v>382</v>
      </c>
      <c r="Y580" t="s">
        <v>3760</v>
      </c>
      <c r="Z580" t="s">
        <v>1380</v>
      </c>
      <c r="AA580" t="s">
        <v>1506</v>
      </c>
      <c r="AB580" t="s">
        <v>3761</v>
      </c>
      <c r="AC580" t="s">
        <v>3762</v>
      </c>
      <c r="AF580" t="s">
        <v>3763</v>
      </c>
      <c r="AG580" t="s">
        <v>1385</v>
      </c>
      <c r="AH580" t="s">
        <v>3760</v>
      </c>
      <c r="AK580">
        <v>0</v>
      </c>
      <c r="AO580" t="s">
        <v>1372</v>
      </c>
      <c r="AP580" t="s">
        <v>1373</v>
      </c>
    </row>
    <row r="581" hidden="1" spans="1:42">
      <c r="A581" t="s">
        <v>3764</v>
      </c>
      <c r="B581" t="s">
        <v>1356</v>
      </c>
      <c r="C581" t="s">
        <v>1375</v>
      </c>
      <c r="D581" t="s">
        <v>1358</v>
      </c>
      <c r="F581" t="s">
        <v>1377</v>
      </c>
      <c r="G581" s="45">
        <v>44813.8972106481</v>
      </c>
      <c r="H581" s="45">
        <v>44813.8973032407</v>
      </c>
      <c r="J581" t="s">
        <v>407</v>
      </c>
      <c r="M581">
        <v>39.9</v>
      </c>
      <c r="N581">
        <v>0</v>
      </c>
      <c r="O581">
        <v>-3</v>
      </c>
      <c r="P581">
        <v>0</v>
      </c>
      <c r="Q581">
        <v>36.9</v>
      </c>
      <c r="R581">
        <v>36.9</v>
      </c>
      <c r="S581" t="s">
        <v>1397</v>
      </c>
      <c r="T581" t="s">
        <v>3765</v>
      </c>
      <c r="U581">
        <v>1</v>
      </c>
      <c r="V581" t="s">
        <v>1364</v>
      </c>
      <c r="X581" t="s">
        <v>476</v>
      </c>
      <c r="Y581" t="s">
        <v>2955</v>
      </c>
      <c r="Z581" t="s">
        <v>1367</v>
      </c>
      <c r="AA581" t="s">
        <v>1943</v>
      </c>
      <c r="AB581" t="s">
        <v>1944</v>
      </c>
      <c r="AC581" t="s">
        <v>2956</v>
      </c>
      <c r="AF581" t="s">
        <v>476</v>
      </c>
      <c r="AG581" t="s">
        <v>1385</v>
      </c>
      <c r="AH581" t="s">
        <v>2955</v>
      </c>
      <c r="AK581">
        <v>0</v>
      </c>
      <c r="AO581" t="s">
        <v>1372</v>
      </c>
      <c r="AP581" t="s">
        <v>1373</v>
      </c>
    </row>
    <row r="582" hidden="1" spans="1:42">
      <c r="A582" t="s">
        <v>3766</v>
      </c>
      <c r="B582" t="s">
        <v>1356</v>
      </c>
      <c r="C582" t="s">
        <v>1375</v>
      </c>
      <c r="D582" t="s">
        <v>2833</v>
      </c>
      <c r="F582" t="s">
        <v>1377</v>
      </c>
      <c r="G582" s="45">
        <v>44813.8930555556</v>
      </c>
      <c r="H582" s="45">
        <v>44813.8934722222</v>
      </c>
      <c r="J582" t="s">
        <v>407</v>
      </c>
      <c r="M582">
        <v>19.9</v>
      </c>
      <c r="N582">
        <v>0</v>
      </c>
      <c r="O582">
        <v>0</v>
      </c>
      <c r="P582">
        <v>0</v>
      </c>
      <c r="Q582">
        <v>19.9</v>
      </c>
      <c r="R582">
        <v>19.9</v>
      </c>
      <c r="T582" t="s">
        <v>1484</v>
      </c>
      <c r="U582">
        <v>1</v>
      </c>
      <c r="V582" t="s">
        <v>1364</v>
      </c>
      <c r="X582" t="s">
        <v>808</v>
      </c>
      <c r="Y582" t="s">
        <v>3767</v>
      </c>
      <c r="Z582" t="s">
        <v>1678</v>
      </c>
      <c r="AA582" t="s">
        <v>3768</v>
      </c>
      <c r="AB582" t="s">
        <v>3769</v>
      </c>
      <c r="AC582" t="s">
        <v>3770</v>
      </c>
      <c r="AF582" t="s">
        <v>3771</v>
      </c>
      <c r="AG582" t="s">
        <v>1372</v>
      </c>
      <c r="AH582" t="s">
        <v>3767</v>
      </c>
      <c r="AK582">
        <v>0</v>
      </c>
      <c r="AO582" t="s">
        <v>1372</v>
      </c>
      <c r="AP582" t="s">
        <v>1373</v>
      </c>
    </row>
    <row r="583" hidden="1" spans="1:42">
      <c r="A583" t="s">
        <v>3772</v>
      </c>
      <c r="B583" t="s">
        <v>1356</v>
      </c>
      <c r="C583" t="s">
        <v>1375</v>
      </c>
      <c r="D583" t="s">
        <v>1358</v>
      </c>
      <c r="F583" t="s">
        <v>1377</v>
      </c>
      <c r="G583" s="45">
        <v>44813.8890277778</v>
      </c>
      <c r="H583" s="45">
        <v>44813.8892361111</v>
      </c>
      <c r="J583" t="s">
        <v>407</v>
      </c>
      <c r="M583">
        <v>256.41</v>
      </c>
      <c r="N583">
        <v>0</v>
      </c>
      <c r="O583">
        <v>-2</v>
      </c>
      <c r="P583">
        <v>0</v>
      </c>
      <c r="Q583">
        <v>254.41</v>
      </c>
      <c r="R583">
        <v>254.41</v>
      </c>
      <c r="S583" t="s">
        <v>1400</v>
      </c>
      <c r="T583" t="s">
        <v>3773</v>
      </c>
      <c r="U583">
        <v>1</v>
      </c>
      <c r="V583" t="s">
        <v>1364</v>
      </c>
      <c r="X583" t="s">
        <v>675</v>
      </c>
      <c r="Y583" t="s">
        <v>3316</v>
      </c>
      <c r="Z583" t="s">
        <v>1466</v>
      </c>
      <c r="AA583" t="s">
        <v>1835</v>
      </c>
      <c r="AB583" t="s">
        <v>3317</v>
      </c>
      <c r="AC583" t="s">
        <v>3318</v>
      </c>
      <c r="AF583" t="s">
        <v>675</v>
      </c>
      <c r="AG583" t="s">
        <v>1385</v>
      </c>
      <c r="AH583" t="s">
        <v>3316</v>
      </c>
      <c r="AK583">
        <v>0</v>
      </c>
      <c r="AO583" t="s">
        <v>1372</v>
      </c>
      <c r="AP583" t="s">
        <v>1373</v>
      </c>
    </row>
    <row r="584" hidden="1" spans="1:42">
      <c r="A584" t="s">
        <v>3774</v>
      </c>
      <c r="B584" t="s">
        <v>1356</v>
      </c>
      <c r="C584" t="s">
        <v>1375</v>
      </c>
      <c r="D584" t="s">
        <v>2833</v>
      </c>
      <c r="F584" t="s">
        <v>3775</v>
      </c>
      <c r="G584" s="45">
        <v>44813.8871643519</v>
      </c>
      <c r="H584" s="45">
        <v>44813.887337963</v>
      </c>
      <c r="J584" t="s">
        <v>1360</v>
      </c>
      <c r="K584" t="s">
        <v>3776</v>
      </c>
      <c r="L584" t="s">
        <v>3777</v>
      </c>
      <c r="M584">
        <v>59</v>
      </c>
      <c r="N584">
        <v>0</v>
      </c>
      <c r="O584">
        <v>0</v>
      </c>
      <c r="P584">
        <v>0</v>
      </c>
      <c r="Q584">
        <v>59</v>
      </c>
      <c r="R584">
        <v>59</v>
      </c>
      <c r="T584" t="s">
        <v>3778</v>
      </c>
      <c r="U584">
        <v>1</v>
      </c>
      <c r="V584" t="s">
        <v>1364</v>
      </c>
      <c r="X584" t="s">
        <v>3779</v>
      </c>
      <c r="Y584" t="s">
        <v>3780</v>
      </c>
      <c r="Z584" t="s">
        <v>2028</v>
      </c>
      <c r="AA584" t="s">
        <v>2162</v>
      </c>
      <c r="AB584" t="s">
        <v>3781</v>
      </c>
      <c r="AC584" t="s">
        <v>3782</v>
      </c>
      <c r="AF584" t="s">
        <v>3783</v>
      </c>
      <c r="AG584" t="s">
        <v>1372</v>
      </c>
      <c r="AH584" t="s">
        <v>3780</v>
      </c>
      <c r="AK584">
        <v>0</v>
      </c>
      <c r="AL584" t="s">
        <v>3540</v>
      </c>
      <c r="AO584" t="s">
        <v>1372</v>
      </c>
      <c r="AP584" t="s">
        <v>1373</v>
      </c>
    </row>
    <row r="585" hidden="1" spans="1:42">
      <c r="A585" t="s">
        <v>3784</v>
      </c>
      <c r="B585" t="s">
        <v>1356</v>
      </c>
      <c r="C585" t="s">
        <v>1375</v>
      </c>
      <c r="D585" t="s">
        <v>1780</v>
      </c>
      <c r="F585" t="s">
        <v>3775</v>
      </c>
      <c r="G585" s="45">
        <v>44813.8860763889</v>
      </c>
      <c r="M585">
        <v>59</v>
      </c>
      <c r="N585">
        <v>0</v>
      </c>
      <c r="O585">
        <v>0</v>
      </c>
      <c r="P585">
        <v>0</v>
      </c>
      <c r="Q585">
        <v>59</v>
      </c>
      <c r="R585">
        <v>0</v>
      </c>
      <c r="T585" t="s">
        <v>3778</v>
      </c>
      <c r="U585">
        <v>1</v>
      </c>
      <c r="V585" t="s">
        <v>1364</v>
      </c>
      <c r="X585" t="s">
        <v>3779</v>
      </c>
      <c r="Y585" t="s">
        <v>3780</v>
      </c>
      <c r="Z585" t="s">
        <v>2028</v>
      </c>
      <c r="AA585" t="s">
        <v>2162</v>
      </c>
      <c r="AB585" t="s">
        <v>3781</v>
      </c>
      <c r="AC585" t="s">
        <v>3782</v>
      </c>
      <c r="AF585" t="s">
        <v>3783</v>
      </c>
      <c r="AG585" t="s">
        <v>1372</v>
      </c>
      <c r="AH585" t="s">
        <v>3780</v>
      </c>
      <c r="AK585">
        <v>0</v>
      </c>
      <c r="AO585" t="s">
        <v>1372</v>
      </c>
      <c r="AP585" t="s">
        <v>1373</v>
      </c>
    </row>
    <row r="586" hidden="1" spans="1:42">
      <c r="A586" t="s">
        <v>3785</v>
      </c>
      <c r="B586" t="s">
        <v>1356</v>
      </c>
      <c r="C586" t="s">
        <v>1375</v>
      </c>
      <c r="D586" t="s">
        <v>1358</v>
      </c>
      <c r="F586" t="s">
        <v>1377</v>
      </c>
      <c r="G586" s="45">
        <v>44813.8720833333</v>
      </c>
      <c r="H586" s="45">
        <v>44813.8723148148</v>
      </c>
      <c r="J586" t="s">
        <v>407</v>
      </c>
      <c r="M586">
        <v>246.51</v>
      </c>
      <c r="N586">
        <v>0</v>
      </c>
      <c r="O586">
        <v>-2</v>
      </c>
      <c r="P586">
        <v>0</v>
      </c>
      <c r="Q586">
        <v>244.51</v>
      </c>
      <c r="R586">
        <v>244.51</v>
      </c>
      <c r="S586" t="s">
        <v>1400</v>
      </c>
      <c r="T586" t="s">
        <v>3786</v>
      </c>
      <c r="U586">
        <v>1</v>
      </c>
      <c r="V586" t="s">
        <v>1364</v>
      </c>
      <c r="X586" t="s">
        <v>673</v>
      </c>
      <c r="Y586" t="s">
        <v>3787</v>
      </c>
      <c r="Z586" t="s">
        <v>1466</v>
      </c>
      <c r="AA586" t="s">
        <v>3788</v>
      </c>
      <c r="AB586" t="s">
        <v>3789</v>
      </c>
      <c r="AC586" t="s">
        <v>3790</v>
      </c>
      <c r="AF586" t="s">
        <v>3791</v>
      </c>
      <c r="AG586" t="s">
        <v>1385</v>
      </c>
      <c r="AH586" t="s">
        <v>3787</v>
      </c>
      <c r="AK586">
        <v>0</v>
      </c>
      <c r="AO586" t="s">
        <v>1372</v>
      </c>
      <c r="AP586" t="s">
        <v>1373</v>
      </c>
    </row>
    <row r="587" hidden="1" spans="1:42">
      <c r="A587" t="s">
        <v>3792</v>
      </c>
      <c r="B587" t="s">
        <v>1356</v>
      </c>
      <c r="C587" t="s">
        <v>1375</v>
      </c>
      <c r="D587" t="s">
        <v>1780</v>
      </c>
      <c r="F587" t="s">
        <v>1377</v>
      </c>
      <c r="G587" s="45">
        <v>44813.8620833333</v>
      </c>
      <c r="M587">
        <v>359</v>
      </c>
      <c r="N587">
        <v>0</v>
      </c>
      <c r="O587">
        <v>-4</v>
      </c>
      <c r="P587">
        <v>0</v>
      </c>
      <c r="Q587">
        <v>355</v>
      </c>
      <c r="R587">
        <v>0</v>
      </c>
      <c r="S587" t="s">
        <v>1388</v>
      </c>
      <c r="T587" t="s">
        <v>3793</v>
      </c>
      <c r="U587">
        <v>1</v>
      </c>
      <c r="V587" t="s">
        <v>1364</v>
      </c>
      <c r="X587" t="s">
        <v>727</v>
      </c>
      <c r="Y587" t="s">
        <v>3262</v>
      </c>
      <c r="Z587" t="s">
        <v>1367</v>
      </c>
      <c r="AA587" t="s">
        <v>3150</v>
      </c>
      <c r="AB587" t="s">
        <v>3263</v>
      </c>
      <c r="AC587" t="s">
        <v>3264</v>
      </c>
      <c r="AF587" t="s">
        <v>3266</v>
      </c>
      <c r="AG587" t="s">
        <v>1372</v>
      </c>
      <c r="AK587">
        <v>0</v>
      </c>
      <c r="AO587" t="s">
        <v>1372</v>
      </c>
      <c r="AP587" t="s">
        <v>1373</v>
      </c>
    </row>
    <row r="588" hidden="1" spans="1:42">
      <c r="A588" t="s">
        <v>3794</v>
      </c>
      <c r="B588" t="s">
        <v>1356</v>
      </c>
      <c r="C588" t="s">
        <v>1375</v>
      </c>
      <c r="D588" t="s">
        <v>1780</v>
      </c>
      <c r="F588" t="s">
        <v>1377</v>
      </c>
      <c r="G588" s="45">
        <v>44813.8583796296</v>
      </c>
      <c r="H588" s="45">
        <v>44813.8585416667</v>
      </c>
      <c r="J588" t="s">
        <v>407</v>
      </c>
      <c r="M588">
        <v>249</v>
      </c>
      <c r="N588">
        <v>0</v>
      </c>
      <c r="O588">
        <v>0</v>
      </c>
      <c r="P588">
        <v>0</v>
      </c>
      <c r="Q588">
        <v>249</v>
      </c>
      <c r="R588">
        <v>249</v>
      </c>
      <c r="T588" t="s">
        <v>3795</v>
      </c>
      <c r="U588">
        <v>1</v>
      </c>
      <c r="V588" t="s">
        <v>1364</v>
      </c>
      <c r="X588" t="s">
        <v>3796</v>
      </c>
      <c r="Y588" t="s">
        <v>3797</v>
      </c>
      <c r="Z588" t="s">
        <v>2336</v>
      </c>
      <c r="AA588" t="s">
        <v>2336</v>
      </c>
      <c r="AB588" t="s">
        <v>2337</v>
      </c>
      <c r="AC588" t="s">
        <v>3798</v>
      </c>
      <c r="AF588" t="s">
        <v>3796</v>
      </c>
      <c r="AG588" t="s">
        <v>1372</v>
      </c>
      <c r="AJ588" t="s">
        <v>2945</v>
      </c>
      <c r="AK588">
        <v>249</v>
      </c>
      <c r="AO588" t="s">
        <v>1372</v>
      </c>
      <c r="AP588" t="s">
        <v>1373</v>
      </c>
    </row>
    <row r="589" hidden="1" spans="1:42">
      <c r="A589" t="s">
        <v>3799</v>
      </c>
      <c r="B589" t="s">
        <v>1356</v>
      </c>
      <c r="C589" t="s">
        <v>1375</v>
      </c>
      <c r="D589" t="s">
        <v>1358</v>
      </c>
      <c r="F589" t="s">
        <v>1377</v>
      </c>
      <c r="G589" s="45">
        <v>44813.8536805556</v>
      </c>
      <c r="H589" s="45">
        <v>44813.8538773148</v>
      </c>
      <c r="J589" t="s">
        <v>407</v>
      </c>
      <c r="M589">
        <v>219</v>
      </c>
      <c r="N589">
        <v>0</v>
      </c>
      <c r="O589">
        <v>-3</v>
      </c>
      <c r="P589">
        <v>0</v>
      </c>
      <c r="Q589">
        <v>216</v>
      </c>
      <c r="R589">
        <v>216</v>
      </c>
      <c r="S589" t="s">
        <v>1397</v>
      </c>
      <c r="T589" t="s">
        <v>1558</v>
      </c>
      <c r="U589">
        <v>1</v>
      </c>
      <c r="V589" t="s">
        <v>1364</v>
      </c>
      <c r="X589" t="s">
        <v>581</v>
      </c>
      <c r="Y589" t="s">
        <v>3800</v>
      </c>
      <c r="Z589" t="s">
        <v>1367</v>
      </c>
      <c r="AA589" t="s">
        <v>1615</v>
      </c>
      <c r="AB589" t="s">
        <v>3590</v>
      </c>
      <c r="AC589" t="s">
        <v>3801</v>
      </c>
      <c r="AF589" t="s">
        <v>3800</v>
      </c>
      <c r="AG589" t="s">
        <v>1385</v>
      </c>
      <c r="AH589" t="s">
        <v>3800</v>
      </c>
      <c r="AK589">
        <v>0</v>
      </c>
      <c r="AO589" t="s">
        <v>1372</v>
      </c>
      <c r="AP589" t="s">
        <v>1373</v>
      </c>
    </row>
    <row r="590" hidden="1" spans="1:42">
      <c r="A590" t="s">
        <v>3802</v>
      </c>
      <c r="B590" t="s">
        <v>1356</v>
      </c>
      <c r="C590" t="s">
        <v>1375</v>
      </c>
      <c r="D590" t="s">
        <v>1358</v>
      </c>
      <c r="F590" t="s">
        <v>1377</v>
      </c>
      <c r="G590" s="45">
        <v>44813.8467708333</v>
      </c>
      <c r="H590" s="45">
        <v>44813.847025463</v>
      </c>
      <c r="J590" t="s">
        <v>407</v>
      </c>
      <c r="M590">
        <v>19.9</v>
      </c>
      <c r="N590">
        <v>0</v>
      </c>
      <c r="O590">
        <v>0</v>
      </c>
      <c r="P590">
        <v>0</v>
      </c>
      <c r="Q590">
        <v>19.9</v>
      </c>
      <c r="R590">
        <v>19.9</v>
      </c>
      <c r="T590" t="s">
        <v>2442</v>
      </c>
      <c r="U590">
        <v>1</v>
      </c>
      <c r="V590" t="s">
        <v>1364</v>
      </c>
      <c r="X590" t="s">
        <v>815</v>
      </c>
      <c r="Y590" t="s">
        <v>3803</v>
      </c>
      <c r="Z590" t="s">
        <v>1710</v>
      </c>
      <c r="AA590" t="s">
        <v>3751</v>
      </c>
      <c r="AB590" t="s">
        <v>3752</v>
      </c>
      <c r="AC590" t="s">
        <v>3804</v>
      </c>
      <c r="AF590" t="s">
        <v>3805</v>
      </c>
      <c r="AG590" t="s">
        <v>1385</v>
      </c>
      <c r="AH590" t="s">
        <v>3803</v>
      </c>
      <c r="AK590">
        <v>0</v>
      </c>
      <c r="AO590" t="s">
        <v>1372</v>
      </c>
      <c r="AP590" t="s">
        <v>1373</v>
      </c>
    </row>
    <row r="591" hidden="1" spans="1:42">
      <c r="A591" t="s">
        <v>3806</v>
      </c>
      <c r="B591" t="s">
        <v>1356</v>
      </c>
      <c r="C591" t="s">
        <v>1375</v>
      </c>
      <c r="D591" t="s">
        <v>1358</v>
      </c>
      <c r="F591" t="s">
        <v>1377</v>
      </c>
      <c r="G591" s="45">
        <v>44813.8418055556</v>
      </c>
      <c r="H591" s="45">
        <v>44813.8419212963</v>
      </c>
      <c r="J591" t="s">
        <v>407</v>
      </c>
      <c r="M591">
        <v>246.51</v>
      </c>
      <c r="N591">
        <v>0</v>
      </c>
      <c r="O591">
        <v>-1</v>
      </c>
      <c r="P591">
        <v>0</v>
      </c>
      <c r="Q591">
        <v>245.51</v>
      </c>
      <c r="R591">
        <v>245.51</v>
      </c>
      <c r="S591" t="s">
        <v>1414</v>
      </c>
      <c r="T591" t="s">
        <v>3807</v>
      </c>
      <c r="U591">
        <v>1</v>
      </c>
      <c r="V591" t="s">
        <v>1364</v>
      </c>
      <c r="X591" t="s">
        <v>513</v>
      </c>
      <c r="Y591" t="s">
        <v>2256</v>
      </c>
      <c r="Z591" t="s">
        <v>1367</v>
      </c>
      <c r="AA591" t="s">
        <v>1486</v>
      </c>
      <c r="AB591" t="s">
        <v>1487</v>
      </c>
      <c r="AC591" t="s">
        <v>2257</v>
      </c>
      <c r="AF591" t="s">
        <v>2258</v>
      </c>
      <c r="AG591" t="s">
        <v>1385</v>
      </c>
      <c r="AH591" t="s">
        <v>2256</v>
      </c>
      <c r="AK591">
        <v>0</v>
      </c>
      <c r="AO591" t="s">
        <v>1372</v>
      </c>
      <c r="AP591" t="s">
        <v>1373</v>
      </c>
    </row>
    <row r="592" hidden="1" spans="1:42">
      <c r="A592" t="s">
        <v>3808</v>
      </c>
      <c r="B592" t="s">
        <v>1356</v>
      </c>
      <c r="C592" t="s">
        <v>1375</v>
      </c>
      <c r="D592" t="s">
        <v>1780</v>
      </c>
      <c r="F592" t="s">
        <v>1377</v>
      </c>
      <c r="G592" s="45">
        <v>44813.8396990741</v>
      </c>
      <c r="H592" s="45">
        <v>44813.9329976852</v>
      </c>
      <c r="J592" t="s">
        <v>407</v>
      </c>
      <c r="M592">
        <v>329</v>
      </c>
      <c r="N592">
        <v>0</v>
      </c>
      <c r="O592">
        <v>0</v>
      </c>
      <c r="P592">
        <v>0</v>
      </c>
      <c r="Q592">
        <v>329</v>
      </c>
      <c r="R592">
        <v>329</v>
      </c>
      <c r="T592" t="s">
        <v>3721</v>
      </c>
      <c r="U592">
        <v>1</v>
      </c>
      <c r="V592" t="s">
        <v>1364</v>
      </c>
      <c r="X592" t="s">
        <v>386</v>
      </c>
      <c r="Y592" t="s">
        <v>3711</v>
      </c>
      <c r="Z592" t="s">
        <v>1513</v>
      </c>
      <c r="AA592" t="s">
        <v>3428</v>
      </c>
      <c r="AB592" t="s">
        <v>3712</v>
      </c>
      <c r="AC592" t="s">
        <v>3713</v>
      </c>
      <c r="AF592" t="s">
        <v>3714</v>
      </c>
      <c r="AG592" t="s">
        <v>1385</v>
      </c>
      <c r="AH592" t="s">
        <v>3715</v>
      </c>
      <c r="AJ592" t="s">
        <v>2945</v>
      </c>
      <c r="AK592">
        <v>329</v>
      </c>
      <c r="AO592" t="s">
        <v>1372</v>
      </c>
      <c r="AP592" t="s">
        <v>1373</v>
      </c>
    </row>
    <row r="593" hidden="1" spans="1:42">
      <c r="A593" t="s">
        <v>3809</v>
      </c>
      <c r="B593" t="s">
        <v>1356</v>
      </c>
      <c r="C593" t="s">
        <v>1375</v>
      </c>
      <c r="D593" t="s">
        <v>1358</v>
      </c>
      <c r="F593" t="s">
        <v>1377</v>
      </c>
      <c r="G593" s="45">
        <v>44813.8384722222</v>
      </c>
      <c r="H593" s="45">
        <v>44813.8386458333</v>
      </c>
      <c r="J593" t="s">
        <v>407</v>
      </c>
      <c r="M593">
        <v>329</v>
      </c>
      <c r="N593">
        <v>0</v>
      </c>
      <c r="O593">
        <v>0</v>
      </c>
      <c r="P593">
        <v>0</v>
      </c>
      <c r="Q593">
        <v>329</v>
      </c>
      <c r="R593">
        <v>329</v>
      </c>
      <c r="T593" t="s">
        <v>3810</v>
      </c>
      <c r="U593">
        <v>1</v>
      </c>
      <c r="V593" t="s">
        <v>1364</v>
      </c>
      <c r="X593" t="s">
        <v>650</v>
      </c>
      <c r="Y593" t="s">
        <v>3170</v>
      </c>
      <c r="Z593" t="s">
        <v>1606</v>
      </c>
      <c r="AA593" t="s">
        <v>2204</v>
      </c>
      <c r="AB593" t="s">
        <v>3171</v>
      </c>
      <c r="AC593" t="s">
        <v>3172</v>
      </c>
      <c r="AF593" t="s">
        <v>3173</v>
      </c>
      <c r="AG593" t="s">
        <v>1372</v>
      </c>
      <c r="AK593">
        <v>0</v>
      </c>
      <c r="AO593" t="s">
        <v>1372</v>
      </c>
      <c r="AP593" t="s">
        <v>1373</v>
      </c>
    </row>
    <row r="594" hidden="1" spans="1:42">
      <c r="A594" t="s">
        <v>3811</v>
      </c>
      <c r="B594" t="s">
        <v>1356</v>
      </c>
      <c r="C594" t="s">
        <v>1375</v>
      </c>
      <c r="D594" t="s">
        <v>1780</v>
      </c>
      <c r="F594" t="s">
        <v>1377</v>
      </c>
      <c r="G594" s="45">
        <v>44813.8382291667</v>
      </c>
      <c r="M594">
        <v>329</v>
      </c>
      <c r="N594">
        <v>0</v>
      </c>
      <c r="O594">
        <v>-5</v>
      </c>
      <c r="P594">
        <v>0</v>
      </c>
      <c r="Q594">
        <v>324</v>
      </c>
      <c r="R594">
        <v>0</v>
      </c>
      <c r="S594" t="s">
        <v>1422</v>
      </c>
      <c r="T594" t="s">
        <v>3812</v>
      </c>
      <c r="U594">
        <v>1</v>
      </c>
      <c r="V594" t="s">
        <v>1364</v>
      </c>
      <c r="X594" t="s">
        <v>483</v>
      </c>
      <c r="Y594" t="s">
        <v>3427</v>
      </c>
      <c r="Z594" t="s">
        <v>1513</v>
      </c>
      <c r="AA594" t="s">
        <v>3428</v>
      </c>
      <c r="AB594" t="s">
        <v>3429</v>
      </c>
      <c r="AC594" t="s">
        <v>3430</v>
      </c>
      <c r="AF594" t="s">
        <v>3431</v>
      </c>
      <c r="AG594" t="s">
        <v>1385</v>
      </c>
      <c r="AH594" t="s">
        <v>3427</v>
      </c>
      <c r="AK594">
        <v>0</v>
      </c>
      <c r="AO594" t="s">
        <v>1372</v>
      </c>
      <c r="AP594" t="s">
        <v>1373</v>
      </c>
    </row>
    <row r="595" hidden="1" spans="1:42">
      <c r="A595" t="s">
        <v>3813</v>
      </c>
      <c r="B595" t="s">
        <v>1356</v>
      </c>
      <c r="C595" t="s">
        <v>1375</v>
      </c>
      <c r="D595" t="s">
        <v>1358</v>
      </c>
      <c r="F595" t="s">
        <v>1377</v>
      </c>
      <c r="G595" s="45">
        <v>44813.8232060185</v>
      </c>
      <c r="H595" s="45">
        <v>44813.8233680556</v>
      </c>
      <c r="J595" t="s">
        <v>407</v>
      </c>
      <c r="M595">
        <v>39.9</v>
      </c>
      <c r="N595">
        <v>0</v>
      </c>
      <c r="O595">
        <v>-3</v>
      </c>
      <c r="P595">
        <v>0</v>
      </c>
      <c r="Q595">
        <v>36.9</v>
      </c>
      <c r="R595">
        <v>36.9</v>
      </c>
      <c r="S595" t="s">
        <v>1397</v>
      </c>
      <c r="T595" t="s">
        <v>1501</v>
      </c>
      <c r="U595">
        <v>1</v>
      </c>
      <c r="V595" t="s">
        <v>1364</v>
      </c>
      <c r="X595" t="s">
        <v>790</v>
      </c>
      <c r="Y595" t="s">
        <v>3814</v>
      </c>
      <c r="Z595" t="s">
        <v>1391</v>
      </c>
      <c r="AA595" t="s">
        <v>1392</v>
      </c>
      <c r="AB595" t="s">
        <v>3815</v>
      </c>
      <c r="AC595" t="s">
        <v>3816</v>
      </c>
      <c r="AF595" t="s">
        <v>3817</v>
      </c>
      <c r="AG595" t="s">
        <v>1385</v>
      </c>
      <c r="AH595" t="s">
        <v>3814</v>
      </c>
      <c r="AK595">
        <v>0</v>
      </c>
      <c r="AO595" t="s">
        <v>1372</v>
      </c>
      <c r="AP595" t="s">
        <v>1373</v>
      </c>
    </row>
    <row r="596" hidden="1" spans="1:42">
      <c r="A596" t="s">
        <v>3818</v>
      </c>
      <c r="B596" t="s">
        <v>1356</v>
      </c>
      <c r="C596" t="s">
        <v>1375</v>
      </c>
      <c r="D596" t="s">
        <v>2833</v>
      </c>
      <c r="F596" t="s">
        <v>1377</v>
      </c>
      <c r="G596" s="45">
        <v>44813.8228356481</v>
      </c>
      <c r="H596" s="45">
        <v>44813.822962963</v>
      </c>
      <c r="J596" t="s">
        <v>407</v>
      </c>
      <c r="M596">
        <v>39.9</v>
      </c>
      <c r="N596">
        <v>0</v>
      </c>
      <c r="O596">
        <v>-1</v>
      </c>
      <c r="P596">
        <v>0</v>
      </c>
      <c r="Q596">
        <v>38.9</v>
      </c>
      <c r="R596">
        <v>38.9</v>
      </c>
      <c r="S596" t="s">
        <v>1414</v>
      </c>
      <c r="T596" t="s">
        <v>1676</v>
      </c>
      <c r="U596">
        <v>1</v>
      </c>
      <c r="V596" t="s">
        <v>1364</v>
      </c>
      <c r="X596" t="s">
        <v>634</v>
      </c>
      <c r="Y596" t="s">
        <v>3819</v>
      </c>
      <c r="Z596" t="s">
        <v>1367</v>
      </c>
      <c r="AA596" t="s">
        <v>1368</v>
      </c>
      <c r="AB596" t="s">
        <v>3820</v>
      </c>
      <c r="AC596" t="s">
        <v>3821</v>
      </c>
      <c r="AF596" t="s">
        <v>3822</v>
      </c>
      <c r="AG596" t="s">
        <v>1385</v>
      </c>
      <c r="AH596" t="s">
        <v>3819</v>
      </c>
      <c r="AK596">
        <v>0</v>
      </c>
      <c r="AO596" t="s">
        <v>1372</v>
      </c>
      <c r="AP596" t="s">
        <v>1373</v>
      </c>
    </row>
    <row r="597" hidden="1" spans="1:42">
      <c r="A597" t="s">
        <v>3823</v>
      </c>
      <c r="B597" t="s">
        <v>1356</v>
      </c>
      <c r="C597" t="s">
        <v>1375</v>
      </c>
      <c r="D597" t="s">
        <v>2833</v>
      </c>
      <c r="F597" t="s">
        <v>1377</v>
      </c>
      <c r="G597" s="45">
        <v>44813.8212384259</v>
      </c>
      <c r="H597" s="45">
        <v>44813.8213541667</v>
      </c>
      <c r="J597" t="s">
        <v>407</v>
      </c>
      <c r="M597">
        <v>39.9</v>
      </c>
      <c r="N597">
        <v>0</v>
      </c>
      <c r="O597">
        <v>-2</v>
      </c>
      <c r="P597">
        <v>0</v>
      </c>
      <c r="Q597">
        <v>37.9</v>
      </c>
      <c r="R597">
        <v>37.9</v>
      </c>
      <c r="S597" t="s">
        <v>1400</v>
      </c>
      <c r="T597" t="s">
        <v>3824</v>
      </c>
      <c r="U597">
        <v>1</v>
      </c>
      <c r="V597" t="s">
        <v>1364</v>
      </c>
      <c r="X597" t="s">
        <v>386</v>
      </c>
      <c r="Y597" t="s">
        <v>3711</v>
      </c>
      <c r="Z597" t="s">
        <v>1513</v>
      </c>
      <c r="AA597" t="s">
        <v>3428</v>
      </c>
      <c r="AB597" t="s">
        <v>3712</v>
      </c>
      <c r="AC597" t="s">
        <v>3713</v>
      </c>
      <c r="AF597" t="s">
        <v>3714</v>
      </c>
      <c r="AG597" t="s">
        <v>1385</v>
      </c>
      <c r="AH597" t="s">
        <v>3715</v>
      </c>
      <c r="AK597">
        <v>0</v>
      </c>
      <c r="AL597" t="s">
        <v>3540</v>
      </c>
      <c r="AO597" t="s">
        <v>1372</v>
      </c>
      <c r="AP597" t="s">
        <v>1373</v>
      </c>
    </row>
    <row r="598" hidden="1" spans="1:42">
      <c r="A598" t="s">
        <v>3825</v>
      </c>
      <c r="B598" t="s">
        <v>1356</v>
      </c>
      <c r="C598" t="s">
        <v>1375</v>
      </c>
      <c r="D598" t="s">
        <v>2833</v>
      </c>
      <c r="F598" t="s">
        <v>1377</v>
      </c>
      <c r="G598" s="45">
        <v>44813.8209953704</v>
      </c>
      <c r="H598" s="45">
        <v>44813.8211921296</v>
      </c>
      <c r="J598" t="s">
        <v>407</v>
      </c>
      <c r="M598">
        <v>39.9</v>
      </c>
      <c r="N598">
        <v>0</v>
      </c>
      <c r="O598">
        <v>0</v>
      </c>
      <c r="P598">
        <v>0</v>
      </c>
      <c r="Q598">
        <v>39.9</v>
      </c>
      <c r="R598">
        <v>39.9</v>
      </c>
      <c r="T598" t="s">
        <v>2077</v>
      </c>
      <c r="U598">
        <v>1</v>
      </c>
      <c r="V598" t="s">
        <v>1364</v>
      </c>
      <c r="X598" t="s">
        <v>800</v>
      </c>
      <c r="Y598" t="s">
        <v>3826</v>
      </c>
      <c r="Z598" t="s">
        <v>1367</v>
      </c>
      <c r="AA598" t="s">
        <v>1486</v>
      </c>
      <c r="AB598" t="s">
        <v>3827</v>
      </c>
      <c r="AC598" t="s">
        <v>3828</v>
      </c>
      <c r="AF598" t="s">
        <v>3829</v>
      </c>
      <c r="AG598" t="s">
        <v>1372</v>
      </c>
      <c r="AK598">
        <v>0</v>
      </c>
      <c r="AL598" t="s">
        <v>3540</v>
      </c>
      <c r="AO598" t="s">
        <v>1372</v>
      </c>
      <c r="AP598" t="s">
        <v>1373</v>
      </c>
    </row>
    <row r="599" hidden="1" spans="1:42">
      <c r="A599" t="s">
        <v>3830</v>
      </c>
      <c r="B599" t="s">
        <v>1356</v>
      </c>
      <c r="C599" t="s">
        <v>1375</v>
      </c>
      <c r="D599" t="s">
        <v>1358</v>
      </c>
      <c r="F599" t="s">
        <v>3560</v>
      </c>
      <c r="G599" s="45">
        <v>44813.8185069444</v>
      </c>
      <c r="H599" s="45">
        <v>44813.8186458333</v>
      </c>
      <c r="J599" t="s">
        <v>407</v>
      </c>
      <c r="M599">
        <v>19.9</v>
      </c>
      <c r="N599">
        <v>0</v>
      </c>
      <c r="O599">
        <v>0</v>
      </c>
      <c r="P599">
        <v>0</v>
      </c>
      <c r="Q599">
        <v>19.9</v>
      </c>
      <c r="R599">
        <v>19.9</v>
      </c>
      <c r="T599" t="s">
        <v>2442</v>
      </c>
      <c r="U599">
        <v>1</v>
      </c>
      <c r="V599" t="s">
        <v>1364</v>
      </c>
      <c r="X599" t="s">
        <v>800</v>
      </c>
      <c r="Y599" t="s">
        <v>3826</v>
      </c>
      <c r="Z599" t="s">
        <v>1367</v>
      </c>
      <c r="AA599" t="s">
        <v>1486</v>
      </c>
      <c r="AB599" t="s">
        <v>3827</v>
      </c>
      <c r="AC599" t="s">
        <v>3828</v>
      </c>
      <c r="AF599" t="s">
        <v>3829</v>
      </c>
      <c r="AG599" t="s">
        <v>1372</v>
      </c>
      <c r="AK599">
        <v>0</v>
      </c>
      <c r="AO599" t="s">
        <v>1372</v>
      </c>
      <c r="AP599" t="s">
        <v>1373</v>
      </c>
    </row>
    <row r="600" hidden="1" spans="1:42">
      <c r="A600" t="s">
        <v>3831</v>
      </c>
      <c r="B600" t="s">
        <v>1356</v>
      </c>
      <c r="C600" t="s">
        <v>1375</v>
      </c>
      <c r="D600" t="s">
        <v>1358</v>
      </c>
      <c r="F600" t="s">
        <v>1377</v>
      </c>
      <c r="G600" s="45">
        <v>44816.0372453704</v>
      </c>
      <c r="H600" s="45">
        <v>44816.037349537</v>
      </c>
      <c r="J600" t="s">
        <v>407</v>
      </c>
      <c r="M600">
        <v>39.9</v>
      </c>
      <c r="N600">
        <v>0</v>
      </c>
      <c r="O600">
        <v>-3</v>
      </c>
      <c r="P600">
        <v>0</v>
      </c>
      <c r="Q600">
        <v>36.9</v>
      </c>
      <c r="R600">
        <v>36.9</v>
      </c>
      <c r="S600" t="s">
        <v>1397</v>
      </c>
      <c r="T600" t="s">
        <v>2080</v>
      </c>
      <c r="U600">
        <v>1</v>
      </c>
      <c r="V600" t="s">
        <v>1364</v>
      </c>
      <c r="X600" t="s">
        <v>372</v>
      </c>
      <c r="Y600" t="s">
        <v>3832</v>
      </c>
      <c r="Z600" t="s">
        <v>1495</v>
      </c>
      <c r="AA600" t="s">
        <v>1757</v>
      </c>
      <c r="AB600" t="s">
        <v>1783</v>
      </c>
      <c r="AC600" t="s">
        <v>3833</v>
      </c>
      <c r="AF600" t="s">
        <v>3834</v>
      </c>
      <c r="AG600" t="s">
        <v>1372</v>
      </c>
      <c r="AK600">
        <v>0</v>
      </c>
      <c r="AO600" t="s">
        <v>1372</v>
      </c>
      <c r="AP600" t="s">
        <v>1373</v>
      </c>
    </row>
    <row r="601" hidden="1" spans="1:42">
      <c r="A601" t="s">
        <v>3835</v>
      </c>
      <c r="B601" t="s">
        <v>1356</v>
      </c>
      <c r="C601" t="s">
        <v>1375</v>
      </c>
      <c r="D601" t="s">
        <v>1376</v>
      </c>
      <c r="F601" t="s">
        <v>1377</v>
      </c>
      <c r="G601" s="45">
        <v>44816.0368287037</v>
      </c>
      <c r="M601">
        <v>249</v>
      </c>
      <c r="N601">
        <v>0</v>
      </c>
      <c r="O601">
        <v>0</v>
      </c>
      <c r="P601">
        <v>0</v>
      </c>
      <c r="Q601">
        <v>249</v>
      </c>
      <c r="R601">
        <v>0</v>
      </c>
      <c r="T601" t="s">
        <v>3614</v>
      </c>
      <c r="U601">
        <v>1</v>
      </c>
      <c r="V601" t="s">
        <v>1364</v>
      </c>
      <c r="X601" t="s">
        <v>855</v>
      </c>
      <c r="Y601" t="s">
        <v>3230</v>
      </c>
      <c r="Z601" t="s">
        <v>3108</v>
      </c>
      <c r="AA601" t="s">
        <v>3124</v>
      </c>
      <c r="AB601" t="s">
        <v>3231</v>
      </c>
      <c r="AC601" t="s">
        <v>3232</v>
      </c>
      <c r="AF601" t="s">
        <v>3233</v>
      </c>
      <c r="AG601" t="s">
        <v>1385</v>
      </c>
      <c r="AH601" t="s">
        <v>3230</v>
      </c>
      <c r="AK601">
        <v>0</v>
      </c>
      <c r="AO601" t="s">
        <v>1372</v>
      </c>
      <c r="AP601" t="s">
        <v>1373</v>
      </c>
    </row>
    <row r="602" hidden="1" spans="1:42">
      <c r="A602" t="s">
        <v>3836</v>
      </c>
      <c r="B602" t="s">
        <v>1356</v>
      </c>
      <c r="C602" t="s">
        <v>1375</v>
      </c>
      <c r="D602" t="s">
        <v>1376</v>
      </c>
      <c r="F602" t="s">
        <v>1377</v>
      </c>
      <c r="G602" s="45">
        <v>44816.0336458333</v>
      </c>
      <c r="M602">
        <v>249</v>
      </c>
      <c r="N602">
        <v>0</v>
      </c>
      <c r="O602">
        <v>0</v>
      </c>
      <c r="P602">
        <v>0</v>
      </c>
      <c r="Q602">
        <v>249</v>
      </c>
      <c r="R602">
        <v>0</v>
      </c>
      <c r="T602" t="s">
        <v>3786</v>
      </c>
      <c r="U602">
        <v>1</v>
      </c>
      <c r="V602" t="s">
        <v>1364</v>
      </c>
      <c r="X602" t="s">
        <v>919</v>
      </c>
      <c r="Y602" t="s">
        <v>3230</v>
      </c>
      <c r="Z602" t="s">
        <v>3108</v>
      </c>
      <c r="AA602" t="s">
        <v>3124</v>
      </c>
      <c r="AB602" t="s">
        <v>3231</v>
      </c>
      <c r="AC602" t="s">
        <v>3837</v>
      </c>
      <c r="AF602" t="s">
        <v>3233</v>
      </c>
      <c r="AG602" t="s">
        <v>1385</v>
      </c>
      <c r="AH602" t="s">
        <v>3230</v>
      </c>
      <c r="AK602">
        <v>0</v>
      </c>
      <c r="AO602" t="s">
        <v>1372</v>
      </c>
      <c r="AP602" t="s">
        <v>1373</v>
      </c>
    </row>
    <row r="603" hidden="1" spans="1:42">
      <c r="A603" t="s">
        <v>3838</v>
      </c>
      <c r="B603" t="s">
        <v>1356</v>
      </c>
      <c r="C603" t="s">
        <v>1375</v>
      </c>
      <c r="D603" t="s">
        <v>1358</v>
      </c>
      <c r="F603" t="s">
        <v>1377</v>
      </c>
      <c r="G603" s="45">
        <v>44816.0312615741</v>
      </c>
      <c r="H603" s="45">
        <v>44816.0313657407</v>
      </c>
      <c r="J603" t="s">
        <v>407</v>
      </c>
      <c r="M603">
        <v>359</v>
      </c>
      <c r="N603">
        <v>0</v>
      </c>
      <c r="O603">
        <v>0</v>
      </c>
      <c r="P603">
        <v>0</v>
      </c>
      <c r="Q603">
        <v>359</v>
      </c>
      <c r="R603">
        <v>359</v>
      </c>
      <c r="T603" t="s">
        <v>3839</v>
      </c>
      <c r="U603">
        <v>1</v>
      </c>
      <c r="V603" t="s">
        <v>1364</v>
      </c>
      <c r="X603" t="s">
        <v>372</v>
      </c>
      <c r="Y603" t="s">
        <v>3832</v>
      </c>
      <c r="Z603" t="s">
        <v>1495</v>
      </c>
      <c r="AA603" t="s">
        <v>1757</v>
      </c>
      <c r="AB603" t="s">
        <v>1783</v>
      </c>
      <c r="AC603" t="s">
        <v>3833</v>
      </c>
      <c r="AF603" t="s">
        <v>3834</v>
      </c>
      <c r="AG603" t="s">
        <v>1372</v>
      </c>
      <c r="AK603">
        <v>0</v>
      </c>
      <c r="AO603" t="s">
        <v>1372</v>
      </c>
      <c r="AP603" t="s">
        <v>1373</v>
      </c>
    </row>
    <row r="604" hidden="1" spans="1:42">
      <c r="A604" t="s">
        <v>3840</v>
      </c>
      <c r="B604" t="s">
        <v>1356</v>
      </c>
      <c r="C604" t="s">
        <v>1375</v>
      </c>
      <c r="D604" t="s">
        <v>1358</v>
      </c>
      <c r="F604" t="s">
        <v>1377</v>
      </c>
      <c r="G604" s="45">
        <v>44816.0294560185</v>
      </c>
      <c r="H604" s="45">
        <v>44816.0295601852</v>
      </c>
      <c r="J604" t="s">
        <v>407</v>
      </c>
      <c r="M604">
        <v>39.9</v>
      </c>
      <c r="N604">
        <v>0</v>
      </c>
      <c r="O604">
        <v>-3</v>
      </c>
      <c r="P604">
        <v>0</v>
      </c>
      <c r="Q604">
        <v>36.9</v>
      </c>
      <c r="R604">
        <v>36.9</v>
      </c>
      <c r="S604" t="s">
        <v>1397</v>
      </c>
      <c r="T604" t="s">
        <v>2086</v>
      </c>
      <c r="U604">
        <v>1</v>
      </c>
      <c r="V604" t="s">
        <v>1364</v>
      </c>
      <c r="X604" t="s">
        <v>855</v>
      </c>
      <c r="Y604" t="s">
        <v>3230</v>
      </c>
      <c r="Z604" t="s">
        <v>3108</v>
      </c>
      <c r="AA604" t="s">
        <v>3124</v>
      </c>
      <c r="AB604" t="s">
        <v>3231</v>
      </c>
      <c r="AC604" t="s">
        <v>3232</v>
      </c>
      <c r="AF604" t="s">
        <v>3233</v>
      </c>
      <c r="AG604" t="s">
        <v>1385</v>
      </c>
      <c r="AH604" t="s">
        <v>3230</v>
      </c>
      <c r="AK604">
        <v>0</v>
      </c>
      <c r="AO604" t="s">
        <v>1372</v>
      </c>
      <c r="AP604" t="s">
        <v>1373</v>
      </c>
    </row>
    <row r="605" hidden="1" spans="1:42">
      <c r="A605" t="s">
        <v>3841</v>
      </c>
      <c r="B605" t="s">
        <v>1356</v>
      </c>
      <c r="C605" t="s">
        <v>1375</v>
      </c>
      <c r="D605" t="s">
        <v>1376</v>
      </c>
      <c r="F605" t="s">
        <v>1377</v>
      </c>
      <c r="G605" s="45">
        <v>44816.0283101852</v>
      </c>
      <c r="M605">
        <v>39.9</v>
      </c>
      <c r="N605">
        <v>0</v>
      </c>
      <c r="O605">
        <v>-3</v>
      </c>
      <c r="P605">
        <v>0</v>
      </c>
      <c r="Q605">
        <v>36.9</v>
      </c>
      <c r="R605">
        <v>0</v>
      </c>
      <c r="S605" t="s">
        <v>1397</v>
      </c>
      <c r="T605" t="s">
        <v>3765</v>
      </c>
      <c r="U605">
        <v>1</v>
      </c>
      <c r="V605" t="s">
        <v>1364</v>
      </c>
      <c r="X605" t="s">
        <v>919</v>
      </c>
      <c r="Y605" t="s">
        <v>3230</v>
      </c>
      <c r="Z605" t="s">
        <v>3108</v>
      </c>
      <c r="AA605" t="s">
        <v>3124</v>
      </c>
      <c r="AB605" t="s">
        <v>3231</v>
      </c>
      <c r="AC605" t="s">
        <v>3837</v>
      </c>
      <c r="AF605" t="s">
        <v>3233</v>
      </c>
      <c r="AG605" t="s">
        <v>1385</v>
      </c>
      <c r="AH605" t="s">
        <v>3230</v>
      </c>
      <c r="AK605">
        <v>0</v>
      </c>
      <c r="AO605" t="s">
        <v>1372</v>
      </c>
      <c r="AP605" t="s">
        <v>1373</v>
      </c>
    </row>
    <row r="606" hidden="1" spans="1:42">
      <c r="A606" t="s">
        <v>3842</v>
      </c>
      <c r="B606" t="s">
        <v>1356</v>
      </c>
      <c r="C606" t="s">
        <v>1375</v>
      </c>
      <c r="D606" t="s">
        <v>1358</v>
      </c>
      <c r="F606" t="s">
        <v>1377</v>
      </c>
      <c r="G606" s="45">
        <v>44816.0215509259</v>
      </c>
      <c r="H606" s="45">
        <v>44816.021724537</v>
      </c>
      <c r="J606" t="s">
        <v>407</v>
      </c>
      <c r="M606">
        <v>259</v>
      </c>
      <c r="N606">
        <v>0</v>
      </c>
      <c r="O606">
        <v>0</v>
      </c>
      <c r="P606">
        <v>0</v>
      </c>
      <c r="Q606">
        <v>259</v>
      </c>
      <c r="R606">
        <v>259</v>
      </c>
      <c r="T606" t="s">
        <v>3843</v>
      </c>
      <c r="U606">
        <v>1</v>
      </c>
      <c r="V606" t="s">
        <v>1364</v>
      </c>
      <c r="X606" t="s">
        <v>497</v>
      </c>
      <c r="Y606" t="s">
        <v>3844</v>
      </c>
      <c r="Z606" t="s">
        <v>1626</v>
      </c>
      <c r="AA606" t="s">
        <v>1627</v>
      </c>
      <c r="AB606" t="s">
        <v>3845</v>
      </c>
      <c r="AC606" t="s">
        <v>3846</v>
      </c>
      <c r="AF606" t="s">
        <v>3844</v>
      </c>
      <c r="AG606" t="s">
        <v>1372</v>
      </c>
      <c r="AH606" t="s">
        <v>3844</v>
      </c>
      <c r="AK606">
        <v>0</v>
      </c>
      <c r="AO606" t="s">
        <v>1372</v>
      </c>
      <c r="AP606" t="s">
        <v>1373</v>
      </c>
    </row>
    <row r="607" hidden="1" spans="1:42">
      <c r="A607" t="s">
        <v>3847</v>
      </c>
      <c r="B607" t="s">
        <v>1356</v>
      </c>
      <c r="C607" t="s">
        <v>1375</v>
      </c>
      <c r="D607" t="s">
        <v>1376</v>
      </c>
      <c r="F607" t="s">
        <v>1377</v>
      </c>
      <c r="G607" s="45">
        <v>44816.0200115741</v>
      </c>
      <c r="M607">
        <v>259</v>
      </c>
      <c r="N607">
        <v>0</v>
      </c>
      <c r="O607">
        <v>-5</v>
      </c>
      <c r="P607">
        <v>0</v>
      </c>
      <c r="Q607">
        <v>254</v>
      </c>
      <c r="R607">
        <v>0</v>
      </c>
      <c r="S607" t="s">
        <v>1422</v>
      </c>
      <c r="T607" t="s">
        <v>3848</v>
      </c>
      <c r="U607">
        <v>1</v>
      </c>
      <c r="V607" t="s">
        <v>1364</v>
      </c>
      <c r="X607" t="s">
        <v>497</v>
      </c>
      <c r="Y607" t="s">
        <v>3844</v>
      </c>
      <c r="Z607" t="s">
        <v>1626</v>
      </c>
      <c r="AA607" t="s">
        <v>1627</v>
      </c>
      <c r="AB607" t="s">
        <v>3849</v>
      </c>
      <c r="AC607" t="s">
        <v>3850</v>
      </c>
      <c r="AF607" t="s">
        <v>3844</v>
      </c>
      <c r="AG607" t="s">
        <v>1372</v>
      </c>
      <c r="AH607" t="s">
        <v>3844</v>
      </c>
      <c r="AK607">
        <v>0</v>
      </c>
      <c r="AO607" t="s">
        <v>1372</v>
      </c>
      <c r="AP607" t="s">
        <v>1373</v>
      </c>
    </row>
    <row r="608" hidden="1" spans="1:42">
      <c r="A608" t="s">
        <v>3851</v>
      </c>
      <c r="B608" t="s">
        <v>1356</v>
      </c>
      <c r="C608" t="s">
        <v>1357</v>
      </c>
      <c r="D608" t="s">
        <v>1358</v>
      </c>
      <c r="F608" t="s">
        <v>1359</v>
      </c>
      <c r="G608" s="45">
        <v>44816.0173842593</v>
      </c>
      <c r="H608" s="45">
        <v>44816.0174652778</v>
      </c>
      <c r="J608" t="s">
        <v>1360</v>
      </c>
      <c r="K608" t="s">
        <v>3852</v>
      </c>
      <c r="L608" t="s">
        <v>3853</v>
      </c>
      <c r="M608">
        <v>69</v>
      </c>
      <c r="N608">
        <v>0</v>
      </c>
      <c r="O608">
        <v>0</v>
      </c>
      <c r="P608">
        <v>0</v>
      </c>
      <c r="Q608">
        <v>69</v>
      </c>
      <c r="R608">
        <v>69</v>
      </c>
      <c r="T608" t="s">
        <v>1669</v>
      </c>
      <c r="U608">
        <v>1</v>
      </c>
      <c r="V608" t="s">
        <v>1364</v>
      </c>
      <c r="X608" t="s">
        <v>3854</v>
      </c>
      <c r="Y608" t="s">
        <v>3855</v>
      </c>
      <c r="Z608" t="s">
        <v>1367</v>
      </c>
      <c r="AA608" t="s">
        <v>3856</v>
      </c>
      <c r="AB608" t="s">
        <v>3857</v>
      </c>
      <c r="AC608" t="s">
        <v>3858</v>
      </c>
      <c r="AF608" t="s">
        <v>3854</v>
      </c>
      <c r="AG608" t="s">
        <v>1385</v>
      </c>
      <c r="AH608" t="s">
        <v>3855</v>
      </c>
      <c r="AK608">
        <v>0</v>
      </c>
      <c r="AO608" t="s">
        <v>1372</v>
      </c>
      <c r="AP608" t="s">
        <v>1373</v>
      </c>
    </row>
    <row r="609" hidden="1" spans="1:42">
      <c r="A609" t="s">
        <v>3859</v>
      </c>
      <c r="B609" t="s">
        <v>1356</v>
      </c>
      <c r="C609" t="s">
        <v>1375</v>
      </c>
      <c r="D609" t="s">
        <v>1358</v>
      </c>
      <c r="F609" t="s">
        <v>1377</v>
      </c>
      <c r="G609" s="45">
        <v>44816.0086689815</v>
      </c>
      <c r="H609" s="45">
        <v>44816.0087615741</v>
      </c>
      <c r="J609" t="s">
        <v>407</v>
      </c>
      <c r="M609">
        <v>129</v>
      </c>
      <c r="N609">
        <v>0</v>
      </c>
      <c r="O609">
        <v>0</v>
      </c>
      <c r="P609">
        <v>0</v>
      </c>
      <c r="Q609">
        <v>129</v>
      </c>
      <c r="R609">
        <v>129</v>
      </c>
      <c r="T609" t="s">
        <v>3860</v>
      </c>
      <c r="U609">
        <v>1</v>
      </c>
      <c r="V609" t="s">
        <v>1364</v>
      </c>
      <c r="X609" t="s">
        <v>401</v>
      </c>
      <c r="Y609" t="s">
        <v>2161</v>
      </c>
      <c r="Z609" t="s">
        <v>2028</v>
      </c>
      <c r="AA609" t="s">
        <v>2162</v>
      </c>
      <c r="AB609" t="s">
        <v>2163</v>
      </c>
      <c r="AC609" t="s">
        <v>2164</v>
      </c>
      <c r="AF609" t="s">
        <v>401</v>
      </c>
      <c r="AG609" t="s">
        <v>1385</v>
      </c>
      <c r="AH609" t="s">
        <v>2161</v>
      </c>
      <c r="AK609">
        <v>0</v>
      </c>
      <c r="AO609" t="s">
        <v>1372</v>
      </c>
      <c r="AP609" t="s">
        <v>1373</v>
      </c>
    </row>
    <row r="610" hidden="1" spans="1:42">
      <c r="A610" t="s">
        <v>3861</v>
      </c>
      <c r="B610" t="s">
        <v>1356</v>
      </c>
      <c r="C610" t="s">
        <v>1357</v>
      </c>
      <c r="D610" t="s">
        <v>1358</v>
      </c>
      <c r="F610" t="s">
        <v>1359</v>
      </c>
      <c r="G610" s="45">
        <v>44816.0084143519</v>
      </c>
      <c r="H610" s="45">
        <v>44816.0084953704</v>
      </c>
      <c r="J610" t="s">
        <v>1360</v>
      </c>
      <c r="K610" t="s">
        <v>3862</v>
      </c>
      <c r="L610" t="s">
        <v>3863</v>
      </c>
      <c r="M610">
        <v>79</v>
      </c>
      <c r="N610">
        <v>0</v>
      </c>
      <c r="O610">
        <v>0</v>
      </c>
      <c r="P610">
        <v>0</v>
      </c>
      <c r="Q610">
        <v>79</v>
      </c>
      <c r="R610">
        <v>79</v>
      </c>
      <c r="T610" t="s">
        <v>3864</v>
      </c>
      <c r="U610">
        <v>1</v>
      </c>
      <c r="V610" t="s">
        <v>1364</v>
      </c>
      <c r="X610" t="s">
        <v>3865</v>
      </c>
      <c r="Y610" t="s">
        <v>3866</v>
      </c>
      <c r="Z610" t="s">
        <v>1430</v>
      </c>
      <c r="AA610" t="s">
        <v>1965</v>
      </c>
      <c r="AB610" t="s">
        <v>3867</v>
      </c>
      <c r="AC610" t="s">
        <v>3868</v>
      </c>
      <c r="AF610" t="s">
        <v>3869</v>
      </c>
      <c r="AG610" t="s">
        <v>1372</v>
      </c>
      <c r="AH610" t="s">
        <v>3866</v>
      </c>
      <c r="AK610">
        <v>0</v>
      </c>
      <c r="AO610" t="s">
        <v>1372</v>
      </c>
      <c r="AP610" t="s">
        <v>1373</v>
      </c>
    </row>
    <row r="611" hidden="1" spans="1:42">
      <c r="A611" t="s">
        <v>3870</v>
      </c>
      <c r="B611" t="s">
        <v>1356</v>
      </c>
      <c r="C611" t="s">
        <v>1375</v>
      </c>
      <c r="D611" t="s">
        <v>1376</v>
      </c>
      <c r="F611" t="s">
        <v>1377</v>
      </c>
      <c r="G611" s="45">
        <v>44816.0067708333</v>
      </c>
      <c r="M611">
        <v>89</v>
      </c>
      <c r="N611">
        <v>0</v>
      </c>
      <c r="O611">
        <v>-2</v>
      </c>
      <c r="P611">
        <v>0</v>
      </c>
      <c r="Q611">
        <v>87</v>
      </c>
      <c r="R611">
        <v>0</v>
      </c>
      <c r="S611" t="s">
        <v>1400</v>
      </c>
      <c r="T611" t="s">
        <v>3871</v>
      </c>
      <c r="U611">
        <v>1</v>
      </c>
      <c r="V611" t="s">
        <v>1364</v>
      </c>
      <c r="X611" t="s">
        <v>401</v>
      </c>
      <c r="Y611" t="s">
        <v>2161</v>
      </c>
      <c r="Z611" t="s">
        <v>2028</v>
      </c>
      <c r="AA611" t="s">
        <v>2162</v>
      </c>
      <c r="AB611" t="s">
        <v>2163</v>
      </c>
      <c r="AC611" t="s">
        <v>2164</v>
      </c>
      <c r="AF611" t="s">
        <v>401</v>
      </c>
      <c r="AG611" t="s">
        <v>1385</v>
      </c>
      <c r="AH611" t="s">
        <v>2161</v>
      </c>
      <c r="AK611">
        <v>0</v>
      </c>
      <c r="AO611" t="s">
        <v>1372</v>
      </c>
      <c r="AP611" t="s">
        <v>1373</v>
      </c>
    </row>
    <row r="612" hidden="1" spans="1:42">
      <c r="A612" t="s">
        <v>3872</v>
      </c>
      <c r="B612" t="s">
        <v>1356</v>
      </c>
      <c r="C612" t="s">
        <v>1375</v>
      </c>
      <c r="D612" t="s">
        <v>1376</v>
      </c>
      <c r="F612" t="s">
        <v>1377</v>
      </c>
      <c r="G612" s="45">
        <v>44816.0047222222</v>
      </c>
      <c r="M612">
        <v>599</v>
      </c>
      <c r="N612">
        <v>0</v>
      </c>
      <c r="O612">
        <v>-4</v>
      </c>
      <c r="P612">
        <v>0</v>
      </c>
      <c r="Q612">
        <v>595</v>
      </c>
      <c r="R612">
        <v>0</v>
      </c>
      <c r="S612" t="s">
        <v>1388</v>
      </c>
      <c r="T612" t="s">
        <v>3602</v>
      </c>
      <c r="U612">
        <v>1</v>
      </c>
      <c r="V612" t="s">
        <v>1364</v>
      </c>
      <c r="X612" t="s">
        <v>592</v>
      </c>
      <c r="Y612" t="s">
        <v>3873</v>
      </c>
      <c r="Z612" t="s">
        <v>1678</v>
      </c>
      <c r="AA612" t="s">
        <v>2007</v>
      </c>
      <c r="AB612" t="s">
        <v>2451</v>
      </c>
      <c r="AC612" t="s">
        <v>3874</v>
      </c>
      <c r="AD612" t="s">
        <v>3875</v>
      </c>
      <c r="AF612" t="s">
        <v>3876</v>
      </c>
      <c r="AG612" t="s">
        <v>1372</v>
      </c>
      <c r="AK612">
        <v>0</v>
      </c>
      <c r="AO612" t="s">
        <v>1372</v>
      </c>
      <c r="AP612" t="s">
        <v>1373</v>
      </c>
    </row>
    <row r="613" hidden="1" spans="1:42">
      <c r="A613" t="s">
        <v>3877</v>
      </c>
      <c r="B613" t="s">
        <v>1356</v>
      </c>
      <c r="C613" t="s">
        <v>1375</v>
      </c>
      <c r="D613" t="s">
        <v>1358</v>
      </c>
      <c r="F613" t="s">
        <v>1377</v>
      </c>
      <c r="G613" s="45">
        <v>44816.0004282407</v>
      </c>
      <c r="H613" s="45">
        <v>44816.0006018519</v>
      </c>
      <c r="J613" t="s">
        <v>407</v>
      </c>
      <c r="M613">
        <v>599</v>
      </c>
      <c r="N613">
        <v>0</v>
      </c>
      <c r="O613">
        <v>0</v>
      </c>
      <c r="P613">
        <v>0</v>
      </c>
      <c r="Q613">
        <v>599</v>
      </c>
      <c r="R613">
        <v>599</v>
      </c>
      <c r="T613" t="s">
        <v>3878</v>
      </c>
      <c r="U613">
        <v>1</v>
      </c>
      <c r="V613" t="s">
        <v>1364</v>
      </c>
      <c r="X613" t="s">
        <v>554</v>
      </c>
      <c r="Y613" t="s">
        <v>3879</v>
      </c>
      <c r="Z613" t="s">
        <v>1804</v>
      </c>
      <c r="AA613" t="s">
        <v>3880</v>
      </c>
      <c r="AB613" t="s">
        <v>3881</v>
      </c>
      <c r="AC613" t="s">
        <v>3882</v>
      </c>
      <c r="AD613" t="s">
        <v>3883</v>
      </c>
      <c r="AF613" t="s">
        <v>3884</v>
      </c>
      <c r="AG613" t="s">
        <v>1372</v>
      </c>
      <c r="AK613">
        <v>0</v>
      </c>
      <c r="AL613" t="s">
        <v>3885</v>
      </c>
      <c r="AO613" t="s">
        <v>1372</v>
      </c>
      <c r="AP613" t="s">
        <v>1373</v>
      </c>
    </row>
    <row r="614" hidden="1" spans="1:42">
      <c r="A614" t="s">
        <v>3886</v>
      </c>
      <c r="B614" t="s">
        <v>1356</v>
      </c>
      <c r="C614" t="s">
        <v>1375</v>
      </c>
      <c r="D614" t="s">
        <v>1358</v>
      </c>
      <c r="F614" t="s">
        <v>1377</v>
      </c>
      <c r="G614" s="45">
        <v>44815.9988888889</v>
      </c>
      <c r="H614" s="45">
        <v>44815.9990856481</v>
      </c>
      <c r="J614" t="s">
        <v>407</v>
      </c>
      <c r="M614">
        <v>599</v>
      </c>
      <c r="N614">
        <v>0</v>
      </c>
      <c r="O614">
        <v>0</v>
      </c>
      <c r="P614">
        <v>0</v>
      </c>
      <c r="Q614">
        <v>599</v>
      </c>
      <c r="R614">
        <v>599</v>
      </c>
      <c r="T614" t="s">
        <v>3887</v>
      </c>
      <c r="U614">
        <v>1</v>
      </c>
      <c r="V614" t="s">
        <v>1364</v>
      </c>
      <c r="X614" t="s">
        <v>558</v>
      </c>
      <c r="Y614" t="s">
        <v>3888</v>
      </c>
      <c r="Z614" t="s">
        <v>2386</v>
      </c>
      <c r="AA614" t="s">
        <v>2386</v>
      </c>
      <c r="AB614" t="s">
        <v>2847</v>
      </c>
      <c r="AC614" t="s">
        <v>3889</v>
      </c>
      <c r="AD614" t="s">
        <v>3890</v>
      </c>
      <c r="AF614" t="s">
        <v>3891</v>
      </c>
      <c r="AG614" t="s">
        <v>1372</v>
      </c>
      <c r="AK614">
        <v>0</v>
      </c>
      <c r="AO614" t="s">
        <v>1372</v>
      </c>
      <c r="AP614" t="s">
        <v>1373</v>
      </c>
    </row>
    <row r="615" hidden="1" spans="1:42">
      <c r="A615" t="s">
        <v>3892</v>
      </c>
      <c r="B615" t="s">
        <v>1356</v>
      </c>
      <c r="C615" t="s">
        <v>1375</v>
      </c>
      <c r="D615" t="s">
        <v>1358</v>
      </c>
      <c r="F615" t="s">
        <v>1377</v>
      </c>
      <c r="G615" s="45">
        <v>44815.9902083333</v>
      </c>
      <c r="H615" s="45">
        <v>44815.9903356481</v>
      </c>
      <c r="J615" t="s">
        <v>407</v>
      </c>
      <c r="M615">
        <v>249</v>
      </c>
      <c r="N615">
        <v>0</v>
      </c>
      <c r="O615">
        <v>-4</v>
      </c>
      <c r="P615">
        <v>0</v>
      </c>
      <c r="Q615">
        <v>245</v>
      </c>
      <c r="R615">
        <v>245</v>
      </c>
      <c r="S615" t="s">
        <v>1388</v>
      </c>
      <c r="T615" t="s">
        <v>3893</v>
      </c>
      <c r="U615">
        <v>1</v>
      </c>
      <c r="V615" t="s">
        <v>1364</v>
      </c>
      <c r="X615" t="s">
        <v>497</v>
      </c>
      <c r="Y615" t="s">
        <v>3844</v>
      </c>
      <c r="Z615" t="s">
        <v>1626</v>
      </c>
      <c r="AA615" t="s">
        <v>1627</v>
      </c>
      <c r="AB615" t="s">
        <v>3849</v>
      </c>
      <c r="AC615" t="s">
        <v>3850</v>
      </c>
      <c r="AF615" t="s">
        <v>3844</v>
      </c>
      <c r="AG615" t="s">
        <v>1372</v>
      </c>
      <c r="AH615" t="s">
        <v>3844</v>
      </c>
      <c r="AK615">
        <v>0</v>
      </c>
      <c r="AO615" t="s">
        <v>1372</v>
      </c>
      <c r="AP615" t="s">
        <v>1373</v>
      </c>
    </row>
    <row r="616" hidden="1" spans="1:42">
      <c r="A616" t="s">
        <v>3894</v>
      </c>
      <c r="B616" t="s">
        <v>1356</v>
      </c>
      <c r="C616" t="s">
        <v>1375</v>
      </c>
      <c r="D616" t="s">
        <v>1358</v>
      </c>
      <c r="F616" t="s">
        <v>1377</v>
      </c>
      <c r="G616" s="45">
        <v>44815.9896180556</v>
      </c>
      <c r="H616" s="45">
        <v>44815.9898148148</v>
      </c>
      <c r="J616" t="s">
        <v>407</v>
      </c>
      <c r="M616">
        <v>249</v>
      </c>
      <c r="N616">
        <v>0</v>
      </c>
      <c r="O616">
        <v>0</v>
      </c>
      <c r="P616">
        <v>0</v>
      </c>
      <c r="Q616">
        <v>249</v>
      </c>
      <c r="R616">
        <v>249</v>
      </c>
      <c r="T616" t="s">
        <v>3483</v>
      </c>
      <c r="U616">
        <v>1</v>
      </c>
      <c r="V616" t="s">
        <v>1364</v>
      </c>
      <c r="X616" t="s">
        <v>630</v>
      </c>
      <c r="Y616" t="s">
        <v>3895</v>
      </c>
      <c r="Z616" t="s">
        <v>1380</v>
      </c>
      <c r="AA616" t="s">
        <v>3896</v>
      </c>
      <c r="AB616" t="s">
        <v>3897</v>
      </c>
      <c r="AC616" t="s">
        <v>3898</v>
      </c>
      <c r="AF616" t="s">
        <v>3899</v>
      </c>
      <c r="AG616" t="s">
        <v>1372</v>
      </c>
      <c r="AH616" t="s">
        <v>3895</v>
      </c>
      <c r="AK616">
        <v>0</v>
      </c>
      <c r="AO616" t="s">
        <v>1372</v>
      </c>
      <c r="AP616" t="s">
        <v>1373</v>
      </c>
    </row>
    <row r="617" hidden="1" spans="1:42">
      <c r="A617" t="s">
        <v>3900</v>
      </c>
      <c r="B617" t="s">
        <v>1356</v>
      </c>
      <c r="C617" t="s">
        <v>1375</v>
      </c>
      <c r="D617" t="s">
        <v>1358</v>
      </c>
      <c r="F617" t="s">
        <v>1377</v>
      </c>
      <c r="G617" s="45">
        <v>44815.9880208333</v>
      </c>
      <c r="H617" s="45">
        <v>44815.9882638889</v>
      </c>
      <c r="J617" t="s">
        <v>407</v>
      </c>
      <c r="M617">
        <v>249</v>
      </c>
      <c r="N617">
        <v>0</v>
      </c>
      <c r="O617">
        <v>0</v>
      </c>
      <c r="P617">
        <v>0</v>
      </c>
      <c r="Q617">
        <v>249</v>
      </c>
      <c r="R617">
        <v>249</v>
      </c>
      <c r="T617" t="s">
        <v>1867</v>
      </c>
      <c r="U617">
        <v>1</v>
      </c>
      <c r="V617" t="s">
        <v>1364</v>
      </c>
      <c r="X617" t="s">
        <v>497</v>
      </c>
      <c r="Y617" t="s">
        <v>3844</v>
      </c>
      <c r="Z617" t="s">
        <v>1626</v>
      </c>
      <c r="AA617" t="s">
        <v>1627</v>
      </c>
      <c r="AB617" t="s">
        <v>3845</v>
      </c>
      <c r="AC617" t="s">
        <v>3846</v>
      </c>
      <c r="AF617" t="s">
        <v>3901</v>
      </c>
      <c r="AG617" t="s">
        <v>1372</v>
      </c>
      <c r="AK617">
        <v>0</v>
      </c>
      <c r="AO617" t="s">
        <v>1372</v>
      </c>
      <c r="AP617" t="s">
        <v>1373</v>
      </c>
    </row>
    <row r="618" hidden="1" spans="1:42">
      <c r="A618" t="s">
        <v>3902</v>
      </c>
      <c r="B618" t="s">
        <v>1356</v>
      </c>
      <c r="C618" t="s">
        <v>1375</v>
      </c>
      <c r="D618" t="s">
        <v>1358</v>
      </c>
      <c r="F618" t="s">
        <v>1377</v>
      </c>
      <c r="G618" s="45">
        <v>44815.9868981481</v>
      </c>
      <c r="H618" s="45">
        <v>44815.9870486111</v>
      </c>
      <c r="J618" t="s">
        <v>407</v>
      </c>
      <c r="M618">
        <v>249</v>
      </c>
      <c r="N618">
        <v>0</v>
      </c>
      <c r="O618">
        <v>-4</v>
      </c>
      <c r="P618">
        <v>0</v>
      </c>
      <c r="Q618">
        <v>245</v>
      </c>
      <c r="R618">
        <v>245</v>
      </c>
      <c r="S618" t="s">
        <v>1388</v>
      </c>
      <c r="T618" t="s">
        <v>1708</v>
      </c>
      <c r="U618">
        <v>1</v>
      </c>
      <c r="V618" t="s">
        <v>1364</v>
      </c>
      <c r="X618" t="s">
        <v>388</v>
      </c>
      <c r="Y618" t="s">
        <v>3903</v>
      </c>
      <c r="Z618" t="s">
        <v>1513</v>
      </c>
      <c r="AA618" t="s">
        <v>3904</v>
      </c>
      <c r="AB618" t="s">
        <v>3905</v>
      </c>
      <c r="AC618" t="s">
        <v>3906</v>
      </c>
      <c r="AF618" t="s">
        <v>388</v>
      </c>
      <c r="AG618" t="s">
        <v>1372</v>
      </c>
      <c r="AK618">
        <v>0</v>
      </c>
      <c r="AO618" t="s">
        <v>1372</v>
      </c>
      <c r="AP618" t="s">
        <v>1373</v>
      </c>
    </row>
    <row r="619" hidden="1" spans="1:42">
      <c r="A619" t="s">
        <v>3907</v>
      </c>
      <c r="B619" t="s">
        <v>1356</v>
      </c>
      <c r="C619" t="s">
        <v>1375</v>
      </c>
      <c r="D619" t="s">
        <v>1780</v>
      </c>
      <c r="F619" t="s">
        <v>1377</v>
      </c>
      <c r="G619" s="45">
        <v>44815.9801388889</v>
      </c>
      <c r="H619" s="45">
        <v>44815.9802893518</v>
      </c>
      <c r="J619" t="s">
        <v>407</v>
      </c>
      <c r="M619">
        <v>249</v>
      </c>
      <c r="N619">
        <v>0</v>
      </c>
      <c r="O619">
        <v>0</v>
      </c>
      <c r="P619">
        <v>0</v>
      </c>
      <c r="Q619">
        <v>249</v>
      </c>
      <c r="R619">
        <v>249</v>
      </c>
      <c r="T619" t="s">
        <v>3908</v>
      </c>
      <c r="U619">
        <v>1</v>
      </c>
      <c r="V619" t="s">
        <v>1364</v>
      </c>
      <c r="X619" t="s">
        <v>592</v>
      </c>
      <c r="Y619" t="s">
        <v>3873</v>
      </c>
      <c r="Z619" t="s">
        <v>1678</v>
      </c>
      <c r="AA619" t="s">
        <v>2007</v>
      </c>
      <c r="AB619" t="s">
        <v>2451</v>
      </c>
      <c r="AC619" t="s">
        <v>3874</v>
      </c>
      <c r="AF619" t="s">
        <v>3876</v>
      </c>
      <c r="AG619" t="s">
        <v>1372</v>
      </c>
      <c r="AJ619" t="s">
        <v>2945</v>
      </c>
      <c r="AK619">
        <v>249</v>
      </c>
      <c r="AO619" t="s">
        <v>1372</v>
      </c>
      <c r="AP619" t="s">
        <v>1373</v>
      </c>
    </row>
    <row r="620" hidden="1" spans="1:42">
      <c r="A620" t="s">
        <v>3909</v>
      </c>
      <c r="B620" t="s">
        <v>1356</v>
      </c>
      <c r="C620" t="s">
        <v>1375</v>
      </c>
      <c r="D620" t="s">
        <v>1376</v>
      </c>
      <c r="F620" t="s">
        <v>1377</v>
      </c>
      <c r="G620" s="45">
        <v>44815.9744791667</v>
      </c>
      <c r="M620">
        <v>249</v>
      </c>
      <c r="N620">
        <v>0</v>
      </c>
      <c r="O620">
        <v>0</v>
      </c>
      <c r="P620">
        <v>0</v>
      </c>
      <c r="Q620">
        <v>249</v>
      </c>
      <c r="R620">
        <v>0</v>
      </c>
      <c r="T620" t="s">
        <v>3160</v>
      </c>
      <c r="U620">
        <v>1</v>
      </c>
      <c r="V620" t="s">
        <v>1364</v>
      </c>
      <c r="X620" t="s">
        <v>3910</v>
      </c>
      <c r="Y620" t="s">
        <v>3911</v>
      </c>
      <c r="Z620" t="s">
        <v>1560</v>
      </c>
      <c r="AA620" t="s">
        <v>1560</v>
      </c>
      <c r="AB620" t="s">
        <v>3476</v>
      </c>
      <c r="AC620" t="s">
        <v>3912</v>
      </c>
      <c r="AF620" t="s">
        <v>3913</v>
      </c>
      <c r="AG620" t="s">
        <v>1372</v>
      </c>
      <c r="AK620">
        <v>0</v>
      </c>
      <c r="AO620" t="s">
        <v>1372</v>
      </c>
      <c r="AP620" t="s">
        <v>1373</v>
      </c>
    </row>
    <row r="621" hidden="1" spans="1:42">
      <c r="A621" t="s">
        <v>3914</v>
      </c>
      <c r="B621" t="s">
        <v>1356</v>
      </c>
      <c r="C621" t="s">
        <v>1375</v>
      </c>
      <c r="D621" t="s">
        <v>1358</v>
      </c>
      <c r="F621" t="s">
        <v>1377</v>
      </c>
      <c r="G621" s="45">
        <v>44815.9690277778</v>
      </c>
      <c r="H621" s="45">
        <v>44815.9692592593</v>
      </c>
      <c r="J621" t="s">
        <v>407</v>
      </c>
      <c r="M621">
        <v>249</v>
      </c>
      <c r="N621">
        <v>0</v>
      </c>
      <c r="O621">
        <v>0</v>
      </c>
      <c r="P621">
        <v>0</v>
      </c>
      <c r="Q621">
        <v>249</v>
      </c>
      <c r="R621">
        <v>249</v>
      </c>
      <c r="T621" t="s">
        <v>3915</v>
      </c>
      <c r="U621">
        <v>1</v>
      </c>
      <c r="V621" t="s">
        <v>1364</v>
      </c>
      <c r="X621" t="s">
        <v>835</v>
      </c>
      <c r="Y621" t="s">
        <v>3916</v>
      </c>
      <c r="Z621" t="s">
        <v>1678</v>
      </c>
      <c r="AA621" t="s">
        <v>1679</v>
      </c>
      <c r="AB621" t="s">
        <v>3917</v>
      </c>
      <c r="AC621" t="s">
        <v>3918</v>
      </c>
      <c r="AF621" t="s">
        <v>835</v>
      </c>
      <c r="AG621" t="s">
        <v>1372</v>
      </c>
      <c r="AK621">
        <v>0</v>
      </c>
      <c r="AO621" t="s">
        <v>1372</v>
      </c>
      <c r="AP621" t="s">
        <v>1373</v>
      </c>
    </row>
    <row r="622" hidden="1" spans="1:42">
      <c r="A622" t="s">
        <v>3919</v>
      </c>
      <c r="B622" t="s">
        <v>1356</v>
      </c>
      <c r="C622" t="s">
        <v>1375</v>
      </c>
      <c r="D622" t="s">
        <v>1358</v>
      </c>
      <c r="F622" t="s">
        <v>1377</v>
      </c>
      <c r="G622" s="45">
        <v>44815.9646990741</v>
      </c>
      <c r="H622" s="45">
        <v>44815.965150463</v>
      </c>
      <c r="J622" t="s">
        <v>407</v>
      </c>
      <c r="M622">
        <v>249</v>
      </c>
      <c r="N622">
        <v>0</v>
      </c>
      <c r="O622">
        <v>0</v>
      </c>
      <c r="P622">
        <v>0</v>
      </c>
      <c r="Q622">
        <v>249</v>
      </c>
      <c r="R622">
        <v>249</v>
      </c>
      <c r="T622" t="s">
        <v>3920</v>
      </c>
      <c r="U622">
        <v>1</v>
      </c>
      <c r="V622" t="s">
        <v>1364</v>
      </c>
      <c r="X622" t="s">
        <v>837</v>
      </c>
      <c r="Y622" t="s">
        <v>3921</v>
      </c>
      <c r="Z622" t="s">
        <v>1367</v>
      </c>
      <c r="AA622" t="s">
        <v>3150</v>
      </c>
      <c r="AB622" t="s">
        <v>3922</v>
      </c>
      <c r="AC622" t="s">
        <v>3923</v>
      </c>
      <c r="AF622" t="s">
        <v>3924</v>
      </c>
      <c r="AG622" t="s">
        <v>1372</v>
      </c>
      <c r="AK622">
        <v>0</v>
      </c>
      <c r="AO622" t="s">
        <v>1372</v>
      </c>
      <c r="AP622" t="s">
        <v>1373</v>
      </c>
    </row>
    <row r="623" hidden="1" spans="1:42">
      <c r="A623" t="s">
        <v>3925</v>
      </c>
      <c r="B623" t="s">
        <v>1356</v>
      </c>
      <c r="C623" t="s">
        <v>1375</v>
      </c>
      <c r="D623" t="s">
        <v>1358</v>
      </c>
      <c r="F623" t="s">
        <v>1377</v>
      </c>
      <c r="G623" s="45">
        <v>44815.9594097222</v>
      </c>
      <c r="H623" s="45">
        <v>44815.9598726852</v>
      </c>
      <c r="J623" t="s">
        <v>407</v>
      </c>
      <c r="M623">
        <v>599</v>
      </c>
      <c r="N623">
        <v>0</v>
      </c>
      <c r="O623">
        <v>-5</v>
      </c>
      <c r="P623">
        <v>0</v>
      </c>
      <c r="Q623">
        <v>594</v>
      </c>
      <c r="R623">
        <v>594</v>
      </c>
      <c r="S623" t="s">
        <v>1422</v>
      </c>
      <c r="T623" t="s">
        <v>3602</v>
      </c>
      <c r="U623">
        <v>1</v>
      </c>
      <c r="V623" t="s">
        <v>1364</v>
      </c>
      <c r="X623" t="s">
        <v>389</v>
      </c>
      <c r="Y623" t="s">
        <v>3926</v>
      </c>
      <c r="Z623" t="s">
        <v>1466</v>
      </c>
      <c r="AA623" t="s">
        <v>1835</v>
      </c>
      <c r="AB623" t="s">
        <v>3610</v>
      </c>
      <c r="AC623" t="s">
        <v>3927</v>
      </c>
      <c r="AF623" t="s">
        <v>3928</v>
      </c>
      <c r="AG623" t="s">
        <v>1372</v>
      </c>
      <c r="AK623">
        <v>0</v>
      </c>
      <c r="AO623" t="s">
        <v>1372</v>
      </c>
      <c r="AP623" t="s">
        <v>1373</v>
      </c>
    </row>
    <row r="624" hidden="1" spans="1:42">
      <c r="A624" t="s">
        <v>3929</v>
      </c>
      <c r="B624" t="s">
        <v>1356</v>
      </c>
      <c r="C624" t="s">
        <v>1375</v>
      </c>
      <c r="D624" t="s">
        <v>1376</v>
      </c>
      <c r="F624" t="s">
        <v>1377</v>
      </c>
      <c r="G624" s="45">
        <v>44815.9590162037</v>
      </c>
      <c r="M624">
        <v>599</v>
      </c>
      <c r="N624">
        <v>0</v>
      </c>
      <c r="O624">
        <v>-6</v>
      </c>
      <c r="P624">
        <v>0</v>
      </c>
      <c r="Q624">
        <v>593</v>
      </c>
      <c r="R624">
        <v>0</v>
      </c>
      <c r="S624" t="s">
        <v>1463</v>
      </c>
      <c r="T624" t="s">
        <v>3930</v>
      </c>
      <c r="U624">
        <v>1</v>
      </c>
      <c r="V624" t="s">
        <v>1364</v>
      </c>
      <c r="X624" t="s">
        <v>405</v>
      </c>
      <c r="Y624" t="s">
        <v>3931</v>
      </c>
      <c r="Z624" t="s">
        <v>1430</v>
      </c>
      <c r="AA624" t="s">
        <v>2210</v>
      </c>
      <c r="AB624" t="s">
        <v>3932</v>
      </c>
      <c r="AC624" t="s">
        <v>3933</v>
      </c>
      <c r="AF624" t="s">
        <v>3934</v>
      </c>
      <c r="AG624" t="s">
        <v>1372</v>
      </c>
      <c r="AK624">
        <v>0</v>
      </c>
      <c r="AO624" t="s">
        <v>1372</v>
      </c>
      <c r="AP624" t="s">
        <v>1373</v>
      </c>
    </row>
    <row r="625" hidden="1" spans="1:42">
      <c r="A625" t="s">
        <v>3935</v>
      </c>
      <c r="B625" t="s">
        <v>1356</v>
      </c>
      <c r="C625" t="s">
        <v>1375</v>
      </c>
      <c r="D625" t="s">
        <v>1358</v>
      </c>
      <c r="F625" t="s">
        <v>1377</v>
      </c>
      <c r="G625" s="45">
        <v>44815.9561226852</v>
      </c>
      <c r="H625" s="45">
        <v>44815.9562384259</v>
      </c>
      <c r="J625" t="s">
        <v>407</v>
      </c>
      <c r="M625">
        <v>599</v>
      </c>
      <c r="N625">
        <v>0</v>
      </c>
      <c r="O625">
        <v>-5</v>
      </c>
      <c r="P625">
        <v>0</v>
      </c>
      <c r="Q625">
        <v>594</v>
      </c>
      <c r="R625">
        <v>594</v>
      </c>
      <c r="S625" t="s">
        <v>1422</v>
      </c>
      <c r="T625" t="s">
        <v>3878</v>
      </c>
      <c r="U625">
        <v>1</v>
      </c>
      <c r="V625" t="s">
        <v>1364</v>
      </c>
      <c r="X625" t="s">
        <v>385</v>
      </c>
      <c r="Y625" t="s">
        <v>3936</v>
      </c>
      <c r="Z625" t="s">
        <v>1710</v>
      </c>
      <c r="AA625" t="s">
        <v>3937</v>
      </c>
      <c r="AB625" t="s">
        <v>3938</v>
      </c>
      <c r="AC625" t="s">
        <v>3939</v>
      </c>
      <c r="AF625" t="s">
        <v>385</v>
      </c>
      <c r="AG625" t="s">
        <v>1372</v>
      </c>
      <c r="AK625">
        <v>0</v>
      </c>
      <c r="AL625" t="s">
        <v>3940</v>
      </c>
      <c r="AO625" t="s">
        <v>1372</v>
      </c>
      <c r="AP625" t="s">
        <v>1373</v>
      </c>
    </row>
    <row r="626" hidden="1" spans="1:42">
      <c r="A626" t="s">
        <v>3941</v>
      </c>
      <c r="B626" t="s">
        <v>1356</v>
      </c>
      <c r="C626" t="s">
        <v>1375</v>
      </c>
      <c r="D626" t="s">
        <v>1358</v>
      </c>
      <c r="F626" t="s">
        <v>1377</v>
      </c>
      <c r="G626" s="45">
        <v>44815.9541666667</v>
      </c>
      <c r="H626" s="45">
        <v>44815.954849537</v>
      </c>
      <c r="J626" t="s">
        <v>407</v>
      </c>
      <c r="M626">
        <v>219</v>
      </c>
      <c r="N626">
        <v>0</v>
      </c>
      <c r="O626">
        <v>0</v>
      </c>
      <c r="P626">
        <v>0</v>
      </c>
      <c r="Q626">
        <v>219</v>
      </c>
      <c r="R626">
        <v>219</v>
      </c>
      <c r="T626" t="s">
        <v>1620</v>
      </c>
      <c r="U626">
        <v>1</v>
      </c>
      <c r="V626" t="s">
        <v>1364</v>
      </c>
      <c r="X626" t="s">
        <v>392</v>
      </c>
      <c r="Y626" t="s">
        <v>3537</v>
      </c>
      <c r="Z626" t="s">
        <v>1560</v>
      </c>
      <c r="AA626" t="s">
        <v>1560</v>
      </c>
      <c r="AB626" t="s">
        <v>3538</v>
      </c>
      <c r="AC626" t="s">
        <v>3539</v>
      </c>
      <c r="AD626" t="s">
        <v>3942</v>
      </c>
      <c r="AF626" t="s">
        <v>392</v>
      </c>
      <c r="AG626" t="s">
        <v>1372</v>
      </c>
      <c r="AH626" t="s">
        <v>3537</v>
      </c>
      <c r="AK626">
        <v>0</v>
      </c>
      <c r="AO626" t="s">
        <v>1372</v>
      </c>
      <c r="AP626" t="s">
        <v>1373</v>
      </c>
    </row>
    <row r="627" hidden="1" spans="1:42">
      <c r="A627" t="s">
        <v>3943</v>
      </c>
      <c r="B627" t="s">
        <v>1356</v>
      </c>
      <c r="C627" t="s">
        <v>1357</v>
      </c>
      <c r="D627" t="s">
        <v>1358</v>
      </c>
      <c r="F627" t="s">
        <v>1359</v>
      </c>
      <c r="G627" s="45">
        <v>44815.9540856481</v>
      </c>
      <c r="H627" s="45">
        <v>44815.9544097222</v>
      </c>
      <c r="J627" t="s">
        <v>1360</v>
      </c>
      <c r="K627" t="s">
        <v>3944</v>
      </c>
      <c r="L627" t="s">
        <v>3945</v>
      </c>
      <c r="M627">
        <v>69</v>
      </c>
      <c r="N627">
        <v>0</v>
      </c>
      <c r="O627">
        <v>0</v>
      </c>
      <c r="P627">
        <v>0</v>
      </c>
      <c r="Q627">
        <v>69</v>
      </c>
      <c r="R627">
        <v>69</v>
      </c>
      <c r="T627" t="s">
        <v>1669</v>
      </c>
      <c r="U627">
        <v>1</v>
      </c>
      <c r="V627" t="s">
        <v>1364</v>
      </c>
      <c r="X627" t="s">
        <v>1058</v>
      </c>
      <c r="Y627" t="s">
        <v>3946</v>
      </c>
      <c r="Z627" t="s">
        <v>1533</v>
      </c>
      <c r="AA627" t="s">
        <v>2987</v>
      </c>
      <c r="AB627" t="s">
        <v>3947</v>
      </c>
      <c r="AC627" t="s">
        <v>3948</v>
      </c>
      <c r="AF627" t="s">
        <v>3949</v>
      </c>
      <c r="AG627" t="s">
        <v>1385</v>
      </c>
      <c r="AH627" t="s">
        <v>3946</v>
      </c>
      <c r="AK627">
        <v>0</v>
      </c>
      <c r="AO627" t="s">
        <v>1372</v>
      </c>
      <c r="AP627" t="s">
        <v>1373</v>
      </c>
    </row>
    <row r="628" hidden="1" spans="1:42">
      <c r="A628" t="s">
        <v>3950</v>
      </c>
      <c r="B628" t="s">
        <v>1356</v>
      </c>
      <c r="C628" t="s">
        <v>1357</v>
      </c>
      <c r="D628" t="s">
        <v>1358</v>
      </c>
      <c r="F628" t="s">
        <v>1359</v>
      </c>
      <c r="G628" s="45">
        <v>44815.9480555556</v>
      </c>
      <c r="H628" s="45">
        <v>44815.9481365741</v>
      </c>
      <c r="J628" t="s">
        <v>1360</v>
      </c>
      <c r="K628" t="s">
        <v>3951</v>
      </c>
      <c r="L628" t="s">
        <v>3952</v>
      </c>
      <c r="M628">
        <v>79</v>
      </c>
      <c r="N628">
        <v>0</v>
      </c>
      <c r="O628">
        <v>0</v>
      </c>
      <c r="P628">
        <v>0</v>
      </c>
      <c r="Q628">
        <v>79</v>
      </c>
      <c r="R628">
        <v>79</v>
      </c>
      <c r="T628" t="s">
        <v>3953</v>
      </c>
      <c r="U628">
        <v>1</v>
      </c>
      <c r="V628" t="s">
        <v>1364</v>
      </c>
      <c r="X628" t="s">
        <v>3954</v>
      </c>
      <c r="Y628" t="s">
        <v>3955</v>
      </c>
      <c r="Z628" t="s">
        <v>1804</v>
      </c>
      <c r="AA628" t="s">
        <v>2585</v>
      </c>
      <c r="AB628" t="s">
        <v>3956</v>
      </c>
      <c r="AC628" t="s">
        <v>3957</v>
      </c>
      <c r="AF628" t="s">
        <v>3954</v>
      </c>
      <c r="AG628" t="s">
        <v>1372</v>
      </c>
      <c r="AH628" t="s">
        <v>3955</v>
      </c>
      <c r="AK628">
        <v>0</v>
      </c>
      <c r="AO628" t="s">
        <v>1372</v>
      </c>
      <c r="AP628" t="s">
        <v>1373</v>
      </c>
    </row>
    <row r="629" hidden="1" spans="1:42">
      <c r="A629" t="s">
        <v>3958</v>
      </c>
      <c r="B629" t="s">
        <v>1356</v>
      </c>
      <c r="C629" t="s">
        <v>1375</v>
      </c>
      <c r="D629" t="s">
        <v>1358</v>
      </c>
      <c r="F629" t="s">
        <v>1377</v>
      </c>
      <c r="G629" s="45">
        <v>44815.9479166667</v>
      </c>
      <c r="H629" s="45">
        <v>44815.9480324074</v>
      </c>
      <c r="J629" t="s">
        <v>407</v>
      </c>
      <c r="M629">
        <v>249</v>
      </c>
      <c r="N629">
        <v>0</v>
      </c>
      <c r="O629">
        <v>0</v>
      </c>
      <c r="P629">
        <v>0</v>
      </c>
      <c r="Q629">
        <v>249</v>
      </c>
      <c r="R629">
        <v>249</v>
      </c>
      <c r="T629" t="s">
        <v>3483</v>
      </c>
      <c r="U629">
        <v>1</v>
      </c>
      <c r="V629" t="s">
        <v>1364</v>
      </c>
      <c r="X629" t="s">
        <v>840</v>
      </c>
      <c r="Y629" t="s">
        <v>3959</v>
      </c>
      <c r="Z629" t="s">
        <v>1380</v>
      </c>
      <c r="AA629" t="s">
        <v>1506</v>
      </c>
      <c r="AB629" t="s">
        <v>1653</v>
      </c>
      <c r="AC629" t="s">
        <v>3960</v>
      </c>
      <c r="AF629" t="s">
        <v>3961</v>
      </c>
      <c r="AG629" t="s">
        <v>1372</v>
      </c>
      <c r="AH629" t="s">
        <v>3962</v>
      </c>
      <c r="AK629">
        <v>0</v>
      </c>
      <c r="AO629" t="s">
        <v>1372</v>
      </c>
      <c r="AP629" t="s">
        <v>1373</v>
      </c>
    </row>
    <row r="630" hidden="1" spans="1:42">
      <c r="A630" t="s">
        <v>3963</v>
      </c>
      <c r="B630" t="s">
        <v>1356</v>
      </c>
      <c r="C630" t="s">
        <v>1375</v>
      </c>
      <c r="D630" t="s">
        <v>1358</v>
      </c>
      <c r="F630" t="s">
        <v>1377</v>
      </c>
      <c r="G630" s="45">
        <v>44815.9476273148</v>
      </c>
      <c r="H630" s="45">
        <v>44815.9478935185</v>
      </c>
      <c r="J630" t="s">
        <v>407</v>
      </c>
      <c r="M630">
        <v>249</v>
      </c>
      <c r="N630">
        <v>0</v>
      </c>
      <c r="O630">
        <v>0</v>
      </c>
      <c r="P630">
        <v>0</v>
      </c>
      <c r="Q630">
        <v>249</v>
      </c>
      <c r="R630">
        <v>249</v>
      </c>
      <c r="T630" t="s">
        <v>3670</v>
      </c>
      <c r="U630">
        <v>1</v>
      </c>
      <c r="V630" t="s">
        <v>1364</v>
      </c>
      <c r="X630" t="s">
        <v>797</v>
      </c>
      <c r="Y630" t="s">
        <v>3964</v>
      </c>
      <c r="Z630" t="s">
        <v>1513</v>
      </c>
      <c r="AA630" t="s">
        <v>3965</v>
      </c>
      <c r="AB630" t="s">
        <v>3966</v>
      </c>
      <c r="AC630" t="s">
        <v>3967</v>
      </c>
      <c r="AF630" t="s">
        <v>3964</v>
      </c>
      <c r="AG630" t="s">
        <v>1372</v>
      </c>
      <c r="AH630" t="s">
        <v>3964</v>
      </c>
      <c r="AK630">
        <v>0</v>
      </c>
      <c r="AO630" t="s">
        <v>1372</v>
      </c>
      <c r="AP630" t="s">
        <v>1373</v>
      </c>
    </row>
    <row r="631" hidden="1" spans="1:42">
      <c r="A631" t="s">
        <v>3968</v>
      </c>
      <c r="B631" t="s">
        <v>1356</v>
      </c>
      <c r="C631" t="s">
        <v>1375</v>
      </c>
      <c r="D631" t="s">
        <v>1376</v>
      </c>
      <c r="F631" t="s">
        <v>1377</v>
      </c>
      <c r="G631" s="45">
        <v>44815.946400463</v>
      </c>
      <c r="M631">
        <v>249</v>
      </c>
      <c r="N631">
        <v>0</v>
      </c>
      <c r="O631">
        <v>0</v>
      </c>
      <c r="P631">
        <v>0</v>
      </c>
      <c r="Q631">
        <v>249</v>
      </c>
      <c r="R631">
        <v>0</v>
      </c>
      <c r="T631" t="s">
        <v>3483</v>
      </c>
      <c r="U631">
        <v>1</v>
      </c>
      <c r="V631" t="s">
        <v>1364</v>
      </c>
      <c r="X631" t="s">
        <v>840</v>
      </c>
      <c r="Y631" t="s">
        <v>3959</v>
      </c>
      <c r="Z631" t="s">
        <v>1380</v>
      </c>
      <c r="AA631" t="s">
        <v>1506</v>
      </c>
      <c r="AB631" t="s">
        <v>1653</v>
      </c>
      <c r="AC631" t="s">
        <v>3960</v>
      </c>
      <c r="AF631" t="s">
        <v>3961</v>
      </c>
      <c r="AG631" t="s">
        <v>1372</v>
      </c>
      <c r="AH631" t="s">
        <v>3962</v>
      </c>
      <c r="AK631">
        <v>0</v>
      </c>
      <c r="AO631" t="s">
        <v>1372</v>
      </c>
      <c r="AP631" t="s">
        <v>1373</v>
      </c>
    </row>
    <row r="632" hidden="1" spans="1:42">
      <c r="A632" t="s">
        <v>3969</v>
      </c>
      <c r="B632" t="s">
        <v>1356</v>
      </c>
      <c r="C632" t="s">
        <v>1375</v>
      </c>
      <c r="D632" t="s">
        <v>1358</v>
      </c>
      <c r="F632" t="s">
        <v>1377</v>
      </c>
      <c r="G632" s="45">
        <v>44815.9434953704</v>
      </c>
      <c r="H632" s="45">
        <v>44815.9436342593</v>
      </c>
      <c r="J632" t="s">
        <v>407</v>
      </c>
      <c r="M632">
        <v>259</v>
      </c>
      <c r="N632">
        <v>0</v>
      </c>
      <c r="O632">
        <v>0</v>
      </c>
      <c r="P632">
        <v>0</v>
      </c>
      <c r="Q632">
        <v>259</v>
      </c>
      <c r="R632">
        <v>259</v>
      </c>
      <c r="T632" t="s">
        <v>3970</v>
      </c>
      <c r="U632">
        <v>1</v>
      </c>
      <c r="V632" t="s">
        <v>1364</v>
      </c>
      <c r="X632" t="s">
        <v>756</v>
      </c>
      <c r="Y632" t="s">
        <v>3971</v>
      </c>
      <c r="Z632" t="s">
        <v>1748</v>
      </c>
      <c r="AA632" t="s">
        <v>3972</v>
      </c>
      <c r="AB632" t="s">
        <v>3973</v>
      </c>
      <c r="AC632" t="s">
        <v>3974</v>
      </c>
      <c r="AD632" t="s">
        <v>3975</v>
      </c>
      <c r="AF632" t="s">
        <v>3976</v>
      </c>
      <c r="AG632" t="s">
        <v>1372</v>
      </c>
      <c r="AH632" t="s">
        <v>3976</v>
      </c>
      <c r="AK632">
        <v>0</v>
      </c>
      <c r="AO632" t="s">
        <v>1372</v>
      </c>
      <c r="AP632" t="s">
        <v>1373</v>
      </c>
    </row>
    <row r="633" hidden="1" spans="1:42">
      <c r="A633" t="s">
        <v>3977</v>
      </c>
      <c r="B633" t="s">
        <v>1356</v>
      </c>
      <c r="C633" t="s">
        <v>1375</v>
      </c>
      <c r="D633" t="s">
        <v>1358</v>
      </c>
      <c r="F633" t="s">
        <v>3560</v>
      </c>
      <c r="G633" s="45">
        <v>44815.9421064815</v>
      </c>
      <c r="H633" s="45">
        <v>44815.9422800926</v>
      </c>
      <c r="J633" t="s">
        <v>407</v>
      </c>
      <c r="M633">
        <v>39.9</v>
      </c>
      <c r="N633">
        <v>0</v>
      </c>
      <c r="O633">
        <v>-2</v>
      </c>
      <c r="P633">
        <v>0</v>
      </c>
      <c r="Q633">
        <v>37.9</v>
      </c>
      <c r="R633">
        <v>37.9</v>
      </c>
      <c r="S633" t="s">
        <v>1400</v>
      </c>
      <c r="T633" t="s">
        <v>1493</v>
      </c>
      <c r="U633">
        <v>1</v>
      </c>
      <c r="V633" t="s">
        <v>1364</v>
      </c>
      <c r="X633" t="s">
        <v>851</v>
      </c>
      <c r="Y633" t="s">
        <v>3978</v>
      </c>
      <c r="Z633" t="s">
        <v>2651</v>
      </c>
      <c r="AA633" t="s">
        <v>2652</v>
      </c>
      <c r="AB633" t="s">
        <v>3979</v>
      </c>
      <c r="AC633" t="s">
        <v>3980</v>
      </c>
      <c r="AF633" t="s">
        <v>3981</v>
      </c>
      <c r="AG633" t="s">
        <v>1385</v>
      </c>
      <c r="AH633" t="s">
        <v>3978</v>
      </c>
      <c r="AK633">
        <v>0</v>
      </c>
      <c r="AO633" t="s">
        <v>1372</v>
      </c>
      <c r="AP633" t="s">
        <v>1373</v>
      </c>
    </row>
    <row r="634" hidden="1" spans="1:42">
      <c r="A634" t="s">
        <v>3982</v>
      </c>
      <c r="B634" t="s">
        <v>1356</v>
      </c>
      <c r="C634" t="s">
        <v>1357</v>
      </c>
      <c r="D634" t="s">
        <v>1358</v>
      </c>
      <c r="F634" t="s">
        <v>1359</v>
      </c>
      <c r="G634" s="45">
        <v>44815.9400231481</v>
      </c>
      <c r="H634" s="45">
        <v>44815.9401273148</v>
      </c>
      <c r="J634" t="s">
        <v>1360</v>
      </c>
      <c r="K634" t="s">
        <v>3983</v>
      </c>
      <c r="L634" t="s">
        <v>3984</v>
      </c>
      <c r="M634">
        <v>69</v>
      </c>
      <c r="N634">
        <v>0</v>
      </c>
      <c r="O634">
        <v>0</v>
      </c>
      <c r="P634">
        <v>0</v>
      </c>
      <c r="Q634">
        <v>69</v>
      </c>
      <c r="R634">
        <v>69</v>
      </c>
      <c r="T634" t="s">
        <v>1669</v>
      </c>
      <c r="U634">
        <v>1</v>
      </c>
      <c r="V634" t="s">
        <v>1364</v>
      </c>
      <c r="X634" t="s">
        <v>3985</v>
      </c>
      <c r="Y634" t="s">
        <v>3986</v>
      </c>
      <c r="Z634" t="s">
        <v>1367</v>
      </c>
      <c r="AA634" t="s">
        <v>1368</v>
      </c>
      <c r="AB634" t="s">
        <v>3987</v>
      </c>
      <c r="AC634" t="s">
        <v>3988</v>
      </c>
      <c r="AF634" t="s">
        <v>3989</v>
      </c>
      <c r="AG634" t="s">
        <v>1372</v>
      </c>
      <c r="AH634" t="s">
        <v>3986</v>
      </c>
      <c r="AK634">
        <v>0</v>
      </c>
      <c r="AO634" t="s">
        <v>1372</v>
      </c>
      <c r="AP634" t="s">
        <v>1373</v>
      </c>
    </row>
    <row r="635" hidden="1" spans="1:42">
      <c r="A635" t="s">
        <v>3990</v>
      </c>
      <c r="B635" t="s">
        <v>1356</v>
      </c>
      <c r="C635" t="s">
        <v>1375</v>
      </c>
      <c r="D635" t="s">
        <v>1358</v>
      </c>
      <c r="F635" t="s">
        <v>1377</v>
      </c>
      <c r="G635" s="45">
        <v>44815.9380208333</v>
      </c>
      <c r="H635" s="45">
        <v>44815.938125</v>
      </c>
      <c r="J635" t="s">
        <v>407</v>
      </c>
      <c r="M635">
        <v>249</v>
      </c>
      <c r="N635">
        <v>10</v>
      </c>
      <c r="O635">
        <v>0</v>
      </c>
      <c r="P635">
        <v>0</v>
      </c>
      <c r="Q635">
        <v>259</v>
      </c>
      <c r="R635">
        <v>259</v>
      </c>
      <c r="T635" t="s">
        <v>1862</v>
      </c>
      <c r="U635">
        <v>1</v>
      </c>
      <c r="V635" t="s">
        <v>1364</v>
      </c>
      <c r="X635" t="s">
        <v>585</v>
      </c>
      <c r="Y635" t="s">
        <v>3991</v>
      </c>
      <c r="Z635" t="s">
        <v>2298</v>
      </c>
      <c r="AA635" t="s">
        <v>3568</v>
      </c>
      <c r="AB635" t="s">
        <v>3569</v>
      </c>
      <c r="AC635" t="s">
        <v>3992</v>
      </c>
      <c r="AF635" t="s">
        <v>3993</v>
      </c>
      <c r="AG635" t="s">
        <v>1372</v>
      </c>
      <c r="AK635">
        <v>0</v>
      </c>
      <c r="AO635" t="s">
        <v>1372</v>
      </c>
      <c r="AP635" t="s">
        <v>1373</v>
      </c>
    </row>
    <row r="636" hidden="1" spans="1:42">
      <c r="A636" t="s">
        <v>3994</v>
      </c>
      <c r="B636" t="s">
        <v>1356</v>
      </c>
      <c r="C636" t="s">
        <v>1375</v>
      </c>
      <c r="D636" t="s">
        <v>1780</v>
      </c>
      <c r="F636" t="s">
        <v>3560</v>
      </c>
      <c r="G636" s="45">
        <v>44815.9374537037</v>
      </c>
      <c r="H636" s="45">
        <v>44815.9380208333</v>
      </c>
      <c r="J636" t="s">
        <v>407</v>
      </c>
      <c r="M636">
        <v>99</v>
      </c>
      <c r="N636">
        <v>0</v>
      </c>
      <c r="O636">
        <v>0</v>
      </c>
      <c r="P636">
        <v>0</v>
      </c>
      <c r="Q636">
        <v>99</v>
      </c>
      <c r="R636">
        <v>99</v>
      </c>
      <c r="T636" t="s">
        <v>1651</v>
      </c>
      <c r="U636">
        <v>1</v>
      </c>
      <c r="V636" t="s">
        <v>1364</v>
      </c>
      <c r="X636" t="s">
        <v>3995</v>
      </c>
      <c r="Y636" t="s">
        <v>3996</v>
      </c>
      <c r="Z636" t="s">
        <v>1367</v>
      </c>
      <c r="AA636" t="s">
        <v>1943</v>
      </c>
      <c r="AB636" t="s">
        <v>3997</v>
      </c>
      <c r="AC636" t="s">
        <v>3998</v>
      </c>
      <c r="AF636" t="s">
        <v>3999</v>
      </c>
      <c r="AG636" t="s">
        <v>1372</v>
      </c>
      <c r="AJ636" t="s">
        <v>2945</v>
      </c>
      <c r="AK636">
        <v>99</v>
      </c>
      <c r="AO636" t="s">
        <v>1372</v>
      </c>
      <c r="AP636" t="s">
        <v>1373</v>
      </c>
    </row>
    <row r="637" hidden="1" spans="1:42">
      <c r="A637" t="s">
        <v>4000</v>
      </c>
      <c r="B637" t="s">
        <v>1356</v>
      </c>
      <c r="C637" t="s">
        <v>1375</v>
      </c>
      <c r="D637" t="s">
        <v>1358</v>
      </c>
      <c r="F637" t="s">
        <v>1377</v>
      </c>
      <c r="G637" s="45">
        <v>44815.9370717593</v>
      </c>
      <c r="H637" s="45">
        <v>44815.9372222222</v>
      </c>
      <c r="J637" t="s">
        <v>407</v>
      </c>
      <c r="M637">
        <v>249</v>
      </c>
      <c r="N637">
        <v>0</v>
      </c>
      <c r="O637">
        <v>0</v>
      </c>
      <c r="P637">
        <v>0</v>
      </c>
      <c r="Q637">
        <v>249</v>
      </c>
      <c r="R637">
        <v>249</v>
      </c>
      <c r="T637" t="s">
        <v>1862</v>
      </c>
      <c r="U637">
        <v>1</v>
      </c>
      <c r="V637" t="s">
        <v>1364</v>
      </c>
      <c r="X637" t="s">
        <v>472</v>
      </c>
      <c r="Y637" t="s">
        <v>2999</v>
      </c>
      <c r="Z637" t="s">
        <v>1824</v>
      </c>
      <c r="AA637" t="s">
        <v>3000</v>
      </c>
      <c r="AB637" t="s">
        <v>3001</v>
      </c>
      <c r="AC637" t="s">
        <v>3002</v>
      </c>
      <c r="AF637" t="s">
        <v>3003</v>
      </c>
      <c r="AG637" t="s">
        <v>1385</v>
      </c>
      <c r="AH637" t="s">
        <v>2999</v>
      </c>
      <c r="AK637">
        <v>0</v>
      </c>
      <c r="AO637" t="s">
        <v>1372</v>
      </c>
      <c r="AP637" t="s">
        <v>1373</v>
      </c>
    </row>
    <row r="638" hidden="1" spans="1:42">
      <c r="A638" t="s">
        <v>4001</v>
      </c>
      <c r="B638" t="s">
        <v>1356</v>
      </c>
      <c r="C638" t="s">
        <v>1375</v>
      </c>
      <c r="D638" t="s">
        <v>1358</v>
      </c>
      <c r="F638" t="s">
        <v>1377</v>
      </c>
      <c r="G638" s="45">
        <v>44815.9368402778</v>
      </c>
      <c r="H638" s="45">
        <v>44815.9369328704</v>
      </c>
      <c r="J638" t="s">
        <v>407</v>
      </c>
      <c r="M638">
        <v>249</v>
      </c>
      <c r="N638">
        <v>0</v>
      </c>
      <c r="O638">
        <v>-2</v>
      </c>
      <c r="P638">
        <v>0</v>
      </c>
      <c r="Q638">
        <v>247</v>
      </c>
      <c r="R638">
        <v>247</v>
      </c>
      <c r="S638" t="s">
        <v>1400</v>
      </c>
      <c r="T638" t="s">
        <v>1867</v>
      </c>
      <c r="U638">
        <v>1</v>
      </c>
      <c r="V638" t="s">
        <v>1364</v>
      </c>
      <c r="X638" t="s">
        <v>566</v>
      </c>
      <c r="Y638" t="s">
        <v>3506</v>
      </c>
      <c r="Z638" t="s">
        <v>1794</v>
      </c>
      <c r="AA638" t="s">
        <v>3507</v>
      </c>
      <c r="AB638" t="s">
        <v>3508</v>
      </c>
      <c r="AC638" t="s">
        <v>3509</v>
      </c>
      <c r="AF638" t="s">
        <v>4002</v>
      </c>
      <c r="AG638" t="s">
        <v>1372</v>
      </c>
      <c r="AH638" t="s">
        <v>3506</v>
      </c>
      <c r="AK638">
        <v>0</v>
      </c>
      <c r="AO638" t="s">
        <v>1372</v>
      </c>
      <c r="AP638" t="s">
        <v>1373</v>
      </c>
    </row>
    <row r="639" hidden="1" spans="1:42">
      <c r="A639" t="s">
        <v>4003</v>
      </c>
      <c r="B639" t="s">
        <v>1356</v>
      </c>
      <c r="C639" t="s">
        <v>1375</v>
      </c>
      <c r="D639" t="s">
        <v>1358</v>
      </c>
      <c r="F639" t="s">
        <v>1377</v>
      </c>
      <c r="G639" s="45">
        <v>44815.936412037</v>
      </c>
      <c r="H639" s="45">
        <v>44815.9366550926</v>
      </c>
      <c r="J639" t="s">
        <v>407</v>
      </c>
      <c r="M639">
        <v>249</v>
      </c>
      <c r="N639">
        <v>0</v>
      </c>
      <c r="O639">
        <v>-5</v>
      </c>
      <c r="P639">
        <v>0</v>
      </c>
      <c r="Q639">
        <v>244</v>
      </c>
      <c r="R639">
        <v>244</v>
      </c>
      <c r="S639" t="s">
        <v>1422</v>
      </c>
      <c r="T639" t="s">
        <v>2573</v>
      </c>
      <c r="U639">
        <v>1</v>
      </c>
      <c r="V639" t="s">
        <v>1364</v>
      </c>
      <c r="X639" t="s">
        <v>449</v>
      </c>
      <c r="Y639" t="s">
        <v>2107</v>
      </c>
      <c r="Z639" t="s">
        <v>1367</v>
      </c>
      <c r="AA639" t="s">
        <v>1486</v>
      </c>
      <c r="AB639" t="s">
        <v>1487</v>
      </c>
      <c r="AC639" t="s">
        <v>2108</v>
      </c>
      <c r="AF639" t="s">
        <v>2109</v>
      </c>
      <c r="AG639" t="s">
        <v>1385</v>
      </c>
      <c r="AH639" t="s">
        <v>2107</v>
      </c>
      <c r="AK639">
        <v>0</v>
      </c>
      <c r="AO639" t="s">
        <v>1372</v>
      </c>
      <c r="AP639" t="s">
        <v>1373</v>
      </c>
    </row>
    <row r="640" hidden="1" spans="1:42">
      <c r="A640" t="s">
        <v>4004</v>
      </c>
      <c r="B640" t="s">
        <v>1356</v>
      </c>
      <c r="C640" t="s">
        <v>1375</v>
      </c>
      <c r="D640" t="s">
        <v>1358</v>
      </c>
      <c r="F640" t="s">
        <v>1377</v>
      </c>
      <c r="G640" s="45">
        <v>44815.9360763889</v>
      </c>
      <c r="H640" s="45">
        <v>44815.9365162037</v>
      </c>
      <c r="J640" t="s">
        <v>407</v>
      </c>
      <c r="M640">
        <v>249</v>
      </c>
      <c r="N640">
        <v>0</v>
      </c>
      <c r="O640">
        <v>-4</v>
      </c>
      <c r="P640">
        <v>0</v>
      </c>
      <c r="Q640">
        <v>245</v>
      </c>
      <c r="R640">
        <v>245</v>
      </c>
      <c r="S640" t="s">
        <v>1388</v>
      </c>
      <c r="T640" t="s">
        <v>1872</v>
      </c>
      <c r="U640">
        <v>1</v>
      </c>
      <c r="V640" t="s">
        <v>1364</v>
      </c>
      <c r="X640" t="s">
        <v>621</v>
      </c>
      <c r="Y640" t="s">
        <v>4005</v>
      </c>
      <c r="Z640" t="s">
        <v>1367</v>
      </c>
      <c r="AA640" t="s">
        <v>1486</v>
      </c>
      <c r="AB640" t="s">
        <v>1487</v>
      </c>
      <c r="AC640" t="s">
        <v>4006</v>
      </c>
      <c r="AF640" t="s">
        <v>4005</v>
      </c>
      <c r="AG640" t="s">
        <v>1372</v>
      </c>
      <c r="AH640" t="s">
        <v>4005</v>
      </c>
      <c r="AK640">
        <v>0</v>
      </c>
      <c r="AO640" t="s">
        <v>1372</v>
      </c>
      <c r="AP640" t="s">
        <v>1373</v>
      </c>
    </row>
    <row r="641" hidden="1" spans="1:42">
      <c r="A641" t="s">
        <v>4007</v>
      </c>
      <c r="B641" t="s">
        <v>1356</v>
      </c>
      <c r="C641" t="s">
        <v>1375</v>
      </c>
      <c r="D641" t="s">
        <v>1376</v>
      </c>
      <c r="F641" t="s">
        <v>1377</v>
      </c>
      <c r="G641" s="45">
        <v>44815.935787037</v>
      </c>
      <c r="M641">
        <v>359</v>
      </c>
      <c r="N641">
        <v>0</v>
      </c>
      <c r="O641">
        <v>-2</v>
      </c>
      <c r="P641">
        <v>0</v>
      </c>
      <c r="Q641">
        <v>357</v>
      </c>
      <c r="R641">
        <v>0</v>
      </c>
      <c r="S641" t="s">
        <v>1400</v>
      </c>
      <c r="T641" t="s">
        <v>3416</v>
      </c>
      <c r="U641">
        <v>1</v>
      </c>
      <c r="V641" t="s">
        <v>1364</v>
      </c>
      <c r="X641" t="s">
        <v>392</v>
      </c>
      <c r="Y641" t="s">
        <v>3537</v>
      </c>
      <c r="Z641" t="s">
        <v>1560</v>
      </c>
      <c r="AA641" t="s">
        <v>1560</v>
      </c>
      <c r="AB641" t="s">
        <v>3538</v>
      </c>
      <c r="AC641" t="s">
        <v>3539</v>
      </c>
      <c r="AF641" t="s">
        <v>392</v>
      </c>
      <c r="AG641" t="s">
        <v>1372</v>
      </c>
      <c r="AH641" t="s">
        <v>3537</v>
      </c>
      <c r="AK641">
        <v>0</v>
      </c>
      <c r="AO641" t="s">
        <v>1372</v>
      </c>
      <c r="AP641" t="s">
        <v>1373</v>
      </c>
    </row>
    <row r="642" hidden="1" spans="1:42">
      <c r="A642" t="s">
        <v>4008</v>
      </c>
      <c r="B642" t="s">
        <v>1356</v>
      </c>
      <c r="C642" t="s">
        <v>1375</v>
      </c>
      <c r="D642" t="s">
        <v>1358</v>
      </c>
      <c r="F642" t="s">
        <v>1377</v>
      </c>
      <c r="G642" s="45">
        <v>44815.9357175926</v>
      </c>
      <c r="H642" s="45">
        <v>44815.9358449074</v>
      </c>
      <c r="J642" t="s">
        <v>407</v>
      </c>
      <c r="M642">
        <v>249</v>
      </c>
      <c r="N642">
        <v>0</v>
      </c>
      <c r="O642">
        <v>-4</v>
      </c>
      <c r="P642">
        <v>0</v>
      </c>
      <c r="Q642">
        <v>245</v>
      </c>
      <c r="R642">
        <v>245</v>
      </c>
      <c r="S642" t="s">
        <v>1388</v>
      </c>
      <c r="T642" t="s">
        <v>3915</v>
      </c>
      <c r="U642">
        <v>1</v>
      </c>
      <c r="V642" t="s">
        <v>1364</v>
      </c>
      <c r="X642" t="s">
        <v>623</v>
      </c>
      <c r="Y642" t="s">
        <v>3619</v>
      </c>
      <c r="Z642" t="s">
        <v>2386</v>
      </c>
      <c r="AA642" t="s">
        <v>2386</v>
      </c>
      <c r="AB642" t="s">
        <v>3620</v>
      </c>
      <c r="AC642" t="s">
        <v>3621</v>
      </c>
      <c r="AF642" t="s">
        <v>3622</v>
      </c>
      <c r="AG642" t="s">
        <v>1372</v>
      </c>
      <c r="AK642">
        <v>0</v>
      </c>
      <c r="AO642" t="s">
        <v>1372</v>
      </c>
      <c r="AP642" t="s">
        <v>1373</v>
      </c>
    </row>
    <row r="643" hidden="1" spans="1:42">
      <c r="A643" t="s">
        <v>4009</v>
      </c>
      <c r="B643" t="s">
        <v>1356</v>
      </c>
      <c r="C643" t="s">
        <v>1375</v>
      </c>
      <c r="D643" t="s">
        <v>1358</v>
      </c>
      <c r="F643" t="s">
        <v>1377</v>
      </c>
      <c r="G643" s="45">
        <v>44815.9336342593</v>
      </c>
      <c r="H643" s="45">
        <v>44815.9341898148</v>
      </c>
      <c r="J643" t="s">
        <v>407</v>
      </c>
      <c r="M643">
        <v>249</v>
      </c>
      <c r="N643">
        <v>0</v>
      </c>
      <c r="O643">
        <v>0</v>
      </c>
      <c r="P643">
        <v>0</v>
      </c>
      <c r="Q643">
        <v>249</v>
      </c>
      <c r="R643">
        <v>249</v>
      </c>
      <c r="T643" t="s">
        <v>4010</v>
      </c>
      <c r="U643">
        <v>1</v>
      </c>
      <c r="V643" t="s">
        <v>1364</v>
      </c>
      <c r="X643" t="s">
        <v>621</v>
      </c>
      <c r="Y643" t="s">
        <v>4005</v>
      </c>
      <c r="Z643" t="s">
        <v>1367</v>
      </c>
      <c r="AA643" t="s">
        <v>1486</v>
      </c>
      <c r="AB643" t="s">
        <v>1487</v>
      </c>
      <c r="AC643" t="s">
        <v>4006</v>
      </c>
      <c r="AF643" t="s">
        <v>4005</v>
      </c>
      <c r="AG643" t="s">
        <v>1372</v>
      </c>
      <c r="AH643" t="s">
        <v>4005</v>
      </c>
      <c r="AK643">
        <v>0</v>
      </c>
      <c r="AO643" t="s">
        <v>1372</v>
      </c>
      <c r="AP643" t="s">
        <v>1373</v>
      </c>
    </row>
    <row r="644" hidden="1" spans="1:42">
      <c r="A644" t="s">
        <v>4011</v>
      </c>
      <c r="B644" t="s">
        <v>1356</v>
      </c>
      <c r="C644" t="s">
        <v>1375</v>
      </c>
      <c r="D644" t="s">
        <v>1358</v>
      </c>
      <c r="F644" t="s">
        <v>1377</v>
      </c>
      <c r="G644" s="45">
        <v>44815.9328819444</v>
      </c>
      <c r="H644" s="45">
        <v>44815.9332291667</v>
      </c>
      <c r="J644" t="s">
        <v>407</v>
      </c>
      <c r="M644">
        <v>249</v>
      </c>
      <c r="N644">
        <v>0</v>
      </c>
      <c r="O644">
        <v>0</v>
      </c>
      <c r="P644">
        <v>0</v>
      </c>
      <c r="Q644">
        <v>249</v>
      </c>
      <c r="R644">
        <v>249</v>
      </c>
      <c r="T644" t="s">
        <v>3384</v>
      </c>
      <c r="U644">
        <v>1</v>
      </c>
      <c r="V644" t="s">
        <v>1364</v>
      </c>
      <c r="X644" t="s">
        <v>839</v>
      </c>
      <c r="Y644" t="s">
        <v>4012</v>
      </c>
      <c r="Z644" t="s">
        <v>1626</v>
      </c>
      <c r="AA644" t="s">
        <v>2741</v>
      </c>
      <c r="AB644" t="s">
        <v>2742</v>
      </c>
      <c r="AC644" t="s">
        <v>4013</v>
      </c>
      <c r="AF644" t="s">
        <v>4014</v>
      </c>
      <c r="AG644" t="s">
        <v>1372</v>
      </c>
      <c r="AH644" t="s">
        <v>4012</v>
      </c>
      <c r="AK644">
        <v>0</v>
      </c>
      <c r="AO644" t="s">
        <v>1372</v>
      </c>
      <c r="AP644" t="s">
        <v>1373</v>
      </c>
    </row>
    <row r="645" hidden="1" spans="1:42">
      <c r="A645" t="s">
        <v>4015</v>
      </c>
      <c r="B645" t="s">
        <v>1356</v>
      </c>
      <c r="C645" t="s">
        <v>1375</v>
      </c>
      <c r="D645" t="s">
        <v>1358</v>
      </c>
      <c r="F645" t="s">
        <v>1377</v>
      </c>
      <c r="G645" s="45">
        <v>44815.931099537</v>
      </c>
      <c r="H645" s="45">
        <v>44815.9328009259</v>
      </c>
      <c r="J645" t="s">
        <v>407</v>
      </c>
      <c r="M645">
        <v>39.9</v>
      </c>
      <c r="N645">
        <v>0</v>
      </c>
      <c r="O645">
        <v>-2</v>
      </c>
      <c r="P645">
        <v>0</v>
      </c>
      <c r="Q645">
        <v>37.9</v>
      </c>
      <c r="R645">
        <v>37.9</v>
      </c>
      <c r="S645" t="s">
        <v>1400</v>
      </c>
      <c r="T645" t="s">
        <v>4016</v>
      </c>
      <c r="U645">
        <v>1</v>
      </c>
      <c r="V645" t="s">
        <v>1364</v>
      </c>
      <c r="X645" t="s">
        <v>853</v>
      </c>
      <c r="Y645" t="s">
        <v>4017</v>
      </c>
      <c r="Z645" t="s">
        <v>1626</v>
      </c>
      <c r="AA645" t="s">
        <v>4018</v>
      </c>
      <c r="AB645" t="s">
        <v>4019</v>
      </c>
      <c r="AC645" t="s">
        <v>4020</v>
      </c>
      <c r="AF645" t="s">
        <v>4021</v>
      </c>
      <c r="AG645" t="s">
        <v>1385</v>
      </c>
      <c r="AH645" t="s">
        <v>4017</v>
      </c>
      <c r="AK645">
        <v>0</v>
      </c>
      <c r="AO645" t="s">
        <v>1372</v>
      </c>
      <c r="AP645" t="s">
        <v>1373</v>
      </c>
    </row>
    <row r="646" hidden="1" spans="1:42">
      <c r="A646" t="s">
        <v>4022</v>
      </c>
      <c r="B646" t="s">
        <v>1356</v>
      </c>
      <c r="C646" t="s">
        <v>1375</v>
      </c>
      <c r="D646" t="s">
        <v>1358</v>
      </c>
      <c r="F646" t="s">
        <v>1377</v>
      </c>
      <c r="G646" s="45">
        <v>44815.9309375</v>
      </c>
      <c r="H646" s="45">
        <v>44815.9310300926</v>
      </c>
      <c r="J646" t="s">
        <v>407</v>
      </c>
      <c r="M646">
        <v>99</v>
      </c>
      <c r="N646">
        <v>0</v>
      </c>
      <c r="O646">
        <v>-4</v>
      </c>
      <c r="P646">
        <v>0</v>
      </c>
      <c r="Q646">
        <v>95</v>
      </c>
      <c r="R646">
        <v>95</v>
      </c>
      <c r="S646" t="s">
        <v>1388</v>
      </c>
      <c r="T646" t="s">
        <v>4023</v>
      </c>
      <c r="U646">
        <v>1</v>
      </c>
      <c r="V646" t="s">
        <v>1364</v>
      </c>
      <c r="X646" t="s">
        <v>566</v>
      </c>
      <c r="Y646" t="s">
        <v>3506</v>
      </c>
      <c r="Z646" t="s">
        <v>1794</v>
      </c>
      <c r="AA646" t="s">
        <v>3507</v>
      </c>
      <c r="AB646" t="s">
        <v>3508</v>
      </c>
      <c r="AC646" t="s">
        <v>3509</v>
      </c>
      <c r="AF646" t="s">
        <v>4002</v>
      </c>
      <c r="AG646" t="s">
        <v>1372</v>
      </c>
      <c r="AH646" t="s">
        <v>3506</v>
      </c>
      <c r="AK646">
        <v>0</v>
      </c>
      <c r="AO646" t="s">
        <v>1372</v>
      </c>
      <c r="AP646" t="s">
        <v>1373</v>
      </c>
    </row>
    <row r="647" hidden="1" spans="1:42">
      <c r="A647" t="s">
        <v>4024</v>
      </c>
      <c r="B647" t="s">
        <v>1356</v>
      </c>
      <c r="C647" t="s">
        <v>1375</v>
      </c>
      <c r="D647" t="s">
        <v>1358</v>
      </c>
      <c r="F647" t="s">
        <v>1377</v>
      </c>
      <c r="G647" s="45">
        <v>44815.9285300926</v>
      </c>
      <c r="H647" s="45">
        <v>44815.9288078704</v>
      </c>
      <c r="J647" t="s">
        <v>407</v>
      </c>
      <c r="M647">
        <v>249</v>
      </c>
      <c r="N647">
        <v>0</v>
      </c>
      <c r="O647">
        <v>0</v>
      </c>
      <c r="P647">
        <v>0</v>
      </c>
      <c r="Q647">
        <v>249</v>
      </c>
      <c r="R647">
        <v>249</v>
      </c>
      <c r="T647" t="s">
        <v>3375</v>
      </c>
      <c r="U647">
        <v>1</v>
      </c>
      <c r="V647" t="s">
        <v>1364</v>
      </c>
      <c r="X647" t="s">
        <v>789</v>
      </c>
      <c r="Y647" t="s">
        <v>4025</v>
      </c>
      <c r="Z647" t="s">
        <v>1533</v>
      </c>
      <c r="AA647" t="s">
        <v>3067</v>
      </c>
      <c r="AB647" t="s">
        <v>4026</v>
      </c>
      <c r="AC647" t="s">
        <v>4027</v>
      </c>
      <c r="AF647" t="s">
        <v>789</v>
      </c>
      <c r="AG647" t="s">
        <v>1372</v>
      </c>
      <c r="AH647" t="s">
        <v>4025</v>
      </c>
      <c r="AK647">
        <v>0</v>
      </c>
      <c r="AO647" t="s">
        <v>1372</v>
      </c>
      <c r="AP647" t="s">
        <v>1373</v>
      </c>
    </row>
    <row r="648" hidden="1" spans="1:42">
      <c r="A648" t="s">
        <v>4028</v>
      </c>
      <c r="B648" t="s">
        <v>1356</v>
      </c>
      <c r="C648" t="s">
        <v>1357</v>
      </c>
      <c r="D648" t="s">
        <v>1358</v>
      </c>
      <c r="F648" t="s">
        <v>1359</v>
      </c>
      <c r="G648" s="45">
        <v>44815.9278703704</v>
      </c>
      <c r="H648" s="45">
        <v>44815.9279398148</v>
      </c>
      <c r="J648" t="s">
        <v>1360</v>
      </c>
      <c r="K648" t="s">
        <v>4029</v>
      </c>
      <c r="L648" t="s">
        <v>4030</v>
      </c>
      <c r="M648">
        <v>79</v>
      </c>
      <c r="N648">
        <v>0</v>
      </c>
      <c r="O648">
        <v>0</v>
      </c>
      <c r="P648">
        <v>0</v>
      </c>
      <c r="Q648">
        <v>79</v>
      </c>
      <c r="R648">
        <v>79</v>
      </c>
      <c r="T648" t="s">
        <v>4031</v>
      </c>
      <c r="U648">
        <v>1</v>
      </c>
      <c r="V648" t="s">
        <v>1364</v>
      </c>
      <c r="X648" t="s">
        <v>4032</v>
      </c>
      <c r="Y648" t="s">
        <v>4033</v>
      </c>
      <c r="Z648" t="s">
        <v>1853</v>
      </c>
      <c r="AA648" t="s">
        <v>3210</v>
      </c>
      <c r="AB648" t="s">
        <v>4034</v>
      </c>
      <c r="AC648" t="s">
        <v>4035</v>
      </c>
      <c r="AF648" t="s">
        <v>4036</v>
      </c>
      <c r="AG648" t="s">
        <v>1385</v>
      </c>
      <c r="AH648" t="s">
        <v>4037</v>
      </c>
      <c r="AK648">
        <v>0</v>
      </c>
      <c r="AO648" t="s">
        <v>1372</v>
      </c>
      <c r="AP648" t="s">
        <v>1373</v>
      </c>
    </row>
    <row r="649" hidden="1" spans="1:42">
      <c r="A649" t="s">
        <v>4038</v>
      </c>
      <c r="B649" t="s">
        <v>1356</v>
      </c>
      <c r="C649" t="s">
        <v>1375</v>
      </c>
      <c r="D649" t="s">
        <v>1358</v>
      </c>
      <c r="F649" t="s">
        <v>1377</v>
      </c>
      <c r="G649" s="45">
        <v>44815.9269444444</v>
      </c>
      <c r="H649" s="45">
        <v>44815.9273148148</v>
      </c>
      <c r="J649" t="s">
        <v>407</v>
      </c>
      <c r="M649">
        <v>359</v>
      </c>
      <c r="N649">
        <v>0</v>
      </c>
      <c r="O649">
        <v>0</v>
      </c>
      <c r="P649">
        <v>0</v>
      </c>
      <c r="Q649">
        <v>359</v>
      </c>
      <c r="R649">
        <v>359</v>
      </c>
      <c r="T649" t="s">
        <v>4039</v>
      </c>
      <c r="U649">
        <v>1</v>
      </c>
      <c r="V649" t="s">
        <v>1364</v>
      </c>
      <c r="X649" t="s">
        <v>680</v>
      </c>
      <c r="Y649" t="s">
        <v>4040</v>
      </c>
      <c r="Z649" t="s">
        <v>1748</v>
      </c>
      <c r="AA649" t="s">
        <v>4041</v>
      </c>
      <c r="AB649" t="s">
        <v>4042</v>
      </c>
      <c r="AC649" t="s">
        <v>4043</v>
      </c>
      <c r="AF649" t="s">
        <v>4044</v>
      </c>
      <c r="AG649" t="s">
        <v>1372</v>
      </c>
      <c r="AK649">
        <v>0</v>
      </c>
      <c r="AO649" t="s">
        <v>1372</v>
      </c>
      <c r="AP649" t="s">
        <v>1373</v>
      </c>
    </row>
    <row r="650" hidden="1" spans="1:42">
      <c r="A650" t="s">
        <v>4045</v>
      </c>
      <c r="B650" t="s">
        <v>1356</v>
      </c>
      <c r="C650" t="s">
        <v>1375</v>
      </c>
      <c r="D650" t="s">
        <v>1358</v>
      </c>
      <c r="F650" t="s">
        <v>1377</v>
      </c>
      <c r="G650" s="45">
        <v>44815.9263888889</v>
      </c>
      <c r="H650" s="45">
        <v>44815.926712963</v>
      </c>
      <c r="J650" t="s">
        <v>407</v>
      </c>
      <c r="M650">
        <v>249</v>
      </c>
      <c r="N650">
        <v>0</v>
      </c>
      <c r="O650">
        <v>-4</v>
      </c>
      <c r="P650">
        <v>0</v>
      </c>
      <c r="Q650">
        <v>245</v>
      </c>
      <c r="R650">
        <v>245</v>
      </c>
      <c r="S650" t="s">
        <v>1388</v>
      </c>
      <c r="T650" t="s">
        <v>3261</v>
      </c>
      <c r="U650">
        <v>1</v>
      </c>
      <c r="V650" t="s">
        <v>1364</v>
      </c>
      <c r="X650" t="s">
        <v>389</v>
      </c>
      <c r="Y650" t="s">
        <v>3926</v>
      </c>
      <c r="Z650" t="s">
        <v>1466</v>
      </c>
      <c r="AA650" t="s">
        <v>1835</v>
      </c>
      <c r="AB650" t="s">
        <v>3610</v>
      </c>
      <c r="AC650" t="s">
        <v>3927</v>
      </c>
      <c r="AF650" t="s">
        <v>3928</v>
      </c>
      <c r="AG650" t="s">
        <v>1372</v>
      </c>
      <c r="AK650">
        <v>0</v>
      </c>
      <c r="AO650" t="s">
        <v>1372</v>
      </c>
      <c r="AP650" t="s">
        <v>1373</v>
      </c>
    </row>
    <row r="651" hidden="1" spans="1:42">
      <c r="A651" t="s">
        <v>4046</v>
      </c>
      <c r="B651" t="s">
        <v>1356</v>
      </c>
      <c r="C651" t="s">
        <v>1375</v>
      </c>
      <c r="D651" t="s">
        <v>1358</v>
      </c>
      <c r="F651" t="s">
        <v>1377</v>
      </c>
      <c r="G651" s="45">
        <v>44815.9263194444</v>
      </c>
      <c r="H651" s="45">
        <v>44815.9264236111</v>
      </c>
      <c r="J651" t="s">
        <v>407</v>
      </c>
      <c r="M651">
        <v>249</v>
      </c>
      <c r="N651">
        <v>0</v>
      </c>
      <c r="O651">
        <v>0</v>
      </c>
      <c r="P651">
        <v>0</v>
      </c>
      <c r="Q651">
        <v>249</v>
      </c>
      <c r="R651">
        <v>249</v>
      </c>
      <c r="T651" t="s">
        <v>3259</v>
      </c>
      <c r="U651">
        <v>1</v>
      </c>
      <c r="V651" t="s">
        <v>1364</v>
      </c>
      <c r="X651" t="s">
        <v>566</v>
      </c>
      <c r="Y651" t="s">
        <v>3506</v>
      </c>
      <c r="Z651" t="s">
        <v>1794</v>
      </c>
      <c r="AA651" t="s">
        <v>3507</v>
      </c>
      <c r="AB651" t="s">
        <v>3508</v>
      </c>
      <c r="AC651" t="s">
        <v>3509</v>
      </c>
      <c r="AF651" t="s">
        <v>4002</v>
      </c>
      <c r="AG651" t="s">
        <v>1372</v>
      </c>
      <c r="AH651" t="s">
        <v>3506</v>
      </c>
      <c r="AK651">
        <v>0</v>
      </c>
      <c r="AO651" t="s">
        <v>1372</v>
      </c>
      <c r="AP651" t="s">
        <v>1373</v>
      </c>
    </row>
    <row r="652" hidden="1" spans="1:42">
      <c r="A652" t="s">
        <v>4047</v>
      </c>
      <c r="B652" t="s">
        <v>1356</v>
      </c>
      <c r="C652" t="s">
        <v>1375</v>
      </c>
      <c r="D652" t="s">
        <v>1780</v>
      </c>
      <c r="F652" t="s">
        <v>1377</v>
      </c>
      <c r="G652" s="45">
        <v>44815.9162037037</v>
      </c>
      <c r="H652" s="45">
        <v>44815.9164351852</v>
      </c>
      <c r="J652" t="s">
        <v>407</v>
      </c>
      <c r="M652">
        <v>259</v>
      </c>
      <c r="N652">
        <v>0</v>
      </c>
      <c r="O652">
        <v>-4</v>
      </c>
      <c r="P652">
        <v>0</v>
      </c>
      <c r="Q652">
        <v>255</v>
      </c>
      <c r="R652">
        <v>255</v>
      </c>
      <c r="S652" t="s">
        <v>1388</v>
      </c>
      <c r="T652" t="s">
        <v>4048</v>
      </c>
      <c r="U652">
        <v>1</v>
      </c>
      <c r="V652" t="s">
        <v>1364</v>
      </c>
      <c r="X652" t="s">
        <v>405</v>
      </c>
      <c r="Y652" t="s">
        <v>3931</v>
      </c>
      <c r="Z652" t="s">
        <v>1430</v>
      </c>
      <c r="AA652" t="s">
        <v>2210</v>
      </c>
      <c r="AB652" t="s">
        <v>3932</v>
      </c>
      <c r="AC652" t="s">
        <v>3933</v>
      </c>
      <c r="AF652" t="s">
        <v>3934</v>
      </c>
      <c r="AG652" t="s">
        <v>1372</v>
      </c>
      <c r="AJ652" t="s">
        <v>2945</v>
      </c>
      <c r="AK652">
        <v>255</v>
      </c>
      <c r="AO652" t="s">
        <v>1372</v>
      </c>
      <c r="AP652" t="s">
        <v>1373</v>
      </c>
    </row>
    <row r="653" hidden="1" spans="1:42">
      <c r="A653" t="s">
        <v>4049</v>
      </c>
      <c r="B653" t="s">
        <v>1356</v>
      </c>
      <c r="C653" t="s">
        <v>1375</v>
      </c>
      <c r="D653" t="s">
        <v>1358</v>
      </c>
      <c r="F653" t="s">
        <v>1377</v>
      </c>
      <c r="G653" s="45">
        <v>44815.9148263889</v>
      </c>
      <c r="H653" s="45">
        <v>44815.9149652778</v>
      </c>
      <c r="J653" t="s">
        <v>407</v>
      </c>
      <c r="M653">
        <v>259</v>
      </c>
      <c r="N653">
        <v>0</v>
      </c>
      <c r="O653">
        <v>-5</v>
      </c>
      <c r="P653">
        <v>0</v>
      </c>
      <c r="Q653">
        <v>254</v>
      </c>
      <c r="R653">
        <v>254</v>
      </c>
      <c r="S653" t="s">
        <v>1422</v>
      </c>
      <c r="T653" t="s">
        <v>4050</v>
      </c>
      <c r="U653">
        <v>1</v>
      </c>
      <c r="V653" t="s">
        <v>1364</v>
      </c>
      <c r="X653" t="s">
        <v>385</v>
      </c>
      <c r="Y653" t="s">
        <v>3936</v>
      </c>
      <c r="Z653" t="s">
        <v>1710</v>
      </c>
      <c r="AA653" t="s">
        <v>3937</v>
      </c>
      <c r="AB653" t="s">
        <v>3938</v>
      </c>
      <c r="AC653" t="s">
        <v>3939</v>
      </c>
      <c r="AF653" t="s">
        <v>385</v>
      </c>
      <c r="AG653" t="s">
        <v>1372</v>
      </c>
      <c r="AK653">
        <v>0</v>
      </c>
      <c r="AO653" t="s">
        <v>1372</v>
      </c>
      <c r="AP653" t="s">
        <v>1373</v>
      </c>
    </row>
    <row r="654" hidden="1" spans="1:42">
      <c r="A654" t="s">
        <v>4051</v>
      </c>
      <c r="B654" t="s">
        <v>1356</v>
      </c>
      <c r="C654" t="s">
        <v>1375</v>
      </c>
      <c r="D654" t="s">
        <v>1358</v>
      </c>
      <c r="F654" t="s">
        <v>1377</v>
      </c>
      <c r="G654" s="45">
        <v>44815.9142476852</v>
      </c>
      <c r="H654" s="45">
        <v>44815.9143287037</v>
      </c>
      <c r="J654" t="s">
        <v>407</v>
      </c>
      <c r="M654">
        <v>249</v>
      </c>
      <c r="N654">
        <v>0</v>
      </c>
      <c r="O654">
        <v>-5</v>
      </c>
      <c r="P654">
        <v>0</v>
      </c>
      <c r="Q654">
        <v>244</v>
      </c>
      <c r="R654">
        <v>244</v>
      </c>
      <c r="S654" t="s">
        <v>1422</v>
      </c>
      <c r="T654" t="s">
        <v>3465</v>
      </c>
      <c r="U654">
        <v>1</v>
      </c>
      <c r="V654" t="s">
        <v>1364</v>
      </c>
      <c r="X654" t="s">
        <v>570</v>
      </c>
      <c r="Y654" t="s">
        <v>4052</v>
      </c>
      <c r="Z654" t="s">
        <v>1430</v>
      </c>
      <c r="AA654" t="s">
        <v>2934</v>
      </c>
      <c r="AB654" t="s">
        <v>4053</v>
      </c>
      <c r="AC654" t="s">
        <v>4054</v>
      </c>
      <c r="AF654" t="s">
        <v>570</v>
      </c>
      <c r="AG654" t="s">
        <v>1385</v>
      </c>
      <c r="AH654" t="s">
        <v>4052</v>
      </c>
      <c r="AK654">
        <v>0</v>
      </c>
      <c r="AO654" t="s">
        <v>1372</v>
      </c>
      <c r="AP654" t="s">
        <v>1373</v>
      </c>
    </row>
    <row r="655" hidden="1" spans="1:42">
      <c r="A655" t="s">
        <v>4055</v>
      </c>
      <c r="B655" t="s">
        <v>1356</v>
      </c>
      <c r="C655" t="s">
        <v>1375</v>
      </c>
      <c r="D655" t="s">
        <v>1358</v>
      </c>
      <c r="F655" t="s">
        <v>1377</v>
      </c>
      <c r="G655" s="45">
        <v>44815.9136689815</v>
      </c>
      <c r="H655" s="45">
        <v>44815.91375</v>
      </c>
      <c r="J655" t="s">
        <v>407</v>
      </c>
      <c r="M655">
        <v>259</v>
      </c>
      <c r="N655">
        <v>0</v>
      </c>
      <c r="O655">
        <v>-3</v>
      </c>
      <c r="P655">
        <v>0</v>
      </c>
      <c r="Q655">
        <v>256</v>
      </c>
      <c r="R655">
        <v>256</v>
      </c>
      <c r="S655" t="s">
        <v>1397</v>
      </c>
      <c r="T655" t="s">
        <v>4056</v>
      </c>
      <c r="U655">
        <v>1</v>
      </c>
      <c r="V655" t="s">
        <v>1364</v>
      </c>
      <c r="X655" t="s">
        <v>570</v>
      </c>
      <c r="Y655" t="s">
        <v>4052</v>
      </c>
      <c r="Z655" t="s">
        <v>1430</v>
      </c>
      <c r="AA655" t="s">
        <v>2934</v>
      </c>
      <c r="AB655" t="s">
        <v>4053</v>
      </c>
      <c r="AC655" t="s">
        <v>4054</v>
      </c>
      <c r="AF655" t="s">
        <v>570</v>
      </c>
      <c r="AG655" t="s">
        <v>1385</v>
      </c>
      <c r="AH655" t="s">
        <v>4052</v>
      </c>
      <c r="AK655">
        <v>0</v>
      </c>
      <c r="AO655" t="s">
        <v>1372</v>
      </c>
      <c r="AP655" t="s">
        <v>1373</v>
      </c>
    </row>
    <row r="656" hidden="1" spans="1:42">
      <c r="A656" t="s">
        <v>4057</v>
      </c>
      <c r="B656" t="s">
        <v>1356</v>
      </c>
      <c r="C656" t="s">
        <v>1375</v>
      </c>
      <c r="D656" t="s">
        <v>1358</v>
      </c>
      <c r="F656" t="s">
        <v>1377</v>
      </c>
      <c r="G656" s="45">
        <v>44815.9120717593</v>
      </c>
      <c r="H656" s="45">
        <v>44815.9126388889</v>
      </c>
      <c r="J656" t="s">
        <v>407</v>
      </c>
      <c r="M656">
        <v>249</v>
      </c>
      <c r="N656">
        <v>0</v>
      </c>
      <c r="O656">
        <v>0</v>
      </c>
      <c r="P656">
        <v>0</v>
      </c>
      <c r="Q656">
        <v>249</v>
      </c>
      <c r="R656">
        <v>249</v>
      </c>
      <c r="T656" t="s">
        <v>4058</v>
      </c>
      <c r="U656">
        <v>1</v>
      </c>
      <c r="V656" t="s">
        <v>1364</v>
      </c>
      <c r="X656" t="s">
        <v>405</v>
      </c>
      <c r="Y656" t="s">
        <v>3931</v>
      </c>
      <c r="Z656" t="s">
        <v>1430</v>
      </c>
      <c r="AA656" t="s">
        <v>2210</v>
      </c>
      <c r="AB656" t="s">
        <v>3932</v>
      </c>
      <c r="AC656" t="s">
        <v>3933</v>
      </c>
      <c r="AF656" t="s">
        <v>3934</v>
      </c>
      <c r="AG656" t="s">
        <v>1372</v>
      </c>
      <c r="AK656">
        <v>0</v>
      </c>
      <c r="AO656" t="s">
        <v>1372</v>
      </c>
      <c r="AP656" t="s">
        <v>1373</v>
      </c>
    </row>
    <row r="657" hidden="1" spans="1:42">
      <c r="A657" t="s">
        <v>4059</v>
      </c>
      <c r="B657" t="s">
        <v>1356</v>
      </c>
      <c r="C657" t="s">
        <v>1375</v>
      </c>
      <c r="D657" t="s">
        <v>1358</v>
      </c>
      <c r="F657" t="s">
        <v>1377</v>
      </c>
      <c r="G657" s="45">
        <v>44815.9111342593</v>
      </c>
      <c r="H657" s="45">
        <v>44815.9115393519</v>
      </c>
      <c r="J657" t="s">
        <v>407</v>
      </c>
      <c r="M657">
        <v>249</v>
      </c>
      <c r="N657">
        <v>0</v>
      </c>
      <c r="O657">
        <v>0</v>
      </c>
      <c r="P657">
        <v>0</v>
      </c>
      <c r="Q657">
        <v>249</v>
      </c>
      <c r="R657">
        <v>249</v>
      </c>
      <c r="T657" t="s">
        <v>2573</v>
      </c>
      <c r="U657">
        <v>1</v>
      </c>
      <c r="V657" t="s">
        <v>1364</v>
      </c>
      <c r="X657" t="s">
        <v>389</v>
      </c>
      <c r="Y657" t="s">
        <v>3926</v>
      </c>
      <c r="Z657" t="s">
        <v>1466</v>
      </c>
      <c r="AA657" t="s">
        <v>1835</v>
      </c>
      <c r="AB657" t="s">
        <v>3610</v>
      </c>
      <c r="AC657" t="s">
        <v>3927</v>
      </c>
      <c r="AF657" t="s">
        <v>3928</v>
      </c>
      <c r="AG657" t="s">
        <v>1372</v>
      </c>
      <c r="AK657">
        <v>0</v>
      </c>
      <c r="AO657" t="s">
        <v>1372</v>
      </c>
      <c r="AP657" t="s">
        <v>1373</v>
      </c>
    </row>
    <row r="658" hidden="1" spans="1:42">
      <c r="A658" t="s">
        <v>4060</v>
      </c>
      <c r="B658" t="s">
        <v>1356</v>
      </c>
      <c r="C658" t="s">
        <v>1375</v>
      </c>
      <c r="D658" t="s">
        <v>1376</v>
      </c>
      <c r="F658" t="s">
        <v>1377</v>
      </c>
      <c r="G658" s="45">
        <v>44815.9107523148</v>
      </c>
      <c r="M658">
        <v>249</v>
      </c>
      <c r="N658">
        <v>0</v>
      </c>
      <c r="O658">
        <v>0</v>
      </c>
      <c r="P658">
        <v>0</v>
      </c>
      <c r="Q658">
        <v>249</v>
      </c>
      <c r="R658">
        <v>0</v>
      </c>
      <c r="T658" t="s">
        <v>3465</v>
      </c>
      <c r="U658">
        <v>1</v>
      </c>
      <c r="V658" t="s">
        <v>1364</v>
      </c>
      <c r="X658" t="s">
        <v>389</v>
      </c>
      <c r="Y658" t="s">
        <v>3926</v>
      </c>
      <c r="Z658" t="s">
        <v>1466</v>
      </c>
      <c r="AA658" t="s">
        <v>1835</v>
      </c>
      <c r="AB658" t="s">
        <v>3610</v>
      </c>
      <c r="AC658" t="s">
        <v>3927</v>
      </c>
      <c r="AF658" t="s">
        <v>3928</v>
      </c>
      <c r="AG658" t="s">
        <v>1372</v>
      </c>
      <c r="AK658">
        <v>0</v>
      </c>
      <c r="AO658" t="s">
        <v>1372</v>
      </c>
      <c r="AP658" t="s">
        <v>1373</v>
      </c>
    </row>
    <row r="659" hidden="1" spans="1:42">
      <c r="A659" t="s">
        <v>4061</v>
      </c>
      <c r="B659" t="s">
        <v>1356</v>
      </c>
      <c r="C659" t="s">
        <v>1375</v>
      </c>
      <c r="D659" t="s">
        <v>1358</v>
      </c>
      <c r="F659" t="s">
        <v>1377</v>
      </c>
      <c r="G659" s="45">
        <v>44815.9077430556</v>
      </c>
      <c r="H659" s="45">
        <v>44815.9080439815</v>
      </c>
      <c r="J659" t="s">
        <v>407</v>
      </c>
      <c r="M659">
        <v>19.9</v>
      </c>
      <c r="N659">
        <v>0</v>
      </c>
      <c r="O659">
        <v>0</v>
      </c>
      <c r="P659">
        <v>0</v>
      </c>
      <c r="Q659">
        <v>19.9</v>
      </c>
      <c r="R659">
        <v>19.9</v>
      </c>
      <c r="T659" t="s">
        <v>1540</v>
      </c>
      <c r="U659">
        <v>1</v>
      </c>
      <c r="V659" t="s">
        <v>1364</v>
      </c>
      <c r="X659" t="s">
        <v>863</v>
      </c>
      <c r="Y659" t="s">
        <v>4062</v>
      </c>
      <c r="Z659" t="s">
        <v>1430</v>
      </c>
      <c r="AA659" t="s">
        <v>2934</v>
      </c>
      <c r="AB659" t="s">
        <v>4053</v>
      </c>
      <c r="AC659" t="s">
        <v>4063</v>
      </c>
      <c r="AF659" t="s">
        <v>4064</v>
      </c>
      <c r="AG659" t="s">
        <v>1385</v>
      </c>
      <c r="AH659" t="s">
        <v>4062</v>
      </c>
      <c r="AK659">
        <v>0</v>
      </c>
      <c r="AO659" t="s">
        <v>1372</v>
      </c>
      <c r="AP659" t="s">
        <v>1373</v>
      </c>
    </row>
    <row r="660" hidden="1" spans="1:42">
      <c r="A660" t="s">
        <v>4065</v>
      </c>
      <c r="B660" t="s">
        <v>1356</v>
      </c>
      <c r="C660" t="s">
        <v>1357</v>
      </c>
      <c r="D660" t="s">
        <v>1358</v>
      </c>
      <c r="F660" t="s">
        <v>1359</v>
      </c>
      <c r="G660" s="45">
        <v>44815.9069560185</v>
      </c>
      <c r="H660" s="45">
        <v>44815.9076851852</v>
      </c>
      <c r="J660" t="s">
        <v>1360</v>
      </c>
      <c r="K660" t="s">
        <v>4066</v>
      </c>
      <c r="L660" t="s">
        <v>4067</v>
      </c>
      <c r="M660">
        <v>69</v>
      </c>
      <c r="N660">
        <v>0</v>
      </c>
      <c r="O660">
        <v>0</v>
      </c>
      <c r="P660">
        <v>0</v>
      </c>
      <c r="Q660">
        <v>69</v>
      </c>
      <c r="R660">
        <v>69</v>
      </c>
      <c r="T660" t="s">
        <v>1669</v>
      </c>
      <c r="U660">
        <v>1</v>
      </c>
      <c r="V660" t="s">
        <v>1364</v>
      </c>
      <c r="X660" t="s">
        <v>4068</v>
      </c>
      <c r="Y660" t="s">
        <v>4069</v>
      </c>
      <c r="Z660" t="s">
        <v>1367</v>
      </c>
      <c r="AA660" t="s">
        <v>1943</v>
      </c>
      <c r="AB660" t="s">
        <v>2039</v>
      </c>
      <c r="AC660" t="s">
        <v>4070</v>
      </c>
      <c r="AF660" t="s">
        <v>4071</v>
      </c>
      <c r="AG660" t="s">
        <v>1385</v>
      </c>
      <c r="AH660" t="s">
        <v>4072</v>
      </c>
      <c r="AK660">
        <v>0</v>
      </c>
      <c r="AO660" t="s">
        <v>1372</v>
      </c>
      <c r="AP660" t="s">
        <v>1373</v>
      </c>
    </row>
    <row r="661" hidden="1" spans="1:42">
      <c r="A661" t="s">
        <v>4073</v>
      </c>
      <c r="B661" t="s">
        <v>1356</v>
      </c>
      <c r="C661" t="s">
        <v>1375</v>
      </c>
      <c r="D661" t="s">
        <v>1358</v>
      </c>
      <c r="F661" t="s">
        <v>1377</v>
      </c>
      <c r="G661" s="45">
        <v>44815.901087963</v>
      </c>
      <c r="H661" s="45">
        <v>44815.9011689815</v>
      </c>
      <c r="J661" t="s">
        <v>407</v>
      </c>
      <c r="M661">
        <v>359</v>
      </c>
      <c r="N661">
        <v>0</v>
      </c>
      <c r="O661">
        <v>0</v>
      </c>
      <c r="P661">
        <v>0</v>
      </c>
      <c r="Q661">
        <v>359</v>
      </c>
      <c r="R661">
        <v>359</v>
      </c>
      <c r="T661" t="s">
        <v>3416</v>
      </c>
      <c r="U661">
        <v>1</v>
      </c>
      <c r="V661" t="s">
        <v>1364</v>
      </c>
      <c r="X661" t="s">
        <v>678</v>
      </c>
      <c r="Y661" t="s">
        <v>4074</v>
      </c>
      <c r="Z661" t="s">
        <v>1678</v>
      </c>
      <c r="AA661" t="s">
        <v>1979</v>
      </c>
      <c r="AB661" t="s">
        <v>4075</v>
      </c>
      <c r="AC661" t="s">
        <v>4076</v>
      </c>
      <c r="AF661" t="s">
        <v>4077</v>
      </c>
      <c r="AG661" t="s">
        <v>1372</v>
      </c>
      <c r="AK661">
        <v>0</v>
      </c>
      <c r="AO661" t="s">
        <v>1372</v>
      </c>
      <c r="AP661" t="s">
        <v>1373</v>
      </c>
    </row>
    <row r="662" hidden="1" spans="1:42">
      <c r="A662" t="s">
        <v>4078</v>
      </c>
      <c r="B662" t="s">
        <v>1356</v>
      </c>
      <c r="C662" t="s">
        <v>1375</v>
      </c>
      <c r="D662" t="s">
        <v>1358</v>
      </c>
      <c r="F662" t="s">
        <v>1377</v>
      </c>
      <c r="G662" s="45">
        <v>44815.9007175926</v>
      </c>
      <c r="H662" s="45">
        <v>44815.9009490741</v>
      </c>
      <c r="J662" t="s">
        <v>407</v>
      </c>
      <c r="M662">
        <v>249</v>
      </c>
      <c r="N662">
        <v>0</v>
      </c>
      <c r="O662">
        <v>-24</v>
      </c>
      <c r="P662">
        <v>0</v>
      </c>
      <c r="Q662">
        <v>225</v>
      </c>
      <c r="R662">
        <v>225</v>
      </c>
      <c r="S662" t="s">
        <v>4079</v>
      </c>
      <c r="T662" t="s">
        <v>1984</v>
      </c>
      <c r="U662">
        <v>1</v>
      </c>
      <c r="V662" t="s">
        <v>1364</v>
      </c>
      <c r="X662" t="s">
        <v>848</v>
      </c>
      <c r="Y662" t="s">
        <v>4080</v>
      </c>
      <c r="Z662" t="s">
        <v>2336</v>
      </c>
      <c r="AA662" t="s">
        <v>2336</v>
      </c>
      <c r="AB662" t="s">
        <v>2337</v>
      </c>
      <c r="AC662" t="s">
        <v>4081</v>
      </c>
      <c r="AF662" t="s">
        <v>4082</v>
      </c>
      <c r="AG662" t="s">
        <v>1385</v>
      </c>
      <c r="AH662" t="s">
        <v>4080</v>
      </c>
      <c r="AK662">
        <v>0</v>
      </c>
      <c r="AL662" t="s">
        <v>4083</v>
      </c>
      <c r="AO662" t="s">
        <v>1372</v>
      </c>
      <c r="AP662" t="s">
        <v>1373</v>
      </c>
    </row>
    <row r="663" hidden="1" spans="1:42">
      <c r="A663" t="s">
        <v>4084</v>
      </c>
      <c r="B663" t="s">
        <v>1356</v>
      </c>
      <c r="C663" t="s">
        <v>1375</v>
      </c>
      <c r="D663" t="s">
        <v>1358</v>
      </c>
      <c r="F663" t="s">
        <v>1377</v>
      </c>
      <c r="G663" s="45">
        <v>44815.9006712963</v>
      </c>
      <c r="H663" s="45">
        <v>44815.9009027778</v>
      </c>
      <c r="J663" t="s">
        <v>407</v>
      </c>
      <c r="M663">
        <v>19.9</v>
      </c>
      <c r="N663">
        <v>0</v>
      </c>
      <c r="O663">
        <v>0</v>
      </c>
      <c r="P663">
        <v>0</v>
      </c>
      <c r="Q663">
        <v>19.9</v>
      </c>
      <c r="R663">
        <v>19.9</v>
      </c>
      <c r="T663" t="s">
        <v>1519</v>
      </c>
      <c r="U663">
        <v>1</v>
      </c>
      <c r="V663" t="s">
        <v>1364</v>
      </c>
      <c r="X663" t="s">
        <v>856</v>
      </c>
      <c r="Y663" t="s">
        <v>4085</v>
      </c>
      <c r="Z663" t="s">
        <v>1430</v>
      </c>
      <c r="AA663" t="s">
        <v>1965</v>
      </c>
      <c r="AB663" t="s">
        <v>3867</v>
      </c>
      <c r="AC663" t="s">
        <v>4086</v>
      </c>
      <c r="AF663" t="s">
        <v>4087</v>
      </c>
      <c r="AG663" t="s">
        <v>1372</v>
      </c>
      <c r="AK663">
        <v>0</v>
      </c>
      <c r="AO663" t="s">
        <v>1372</v>
      </c>
      <c r="AP663" t="s">
        <v>1373</v>
      </c>
    </row>
    <row r="664" hidden="1" spans="1:42">
      <c r="A664" t="s">
        <v>4088</v>
      </c>
      <c r="B664" t="s">
        <v>1356</v>
      </c>
      <c r="C664" t="s">
        <v>1375</v>
      </c>
      <c r="D664" t="s">
        <v>1358</v>
      </c>
      <c r="F664" t="s">
        <v>3560</v>
      </c>
      <c r="G664" s="45">
        <v>44815.8997337963</v>
      </c>
      <c r="H664" s="45">
        <v>44815.9000347222</v>
      </c>
      <c r="J664" t="s">
        <v>407</v>
      </c>
      <c r="M664">
        <v>19.9</v>
      </c>
      <c r="N664">
        <v>0</v>
      </c>
      <c r="O664">
        <v>0</v>
      </c>
      <c r="P664">
        <v>0</v>
      </c>
      <c r="Q664">
        <v>19.9</v>
      </c>
      <c r="R664">
        <v>19.9</v>
      </c>
      <c r="T664" t="s">
        <v>4089</v>
      </c>
      <c r="U664">
        <v>1</v>
      </c>
      <c r="V664" t="s">
        <v>1364</v>
      </c>
      <c r="X664" t="s">
        <v>872</v>
      </c>
      <c r="Y664" t="s">
        <v>4090</v>
      </c>
      <c r="Z664" t="s">
        <v>1367</v>
      </c>
      <c r="AA664" t="s">
        <v>3343</v>
      </c>
      <c r="AB664" t="s">
        <v>3344</v>
      </c>
      <c r="AC664" t="s">
        <v>4091</v>
      </c>
      <c r="AF664" t="s">
        <v>4092</v>
      </c>
      <c r="AG664" t="s">
        <v>1372</v>
      </c>
      <c r="AH664" t="s">
        <v>4090</v>
      </c>
      <c r="AK664">
        <v>0</v>
      </c>
      <c r="AO664" t="s">
        <v>1372</v>
      </c>
      <c r="AP664" t="s">
        <v>1373</v>
      </c>
    </row>
    <row r="665" hidden="1" spans="1:42">
      <c r="A665" t="s">
        <v>4093</v>
      </c>
      <c r="B665" t="s">
        <v>1356</v>
      </c>
      <c r="C665" t="s">
        <v>1375</v>
      </c>
      <c r="D665" t="s">
        <v>1376</v>
      </c>
      <c r="F665" t="s">
        <v>1377</v>
      </c>
      <c r="G665" s="45">
        <v>44815.8961226852</v>
      </c>
      <c r="M665">
        <v>219</v>
      </c>
      <c r="N665">
        <v>0</v>
      </c>
      <c r="O665">
        <v>0</v>
      </c>
      <c r="P665">
        <v>0</v>
      </c>
      <c r="Q665">
        <v>219</v>
      </c>
      <c r="R665">
        <v>0</v>
      </c>
      <c r="T665" t="s">
        <v>4094</v>
      </c>
      <c r="U665">
        <v>1</v>
      </c>
      <c r="V665" t="s">
        <v>1364</v>
      </c>
      <c r="X665" t="s">
        <v>483</v>
      </c>
      <c r="Y665" t="s">
        <v>3427</v>
      </c>
      <c r="Z665" t="s">
        <v>1513</v>
      </c>
      <c r="AA665" t="s">
        <v>3428</v>
      </c>
      <c r="AB665" t="s">
        <v>3429</v>
      </c>
      <c r="AC665" t="s">
        <v>3430</v>
      </c>
      <c r="AF665" t="s">
        <v>3431</v>
      </c>
      <c r="AG665" t="s">
        <v>1385</v>
      </c>
      <c r="AH665" t="s">
        <v>3427</v>
      </c>
      <c r="AK665">
        <v>0</v>
      </c>
      <c r="AO665" t="s">
        <v>1372</v>
      </c>
      <c r="AP665" t="s">
        <v>1373</v>
      </c>
    </row>
    <row r="666" hidden="1" spans="1:42">
      <c r="A666" t="s">
        <v>4095</v>
      </c>
      <c r="B666" t="s">
        <v>1356</v>
      </c>
      <c r="C666" t="s">
        <v>1375</v>
      </c>
      <c r="D666" t="s">
        <v>1376</v>
      </c>
      <c r="F666" t="s">
        <v>1377</v>
      </c>
      <c r="G666" s="45">
        <v>44815.8955092593</v>
      </c>
      <c r="M666">
        <v>219</v>
      </c>
      <c r="N666">
        <v>0</v>
      </c>
      <c r="O666">
        <v>-5</v>
      </c>
      <c r="P666">
        <v>0</v>
      </c>
      <c r="Q666">
        <v>214</v>
      </c>
      <c r="R666">
        <v>0</v>
      </c>
      <c r="S666" t="s">
        <v>1422</v>
      </c>
      <c r="T666" t="s">
        <v>4094</v>
      </c>
      <c r="U666">
        <v>1</v>
      </c>
      <c r="V666" t="s">
        <v>1364</v>
      </c>
      <c r="X666" t="s">
        <v>483</v>
      </c>
      <c r="Y666" t="s">
        <v>3427</v>
      </c>
      <c r="Z666" t="s">
        <v>1513</v>
      </c>
      <c r="AA666" t="s">
        <v>3428</v>
      </c>
      <c r="AB666" t="s">
        <v>3429</v>
      </c>
      <c r="AC666" t="s">
        <v>3430</v>
      </c>
      <c r="AF666" t="s">
        <v>3431</v>
      </c>
      <c r="AG666" t="s">
        <v>1385</v>
      </c>
      <c r="AH666" t="s">
        <v>3427</v>
      </c>
      <c r="AK666">
        <v>0</v>
      </c>
      <c r="AO666" t="s">
        <v>1372</v>
      </c>
      <c r="AP666" t="s">
        <v>1373</v>
      </c>
    </row>
    <row r="667" hidden="1" spans="1:42">
      <c r="A667" t="s">
        <v>4096</v>
      </c>
      <c r="B667" t="s">
        <v>1356</v>
      </c>
      <c r="C667" t="s">
        <v>1375</v>
      </c>
      <c r="D667" t="s">
        <v>1358</v>
      </c>
      <c r="F667" t="s">
        <v>1359</v>
      </c>
      <c r="G667" s="45">
        <v>44815.8899652778</v>
      </c>
      <c r="H667" s="45">
        <v>44815.8901041667</v>
      </c>
      <c r="J667" t="s">
        <v>1360</v>
      </c>
      <c r="K667" t="s">
        <v>4097</v>
      </c>
      <c r="L667" t="s">
        <v>4098</v>
      </c>
      <c r="M667">
        <v>49</v>
      </c>
      <c r="N667">
        <v>0</v>
      </c>
      <c r="O667">
        <v>-1</v>
      </c>
      <c r="P667">
        <v>0</v>
      </c>
      <c r="Q667">
        <v>48</v>
      </c>
      <c r="R667">
        <v>48</v>
      </c>
      <c r="S667" t="s">
        <v>1414</v>
      </c>
      <c r="T667" t="s">
        <v>4099</v>
      </c>
      <c r="U667">
        <v>1</v>
      </c>
      <c r="V667" t="s">
        <v>1364</v>
      </c>
      <c r="X667" t="s">
        <v>4100</v>
      </c>
      <c r="Y667" t="s">
        <v>4101</v>
      </c>
      <c r="Z667" t="s">
        <v>1367</v>
      </c>
      <c r="AA667" t="s">
        <v>1417</v>
      </c>
      <c r="AB667" t="s">
        <v>4102</v>
      </c>
      <c r="AC667" t="s">
        <v>4103</v>
      </c>
      <c r="AF667" t="s">
        <v>4104</v>
      </c>
      <c r="AG667" t="s">
        <v>1372</v>
      </c>
      <c r="AH667" t="s">
        <v>4101</v>
      </c>
      <c r="AK667">
        <v>0</v>
      </c>
      <c r="AO667" t="s">
        <v>1372</v>
      </c>
      <c r="AP667" t="s">
        <v>1373</v>
      </c>
    </row>
    <row r="668" hidden="1" spans="1:42">
      <c r="A668" t="s">
        <v>4105</v>
      </c>
      <c r="B668" t="s">
        <v>1356</v>
      </c>
      <c r="C668" t="s">
        <v>1375</v>
      </c>
      <c r="D668" t="s">
        <v>1376</v>
      </c>
      <c r="F668" t="s">
        <v>1377</v>
      </c>
      <c r="G668" s="45">
        <v>44815.8894097222</v>
      </c>
      <c r="M668">
        <v>19.9</v>
      </c>
      <c r="N668">
        <v>0</v>
      </c>
      <c r="O668">
        <v>0</v>
      </c>
      <c r="P668">
        <v>0</v>
      </c>
      <c r="Q668">
        <v>19.9</v>
      </c>
      <c r="R668">
        <v>0</v>
      </c>
      <c r="T668" t="s">
        <v>1484</v>
      </c>
      <c r="U668">
        <v>1</v>
      </c>
      <c r="V668" t="s">
        <v>1364</v>
      </c>
      <c r="X668" t="s">
        <v>692</v>
      </c>
      <c r="Y668" t="s">
        <v>2870</v>
      </c>
      <c r="Z668" t="s">
        <v>1447</v>
      </c>
      <c r="AA668" t="s">
        <v>2871</v>
      </c>
      <c r="AB668" t="s">
        <v>2872</v>
      </c>
      <c r="AC668" t="s">
        <v>2873</v>
      </c>
      <c r="AF668" t="s">
        <v>2874</v>
      </c>
      <c r="AG668" t="s">
        <v>1385</v>
      </c>
      <c r="AH668" t="s">
        <v>2870</v>
      </c>
      <c r="AK668">
        <v>0</v>
      </c>
      <c r="AO668" t="s">
        <v>1372</v>
      </c>
      <c r="AP668" t="s">
        <v>1373</v>
      </c>
    </row>
    <row r="669" hidden="1" spans="1:42">
      <c r="A669" t="s">
        <v>4106</v>
      </c>
      <c r="B669" t="s">
        <v>1356</v>
      </c>
      <c r="C669" t="s">
        <v>1375</v>
      </c>
      <c r="D669" t="s">
        <v>1376</v>
      </c>
      <c r="F669" t="s">
        <v>1377</v>
      </c>
      <c r="G669" s="45">
        <v>44815.8885532407</v>
      </c>
      <c r="M669">
        <v>39.9</v>
      </c>
      <c r="N669">
        <v>0</v>
      </c>
      <c r="O669">
        <v>-1</v>
      </c>
      <c r="P669">
        <v>0</v>
      </c>
      <c r="Q669">
        <v>38.9</v>
      </c>
      <c r="R669">
        <v>0</v>
      </c>
      <c r="S669" t="s">
        <v>1414</v>
      </c>
      <c r="T669" t="s">
        <v>3765</v>
      </c>
      <c r="U669">
        <v>1</v>
      </c>
      <c r="V669" t="s">
        <v>1364</v>
      </c>
      <c r="X669" t="s">
        <v>692</v>
      </c>
      <c r="Y669" t="s">
        <v>2870</v>
      </c>
      <c r="Z669" t="s">
        <v>1447</v>
      </c>
      <c r="AA669" t="s">
        <v>2871</v>
      </c>
      <c r="AB669" t="s">
        <v>2872</v>
      </c>
      <c r="AC669" t="s">
        <v>2873</v>
      </c>
      <c r="AF669" t="s">
        <v>2874</v>
      </c>
      <c r="AG669" t="s">
        <v>1385</v>
      </c>
      <c r="AH669" t="s">
        <v>2870</v>
      </c>
      <c r="AK669">
        <v>0</v>
      </c>
      <c r="AO669" t="s">
        <v>1372</v>
      </c>
      <c r="AP669" t="s">
        <v>1373</v>
      </c>
    </row>
    <row r="670" hidden="1" spans="1:42">
      <c r="A670" t="s">
        <v>4107</v>
      </c>
      <c r="B670" t="s">
        <v>1356</v>
      </c>
      <c r="C670" t="s">
        <v>1375</v>
      </c>
      <c r="D670" t="s">
        <v>1358</v>
      </c>
      <c r="F670" t="s">
        <v>1359</v>
      </c>
      <c r="G670" s="45">
        <v>44815.8863888889</v>
      </c>
      <c r="H670" s="45">
        <v>44815.8865856481</v>
      </c>
      <c r="J670" t="s">
        <v>1360</v>
      </c>
      <c r="K670" t="s">
        <v>4108</v>
      </c>
      <c r="L670" t="s">
        <v>4109</v>
      </c>
      <c r="M670">
        <v>19.9</v>
      </c>
      <c r="N670">
        <v>0</v>
      </c>
      <c r="O670">
        <v>0</v>
      </c>
      <c r="P670">
        <v>0</v>
      </c>
      <c r="Q670">
        <v>19.9</v>
      </c>
      <c r="R670">
        <v>19.9</v>
      </c>
      <c r="T670" t="s">
        <v>1484</v>
      </c>
      <c r="U670">
        <v>1</v>
      </c>
      <c r="V670" t="s">
        <v>1364</v>
      </c>
      <c r="X670" t="s">
        <v>502</v>
      </c>
      <c r="Y670" t="s">
        <v>4110</v>
      </c>
      <c r="Z670" t="s">
        <v>1466</v>
      </c>
      <c r="AA670" t="s">
        <v>3080</v>
      </c>
      <c r="AB670" t="s">
        <v>4111</v>
      </c>
      <c r="AC670" t="s">
        <v>4112</v>
      </c>
      <c r="AF670" t="s">
        <v>4113</v>
      </c>
      <c r="AG670" t="s">
        <v>1372</v>
      </c>
      <c r="AH670" t="s">
        <v>4110</v>
      </c>
      <c r="AK670">
        <v>0</v>
      </c>
      <c r="AO670" t="s">
        <v>1372</v>
      </c>
      <c r="AP670" t="s">
        <v>1373</v>
      </c>
    </row>
    <row r="671" hidden="1" spans="1:42">
      <c r="A671" t="s">
        <v>4114</v>
      </c>
      <c r="B671" t="s">
        <v>1356</v>
      </c>
      <c r="C671" t="s">
        <v>1375</v>
      </c>
      <c r="D671" t="s">
        <v>1358</v>
      </c>
      <c r="F671" t="s">
        <v>1377</v>
      </c>
      <c r="G671" s="45">
        <v>44815.8833796296</v>
      </c>
      <c r="H671" s="45">
        <v>44815.8835069444</v>
      </c>
      <c r="J671" t="s">
        <v>407</v>
      </c>
      <c r="M671">
        <v>249</v>
      </c>
      <c r="N671">
        <v>0</v>
      </c>
      <c r="O671">
        <v>-4</v>
      </c>
      <c r="P671">
        <v>0</v>
      </c>
      <c r="Q671">
        <v>245</v>
      </c>
      <c r="R671">
        <v>245</v>
      </c>
      <c r="S671" t="s">
        <v>1388</v>
      </c>
      <c r="T671" t="s">
        <v>1862</v>
      </c>
      <c r="U671">
        <v>1</v>
      </c>
      <c r="V671" t="s">
        <v>1364</v>
      </c>
      <c r="X671" t="s">
        <v>479</v>
      </c>
      <c r="Y671" t="s">
        <v>4115</v>
      </c>
      <c r="Z671" t="s">
        <v>1824</v>
      </c>
      <c r="AA671" t="s">
        <v>1825</v>
      </c>
      <c r="AB671" t="s">
        <v>4116</v>
      </c>
      <c r="AC671" t="s">
        <v>4117</v>
      </c>
      <c r="AF671" t="s">
        <v>4118</v>
      </c>
      <c r="AG671" t="s">
        <v>1372</v>
      </c>
      <c r="AK671">
        <v>0</v>
      </c>
      <c r="AO671" t="s">
        <v>1372</v>
      </c>
      <c r="AP671" t="s">
        <v>1373</v>
      </c>
    </row>
    <row r="672" hidden="1" spans="1:42">
      <c r="A672" t="s">
        <v>4119</v>
      </c>
      <c r="B672" t="s">
        <v>1356</v>
      </c>
      <c r="C672" t="s">
        <v>1375</v>
      </c>
      <c r="D672" t="s">
        <v>1780</v>
      </c>
      <c r="F672" t="s">
        <v>1377</v>
      </c>
      <c r="G672" s="45">
        <v>44815.8827314815</v>
      </c>
      <c r="H672" s="45">
        <v>44815.8828935185</v>
      </c>
      <c r="J672" t="s">
        <v>407</v>
      </c>
      <c r="M672">
        <v>249</v>
      </c>
      <c r="N672">
        <v>0</v>
      </c>
      <c r="O672">
        <v>-4</v>
      </c>
      <c r="P672">
        <v>0</v>
      </c>
      <c r="Q672">
        <v>245</v>
      </c>
      <c r="R672">
        <v>245</v>
      </c>
      <c r="S672" t="s">
        <v>1388</v>
      </c>
      <c r="T672" t="s">
        <v>2573</v>
      </c>
      <c r="U672">
        <v>1</v>
      </c>
      <c r="V672" t="s">
        <v>1364</v>
      </c>
      <c r="X672" t="s">
        <v>632</v>
      </c>
      <c r="Y672" t="s">
        <v>4120</v>
      </c>
      <c r="Z672" t="s">
        <v>2028</v>
      </c>
      <c r="AA672" t="s">
        <v>2237</v>
      </c>
      <c r="AB672" t="s">
        <v>3476</v>
      </c>
      <c r="AC672" t="s">
        <v>4121</v>
      </c>
      <c r="AF672" t="s">
        <v>4122</v>
      </c>
      <c r="AG672" t="s">
        <v>1372</v>
      </c>
      <c r="AH672" t="s">
        <v>4123</v>
      </c>
      <c r="AJ672" t="s">
        <v>2945</v>
      </c>
      <c r="AK672">
        <v>245</v>
      </c>
      <c r="AO672" t="s">
        <v>1372</v>
      </c>
      <c r="AP672" t="s">
        <v>1373</v>
      </c>
    </row>
    <row r="673" hidden="1" spans="1:42">
      <c r="A673" t="s">
        <v>4124</v>
      </c>
      <c r="B673" t="s">
        <v>1356</v>
      </c>
      <c r="C673" t="s">
        <v>1375</v>
      </c>
      <c r="D673" t="s">
        <v>1358</v>
      </c>
      <c r="F673" t="s">
        <v>1377</v>
      </c>
      <c r="G673" s="45">
        <v>44815.8779050926</v>
      </c>
      <c r="H673" s="45">
        <v>44815.8781365741</v>
      </c>
      <c r="J673" t="s">
        <v>407</v>
      </c>
      <c r="M673">
        <v>249</v>
      </c>
      <c r="N673">
        <v>0</v>
      </c>
      <c r="O673">
        <v>0</v>
      </c>
      <c r="P673">
        <v>0</v>
      </c>
      <c r="Q673">
        <v>249</v>
      </c>
      <c r="R673">
        <v>249</v>
      </c>
      <c r="T673" t="s">
        <v>3259</v>
      </c>
      <c r="U673">
        <v>1</v>
      </c>
      <c r="V673" t="s">
        <v>1364</v>
      </c>
      <c r="X673" t="s">
        <v>836</v>
      </c>
      <c r="Y673" t="s">
        <v>4125</v>
      </c>
      <c r="Z673" t="s">
        <v>1380</v>
      </c>
      <c r="AA673" t="s">
        <v>2636</v>
      </c>
      <c r="AB673" t="s">
        <v>4126</v>
      </c>
      <c r="AC673" t="s">
        <v>4127</v>
      </c>
      <c r="AF673" t="s">
        <v>4128</v>
      </c>
      <c r="AG673" t="s">
        <v>1372</v>
      </c>
      <c r="AK673">
        <v>0</v>
      </c>
      <c r="AO673" t="s">
        <v>1372</v>
      </c>
      <c r="AP673" t="s">
        <v>1373</v>
      </c>
    </row>
    <row r="674" hidden="1" spans="1:42">
      <c r="A674" t="s">
        <v>4129</v>
      </c>
      <c r="B674" t="s">
        <v>1356</v>
      </c>
      <c r="C674" t="s">
        <v>1375</v>
      </c>
      <c r="D674" t="s">
        <v>1358</v>
      </c>
      <c r="F674" t="s">
        <v>1377</v>
      </c>
      <c r="G674" s="45">
        <v>44815.8775925926</v>
      </c>
      <c r="H674" s="45">
        <v>44815.8780787037</v>
      </c>
      <c r="J674" t="s">
        <v>407</v>
      </c>
      <c r="M674">
        <v>249</v>
      </c>
      <c r="N674">
        <v>0</v>
      </c>
      <c r="O674">
        <v>0</v>
      </c>
      <c r="P674">
        <v>0</v>
      </c>
      <c r="Q674">
        <v>249</v>
      </c>
      <c r="R674">
        <v>249</v>
      </c>
      <c r="T674" t="s">
        <v>3908</v>
      </c>
      <c r="U674">
        <v>1</v>
      </c>
      <c r="V674" t="s">
        <v>1364</v>
      </c>
      <c r="X674" t="s">
        <v>568</v>
      </c>
      <c r="Y674" t="s">
        <v>4130</v>
      </c>
      <c r="Z674" t="s">
        <v>1367</v>
      </c>
      <c r="AA674" t="s">
        <v>1943</v>
      </c>
      <c r="AB674" t="s">
        <v>2039</v>
      </c>
      <c r="AC674" t="s">
        <v>4131</v>
      </c>
      <c r="AF674" t="s">
        <v>4132</v>
      </c>
      <c r="AG674" t="s">
        <v>1372</v>
      </c>
      <c r="AH674" t="s">
        <v>4130</v>
      </c>
      <c r="AK674">
        <v>0</v>
      </c>
      <c r="AO674" t="s">
        <v>1372</v>
      </c>
      <c r="AP674" t="s">
        <v>1373</v>
      </c>
    </row>
    <row r="675" hidden="1" spans="1:42">
      <c r="A675" t="s">
        <v>4133</v>
      </c>
      <c r="B675" t="s">
        <v>1356</v>
      </c>
      <c r="C675" t="s">
        <v>1375</v>
      </c>
      <c r="D675" t="s">
        <v>1358</v>
      </c>
      <c r="F675" t="s">
        <v>3560</v>
      </c>
      <c r="G675" s="45">
        <v>44815.876099537</v>
      </c>
      <c r="H675" s="45">
        <v>44815.8762152778</v>
      </c>
      <c r="J675" t="s">
        <v>407</v>
      </c>
      <c r="M675">
        <v>249</v>
      </c>
      <c r="N675">
        <v>0</v>
      </c>
      <c r="O675">
        <v>0</v>
      </c>
      <c r="P675">
        <v>0</v>
      </c>
      <c r="Q675">
        <v>249</v>
      </c>
      <c r="R675">
        <v>249</v>
      </c>
      <c r="T675" t="s">
        <v>4134</v>
      </c>
      <c r="U675">
        <v>1</v>
      </c>
      <c r="V675" t="s">
        <v>1364</v>
      </c>
      <c r="X675" t="s">
        <v>622</v>
      </c>
      <c r="Y675" t="s">
        <v>4135</v>
      </c>
      <c r="Z675" t="s">
        <v>1678</v>
      </c>
      <c r="AA675" t="s">
        <v>3333</v>
      </c>
      <c r="AB675" t="s">
        <v>4136</v>
      </c>
      <c r="AC675" t="s">
        <v>4137</v>
      </c>
      <c r="AF675" t="s">
        <v>4138</v>
      </c>
      <c r="AG675" t="s">
        <v>1372</v>
      </c>
      <c r="AK675">
        <v>0</v>
      </c>
      <c r="AO675" t="s">
        <v>1372</v>
      </c>
      <c r="AP675" t="s">
        <v>1373</v>
      </c>
    </row>
    <row r="676" hidden="1" spans="1:42">
      <c r="A676" t="s">
        <v>4139</v>
      </c>
      <c r="B676" t="s">
        <v>1356</v>
      </c>
      <c r="C676" t="s">
        <v>1357</v>
      </c>
      <c r="D676" t="s">
        <v>1358</v>
      </c>
      <c r="F676" t="s">
        <v>1359</v>
      </c>
      <c r="G676" s="45">
        <v>44815.8758333333</v>
      </c>
      <c r="H676" s="45">
        <v>44815.8759375</v>
      </c>
      <c r="J676" t="s">
        <v>1360</v>
      </c>
      <c r="K676" t="s">
        <v>4140</v>
      </c>
      <c r="L676" t="s">
        <v>4141</v>
      </c>
      <c r="M676">
        <v>69</v>
      </c>
      <c r="N676">
        <v>0</v>
      </c>
      <c r="O676">
        <v>0</v>
      </c>
      <c r="P676">
        <v>0</v>
      </c>
      <c r="Q676">
        <v>69</v>
      </c>
      <c r="R676">
        <v>69</v>
      </c>
      <c r="T676" t="s">
        <v>1669</v>
      </c>
      <c r="U676">
        <v>1</v>
      </c>
      <c r="V676" t="s">
        <v>1364</v>
      </c>
      <c r="X676" t="s">
        <v>4142</v>
      </c>
      <c r="Y676" t="s">
        <v>4143</v>
      </c>
      <c r="Z676" t="s">
        <v>1367</v>
      </c>
      <c r="AA676" t="s">
        <v>1899</v>
      </c>
      <c r="AB676" t="s">
        <v>1900</v>
      </c>
      <c r="AC676" t="s">
        <v>4144</v>
      </c>
      <c r="AF676" t="s">
        <v>4145</v>
      </c>
      <c r="AG676" t="s">
        <v>1372</v>
      </c>
      <c r="AH676" t="s">
        <v>4143</v>
      </c>
      <c r="AK676">
        <v>0</v>
      </c>
      <c r="AO676" t="s">
        <v>1372</v>
      </c>
      <c r="AP676" t="s">
        <v>1373</v>
      </c>
    </row>
    <row r="677" hidden="1" spans="1:42">
      <c r="A677" t="s">
        <v>4146</v>
      </c>
      <c r="B677" t="s">
        <v>1356</v>
      </c>
      <c r="C677" t="s">
        <v>1357</v>
      </c>
      <c r="D677" t="s">
        <v>1358</v>
      </c>
      <c r="F677" t="s">
        <v>1359</v>
      </c>
      <c r="G677" s="45">
        <v>44815.8756828704</v>
      </c>
      <c r="H677" s="45">
        <v>44815.8758564815</v>
      </c>
      <c r="J677" t="s">
        <v>1360</v>
      </c>
      <c r="K677" t="s">
        <v>4147</v>
      </c>
      <c r="L677" t="s">
        <v>4148</v>
      </c>
      <c r="M677">
        <v>138</v>
      </c>
      <c r="N677">
        <v>0</v>
      </c>
      <c r="O677">
        <v>0</v>
      </c>
      <c r="P677">
        <v>0</v>
      </c>
      <c r="Q677">
        <v>138</v>
      </c>
      <c r="R677">
        <v>138</v>
      </c>
      <c r="T677" t="s">
        <v>4149</v>
      </c>
      <c r="U677">
        <v>1</v>
      </c>
      <c r="V677" t="s">
        <v>1364</v>
      </c>
      <c r="X677" t="s">
        <v>1927</v>
      </c>
      <c r="Y677" t="s">
        <v>1928</v>
      </c>
      <c r="Z677" t="s">
        <v>1367</v>
      </c>
      <c r="AA677" t="s">
        <v>1615</v>
      </c>
      <c r="AB677" t="s">
        <v>1929</v>
      </c>
      <c r="AC677" t="s">
        <v>1930</v>
      </c>
      <c r="AF677" t="s">
        <v>1931</v>
      </c>
      <c r="AG677" t="s">
        <v>1372</v>
      </c>
      <c r="AH677" t="s">
        <v>1928</v>
      </c>
      <c r="AK677">
        <v>0</v>
      </c>
      <c r="AO677" t="s">
        <v>1372</v>
      </c>
      <c r="AP677" t="s">
        <v>1373</v>
      </c>
    </row>
    <row r="678" hidden="1" spans="1:42">
      <c r="A678" t="s">
        <v>4150</v>
      </c>
      <c r="B678" t="s">
        <v>1356</v>
      </c>
      <c r="C678" t="s">
        <v>1375</v>
      </c>
      <c r="D678" t="s">
        <v>1358</v>
      </c>
      <c r="F678" t="s">
        <v>1377</v>
      </c>
      <c r="G678" s="45">
        <v>44815.8745023148</v>
      </c>
      <c r="H678" s="45">
        <v>44815.8746759259</v>
      </c>
      <c r="J678" t="s">
        <v>407</v>
      </c>
      <c r="M678">
        <v>249</v>
      </c>
      <c r="N678">
        <v>0</v>
      </c>
      <c r="O678">
        <v>0</v>
      </c>
      <c r="P678">
        <v>0</v>
      </c>
      <c r="Q678">
        <v>249</v>
      </c>
      <c r="R678">
        <v>249</v>
      </c>
      <c r="T678" t="s">
        <v>1984</v>
      </c>
      <c r="U678">
        <v>1</v>
      </c>
      <c r="V678" t="s">
        <v>1364</v>
      </c>
      <c r="X678" t="s">
        <v>479</v>
      </c>
      <c r="Y678" t="s">
        <v>4115</v>
      </c>
      <c r="Z678" t="s">
        <v>1824</v>
      </c>
      <c r="AA678" t="s">
        <v>1825</v>
      </c>
      <c r="AB678" t="s">
        <v>4116</v>
      </c>
      <c r="AC678" t="s">
        <v>4117</v>
      </c>
      <c r="AF678" t="s">
        <v>4118</v>
      </c>
      <c r="AG678" t="s">
        <v>1372</v>
      </c>
      <c r="AK678">
        <v>0</v>
      </c>
      <c r="AO678" t="s">
        <v>1372</v>
      </c>
      <c r="AP678" t="s">
        <v>1373</v>
      </c>
    </row>
    <row r="679" hidden="1" spans="1:42">
      <c r="A679" t="s">
        <v>4151</v>
      </c>
      <c r="B679" t="s">
        <v>1356</v>
      </c>
      <c r="C679" t="s">
        <v>1375</v>
      </c>
      <c r="D679" t="s">
        <v>1358</v>
      </c>
      <c r="F679" t="s">
        <v>1377</v>
      </c>
      <c r="G679" s="45">
        <v>44815.8742939815</v>
      </c>
      <c r="H679" s="45">
        <v>44815.8744212963</v>
      </c>
      <c r="J679" t="s">
        <v>407</v>
      </c>
      <c r="M679">
        <v>39.9</v>
      </c>
      <c r="N679">
        <v>0</v>
      </c>
      <c r="O679">
        <v>-3</v>
      </c>
      <c r="P679">
        <v>0</v>
      </c>
      <c r="Q679">
        <v>36.9</v>
      </c>
      <c r="R679">
        <v>36.9</v>
      </c>
      <c r="S679" t="s">
        <v>1397</v>
      </c>
      <c r="T679" t="s">
        <v>1491</v>
      </c>
      <c r="U679">
        <v>1</v>
      </c>
      <c r="V679" t="s">
        <v>1364</v>
      </c>
      <c r="X679" t="s">
        <v>530</v>
      </c>
      <c r="Y679" t="s">
        <v>4152</v>
      </c>
      <c r="Z679" t="s">
        <v>1804</v>
      </c>
      <c r="AA679" t="s">
        <v>3163</v>
      </c>
      <c r="AB679" t="s">
        <v>4153</v>
      </c>
      <c r="AC679" t="s">
        <v>4154</v>
      </c>
      <c r="AF679" t="s">
        <v>530</v>
      </c>
      <c r="AG679" t="s">
        <v>1372</v>
      </c>
      <c r="AH679" t="s">
        <v>4152</v>
      </c>
      <c r="AK679">
        <v>0</v>
      </c>
      <c r="AO679" t="s">
        <v>1372</v>
      </c>
      <c r="AP679" t="s">
        <v>1373</v>
      </c>
    </row>
    <row r="680" hidden="1" spans="1:42">
      <c r="A680" t="s">
        <v>4155</v>
      </c>
      <c r="B680" t="s">
        <v>1356</v>
      </c>
      <c r="C680" t="s">
        <v>1357</v>
      </c>
      <c r="D680" t="s">
        <v>1358</v>
      </c>
      <c r="F680" t="s">
        <v>1359</v>
      </c>
      <c r="G680" s="45">
        <v>44815.8735416667</v>
      </c>
      <c r="H680" s="45">
        <v>44815.8736689815</v>
      </c>
      <c r="J680" t="s">
        <v>1360</v>
      </c>
      <c r="K680" t="s">
        <v>4156</v>
      </c>
      <c r="L680" t="s">
        <v>4157</v>
      </c>
      <c r="M680">
        <v>69</v>
      </c>
      <c r="N680">
        <v>0</v>
      </c>
      <c r="O680">
        <v>0</v>
      </c>
      <c r="P680">
        <v>0</v>
      </c>
      <c r="Q680">
        <v>69</v>
      </c>
      <c r="R680">
        <v>69</v>
      </c>
      <c r="T680" t="s">
        <v>1669</v>
      </c>
      <c r="U680">
        <v>1</v>
      </c>
      <c r="V680" t="s">
        <v>1364</v>
      </c>
      <c r="X680" t="s">
        <v>4158</v>
      </c>
      <c r="Y680" t="s">
        <v>4159</v>
      </c>
      <c r="Z680" t="s">
        <v>1626</v>
      </c>
      <c r="AA680" t="s">
        <v>4018</v>
      </c>
      <c r="AB680" t="s">
        <v>4160</v>
      </c>
      <c r="AC680" t="s">
        <v>4161</v>
      </c>
      <c r="AF680" t="s">
        <v>4162</v>
      </c>
      <c r="AG680" t="s">
        <v>1385</v>
      </c>
      <c r="AH680" t="s">
        <v>4159</v>
      </c>
      <c r="AK680">
        <v>0</v>
      </c>
      <c r="AO680" t="s">
        <v>1372</v>
      </c>
      <c r="AP680" t="s">
        <v>1373</v>
      </c>
    </row>
    <row r="681" hidden="1" spans="1:42">
      <c r="A681" t="s">
        <v>4163</v>
      </c>
      <c r="B681" t="s">
        <v>1356</v>
      </c>
      <c r="C681" t="s">
        <v>1375</v>
      </c>
      <c r="D681" t="s">
        <v>1358</v>
      </c>
      <c r="F681" t="s">
        <v>1377</v>
      </c>
      <c r="G681" s="45">
        <v>44815.8730208333</v>
      </c>
      <c r="H681" s="45">
        <v>44815.8731481481</v>
      </c>
      <c r="J681" t="s">
        <v>407</v>
      </c>
      <c r="M681">
        <v>329</v>
      </c>
      <c r="N681">
        <v>0</v>
      </c>
      <c r="O681">
        <v>-5</v>
      </c>
      <c r="P681">
        <v>0</v>
      </c>
      <c r="Q681">
        <v>324</v>
      </c>
      <c r="R681">
        <v>324</v>
      </c>
      <c r="S681" t="s">
        <v>1422</v>
      </c>
      <c r="T681" t="s">
        <v>4164</v>
      </c>
      <c r="U681">
        <v>1</v>
      </c>
      <c r="V681" t="s">
        <v>1364</v>
      </c>
      <c r="X681" t="s">
        <v>490</v>
      </c>
      <c r="Y681" t="s">
        <v>4165</v>
      </c>
      <c r="Z681" t="s">
        <v>1380</v>
      </c>
      <c r="AA681" t="s">
        <v>1409</v>
      </c>
      <c r="AB681" t="s">
        <v>4166</v>
      </c>
      <c r="AC681" t="s">
        <v>4167</v>
      </c>
      <c r="AF681" t="s">
        <v>4168</v>
      </c>
      <c r="AG681" t="s">
        <v>1385</v>
      </c>
      <c r="AH681" t="s">
        <v>4165</v>
      </c>
      <c r="AK681">
        <v>0</v>
      </c>
      <c r="AO681" t="s">
        <v>1372</v>
      </c>
      <c r="AP681" t="s">
        <v>1373</v>
      </c>
    </row>
    <row r="682" hidden="1" spans="1:42">
      <c r="A682" t="s">
        <v>4169</v>
      </c>
      <c r="B682" t="s">
        <v>1356</v>
      </c>
      <c r="C682" t="s">
        <v>1375</v>
      </c>
      <c r="D682" t="s">
        <v>1376</v>
      </c>
      <c r="F682" t="s">
        <v>1377</v>
      </c>
      <c r="G682" s="45">
        <v>44815.8727546296</v>
      </c>
      <c r="M682">
        <v>249</v>
      </c>
      <c r="N682">
        <v>0</v>
      </c>
      <c r="O682">
        <v>0</v>
      </c>
      <c r="P682">
        <v>0</v>
      </c>
      <c r="Q682">
        <v>249</v>
      </c>
      <c r="R682">
        <v>0</v>
      </c>
      <c r="T682" t="s">
        <v>2098</v>
      </c>
      <c r="U682">
        <v>1</v>
      </c>
      <c r="V682" t="s">
        <v>1364</v>
      </c>
      <c r="X682" t="s">
        <v>479</v>
      </c>
      <c r="Y682" t="s">
        <v>4115</v>
      </c>
      <c r="Z682" t="s">
        <v>1824</v>
      </c>
      <c r="AA682" t="s">
        <v>1825</v>
      </c>
      <c r="AB682" t="s">
        <v>4116</v>
      </c>
      <c r="AC682" t="s">
        <v>4117</v>
      </c>
      <c r="AF682" t="s">
        <v>4118</v>
      </c>
      <c r="AG682" t="s">
        <v>1372</v>
      </c>
      <c r="AK682">
        <v>0</v>
      </c>
      <c r="AO682" t="s">
        <v>1372</v>
      </c>
      <c r="AP682" t="s">
        <v>1373</v>
      </c>
    </row>
    <row r="683" hidden="1" spans="1:42">
      <c r="A683" t="s">
        <v>4170</v>
      </c>
      <c r="B683" t="s">
        <v>1356</v>
      </c>
      <c r="C683" t="s">
        <v>1375</v>
      </c>
      <c r="D683" t="s">
        <v>1358</v>
      </c>
      <c r="F683" t="s">
        <v>1377</v>
      </c>
      <c r="G683" s="45">
        <v>44815.8726157407</v>
      </c>
      <c r="H683" s="45">
        <v>44815.8727430556</v>
      </c>
      <c r="J683" t="s">
        <v>407</v>
      </c>
      <c r="M683">
        <v>19.9</v>
      </c>
      <c r="N683">
        <v>0</v>
      </c>
      <c r="O683">
        <v>0</v>
      </c>
      <c r="P683">
        <v>0</v>
      </c>
      <c r="Q683">
        <v>19.9</v>
      </c>
      <c r="R683">
        <v>19.9</v>
      </c>
      <c r="T683" t="s">
        <v>1578</v>
      </c>
      <c r="U683">
        <v>1</v>
      </c>
      <c r="V683" t="s">
        <v>1364</v>
      </c>
      <c r="X683" t="s">
        <v>861</v>
      </c>
      <c r="Y683" t="s">
        <v>4171</v>
      </c>
      <c r="Z683" t="s">
        <v>1495</v>
      </c>
      <c r="AA683" t="s">
        <v>2877</v>
      </c>
      <c r="AB683" t="s">
        <v>4172</v>
      </c>
      <c r="AC683" t="s">
        <v>4173</v>
      </c>
      <c r="AF683" t="s">
        <v>4174</v>
      </c>
      <c r="AG683" t="s">
        <v>1372</v>
      </c>
      <c r="AK683">
        <v>0</v>
      </c>
      <c r="AO683" t="s">
        <v>1372</v>
      </c>
      <c r="AP683" t="s">
        <v>1373</v>
      </c>
    </row>
    <row r="684" hidden="1" spans="1:42">
      <c r="A684" t="s">
        <v>4175</v>
      </c>
      <c r="B684" t="s">
        <v>1356</v>
      </c>
      <c r="C684" t="s">
        <v>1357</v>
      </c>
      <c r="D684" t="s">
        <v>1358</v>
      </c>
      <c r="F684" t="s">
        <v>1359</v>
      </c>
      <c r="G684" s="45">
        <v>44815.8710648148</v>
      </c>
      <c r="H684" s="45">
        <v>44815.8711921296</v>
      </c>
      <c r="J684" t="s">
        <v>1360</v>
      </c>
      <c r="K684" t="s">
        <v>4176</v>
      </c>
      <c r="L684" t="s">
        <v>4177</v>
      </c>
      <c r="M684">
        <v>69</v>
      </c>
      <c r="N684">
        <v>0</v>
      </c>
      <c r="O684">
        <v>0</v>
      </c>
      <c r="P684">
        <v>0</v>
      </c>
      <c r="Q684">
        <v>69</v>
      </c>
      <c r="R684">
        <v>69</v>
      </c>
      <c r="T684" t="s">
        <v>1669</v>
      </c>
      <c r="U684">
        <v>1</v>
      </c>
      <c r="V684" t="s">
        <v>1364</v>
      </c>
      <c r="X684" t="s">
        <v>4178</v>
      </c>
      <c r="Y684" t="s">
        <v>4179</v>
      </c>
      <c r="Z684" t="s">
        <v>1533</v>
      </c>
      <c r="AA684" t="s">
        <v>2987</v>
      </c>
      <c r="AB684" t="s">
        <v>4180</v>
      </c>
      <c r="AC684" t="s">
        <v>4181</v>
      </c>
      <c r="AF684" t="s">
        <v>4178</v>
      </c>
      <c r="AG684" t="s">
        <v>1372</v>
      </c>
      <c r="AH684" t="s">
        <v>4179</v>
      </c>
      <c r="AK684">
        <v>0</v>
      </c>
      <c r="AO684" t="s">
        <v>1372</v>
      </c>
      <c r="AP684" t="s">
        <v>1373</v>
      </c>
    </row>
    <row r="685" hidden="1" spans="1:42">
      <c r="A685" t="s">
        <v>4182</v>
      </c>
      <c r="B685" t="s">
        <v>1356</v>
      </c>
      <c r="C685" t="s">
        <v>1375</v>
      </c>
      <c r="D685" t="s">
        <v>1376</v>
      </c>
      <c r="F685" t="s">
        <v>1377</v>
      </c>
      <c r="G685" s="45">
        <v>44815.8664236111</v>
      </c>
      <c r="M685">
        <v>249</v>
      </c>
      <c r="N685">
        <v>0</v>
      </c>
      <c r="O685">
        <v>0</v>
      </c>
      <c r="P685">
        <v>0</v>
      </c>
      <c r="Q685">
        <v>249</v>
      </c>
      <c r="R685">
        <v>0</v>
      </c>
      <c r="T685" t="s">
        <v>3261</v>
      </c>
      <c r="U685">
        <v>1</v>
      </c>
      <c r="V685" t="s">
        <v>1364</v>
      </c>
      <c r="X685" t="s">
        <v>4183</v>
      </c>
      <c r="Y685" t="s">
        <v>4184</v>
      </c>
      <c r="Z685" t="s">
        <v>1367</v>
      </c>
      <c r="AA685" t="s">
        <v>1615</v>
      </c>
      <c r="AB685" t="s">
        <v>2540</v>
      </c>
      <c r="AC685" t="s">
        <v>4185</v>
      </c>
      <c r="AF685" t="s">
        <v>4186</v>
      </c>
      <c r="AG685" t="s">
        <v>1372</v>
      </c>
      <c r="AK685">
        <v>0</v>
      </c>
      <c r="AO685" t="s">
        <v>1372</v>
      </c>
      <c r="AP685" t="s">
        <v>1373</v>
      </c>
    </row>
    <row r="686" hidden="1" spans="1:42">
      <c r="A686" t="s">
        <v>4187</v>
      </c>
      <c r="B686" t="s">
        <v>1356</v>
      </c>
      <c r="C686" t="s">
        <v>1375</v>
      </c>
      <c r="D686" t="s">
        <v>1358</v>
      </c>
      <c r="F686" t="s">
        <v>1377</v>
      </c>
      <c r="G686" s="45">
        <v>44815.8657175926</v>
      </c>
      <c r="H686" s="45">
        <v>44815.8658101852</v>
      </c>
      <c r="J686" t="s">
        <v>407</v>
      </c>
      <c r="M686">
        <v>249</v>
      </c>
      <c r="N686">
        <v>0</v>
      </c>
      <c r="O686">
        <v>0</v>
      </c>
      <c r="P686">
        <v>0</v>
      </c>
      <c r="Q686">
        <v>249</v>
      </c>
      <c r="R686">
        <v>249</v>
      </c>
      <c r="T686" t="s">
        <v>1708</v>
      </c>
      <c r="U686">
        <v>1</v>
      </c>
      <c r="V686" t="s">
        <v>1364</v>
      </c>
      <c r="X686" t="s">
        <v>383</v>
      </c>
      <c r="Y686" t="s">
        <v>2422</v>
      </c>
      <c r="Z686" t="s">
        <v>1367</v>
      </c>
      <c r="AA686" t="s">
        <v>1615</v>
      </c>
      <c r="AB686" t="s">
        <v>2423</v>
      </c>
      <c r="AC686" t="s">
        <v>2424</v>
      </c>
      <c r="AF686" t="s">
        <v>2426</v>
      </c>
      <c r="AG686" t="s">
        <v>1372</v>
      </c>
      <c r="AK686">
        <v>0</v>
      </c>
      <c r="AL686" t="s">
        <v>3063</v>
      </c>
      <c r="AO686" t="s">
        <v>1372</v>
      </c>
      <c r="AP686" t="s">
        <v>1373</v>
      </c>
    </row>
    <row r="687" hidden="1" spans="1:42">
      <c r="A687" t="s">
        <v>4188</v>
      </c>
      <c r="B687" t="s">
        <v>1356</v>
      </c>
      <c r="C687" t="s">
        <v>1375</v>
      </c>
      <c r="D687" t="s">
        <v>1358</v>
      </c>
      <c r="F687" t="s">
        <v>1377</v>
      </c>
      <c r="G687" s="45">
        <v>44815.8646875</v>
      </c>
      <c r="H687" s="45">
        <v>44815.864849537</v>
      </c>
      <c r="J687" t="s">
        <v>407</v>
      </c>
      <c r="M687">
        <v>249</v>
      </c>
      <c r="N687">
        <v>0</v>
      </c>
      <c r="O687">
        <v>-4</v>
      </c>
      <c r="P687">
        <v>0</v>
      </c>
      <c r="Q687">
        <v>245</v>
      </c>
      <c r="R687">
        <v>245</v>
      </c>
      <c r="S687" t="s">
        <v>1388</v>
      </c>
      <c r="T687" t="s">
        <v>4189</v>
      </c>
      <c r="U687">
        <v>1</v>
      </c>
      <c r="V687" t="s">
        <v>1364</v>
      </c>
      <c r="X687" t="s">
        <v>385</v>
      </c>
      <c r="Y687" t="s">
        <v>3936</v>
      </c>
      <c r="Z687" t="s">
        <v>1710</v>
      </c>
      <c r="AA687" t="s">
        <v>3937</v>
      </c>
      <c r="AB687" t="s">
        <v>3938</v>
      </c>
      <c r="AC687" t="s">
        <v>3939</v>
      </c>
      <c r="AF687" t="s">
        <v>385</v>
      </c>
      <c r="AG687" t="s">
        <v>1372</v>
      </c>
      <c r="AK687">
        <v>0</v>
      </c>
      <c r="AL687" t="s">
        <v>4190</v>
      </c>
      <c r="AO687" t="s">
        <v>1372</v>
      </c>
      <c r="AP687" t="s">
        <v>1373</v>
      </c>
    </row>
    <row r="688" hidden="1" spans="1:42">
      <c r="A688" t="s">
        <v>4191</v>
      </c>
      <c r="B688" t="s">
        <v>1356</v>
      </c>
      <c r="C688" t="s">
        <v>1375</v>
      </c>
      <c r="D688" t="s">
        <v>1358</v>
      </c>
      <c r="F688" t="s">
        <v>1377</v>
      </c>
      <c r="G688" s="45">
        <v>44815.864537037</v>
      </c>
      <c r="H688" s="45">
        <v>44815.8670138889</v>
      </c>
      <c r="J688" t="s">
        <v>407</v>
      </c>
      <c r="M688">
        <v>89</v>
      </c>
      <c r="N688">
        <v>0</v>
      </c>
      <c r="O688">
        <v>-5</v>
      </c>
      <c r="P688">
        <v>0</v>
      </c>
      <c r="Q688">
        <v>84</v>
      </c>
      <c r="R688">
        <v>84</v>
      </c>
      <c r="S688" t="s">
        <v>1422</v>
      </c>
      <c r="T688" t="s">
        <v>4192</v>
      </c>
      <c r="U688">
        <v>1</v>
      </c>
      <c r="V688" t="s">
        <v>1364</v>
      </c>
      <c r="X688" t="s">
        <v>401</v>
      </c>
      <c r="Y688" t="s">
        <v>2161</v>
      </c>
      <c r="Z688" t="s">
        <v>2028</v>
      </c>
      <c r="AA688" t="s">
        <v>2162</v>
      </c>
      <c r="AB688" t="s">
        <v>2163</v>
      </c>
      <c r="AC688" t="s">
        <v>2164</v>
      </c>
      <c r="AF688" t="s">
        <v>401</v>
      </c>
      <c r="AG688" t="s">
        <v>1385</v>
      </c>
      <c r="AH688" t="s">
        <v>2161</v>
      </c>
      <c r="AK688">
        <v>0</v>
      </c>
      <c r="AO688" t="s">
        <v>1372</v>
      </c>
      <c r="AP688" t="s">
        <v>1373</v>
      </c>
    </row>
    <row r="689" hidden="1" spans="1:42">
      <c r="A689" t="s">
        <v>4193</v>
      </c>
      <c r="B689" t="s">
        <v>1356</v>
      </c>
      <c r="C689" t="s">
        <v>1375</v>
      </c>
      <c r="D689" t="s">
        <v>1358</v>
      </c>
      <c r="F689" t="s">
        <v>1377</v>
      </c>
      <c r="G689" s="45">
        <v>44815.8639699074</v>
      </c>
      <c r="H689" s="45">
        <v>44815.8641435185</v>
      </c>
      <c r="J689" t="s">
        <v>407</v>
      </c>
      <c r="M689">
        <v>249</v>
      </c>
      <c r="N689">
        <v>0</v>
      </c>
      <c r="O689">
        <v>0</v>
      </c>
      <c r="P689">
        <v>0</v>
      </c>
      <c r="Q689">
        <v>249</v>
      </c>
      <c r="R689">
        <v>249</v>
      </c>
      <c r="T689" t="s">
        <v>3616</v>
      </c>
      <c r="U689">
        <v>1</v>
      </c>
      <c r="V689" t="s">
        <v>1364</v>
      </c>
      <c r="X689" t="s">
        <v>530</v>
      </c>
      <c r="Y689" t="s">
        <v>4152</v>
      </c>
      <c r="Z689" t="s">
        <v>1804</v>
      </c>
      <c r="AA689" t="s">
        <v>3163</v>
      </c>
      <c r="AB689" t="s">
        <v>4153</v>
      </c>
      <c r="AC689" t="s">
        <v>4154</v>
      </c>
      <c r="AF689" t="s">
        <v>530</v>
      </c>
      <c r="AG689" t="s">
        <v>1372</v>
      </c>
      <c r="AH689" t="s">
        <v>4152</v>
      </c>
      <c r="AK689">
        <v>0</v>
      </c>
      <c r="AO689" t="s">
        <v>1372</v>
      </c>
      <c r="AP689" t="s">
        <v>1373</v>
      </c>
    </row>
    <row r="690" hidden="1" spans="1:42">
      <c r="A690" t="s">
        <v>4194</v>
      </c>
      <c r="B690" t="s">
        <v>1356</v>
      </c>
      <c r="C690" t="s">
        <v>1375</v>
      </c>
      <c r="D690" t="s">
        <v>1358</v>
      </c>
      <c r="F690" t="s">
        <v>1377</v>
      </c>
      <c r="G690" s="45">
        <v>44815.8636342593</v>
      </c>
      <c r="H690" s="45">
        <v>44815.8637847222</v>
      </c>
      <c r="J690" t="s">
        <v>407</v>
      </c>
      <c r="M690">
        <v>249</v>
      </c>
      <c r="N690">
        <v>0</v>
      </c>
      <c r="O690">
        <v>-8</v>
      </c>
      <c r="P690">
        <v>0</v>
      </c>
      <c r="Q690">
        <v>241</v>
      </c>
      <c r="R690">
        <v>241</v>
      </c>
      <c r="S690" t="s">
        <v>2959</v>
      </c>
      <c r="T690" t="s">
        <v>3616</v>
      </c>
      <c r="U690">
        <v>1</v>
      </c>
      <c r="V690" t="s">
        <v>1364</v>
      </c>
      <c r="X690" t="s">
        <v>490</v>
      </c>
      <c r="Y690" t="s">
        <v>4165</v>
      </c>
      <c r="Z690" t="s">
        <v>1380</v>
      </c>
      <c r="AA690" t="s">
        <v>1409</v>
      </c>
      <c r="AB690" t="s">
        <v>4166</v>
      </c>
      <c r="AC690" t="s">
        <v>4167</v>
      </c>
      <c r="AF690" t="s">
        <v>4168</v>
      </c>
      <c r="AG690" t="s">
        <v>1385</v>
      </c>
      <c r="AH690" t="s">
        <v>4165</v>
      </c>
      <c r="AK690">
        <v>0</v>
      </c>
      <c r="AO690" t="s">
        <v>1372</v>
      </c>
      <c r="AP690" t="s">
        <v>1373</v>
      </c>
    </row>
    <row r="691" hidden="1" spans="1:42">
      <c r="A691" t="s">
        <v>4195</v>
      </c>
      <c r="B691" t="s">
        <v>1356</v>
      </c>
      <c r="C691" t="s">
        <v>1375</v>
      </c>
      <c r="D691" t="s">
        <v>1376</v>
      </c>
      <c r="F691" t="s">
        <v>1377</v>
      </c>
      <c r="G691" s="45">
        <v>44815.8634722222</v>
      </c>
      <c r="M691">
        <v>249</v>
      </c>
      <c r="N691">
        <v>0</v>
      </c>
      <c r="O691">
        <v>0</v>
      </c>
      <c r="P691">
        <v>0</v>
      </c>
      <c r="Q691">
        <v>249</v>
      </c>
      <c r="R691">
        <v>0</v>
      </c>
      <c r="T691" t="s">
        <v>1708</v>
      </c>
      <c r="U691">
        <v>1</v>
      </c>
      <c r="V691" t="s">
        <v>1364</v>
      </c>
      <c r="X691" t="s">
        <v>383</v>
      </c>
      <c r="Y691" t="s">
        <v>2422</v>
      </c>
      <c r="Z691" t="s">
        <v>1367</v>
      </c>
      <c r="AA691" t="s">
        <v>1615</v>
      </c>
      <c r="AB691" t="s">
        <v>2423</v>
      </c>
      <c r="AC691" t="s">
        <v>2424</v>
      </c>
      <c r="AF691" t="s">
        <v>2426</v>
      </c>
      <c r="AG691" t="s">
        <v>1372</v>
      </c>
      <c r="AK691">
        <v>0</v>
      </c>
      <c r="AO691" t="s">
        <v>1372</v>
      </c>
      <c r="AP691" t="s">
        <v>1373</v>
      </c>
    </row>
    <row r="692" hidden="1" spans="1:42">
      <c r="A692" t="s">
        <v>4196</v>
      </c>
      <c r="B692" t="s">
        <v>1356</v>
      </c>
      <c r="C692" t="s">
        <v>1357</v>
      </c>
      <c r="D692" t="s">
        <v>1358</v>
      </c>
      <c r="F692" t="s">
        <v>1359</v>
      </c>
      <c r="G692" s="45">
        <v>44815.8632407407</v>
      </c>
      <c r="H692" s="45">
        <v>44815.8633333333</v>
      </c>
      <c r="J692" t="s">
        <v>1360</v>
      </c>
      <c r="K692" t="s">
        <v>4197</v>
      </c>
      <c r="L692" t="s">
        <v>4198</v>
      </c>
      <c r="M692">
        <v>59</v>
      </c>
      <c r="N692">
        <v>0</v>
      </c>
      <c r="O692">
        <v>0</v>
      </c>
      <c r="P692">
        <v>0</v>
      </c>
      <c r="Q692">
        <v>59</v>
      </c>
      <c r="R692">
        <v>59</v>
      </c>
      <c r="T692" t="s">
        <v>1685</v>
      </c>
      <c r="U692">
        <v>1</v>
      </c>
      <c r="V692" t="s">
        <v>1364</v>
      </c>
      <c r="X692" t="s">
        <v>4199</v>
      </c>
      <c r="Y692" t="s">
        <v>4200</v>
      </c>
      <c r="Z692" t="s">
        <v>1367</v>
      </c>
      <c r="AA692" t="s">
        <v>1943</v>
      </c>
      <c r="AB692" t="s">
        <v>1944</v>
      </c>
      <c r="AC692" t="s">
        <v>4201</v>
      </c>
      <c r="AF692" t="s">
        <v>4199</v>
      </c>
      <c r="AG692" t="s">
        <v>1385</v>
      </c>
      <c r="AH692" t="s">
        <v>4200</v>
      </c>
      <c r="AK692">
        <v>0</v>
      </c>
      <c r="AO692" t="s">
        <v>1372</v>
      </c>
      <c r="AP692" t="s">
        <v>1373</v>
      </c>
    </row>
    <row r="693" hidden="1" spans="1:42">
      <c r="A693" t="s">
        <v>4202</v>
      </c>
      <c r="B693" t="s">
        <v>1356</v>
      </c>
      <c r="C693" t="s">
        <v>1357</v>
      </c>
      <c r="D693" t="s">
        <v>1358</v>
      </c>
      <c r="F693" t="s">
        <v>1359</v>
      </c>
      <c r="G693" s="45">
        <v>44815.8632407407</v>
      </c>
      <c r="H693" s="45">
        <v>44815.8633333333</v>
      </c>
      <c r="J693" t="s">
        <v>1360</v>
      </c>
      <c r="K693" t="s">
        <v>4197</v>
      </c>
      <c r="L693" t="s">
        <v>4203</v>
      </c>
      <c r="M693">
        <v>138</v>
      </c>
      <c r="N693">
        <v>0</v>
      </c>
      <c r="O693">
        <v>0</v>
      </c>
      <c r="P693">
        <v>0</v>
      </c>
      <c r="Q693">
        <v>138</v>
      </c>
      <c r="R693">
        <v>138</v>
      </c>
      <c r="T693" t="s">
        <v>4204</v>
      </c>
      <c r="U693">
        <v>1</v>
      </c>
      <c r="V693" t="s">
        <v>1364</v>
      </c>
      <c r="X693" t="s">
        <v>4199</v>
      </c>
      <c r="Y693" t="s">
        <v>4200</v>
      </c>
      <c r="Z693" t="s">
        <v>1367</v>
      </c>
      <c r="AA693" t="s">
        <v>1943</v>
      </c>
      <c r="AB693" t="s">
        <v>1944</v>
      </c>
      <c r="AC693" t="s">
        <v>4201</v>
      </c>
      <c r="AF693" t="s">
        <v>4199</v>
      </c>
      <c r="AG693" t="s">
        <v>1385</v>
      </c>
      <c r="AH693" t="s">
        <v>4200</v>
      </c>
      <c r="AK693">
        <v>0</v>
      </c>
      <c r="AO693" t="s">
        <v>1372</v>
      </c>
      <c r="AP693" t="s">
        <v>1373</v>
      </c>
    </row>
    <row r="694" hidden="1" spans="1:42">
      <c r="A694" t="s">
        <v>4205</v>
      </c>
      <c r="B694" t="s">
        <v>1356</v>
      </c>
      <c r="C694" t="s">
        <v>1375</v>
      </c>
      <c r="D694" t="s">
        <v>1376</v>
      </c>
      <c r="F694" t="s">
        <v>1377</v>
      </c>
      <c r="G694" s="45">
        <v>44815.8623958333</v>
      </c>
      <c r="M694">
        <v>249</v>
      </c>
      <c r="N694">
        <v>0</v>
      </c>
      <c r="O694">
        <v>0</v>
      </c>
      <c r="P694">
        <v>0</v>
      </c>
      <c r="Q694">
        <v>249</v>
      </c>
      <c r="R694">
        <v>0</v>
      </c>
      <c r="T694" t="s">
        <v>3616</v>
      </c>
      <c r="U694">
        <v>1</v>
      </c>
      <c r="V694" t="s">
        <v>1364</v>
      </c>
      <c r="X694" t="s">
        <v>530</v>
      </c>
      <c r="Y694" t="s">
        <v>4152</v>
      </c>
      <c r="Z694" t="s">
        <v>1804</v>
      </c>
      <c r="AA694" t="s">
        <v>3163</v>
      </c>
      <c r="AB694" t="s">
        <v>4153</v>
      </c>
      <c r="AC694" t="s">
        <v>4154</v>
      </c>
      <c r="AF694" t="s">
        <v>530</v>
      </c>
      <c r="AG694" t="s">
        <v>1372</v>
      </c>
      <c r="AH694" t="s">
        <v>4152</v>
      </c>
      <c r="AK694">
        <v>0</v>
      </c>
      <c r="AO694" t="s">
        <v>1372</v>
      </c>
      <c r="AP694" t="s">
        <v>1373</v>
      </c>
    </row>
    <row r="695" hidden="1" spans="1:42">
      <c r="A695" t="s">
        <v>4206</v>
      </c>
      <c r="B695" t="s">
        <v>1356</v>
      </c>
      <c r="C695" t="s">
        <v>1375</v>
      </c>
      <c r="D695" t="s">
        <v>1358</v>
      </c>
      <c r="F695" t="s">
        <v>1377</v>
      </c>
      <c r="G695" s="45">
        <v>44815.8619675926</v>
      </c>
      <c r="H695" s="45">
        <v>44815.8620601852</v>
      </c>
      <c r="J695" t="s">
        <v>407</v>
      </c>
      <c r="M695">
        <v>249</v>
      </c>
      <c r="N695">
        <v>0</v>
      </c>
      <c r="O695">
        <v>0</v>
      </c>
      <c r="P695">
        <v>0</v>
      </c>
      <c r="Q695">
        <v>249</v>
      </c>
      <c r="R695">
        <v>249</v>
      </c>
      <c r="T695" t="s">
        <v>4010</v>
      </c>
      <c r="U695">
        <v>1</v>
      </c>
      <c r="V695" t="s">
        <v>1364</v>
      </c>
      <c r="X695" t="s">
        <v>501</v>
      </c>
      <c r="Y695" t="s">
        <v>4207</v>
      </c>
      <c r="Z695" t="s">
        <v>1678</v>
      </c>
      <c r="AA695" t="s">
        <v>1679</v>
      </c>
      <c r="AB695" t="s">
        <v>1680</v>
      </c>
      <c r="AC695" t="s">
        <v>4208</v>
      </c>
      <c r="AF695" t="s">
        <v>4209</v>
      </c>
      <c r="AG695" t="s">
        <v>1385</v>
      </c>
      <c r="AH695" t="s">
        <v>4207</v>
      </c>
      <c r="AK695">
        <v>0</v>
      </c>
      <c r="AO695" t="s">
        <v>1372</v>
      </c>
      <c r="AP695" t="s">
        <v>1373</v>
      </c>
    </row>
    <row r="696" hidden="1" spans="1:42">
      <c r="A696" t="s">
        <v>4210</v>
      </c>
      <c r="B696" t="s">
        <v>1356</v>
      </c>
      <c r="C696" t="s">
        <v>1375</v>
      </c>
      <c r="D696" t="s">
        <v>1358</v>
      </c>
      <c r="F696" t="s">
        <v>1377</v>
      </c>
      <c r="G696" s="45">
        <v>44815.8611689815</v>
      </c>
      <c r="H696" s="45">
        <v>44815.8616319444</v>
      </c>
      <c r="J696" t="s">
        <v>407</v>
      </c>
      <c r="M696">
        <v>249</v>
      </c>
      <c r="N696">
        <v>0</v>
      </c>
      <c r="O696">
        <v>0</v>
      </c>
      <c r="P696">
        <v>0</v>
      </c>
      <c r="Q696">
        <v>249</v>
      </c>
      <c r="R696">
        <v>249</v>
      </c>
      <c r="T696" t="s">
        <v>1890</v>
      </c>
      <c r="U696">
        <v>1</v>
      </c>
      <c r="V696" t="s">
        <v>1364</v>
      </c>
      <c r="X696" t="s">
        <v>834</v>
      </c>
      <c r="Y696" t="s">
        <v>4211</v>
      </c>
      <c r="Z696" t="s">
        <v>1367</v>
      </c>
      <c r="AA696" t="s">
        <v>1486</v>
      </c>
      <c r="AB696" t="s">
        <v>2437</v>
      </c>
      <c r="AC696" t="s">
        <v>4212</v>
      </c>
      <c r="AF696" t="s">
        <v>4213</v>
      </c>
      <c r="AG696" t="s">
        <v>1372</v>
      </c>
      <c r="AK696">
        <v>0</v>
      </c>
      <c r="AO696" t="s">
        <v>1372</v>
      </c>
      <c r="AP696" t="s">
        <v>1373</v>
      </c>
    </row>
    <row r="697" hidden="1" spans="1:42">
      <c r="A697" t="s">
        <v>4214</v>
      </c>
      <c r="B697" t="s">
        <v>1356</v>
      </c>
      <c r="C697" t="s">
        <v>1375</v>
      </c>
      <c r="D697" t="s">
        <v>1376</v>
      </c>
      <c r="F697" t="s">
        <v>1377</v>
      </c>
      <c r="G697" s="45">
        <v>44815.860787037</v>
      </c>
      <c r="M697">
        <v>249</v>
      </c>
      <c r="N697">
        <v>0</v>
      </c>
      <c r="O697">
        <v>-5</v>
      </c>
      <c r="P697">
        <v>0</v>
      </c>
      <c r="Q697">
        <v>244</v>
      </c>
      <c r="R697">
        <v>0</v>
      </c>
      <c r="S697" t="s">
        <v>1422</v>
      </c>
      <c r="T697" t="s">
        <v>4010</v>
      </c>
      <c r="U697">
        <v>1</v>
      </c>
      <c r="V697" t="s">
        <v>1364</v>
      </c>
      <c r="X697" t="s">
        <v>501</v>
      </c>
      <c r="Y697" t="s">
        <v>4207</v>
      </c>
      <c r="Z697" t="s">
        <v>1678</v>
      </c>
      <c r="AA697" t="s">
        <v>1679</v>
      </c>
      <c r="AB697" t="s">
        <v>1680</v>
      </c>
      <c r="AC697" t="s">
        <v>4208</v>
      </c>
      <c r="AF697" t="s">
        <v>4209</v>
      </c>
      <c r="AG697" t="s">
        <v>1385</v>
      </c>
      <c r="AH697" t="s">
        <v>4207</v>
      </c>
      <c r="AK697">
        <v>0</v>
      </c>
      <c r="AO697" t="s">
        <v>1372</v>
      </c>
      <c r="AP697" t="s">
        <v>1373</v>
      </c>
    </row>
    <row r="698" hidden="1" spans="1:42">
      <c r="A698" t="s">
        <v>4215</v>
      </c>
      <c r="B698" t="s">
        <v>1356</v>
      </c>
      <c r="C698" t="s">
        <v>1375</v>
      </c>
      <c r="D698" t="s">
        <v>1358</v>
      </c>
      <c r="F698" t="s">
        <v>1377</v>
      </c>
      <c r="G698" s="45">
        <v>44815.860775463</v>
      </c>
      <c r="H698" s="45">
        <v>44815.8609027778</v>
      </c>
      <c r="J698" t="s">
        <v>407</v>
      </c>
      <c r="M698">
        <v>249</v>
      </c>
      <c r="N698">
        <v>0</v>
      </c>
      <c r="O698">
        <v>0</v>
      </c>
      <c r="P698">
        <v>0</v>
      </c>
      <c r="Q698">
        <v>249</v>
      </c>
      <c r="R698">
        <v>249</v>
      </c>
      <c r="T698" t="s">
        <v>3920</v>
      </c>
      <c r="U698">
        <v>1</v>
      </c>
      <c r="V698" t="s">
        <v>1364</v>
      </c>
      <c r="X698" t="s">
        <v>831</v>
      </c>
      <c r="Y698" t="s">
        <v>4216</v>
      </c>
      <c r="Z698" t="s">
        <v>2336</v>
      </c>
      <c r="AA698" t="s">
        <v>2336</v>
      </c>
      <c r="AB698" t="s">
        <v>2337</v>
      </c>
      <c r="AC698" t="s">
        <v>4217</v>
      </c>
      <c r="AF698" t="s">
        <v>4218</v>
      </c>
      <c r="AG698" t="s">
        <v>1372</v>
      </c>
      <c r="AK698">
        <v>0</v>
      </c>
      <c r="AO698" t="s">
        <v>1372</v>
      </c>
      <c r="AP698" t="s">
        <v>1373</v>
      </c>
    </row>
    <row r="699" hidden="1" spans="1:42">
      <c r="A699" t="s">
        <v>4219</v>
      </c>
      <c r="B699" t="s">
        <v>1356</v>
      </c>
      <c r="C699" t="s">
        <v>1375</v>
      </c>
      <c r="D699" t="s">
        <v>1358</v>
      </c>
      <c r="F699" t="s">
        <v>1377</v>
      </c>
      <c r="G699" s="45">
        <v>44815.8575810185</v>
      </c>
      <c r="H699" s="45">
        <v>44815.8578472222</v>
      </c>
      <c r="J699" t="s">
        <v>407</v>
      </c>
      <c r="M699">
        <v>249</v>
      </c>
      <c r="N699">
        <v>0</v>
      </c>
      <c r="O699">
        <v>0</v>
      </c>
      <c r="P699">
        <v>0</v>
      </c>
      <c r="Q699">
        <v>249</v>
      </c>
      <c r="R699">
        <v>249</v>
      </c>
      <c r="T699" t="s">
        <v>4220</v>
      </c>
      <c r="U699">
        <v>1</v>
      </c>
      <c r="V699" t="s">
        <v>1364</v>
      </c>
      <c r="X699" t="s">
        <v>841</v>
      </c>
      <c r="Y699" t="s">
        <v>4221</v>
      </c>
      <c r="Z699" t="s">
        <v>1466</v>
      </c>
      <c r="AA699" t="s">
        <v>2481</v>
      </c>
      <c r="AB699" t="s">
        <v>4222</v>
      </c>
      <c r="AC699" t="s">
        <v>4223</v>
      </c>
      <c r="AF699" t="s">
        <v>4224</v>
      </c>
      <c r="AG699" t="s">
        <v>1372</v>
      </c>
      <c r="AK699">
        <v>0</v>
      </c>
      <c r="AO699" t="s">
        <v>1372</v>
      </c>
      <c r="AP699" t="s">
        <v>1373</v>
      </c>
    </row>
    <row r="700" hidden="1" spans="1:42">
      <c r="A700" t="s">
        <v>4225</v>
      </c>
      <c r="B700" t="s">
        <v>1356</v>
      </c>
      <c r="C700" t="s">
        <v>1375</v>
      </c>
      <c r="D700" t="s">
        <v>1358</v>
      </c>
      <c r="F700" t="s">
        <v>1377</v>
      </c>
      <c r="G700" s="45">
        <v>44815.8569791667</v>
      </c>
      <c r="H700" s="45">
        <v>44815.8571990741</v>
      </c>
      <c r="J700" t="s">
        <v>407</v>
      </c>
      <c r="M700">
        <v>249</v>
      </c>
      <c r="N700">
        <v>0</v>
      </c>
      <c r="O700">
        <v>0</v>
      </c>
      <c r="P700">
        <v>0</v>
      </c>
      <c r="Q700">
        <v>249</v>
      </c>
      <c r="R700">
        <v>249</v>
      </c>
      <c r="T700" t="s">
        <v>1862</v>
      </c>
      <c r="U700">
        <v>1</v>
      </c>
      <c r="V700" t="s">
        <v>1364</v>
      </c>
      <c r="X700" t="s">
        <v>490</v>
      </c>
      <c r="Y700" t="s">
        <v>4226</v>
      </c>
      <c r="Z700" t="s">
        <v>1380</v>
      </c>
      <c r="AA700" t="s">
        <v>1409</v>
      </c>
      <c r="AB700" t="s">
        <v>4227</v>
      </c>
      <c r="AC700" t="s">
        <v>4228</v>
      </c>
      <c r="AD700" t="s">
        <v>4229</v>
      </c>
      <c r="AF700" t="s">
        <v>4168</v>
      </c>
      <c r="AG700" t="s">
        <v>1372</v>
      </c>
      <c r="AK700">
        <v>0</v>
      </c>
      <c r="AO700" t="s">
        <v>1372</v>
      </c>
      <c r="AP700" t="s">
        <v>1373</v>
      </c>
    </row>
    <row r="701" hidden="1" spans="1:42">
      <c r="A701" t="s">
        <v>4230</v>
      </c>
      <c r="B701" t="s">
        <v>1356</v>
      </c>
      <c r="C701" t="s">
        <v>1375</v>
      </c>
      <c r="D701" t="s">
        <v>1358</v>
      </c>
      <c r="F701" t="s">
        <v>1377</v>
      </c>
      <c r="G701" s="45">
        <v>44815.856400463</v>
      </c>
      <c r="H701" s="45">
        <v>44815.8566782407</v>
      </c>
      <c r="J701" t="s">
        <v>407</v>
      </c>
      <c r="M701">
        <v>249</v>
      </c>
      <c r="N701">
        <v>0</v>
      </c>
      <c r="O701">
        <v>0</v>
      </c>
      <c r="P701">
        <v>0</v>
      </c>
      <c r="Q701">
        <v>249</v>
      </c>
      <c r="R701">
        <v>249</v>
      </c>
      <c r="T701" t="s">
        <v>1708</v>
      </c>
      <c r="U701">
        <v>1</v>
      </c>
      <c r="V701" t="s">
        <v>1364</v>
      </c>
      <c r="X701" t="s">
        <v>838</v>
      </c>
      <c r="Y701" t="s">
        <v>4231</v>
      </c>
      <c r="Z701" t="s">
        <v>1367</v>
      </c>
      <c r="AA701" t="s">
        <v>1943</v>
      </c>
      <c r="AB701" t="s">
        <v>1944</v>
      </c>
      <c r="AC701" t="s">
        <v>4232</v>
      </c>
      <c r="AF701" t="s">
        <v>4233</v>
      </c>
      <c r="AG701" t="s">
        <v>1372</v>
      </c>
      <c r="AK701">
        <v>0</v>
      </c>
      <c r="AO701" t="s">
        <v>1372</v>
      </c>
      <c r="AP701" t="s">
        <v>1373</v>
      </c>
    </row>
    <row r="702" hidden="1" spans="1:42">
      <c r="A702" t="s">
        <v>4234</v>
      </c>
      <c r="B702" t="s">
        <v>1356</v>
      </c>
      <c r="C702" t="s">
        <v>1375</v>
      </c>
      <c r="D702" t="s">
        <v>1358</v>
      </c>
      <c r="F702" t="s">
        <v>1377</v>
      </c>
      <c r="G702" s="45">
        <v>44815.8545023148</v>
      </c>
      <c r="H702" s="45">
        <v>44815.8549884259</v>
      </c>
      <c r="J702" t="s">
        <v>407</v>
      </c>
      <c r="M702">
        <v>219</v>
      </c>
      <c r="N702">
        <v>0</v>
      </c>
      <c r="O702">
        <v>-11</v>
      </c>
      <c r="P702">
        <v>0</v>
      </c>
      <c r="Q702">
        <v>208</v>
      </c>
      <c r="R702">
        <v>208</v>
      </c>
      <c r="S702" t="s">
        <v>3720</v>
      </c>
      <c r="T702" t="s">
        <v>1604</v>
      </c>
      <c r="U702">
        <v>1</v>
      </c>
      <c r="V702" t="s">
        <v>1364</v>
      </c>
      <c r="X702" t="s">
        <v>493</v>
      </c>
      <c r="Y702" t="s">
        <v>4235</v>
      </c>
      <c r="Z702" t="s">
        <v>1367</v>
      </c>
      <c r="AA702" t="s">
        <v>3150</v>
      </c>
      <c r="AB702" t="s">
        <v>3263</v>
      </c>
      <c r="AC702" t="s">
        <v>4236</v>
      </c>
      <c r="AD702" t="s">
        <v>4237</v>
      </c>
      <c r="AF702" t="s">
        <v>4238</v>
      </c>
      <c r="AG702" t="s">
        <v>1372</v>
      </c>
      <c r="AK702">
        <v>0</v>
      </c>
      <c r="AO702" t="s">
        <v>1372</v>
      </c>
      <c r="AP702" t="s">
        <v>1373</v>
      </c>
    </row>
    <row r="703" hidden="1" spans="1:42">
      <c r="A703" t="s">
        <v>4239</v>
      </c>
      <c r="B703" t="s">
        <v>1356</v>
      </c>
      <c r="C703" t="s">
        <v>1375</v>
      </c>
      <c r="D703" t="s">
        <v>1358</v>
      </c>
      <c r="F703" t="s">
        <v>3560</v>
      </c>
      <c r="G703" s="45">
        <v>44815.8535648148</v>
      </c>
      <c r="H703" s="45">
        <v>44815.8537037037</v>
      </c>
      <c r="J703" t="s">
        <v>407</v>
      </c>
      <c r="M703">
        <v>249</v>
      </c>
      <c r="N703">
        <v>0</v>
      </c>
      <c r="O703">
        <v>-5</v>
      </c>
      <c r="P703">
        <v>0</v>
      </c>
      <c r="Q703">
        <v>244</v>
      </c>
      <c r="R703">
        <v>244</v>
      </c>
      <c r="S703" t="s">
        <v>1422</v>
      </c>
      <c r="T703" t="s">
        <v>3795</v>
      </c>
      <c r="U703">
        <v>1</v>
      </c>
      <c r="V703" t="s">
        <v>1364</v>
      </c>
      <c r="X703" t="s">
        <v>501</v>
      </c>
      <c r="Y703" t="s">
        <v>4207</v>
      </c>
      <c r="Z703" t="s">
        <v>1678</v>
      </c>
      <c r="AA703" t="s">
        <v>1679</v>
      </c>
      <c r="AB703" t="s">
        <v>1909</v>
      </c>
      <c r="AC703" t="s">
        <v>4240</v>
      </c>
      <c r="AF703" t="s">
        <v>4209</v>
      </c>
      <c r="AG703" t="s">
        <v>1385</v>
      </c>
      <c r="AH703" t="s">
        <v>4207</v>
      </c>
      <c r="AK703">
        <v>0</v>
      </c>
      <c r="AO703" t="s">
        <v>1372</v>
      </c>
      <c r="AP703" t="s">
        <v>1373</v>
      </c>
    </row>
    <row r="704" hidden="1" spans="1:42">
      <c r="A704" t="s">
        <v>4241</v>
      </c>
      <c r="B704" t="s">
        <v>1356</v>
      </c>
      <c r="C704" t="s">
        <v>1375</v>
      </c>
      <c r="D704" t="s">
        <v>1358</v>
      </c>
      <c r="F704" t="s">
        <v>1377</v>
      </c>
      <c r="G704" s="45">
        <v>44815.8528125</v>
      </c>
      <c r="H704" s="45">
        <v>44815.8529398148</v>
      </c>
      <c r="J704" t="s">
        <v>407</v>
      </c>
      <c r="M704">
        <v>249</v>
      </c>
      <c r="N704">
        <v>0</v>
      </c>
      <c r="O704">
        <v>0</v>
      </c>
      <c r="P704">
        <v>0</v>
      </c>
      <c r="Q704">
        <v>249</v>
      </c>
      <c r="R704">
        <v>249</v>
      </c>
      <c r="T704" t="s">
        <v>1862</v>
      </c>
      <c r="U704">
        <v>1</v>
      </c>
      <c r="V704" t="s">
        <v>1364</v>
      </c>
      <c r="X704" t="s">
        <v>385</v>
      </c>
      <c r="Y704" t="s">
        <v>3936</v>
      </c>
      <c r="Z704" t="s">
        <v>1710</v>
      </c>
      <c r="AA704" t="s">
        <v>3937</v>
      </c>
      <c r="AB704" t="s">
        <v>3938</v>
      </c>
      <c r="AC704" t="s">
        <v>3939</v>
      </c>
      <c r="AF704" t="s">
        <v>385</v>
      </c>
      <c r="AG704" t="s">
        <v>1372</v>
      </c>
      <c r="AK704">
        <v>0</v>
      </c>
      <c r="AL704" t="s">
        <v>4242</v>
      </c>
      <c r="AO704" t="s">
        <v>1372</v>
      </c>
      <c r="AP704" t="s">
        <v>1373</v>
      </c>
    </row>
    <row r="705" hidden="1" spans="1:42">
      <c r="A705" t="s">
        <v>4243</v>
      </c>
      <c r="B705" t="s">
        <v>1356</v>
      </c>
      <c r="C705" t="s">
        <v>1375</v>
      </c>
      <c r="D705" t="s">
        <v>1358</v>
      </c>
      <c r="F705" t="s">
        <v>1377</v>
      </c>
      <c r="G705" s="45">
        <v>44815.8517592593</v>
      </c>
      <c r="H705" s="45">
        <v>44815.8518518519</v>
      </c>
      <c r="J705" t="s">
        <v>407</v>
      </c>
      <c r="M705">
        <v>69</v>
      </c>
      <c r="N705">
        <v>0</v>
      </c>
      <c r="O705">
        <v>-6</v>
      </c>
      <c r="P705">
        <v>0</v>
      </c>
      <c r="Q705">
        <v>63</v>
      </c>
      <c r="R705">
        <v>63</v>
      </c>
      <c r="S705" t="s">
        <v>1463</v>
      </c>
      <c r="T705" t="s">
        <v>1436</v>
      </c>
      <c r="U705">
        <v>1</v>
      </c>
      <c r="V705" t="s">
        <v>1364</v>
      </c>
      <c r="X705" t="s">
        <v>402</v>
      </c>
      <c r="Y705" t="s">
        <v>1532</v>
      </c>
      <c r="Z705" t="s">
        <v>1533</v>
      </c>
      <c r="AA705" t="s">
        <v>1534</v>
      </c>
      <c r="AB705" t="s">
        <v>1535</v>
      </c>
      <c r="AC705" t="s">
        <v>1536</v>
      </c>
      <c r="AF705" t="s">
        <v>1537</v>
      </c>
      <c r="AG705" t="s">
        <v>1385</v>
      </c>
      <c r="AK705">
        <v>0</v>
      </c>
      <c r="AO705" t="s">
        <v>1372</v>
      </c>
      <c r="AP705" t="s">
        <v>1373</v>
      </c>
    </row>
    <row r="706" hidden="1" spans="1:42">
      <c r="A706" t="s">
        <v>4244</v>
      </c>
      <c r="B706" t="s">
        <v>1356</v>
      </c>
      <c r="C706" t="s">
        <v>1375</v>
      </c>
      <c r="D706" t="s">
        <v>1358</v>
      </c>
      <c r="F706" t="s">
        <v>1377</v>
      </c>
      <c r="G706" s="45">
        <v>44815.8500115741</v>
      </c>
      <c r="H706" s="45">
        <v>44815.8502893519</v>
      </c>
      <c r="J706" t="s">
        <v>407</v>
      </c>
      <c r="M706">
        <v>19.9</v>
      </c>
      <c r="N706">
        <v>0</v>
      </c>
      <c r="O706">
        <v>0</v>
      </c>
      <c r="P706">
        <v>0</v>
      </c>
      <c r="Q706">
        <v>19.9</v>
      </c>
      <c r="R706">
        <v>19.9</v>
      </c>
      <c r="T706" t="s">
        <v>1521</v>
      </c>
      <c r="U706">
        <v>1</v>
      </c>
      <c r="V706" t="s">
        <v>1364</v>
      </c>
      <c r="X706" t="s">
        <v>867</v>
      </c>
      <c r="Y706" t="s">
        <v>4245</v>
      </c>
      <c r="Z706" t="s">
        <v>1466</v>
      </c>
      <c r="AA706" t="s">
        <v>1835</v>
      </c>
      <c r="AB706" t="s">
        <v>4246</v>
      </c>
      <c r="AC706" t="s">
        <v>4247</v>
      </c>
      <c r="AF706" t="s">
        <v>4248</v>
      </c>
      <c r="AG706" t="s">
        <v>1372</v>
      </c>
      <c r="AK706">
        <v>0</v>
      </c>
      <c r="AO706" t="s">
        <v>1372</v>
      </c>
      <c r="AP706" t="s">
        <v>1373</v>
      </c>
    </row>
    <row r="707" hidden="1" spans="1:42">
      <c r="A707" t="s">
        <v>4249</v>
      </c>
      <c r="B707" t="s">
        <v>1356</v>
      </c>
      <c r="C707" t="s">
        <v>1375</v>
      </c>
      <c r="D707" t="s">
        <v>1358</v>
      </c>
      <c r="F707" t="s">
        <v>1377</v>
      </c>
      <c r="G707" s="45">
        <v>44815.8499652778</v>
      </c>
      <c r="H707" s="45">
        <v>44815.8500578704</v>
      </c>
      <c r="J707" t="s">
        <v>407</v>
      </c>
      <c r="M707">
        <v>219</v>
      </c>
      <c r="N707">
        <v>0</v>
      </c>
      <c r="O707">
        <v>-5</v>
      </c>
      <c r="P707">
        <v>0</v>
      </c>
      <c r="Q707">
        <v>214</v>
      </c>
      <c r="R707">
        <v>214</v>
      </c>
      <c r="S707" t="s">
        <v>1422</v>
      </c>
      <c r="T707" t="s">
        <v>1558</v>
      </c>
      <c r="U707">
        <v>1</v>
      </c>
      <c r="V707" t="s">
        <v>1364</v>
      </c>
      <c r="X707" t="s">
        <v>632</v>
      </c>
      <c r="Y707" t="s">
        <v>4120</v>
      </c>
      <c r="Z707" t="s">
        <v>2028</v>
      </c>
      <c r="AA707" t="s">
        <v>2237</v>
      </c>
      <c r="AB707" t="s">
        <v>3476</v>
      </c>
      <c r="AC707" t="s">
        <v>4121</v>
      </c>
      <c r="AF707" t="s">
        <v>4122</v>
      </c>
      <c r="AG707" t="s">
        <v>1372</v>
      </c>
      <c r="AH707" t="s">
        <v>4123</v>
      </c>
      <c r="AK707">
        <v>0</v>
      </c>
      <c r="AO707" t="s">
        <v>1372</v>
      </c>
      <c r="AP707" t="s">
        <v>1373</v>
      </c>
    </row>
    <row r="708" hidden="1" spans="1:42">
      <c r="A708" t="s">
        <v>4250</v>
      </c>
      <c r="B708" t="s">
        <v>1356</v>
      </c>
      <c r="C708" t="s">
        <v>1357</v>
      </c>
      <c r="D708" t="s">
        <v>1780</v>
      </c>
      <c r="F708" t="s">
        <v>1359</v>
      </c>
      <c r="G708" s="45">
        <v>44815.8486921296</v>
      </c>
      <c r="H708" s="45">
        <v>44815.8488078704</v>
      </c>
      <c r="J708" t="s">
        <v>1360</v>
      </c>
      <c r="K708" t="s">
        <v>4251</v>
      </c>
      <c r="L708" t="s">
        <v>4252</v>
      </c>
      <c r="M708">
        <v>138</v>
      </c>
      <c r="N708">
        <v>0</v>
      </c>
      <c r="O708">
        <v>0</v>
      </c>
      <c r="P708">
        <v>0</v>
      </c>
      <c r="Q708">
        <v>138</v>
      </c>
      <c r="R708">
        <v>138</v>
      </c>
      <c r="T708" t="s">
        <v>4253</v>
      </c>
      <c r="U708">
        <v>1</v>
      </c>
      <c r="V708" t="s">
        <v>1364</v>
      </c>
      <c r="X708" t="s">
        <v>4254</v>
      </c>
      <c r="Y708" t="s">
        <v>4255</v>
      </c>
      <c r="Z708" t="s">
        <v>1466</v>
      </c>
      <c r="AA708" t="s">
        <v>2481</v>
      </c>
      <c r="AB708" t="s">
        <v>2482</v>
      </c>
      <c r="AC708" t="s">
        <v>4256</v>
      </c>
      <c r="AF708" t="s">
        <v>4257</v>
      </c>
      <c r="AG708" t="s">
        <v>1372</v>
      </c>
      <c r="AH708" t="s">
        <v>4255</v>
      </c>
      <c r="AJ708" t="s">
        <v>2945</v>
      </c>
      <c r="AK708">
        <v>138</v>
      </c>
      <c r="AO708" t="s">
        <v>1372</v>
      </c>
      <c r="AP708" t="s">
        <v>1373</v>
      </c>
    </row>
    <row r="709" hidden="1" spans="1:42">
      <c r="A709" t="s">
        <v>4258</v>
      </c>
      <c r="B709" t="s">
        <v>1356</v>
      </c>
      <c r="C709" t="s">
        <v>1357</v>
      </c>
      <c r="D709" t="s">
        <v>1358</v>
      </c>
      <c r="F709" t="s">
        <v>1359</v>
      </c>
      <c r="G709" s="45">
        <v>44815.847662037</v>
      </c>
      <c r="H709" s="45">
        <v>44815.8478587963</v>
      </c>
      <c r="J709" t="s">
        <v>1360</v>
      </c>
      <c r="K709" t="s">
        <v>4259</v>
      </c>
      <c r="L709" t="s">
        <v>4260</v>
      </c>
      <c r="M709">
        <v>59</v>
      </c>
      <c r="N709">
        <v>0</v>
      </c>
      <c r="O709">
        <v>0</v>
      </c>
      <c r="P709">
        <v>0</v>
      </c>
      <c r="Q709">
        <v>59</v>
      </c>
      <c r="R709">
        <v>59</v>
      </c>
      <c r="T709" t="s">
        <v>1363</v>
      </c>
      <c r="U709">
        <v>1</v>
      </c>
      <c r="V709" t="s">
        <v>1364</v>
      </c>
      <c r="X709" t="s">
        <v>4261</v>
      </c>
      <c r="Y709" t="s">
        <v>4262</v>
      </c>
      <c r="Z709" t="s">
        <v>1367</v>
      </c>
      <c r="AA709" t="s">
        <v>1439</v>
      </c>
      <c r="AB709" t="s">
        <v>4263</v>
      </c>
      <c r="AC709" t="s">
        <v>4264</v>
      </c>
      <c r="AF709" t="s">
        <v>4261</v>
      </c>
      <c r="AG709" t="s">
        <v>1372</v>
      </c>
      <c r="AH709" t="s">
        <v>4262</v>
      </c>
      <c r="AK709">
        <v>0</v>
      </c>
      <c r="AO709" t="s">
        <v>1372</v>
      </c>
      <c r="AP709" t="s">
        <v>1373</v>
      </c>
    </row>
    <row r="710" hidden="1" spans="1:42">
      <c r="A710" t="s">
        <v>4265</v>
      </c>
      <c r="B710" t="s">
        <v>1356</v>
      </c>
      <c r="C710" t="s">
        <v>1375</v>
      </c>
      <c r="D710" t="s">
        <v>1358</v>
      </c>
      <c r="F710" t="s">
        <v>1377</v>
      </c>
      <c r="G710" s="45">
        <v>44815.8464930556</v>
      </c>
      <c r="H710" s="45">
        <v>44815.8467824074</v>
      </c>
      <c r="J710" t="s">
        <v>407</v>
      </c>
      <c r="M710">
        <v>249</v>
      </c>
      <c r="N710">
        <v>0</v>
      </c>
      <c r="O710">
        <v>0</v>
      </c>
      <c r="P710">
        <v>0</v>
      </c>
      <c r="Q710">
        <v>249</v>
      </c>
      <c r="R710">
        <v>249</v>
      </c>
      <c r="T710" t="s">
        <v>3384</v>
      </c>
      <c r="U710">
        <v>1</v>
      </c>
      <c r="V710" t="s">
        <v>1364</v>
      </c>
      <c r="X710" t="s">
        <v>388</v>
      </c>
      <c r="Y710" t="s">
        <v>3903</v>
      </c>
      <c r="Z710" t="s">
        <v>1513</v>
      </c>
      <c r="AA710" t="s">
        <v>3904</v>
      </c>
      <c r="AB710" t="s">
        <v>3905</v>
      </c>
      <c r="AC710" t="s">
        <v>4266</v>
      </c>
      <c r="AF710" t="s">
        <v>388</v>
      </c>
      <c r="AG710" t="s">
        <v>1372</v>
      </c>
      <c r="AK710">
        <v>0</v>
      </c>
      <c r="AO710" t="s">
        <v>1372</v>
      </c>
      <c r="AP710" t="s">
        <v>1373</v>
      </c>
    </row>
    <row r="711" hidden="1" spans="1:42">
      <c r="A711" t="s">
        <v>4267</v>
      </c>
      <c r="B711" t="s">
        <v>1356</v>
      </c>
      <c r="C711" t="s">
        <v>1375</v>
      </c>
      <c r="D711" t="s">
        <v>1780</v>
      </c>
      <c r="F711" t="s">
        <v>1377</v>
      </c>
      <c r="G711" s="45">
        <v>44815.8446296296</v>
      </c>
      <c r="H711" s="45">
        <v>44815.8448148148</v>
      </c>
      <c r="J711" t="s">
        <v>407</v>
      </c>
      <c r="M711">
        <v>19.9</v>
      </c>
      <c r="N711">
        <v>0</v>
      </c>
      <c r="O711">
        <v>0</v>
      </c>
      <c r="P711">
        <v>0</v>
      </c>
      <c r="Q711">
        <v>19.9</v>
      </c>
      <c r="R711">
        <v>19.9</v>
      </c>
      <c r="T711" t="s">
        <v>1484</v>
      </c>
      <c r="U711">
        <v>1</v>
      </c>
      <c r="V711" t="s">
        <v>1364</v>
      </c>
      <c r="X711" t="s">
        <v>4268</v>
      </c>
      <c r="Y711" t="s">
        <v>4269</v>
      </c>
      <c r="Z711" t="s">
        <v>2651</v>
      </c>
      <c r="AA711" t="s">
        <v>2652</v>
      </c>
      <c r="AB711" t="s">
        <v>4270</v>
      </c>
      <c r="AC711" t="s">
        <v>4271</v>
      </c>
      <c r="AF711" t="s">
        <v>4268</v>
      </c>
      <c r="AG711" t="s">
        <v>1385</v>
      </c>
      <c r="AH711" t="s">
        <v>4269</v>
      </c>
      <c r="AJ711" t="s">
        <v>2945</v>
      </c>
      <c r="AK711">
        <v>19.9</v>
      </c>
      <c r="AO711" t="s">
        <v>1372</v>
      </c>
      <c r="AP711" t="s">
        <v>1373</v>
      </c>
    </row>
    <row r="712" hidden="1" spans="1:42">
      <c r="A712" t="s">
        <v>4272</v>
      </c>
      <c r="B712" t="s">
        <v>1356</v>
      </c>
      <c r="C712" t="s">
        <v>1357</v>
      </c>
      <c r="D712" t="s">
        <v>1358</v>
      </c>
      <c r="F712" t="s">
        <v>1359</v>
      </c>
      <c r="G712" s="45">
        <v>44815.8442824074</v>
      </c>
      <c r="H712" s="45">
        <v>44815.8443865741</v>
      </c>
      <c r="J712" t="s">
        <v>1360</v>
      </c>
      <c r="K712" t="s">
        <v>4273</v>
      </c>
      <c r="L712" t="s">
        <v>4274</v>
      </c>
      <c r="M712">
        <v>79</v>
      </c>
      <c r="N712">
        <v>0</v>
      </c>
      <c r="O712">
        <v>0</v>
      </c>
      <c r="P712">
        <v>0</v>
      </c>
      <c r="Q712">
        <v>79</v>
      </c>
      <c r="R712">
        <v>79</v>
      </c>
      <c r="T712" t="s">
        <v>3953</v>
      </c>
      <c r="U712">
        <v>1</v>
      </c>
      <c r="V712" t="s">
        <v>1364</v>
      </c>
      <c r="X712" t="s">
        <v>4275</v>
      </c>
      <c r="Y712" t="s">
        <v>4276</v>
      </c>
      <c r="Z712" t="s">
        <v>2386</v>
      </c>
      <c r="AA712" t="s">
        <v>2386</v>
      </c>
      <c r="AB712" t="s">
        <v>2387</v>
      </c>
      <c r="AC712" t="s">
        <v>4277</v>
      </c>
      <c r="AF712" t="s">
        <v>4275</v>
      </c>
      <c r="AG712" t="s">
        <v>1385</v>
      </c>
      <c r="AH712" t="s">
        <v>4276</v>
      </c>
      <c r="AK712">
        <v>0</v>
      </c>
      <c r="AO712" t="s">
        <v>1372</v>
      </c>
      <c r="AP712" t="s">
        <v>1373</v>
      </c>
    </row>
    <row r="713" hidden="1" spans="1:42">
      <c r="A713" t="s">
        <v>4278</v>
      </c>
      <c r="B713" t="s">
        <v>1356</v>
      </c>
      <c r="C713" t="s">
        <v>1375</v>
      </c>
      <c r="D713" t="s">
        <v>1358</v>
      </c>
      <c r="F713" t="s">
        <v>1377</v>
      </c>
      <c r="G713" s="45">
        <v>44815.8424768519</v>
      </c>
      <c r="H713" s="45">
        <v>44815.8427199074</v>
      </c>
      <c r="J713" t="s">
        <v>407</v>
      </c>
      <c r="M713">
        <v>599</v>
      </c>
      <c r="N713">
        <v>0</v>
      </c>
      <c r="O713">
        <v>0</v>
      </c>
      <c r="P713">
        <v>0</v>
      </c>
      <c r="Q713">
        <v>599</v>
      </c>
      <c r="R713">
        <v>599</v>
      </c>
      <c r="T713" t="s">
        <v>4279</v>
      </c>
      <c r="U713">
        <v>1</v>
      </c>
      <c r="V713" t="s">
        <v>1364</v>
      </c>
      <c r="X713" t="s">
        <v>493</v>
      </c>
      <c r="Y713" t="s">
        <v>4235</v>
      </c>
      <c r="Z713" t="s">
        <v>1367</v>
      </c>
      <c r="AA713" t="s">
        <v>3150</v>
      </c>
      <c r="AB713" t="s">
        <v>3263</v>
      </c>
      <c r="AC713" t="s">
        <v>4236</v>
      </c>
      <c r="AD713" t="s">
        <v>4280</v>
      </c>
      <c r="AF713" t="s">
        <v>4238</v>
      </c>
      <c r="AG713" t="s">
        <v>1372</v>
      </c>
      <c r="AK713">
        <v>0</v>
      </c>
      <c r="AO713" t="s">
        <v>1372</v>
      </c>
      <c r="AP713" t="s">
        <v>1373</v>
      </c>
    </row>
    <row r="714" hidden="1" spans="1:42">
      <c r="A714" t="s">
        <v>4281</v>
      </c>
      <c r="B714" t="s">
        <v>1356</v>
      </c>
      <c r="C714" t="s">
        <v>1357</v>
      </c>
      <c r="D714" t="s">
        <v>1358</v>
      </c>
      <c r="F714" t="s">
        <v>1359</v>
      </c>
      <c r="G714" s="45">
        <v>44815.8409259259</v>
      </c>
      <c r="H714" s="45">
        <v>44815.8410300926</v>
      </c>
      <c r="J714" t="s">
        <v>1360</v>
      </c>
      <c r="K714" t="s">
        <v>4282</v>
      </c>
      <c r="L714" t="s">
        <v>4283</v>
      </c>
      <c r="M714">
        <v>69</v>
      </c>
      <c r="N714">
        <v>0</v>
      </c>
      <c r="O714">
        <v>0</v>
      </c>
      <c r="P714">
        <v>0</v>
      </c>
      <c r="Q714">
        <v>69</v>
      </c>
      <c r="R714">
        <v>69</v>
      </c>
      <c r="T714" t="s">
        <v>1669</v>
      </c>
      <c r="U714">
        <v>1</v>
      </c>
      <c r="V714" t="s">
        <v>1364</v>
      </c>
      <c r="X714" t="s">
        <v>4284</v>
      </c>
      <c r="Y714" t="s">
        <v>4285</v>
      </c>
      <c r="Z714" t="s">
        <v>1804</v>
      </c>
      <c r="AA714" t="s">
        <v>4286</v>
      </c>
      <c r="AB714" t="s">
        <v>4287</v>
      </c>
      <c r="AC714" t="s">
        <v>4288</v>
      </c>
      <c r="AF714" t="s">
        <v>4284</v>
      </c>
      <c r="AG714" t="s">
        <v>1372</v>
      </c>
      <c r="AH714" t="s">
        <v>4285</v>
      </c>
      <c r="AK714">
        <v>0</v>
      </c>
      <c r="AO714" t="s">
        <v>1372</v>
      </c>
      <c r="AP714" t="s">
        <v>1373</v>
      </c>
    </row>
    <row r="715" hidden="1" spans="1:42">
      <c r="A715" t="s">
        <v>4289</v>
      </c>
      <c r="B715" t="s">
        <v>1356</v>
      </c>
      <c r="C715" t="s">
        <v>1375</v>
      </c>
      <c r="D715" t="s">
        <v>1358</v>
      </c>
      <c r="F715" t="s">
        <v>1377</v>
      </c>
      <c r="G715" s="45">
        <v>44815.8408449074</v>
      </c>
      <c r="H715" s="45">
        <v>44815.8409490741</v>
      </c>
      <c r="J715" t="s">
        <v>407</v>
      </c>
      <c r="M715">
        <v>249</v>
      </c>
      <c r="N715">
        <v>0</v>
      </c>
      <c r="O715">
        <v>0</v>
      </c>
      <c r="P715">
        <v>0</v>
      </c>
      <c r="Q715">
        <v>249</v>
      </c>
      <c r="R715">
        <v>249</v>
      </c>
      <c r="T715" t="s">
        <v>3261</v>
      </c>
      <c r="U715">
        <v>1</v>
      </c>
      <c r="V715" t="s">
        <v>1364</v>
      </c>
      <c r="X715" t="s">
        <v>632</v>
      </c>
      <c r="Y715" t="s">
        <v>4120</v>
      </c>
      <c r="Z715" t="s">
        <v>2028</v>
      </c>
      <c r="AA715" t="s">
        <v>2237</v>
      </c>
      <c r="AB715" t="s">
        <v>3476</v>
      </c>
      <c r="AC715" t="s">
        <v>4121</v>
      </c>
      <c r="AF715" t="s">
        <v>4123</v>
      </c>
      <c r="AG715" t="s">
        <v>1372</v>
      </c>
      <c r="AH715" t="s">
        <v>4123</v>
      </c>
      <c r="AK715">
        <v>0</v>
      </c>
      <c r="AO715" t="s">
        <v>1372</v>
      </c>
      <c r="AP715" t="s">
        <v>1373</v>
      </c>
    </row>
    <row r="716" hidden="1" spans="1:42">
      <c r="A716" t="s">
        <v>4290</v>
      </c>
      <c r="B716" t="s">
        <v>1356</v>
      </c>
      <c r="C716" t="s">
        <v>1375</v>
      </c>
      <c r="D716" t="s">
        <v>1376</v>
      </c>
      <c r="F716" t="s">
        <v>1377</v>
      </c>
      <c r="G716" s="45">
        <v>44815.8400810185</v>
      </c>
      <c r="M716">
        <v>249</v>
      </c>
      <c r="N716">
        <v>0</v>
      </c>
      <c r="O716">
        <v>0</v>
      </c>
      <c r="P716">
        <v>0</v>
      </c>
      <c r="Q716">
        <v>249</v>
      </c>
      <c r="R716">
        <v>0</v>
      </c>
      <c r="T716" t="s">
        <v>3548</v>
      </c>
      <c r="U716">
        <v>1</v>
      </c>
      <c r="V716" t="s">
        <v>1364</v>
      </c>
      <c r="X716" t="s">
        <v>385</v>
      </c>
      <c r="Y716" t="s">
        <v>3936</v>
      </c>
      <c r="Z716" t="s">
        <v>1710</v>
      </c>
      <c r="AA716" t="s">
        <v>3937</v>
      </c>
      <c r="AB716" t="s">
        <v>3938</v>
      </c>
      <c r="AC716" t="s">
        <v>3939</v>
      </c>
      <c r="AF716" t="s">
        <v>4291</v>
      </c>
      <c r="AG716" t="s">
        <v>1372</v>
      </c>
      <c r="AK716">
        <v>0</v>
      </c>
      <c r="AO716" t="s">
        <v>1372</v>
      </c>
      <c r="AP716" t="s">
        <v>1373</v>
      </c>
    </row>
    <row r="717" hidden="1" spans="1:42">
      <c r="A717" t="s">
        <v>4292</v>
      </c>
      <c r="B717" t="s">
        <v>1356</v>
      </c>
      <c r="C717" t="s">
        <v>1375</v>
      </c>
      <c r="D717" t="s">
        <v>1376</v>
      </c>
      <c r="F717" t="s">
        <v>1377</v>
      </c>
      <c r="G717" s="45">
        <v>44815.8399189815</v>
      </c>
      <c r="M717">
        <v>599</v>
      </c>
      <c r="N717">
        <v>0</v>
      </c>
      <c r="O717">
        <v>0</v>
      </c>
      <c r="P717">
        <v>0</v>
      </c>
      <c r="Q717">
        <v>599</v>
      </c>
      <c r="R717">
        <v>0</v>
      </c>
      <c r="T717" t="s">
        <v>4279</v>
      </c>
      <c r="U717">
        <v>1</v>
      </c>
      <c r="V717" t="s">
        <v>1364</v>
      </c>
      <c r="X717" t="s">
        <v>493</v>
      </c>
      <c r="Y717" t="s">
        <v>4235</v>
      </c>
      <c r="Z717" t="s">
        <v>1367</v>
      </c>
      <c r="AA717" t="s">
        <v>3150</v>
      </c>
      <c r="AB717" t="s">
        <v>3263</v>
      </c>
      <c r="AC717" t="s">
        <v>4236</v>
      </c>
      <c r="AF717" t="s">
        <v>4238</v>
      </c>
      <c r="AG717" t="s">
        <v>1372</v>
      </c>
      <c r="AK717">
        <v>0</v>
      </c>
      <c r="AO717" t="s">
        <v>1372</v>
      </c>
      <c r="AP717" t="s">
        <v>1373</v>
      </c>
    </row>
    <row r="718" hidden="1" spans="1:42">
      <c r="A718" t="s">
        <v>4293</v>
      </c>
      <c r="B718" t="s">
        <v>1356</v>
      </c>
      <c r="C718" t="s">
        <v>1375</v>
      </c>
      <c r="D718" t="s">
        <v>1358</v>
      </c>
      <c r="F718" t="s">
        <v>1377</v>
      </c>
      <c r="G718" s="45">
        <v>44815.8394791667</v>
      </c>
      <c r="H718" s="45">
        <v>44815.8396412037</v>
      </c>
      <c r="J718" t="s">
        <v>407</v>
      </c>
      <c r="M718">
        <v>249</v>
      </c>
      <c r="N718">
        <v>0</v>
      </c>
      <c r="O718">
        <v>0</v>
      </c>
      <c r="P718">
        <v>0</v>
      </c>
      <c r="Q718">
        <v>249</v>
      </c>
      <c r="R718">
        <v>249</v>
      </c>
      <c r="T718" t="s">
        <v>3703</v>
      </c>
      <c r="U718">
        <v>1</v>
      </c>
      <c r="V718" t="s">
        <v>1364</v>
      </c>
      <c r="X718" t="s">
        <v>832</v>
      </c>
      <c r="Y718" t="s">
        <v>4294</v>
      </c>
      <c r="Z718" t="s">
        <v>1367</v>
      </c>
      <c r="AA718" t="s">
        <v>1615</v>
      </c>
      <c r="AB718" t="s">
        <v>1929</v>
      </c>
      <c r="AC718" t="s">
        <v>4295</v>
      </c>
      <c r="AD718" t="s">
        <v>4296</v>
      </c>
      <c r="AF718" t="s">
        <v>832</v>
      </c>
      <c r="AG718" t="s">
        <v>1372</v>
      </c>
      <c r="AH718" t="s">
        <v>4294</v>
      </c>
      <c r="AK718">
        <v>0</v>
      </c>
      <c r="AO718" t="s">
        <v>1372</v>
      </c>
      <c r="AP718" t="s">
        <v>1373</v>
      </c>
    </row>
    <row r="719" hidden="1" spans="1:42">
      <c r="A719" t="s">
        <v>4297</v>
      </c>
      <c r="B719" t="s">
        <v>1356</v>
      </c>
      <c r="C719" t="s">
        <v>1375</v>
      </c>
      <c r="D719" t="s">
        <v>1358</v>
      </c>
      <c r="F719" t="s">
        <v>1377</v>
      </c>
      <c r="G719" s="45">
        <v>44815.8388194444</v>
      </c>
      <c r="H719" s="45">
        <v>44815.8389699074</v>
      </c>
      <c r="J719" t="s">
        <v>407</v>
      </c>
      <c r="M719">
        <v>19.9</v>
      </c>
      <c r="N719">
        <v>0</v>
      </c>
      <c r="O719">
        <v>0</v>
      </c>
      <c r="P719">
        <v>0</v>
      </c>
      <c r="Q719">
        <v>19.9</v>
      </c>
      <c r="R719">
        <v>19.9</v>
      </c>
      <c r="T719" t="s">
        <v>1613</v>
      </c>
      <c r="U719">
        <v>1</v>
      </c>
      <c r="V719" t="s">
        <v>1364</v>
      </c>
      <c r="X719" t="s">
        <v>874</v>
      </c>
      <c r="Y719" t="s">
        <v>4120</v>
      </c>
      <c r="Z719" t="s">
        <v>2028</v>
      </c>
      <c r="AA719" t="s">
        <v>2237</v>
      </c>
      <c r="AB719" t="s">
        <v>3476</v>
      </c>
      <c r="AC719" t="s">
        <v>4121</v>
      </c>
      <c r="AF719" t="s">
        <v>4298</v>
      </c>
      <c r="AG719" t="s">
        <v>1372</v>
      </c>
      <c r="AK719">
        <v>0</v>
      </c>
      <c r="AO719" t="s">
        <v>1372</v>
      </c>
      <c r="AP719" t="s">
        <v>1373</v>
      </c>
    </row>
    <row r="720" hidden="1" spans="1:42">
      <c r="A720" t="s">
        <v>4299</v>
      </c>
      <c r="B720" t="s">
        <v>1356</v>
      </c>
      <c r="C720" t="s">
        <v>1357</v>
      </c>
      <c r="D720" t="s">
        <v>1358</v>
      </c>
      <c r="F720" t="s">
        <v>1359</v>
      </c>
      <c r="G720" s="45">
        <v>44815.8385185185</v>
      </c>
      <c r="H720" s="45">
        <v>44815.838599537</v>
      </c>
      <c r="J720" t="s">
        <v>1360</v>
      </c>
      <c r="K720" t="s">
        <v>4300</v>
      </c>
      <c r="L720" t="s">
        <v>4301</v>
      </c>
      <c r="M720">
        <v>69</v>
      </c>
      <c r="N720">
        <v>0</v>
      </c>
      <c r="O720">
        <v>0</v>
      </c>
      <c r="P720">
        <v>0</v>
      </c>
      <c r="Q720">
        <v>69</v>
      </c>
      <c r="R720">
        <v>69</v>
      </c>
      <c r="T720" t="s">
        <v>1669</v>
      </c>
      <c r="U720">
        <v>1</v>
      </c>
      <c r="V720" t="s">
        <v>1364</v>
      </c>
      <c r="X720" t="s">
        <v>4302</v>
      </c>
      <c r="Y720" t="s">
        <v>4303</v>
      </c>
      <c r="Z720" t="s">
        <v>1367</v>
      </c>
      <c r="AA720" t="s">
        <v>2124</v>
      </c>
      <c r="AB720" t="s">
        <v>4304</v>
      </c>
      <c r="AC720" t="s">
        <v>4305</v>
      </c>
      <c r="AF720" t="s">
        <v>4303</v>
      </c>
      <c r="AG720" t="s">
        <v>1372</v>
      </c>
      <c r="AH720" t="s">
        <v>4303</v>
      </c>
      <c r="AK720">
        <v>0</v>
      </c>
      <c r="AO720" t="s">
        <v>1372</v>
      </c>
      <c r="AP720" t="s">
        <v>1373</v>
      </c>
    </row>
    <row r="721" hidden="1" spans="1:42">
      <c r="A721" t="s">
        <v>4306</v>
      </c>
      <c r="B721" t="s">
        <v>1356</v>
      </c>
      <c r="C721" t="s">
        <v>1375</v>
      </c>
      <c r="D721" t="s">
        <v>1358</v>
      </c>
      <c r="F721" t="s">
        <v>1377</v>
      </c>
      <c r="G721" s="45">
        <v>44815.8367939815</v>
      </c>
      <c r="H721" s="45">
        <v>44815.8369444444</v>
      </c>
      <c r="J721" t="s">
        <v>407</v>
      </c>
      <c r="M721">
        <v>19.9</v>
      </c>
      <c r="N721">
        <v>0</v>
      </c>
      <c r="O721">
        <v>0</v>
      </c>
      <c r="P721">
        <v>0</v>
      </c>
      <c r="Q721">
        <v>19.9</v>
      </c>
      <c r="R721">
        <v>19.9</v>
      </c>
      <c r="T721" t="s">
        <v>1484</v>
      </c>
      <c r="U721">
        <v>1</v>
      </c>
      <c r="V721" t="s">
        <v>1364</v>
      </c>
      <c r="X721" t="s">
        <v>748</v>
      </c>
      <c r="Y721" t="s">
        <v>3522</v>
      </c>
      <c r="Z721" t="s">
        <v>1678</v>
      </c>
      <c r="AA721" t="s">
        <v>3523</v>
      </c>
      <c r="AB721" t="s">
        <v>3524</v>
      </c>
      <c r="AC721" t="s">
        <v>3525</v>
      </c>
      <c r="AF721" t="s">
        <v>748</v>
      </c>
      <c r="AG721" t="s">
        <v>1372</v>
      </c>
      <c r="AH721" t="s">
        <v>3522</v>
      </c>
      <c r="AK721">
        <v>0</v>
      </c>
      <c r="AO721" t="s">
        <v>1372</v>
      </c>
      <c r="AP721" t="s">
        <v>1373</v>
      </c>
    </row>
    <row r="722" hidden="1" spans="1:42">
      <c r="A722" t="s">
        <v>4307</v>
      </c>
      <c r="B722" t="s">
        <v>1356</v>
      </c>
      <c r="C722" t="s">
        <v>1375</v>
      </c>
      <c r="D722" t="s">
        <v>1358</v>
      </c>
      <c r="F722" t="s">
        <v>1377</v>
      </c>
      <c r="G722" s="45">
        <v>44815.8357523148</v>
      </c>
      <c r="H722" s="45">
        <v>44815.8360300926</v>
      </c>
      <c r="J722" t="s">
        <v>407</v>
      </c>
      <c r="M722">
        <v>19.9</v>
      </c>
      <c r="N722">
        <v>0</v>
      </c>
      <c r="O722">
        <v>0</v>
      </c>
      <c r="P722">
        <v>0</v>
      </c>
      <c r="Q722">
        <v>19.9</v>
      </c>
      <c r="R722">
        <v>19.9</v>
      </c>
      <c r="T722" t="s">
        <v>2796</v>
      </c>
      <c r="U722">
        <v>1</v>
      </c>
      <c r="V722" t="s">
        <v>1364</v>
      </c>
      <c r="X722" t="s">
        <v>858</v>
      </c>
      <c r="Y722" t="s">
        <v>4308</v>
      </c>
      <c r="Z722" t="s">
        <v>1466</v>
      </c>
      <c r="AA722" t="s">
        <v>1835</v>
      </c>
      <c r="AB722" t="s">
        <v>2690</v>
      </c>
      <c r="AC722" t="s">
        <v>4309</v>
      </c>
      <c r="AF722" t="s">
        <v>4310</v>
      </c>
      <c r="AG722" t="s">
        <v>1372</v>
      </c>
      <c r="AK722">
        <v>0</v>
      </c>
      <c r="AO722" t="s">
        <v>1372</v>
      </c>
      <c r="AP722" t="s">
        <v>1373</v>
      </c>
    </row>
    <row r="723" hidden="1" spans="1:42">
      <c r="A723" t="s">
        <v>4311</v>
      </c>
      <c r="B723" t="s">
        <v>1356</v>
      </c>
      <c r="C723" t="s">
        <v>1357</v>
      </c>
      <c r="D723" t="s">
        <v>1358</v>
      </c>
      <c r="F723" t="s">
        <v>1359</v>
      </c>
      <c r="G723" s="45">
        <v>44815.8353587963</v>
      </c>
      <c r="H723" s="45">
        <v>44815.8354513889</v>
      </c>
      <c r="J723" t="s">
        <v>1360</v>
      </c>
      <c r="K723" t="s">
        <v>4312</v>
      </c>
      <c r="L723" t="s">
        <v>4313</v>
      </c>
      <c r="M723">
        <v>66</v>
      </c>
      <c r="N723">
        <v>0</v>
      </c>
      <c r="O723">
        <v>0</v>
      </c>
      <c r="P723">
        <v>0</v>
      </c>
      <c r="Q723">
        <v>66</v>
      </c>
      <c r="R723">
        <v>66</v>
      </c>
      <c r="T723" t="s">
        <v>4314</v>
      </c>
      <c r="U723">
        <v>1</v>
      </c>
      <c r="V723" t="s">
        <v>1364</v>
      </c>
      <c r="X723" t="s">
        <v>4315</v>
      </c>
      <c r="Y723" t="s">
        <v>4316</v>
      </c>
      <c r="Z723" t="s">
        <v>1380</v>
      </c>
      <c r="AA723" t="s">
        <v>4317</v>
      </c>
      <c r="AB723" t="s">
        <v>4318</v>
      </c>
      <c r="AC723" t="s">
        <v>4319</v>
      </c>
      <c r="AF723" t="s">
        <v>4315</v>
      </c>
      <c r="AG723" t="s">
        <v>1372</v>
      </c>
      <c r="AH723" t="s">
        <v>4316</v>
      </c>
      <c r="AK723">
        <v>0</v>
      </c>
      <c r="AO723" t="s">
        <v>1372</v>
      </c>
      <c r="AP723" t="s">
        <v>1373</v>
      </c>
    </row>
    <row r="724" hidden="1" spans="1:42">
      <c r="A724" t="s">
        <v>4320</v>
      </c>
      <c r="B724" t="s">
        <v>1356</v>
      </c>
      <c r="C724" t="s">
        <v>1375</v>
      </c>
      <c r="D724" t="s">
        <v>1376</v>
      </c>
      <c r="F724" t="s">
        <v>1377</v>
      </c>
      <c r="G724" s="45">
        <v>44815.8352430556</v>
      </c>
      <c r="M724">
        <v>599</v>
      </c>
      <c r="N724">
        <v>0</v>
      </c>
      <c r="O724">
        <v>0</v>
      </c>
      <c r="P724">
        <v>0</v>
      </c>
      <c r="Q724">
        <v>599</v>
      </c>
      <c r="R724">
        <v>0</v>
      </c>
      <c r="T724" t="s">
        <v>4279</v>
      </c>
      <c r="U724">
        <v>1</v>
      </c>
      <c r="V724" t="s">
        <v>1364</v>
      </c>
      <c r="X724" t="s">
        <v>493</v>
      </c>
      <c r="Y724" t="s">
        <v>4235</v>
      </c>
      <c r="Z724" t="s">
        <v>1367</v>
      </c>
      <c r="AA724" t="s">
        <v>3150</v>
      </c>
      <c r="AB724" t="s">
        <v>3263</v>
      </c>
      <c r="AC724" t="s">
        <v>4236</v>
      </c>
      <c r="AF724" t="s">
        <v>4238</v>
      </c>
      <c r="AG724" t="s">
        <v>1372</v>
      </c>
      <c r="AK724">
        <v>0</v>
      </c>
      <c r="AO724" t="s">
        <v>1372</v>
      </c>
      <c r="AP724" t="s">
        <v>1373</v>
      </c>
    </row>
    <row r="725" hidden="1" spans="1:42">
      <c r="A725" t="s">
        <v>4321</v>
      </c>
      <c r="B725" t="s">
        <v>1356</v>
      </c>
      <c r="C725" t="s">
        <v>1375</v>
      </c>
      <c r="D725" t="s">
        <v>1376</v>
      </c>
      <c r="F725" t="s">
        <v>1377</v>
      </c>
      <c r="G725" s="45">
        <v>44815.8302314815</v>
      </c>
      <c r="M725">
        <v>249</v>
      </c>
      <c r="N725">
        <v>0</v>
      </c>
      <c r="O725">
        <v>0</v>
      </c>
      <c r="P725">
        <v>0</v>
      </c>
      <c r="Q725">
        <v>249</v>
      </c>
      <c r="R725">
        <v>0</v>
      </c>
      <c r="T725" t="s">
        <v>2098</v>
      </c>
      <c r="U725">
        <v>1</v>
      </c>
      <c r="V725" t="s">
        <v>1364</v>
      </c>
      <c r="X725" t="s">
        <v>832</v>
      </c>
      <c r="Y725" t="s">
        <v>4294</v>
      </c>
      <c r="Z725" t="s">
        <v>1367</v>
      </c>
      <c r="AA725" t="s">
        <v>1615</v>
      </c>
      <c r="AB725" t="s">
        <v>1929</v>
      </c>
      <c r="AC725" t="s">
        <v>4295</v>
      </c>
      <c r="AF725" t="s">
        <v>4322</v>
      </c>
      <c r="AG725" t="s">
        <v>1372</v>
      </c>
      <c r="AK725">
        <v>0</v>
      </c>
      <c r="AO725" t="s">
        <v>1372</v>
      </c>
      <c r="AP725" t="s">
        <v>1373</v>
      </c>
    </row>
    <row r="726" hidden="1" spans="1:42">
      <c r="A726" t="s">
        <v>4323</v>
      </c>
      <c r="B726" t="s">
        <v>1356</v>
      </c>
      <c r="C726" t="s">
        <v>1375</v>
      </c>
      <c r="D726" t="s">
        <v>1358</v>
      </c>
      <c r="F726" t="s">
        <v>1377</v>
      </c>
      <c r="G726" s="45">
        <v>44815.8275578704</v>
      </c>
      <c r="H726" s="45">
        <v>44815.827662037</v>
      </c>
      <c r="J726" t="s">
        <v>407</v>
      </c>
      <c r="M726">
        <v>19.9</v>
      </c>
      <c r="N726">
        <v>0</v>
      </c>
      <c r="O726">
        <v>0</v>
      </c>
      <c r="P726">
        <v>0</v>
      </c>
      <c r="Q726">
        <v>19.9</v>
      </c>
      <c r="R726">
        <v>19.9</v>
      </c>
      <c r="T726" t="s">
        <v>1578</v>
      </c>
      <c r="U726">
        <v>1</v>
      </c>
      <c r="V726" t="s">
        <v>1364</v>
      </c>
      <c r="X726" t="s">
        <v>865</v>
      </c>
      <c r="Y726" t="s">
        <v>4324</v>
      </c>
      <c r="Z726" t="s">
        <v>1367</v>
      </c>
      <c r="AA726" t="s">
        <v>1439</v>
      </c>
      <c r="AB726" t="s">
        <v>4325</v>
      </c>
      <c r="AC726" t="s">
        <v>4326</v>
      </c>
      <c r="AF726" t="s">
        <v>4327</v>
      </c>
      <c r="AG726" t="s">
        <v>1372</v>
      </c>
      <c r="AH726" t="s">
        <v>4324</v>
      </c>
      <c r="AK726">
        <v>0</v>
      </c>
      <c r="AO726" t="s">
        <v>1372</v>
      </c>
      <c r="AP726" t="s">
        <v>1373</v>
      </c>
    </row>
    <row r="727" hidden="1" spans="1:42">
      <c r="A727" t="s">
        <v>4328</v>
      </c>
      <c r="B727" t="s">
        <v>1356</v>
      </c>
      <c r="C727" t="s">
        <v>1357</v>
      </c>
      <c r="D727" t="s">
        <v>1358</v>
      </c>
      <c r="F727" t="s">
        <v>1359</v>
      </c>
      <c r="G727" s="45">
        <v>44815.8271759259</v>
      </c>
      <c r="H727" s="45">
        <v>44815.8272685185</v>
      </c>
      <c r="J727" t="s">
        <v>1360</v>
      </c>
      <c r="K727" t="s">
        <v>4329</v>
      </c>
      <c r="L727" t="s">
        <v>4330</v>
      </c>
      <c r="M727">
        <v>66</v>
      </c>
      <c r="N727">
        <v>0</v>
      </c>
      <c r="O727">
        <v>0</v>
      </c>
      <c r="P727">
        <v>0</v>
      </c>
      <c r="Q727">
        <v>66</v>
      </c>
      <c r="R727">
        <v>66</v>
      </c>
      <c r="T727" t="s">
        <v>4314</v>
      </c>
      <c r="U727">
        <v>1</v>
      </c>
      <c r="V727" t="s">
        <v>1364</v>
      </c>
      <c r="X727" t="s">
        <v>4331</v>
      </c>
      <c r="Y727" t="s">
        <v>4332</v>
      </c>
      <c r="Z727" t="s">
        <v>1367</v>
      </c>
      <c r="AA727" t="s">
        <v>1943</v>
      </c>
      <c r="AB727" t="s">
        <v>2039</v>
      </c>
      <c r="AC727" t="s">
        <v>4333</v>
      </c>
      <c r="AF727" t="s">
        <v>4334</v>
      </c>
      <c r="AG727" t="s">
        <v>1385</v>
      </c>
      <c r="AH727" t="s">
        <v>4332</v>
      </c>
      <c r="AK727">
        <v>0</v>
      </c>
      <c r="AO727" t="s">
        <v>1372</v>
      </c>
      <c r="AP727" t="s">
        <v>1373</v>
      </c>
    </row>
    <row r="728" hidden="1" spans="1:42">
      <c r="A728" t="s">
        <v>4335</v>
      </c>
      <c r="B728" t="s">
        <v>1356</v>
      </c>
      <c r="C728" t="s">
        <v>1357</v>
      </c>
      <c r="D728" t="s">
        <v>1358</v>
      </c>
      <c r="F728" t="s">
        <v>1359</v>
      </c>
      <c r="G728" s="45">
        <v>44815.8264930556</v>
      </c>
      <c r="H728" s="45">
        <v>44815.8266435185</v>
      </c>
      <c r="J728" t="s">
        <v>1360</v>
      </c>
      <c r="K728" t="s">
        <v>4336</v>
      </c>
      <c r="L728" t="s">
        <v>4337</v>
      </c>
      <c r="M728">
        <v>66</v>
      </c>
      <c r="N728">
        <v>0</v>
      </c>
      <c r="O728">
        <v>0</v>
      </c>
      <c r="P728">
        <v>0</v>
      </c>
      <c r="Q728">
        <v>66</v>
      </c>
      <c r="R728">
        <v>66</v>
      </c>
      <c r="T728" t="s">
        <v>4314</v>
      </c>
      <c r="U728">
        <v>1</v>
      </c>
      <c r="V728" t="s">
        <v>1364</v>
      </c>
      <c r="X728" t="s">
        <v>4338</v>
      </c>
      <c r="Y728" t="s">
        <v>4339</v>
      </c>
      <c r="Z728" t="s">
        <v>1533</v>
      </c>
      <c r="AA728" t="s">
        <v>3067</v>
      </c>
      <c r="AB728" t="s">
        <v>4340</v>
      </c>
      <c r="AC728" t="s">
        <v>4341</v>
      </c>
      <c r="AF728" t="s">
        <v>4342</v>
      </c>
      <c r="AG728" t="s">
        <v>1372</v>
      </c>
      <c r="AH728" t="s">
        <v>4339</v>
      </c>
      <c r="AK728">
        <v>0</v>
      </c>
      <c r="AO728" t="s">
        <v>1372</v>
      </c>
      <c r="AP728" t="s">
        <v>1373</v>
      </c>
    </row>
    <row r="729" hidden="1" spans="1:42">
      <c r="A729" t="s">
        <v>4343</v>
      </c>
      <c r="B729" t="s">
        <v>1356</v>
      </c>
      <c r="C729" t="s">
        <v>1357</v>
      </c>
      <c r="D729" t="s">
        <v>1358</v>
      </c>
      <c r="F729" t="s">
        <v>1359</v>
      </c>
      <c r="G729" s="45">
        <v>44815.8254398148</v>
      </c>
      <c r="H729" s="45">
        <v>44815.8255439815</v>
      </c>
      <c r="J729" t="s">
        <v>1360</v>
      </c>
      <c r="K729" t="s">
        <v>4344</v>
      </c>
      <c r="L729" t="s">
        <v>4345</v>
      </c>
      <c r="M729">
        <v>79</v>
      </c>
      <c r="N729">
        <v>0</v>
      </c>
      <c r="O729">
        <v>0</v>
      </c>
      <c r="P729">
        <v>0</v>
      </c>
      <c r="Q729">
        <v>79</v>
      </c>
      <c r="R729">
        <v>79</v>
      </c>
      <c r="T729" t="s">
        <v>4346</v>
      </c>
      <c r="U729">
        <v>1</v>
      </c>
      <c r="V729" t="s">
        <v>1364</v>
      </c>
      <c r="X729" t="s">
        <v>4100</v>
      </c>
      <c r="Y729" t="s">
        <v>4347</v>
      </c>
      <c r="Z729" t="s">
        <v>1367</v>
      </c>
      <c r="AA729" t="s">
        <v>1943</v>
      </c>
      <c r="AB729" t="s">
        <v>2039</v>
      </c>
      <c r="AC729" t="s">
        <v>4348</v>
      </c>
      <c r="AF729" t="s">
        <v>4349</v>
      </c>
      <c r="AG729" t="s">
        <v>1372</v>
      </c>
      <c r="AH729" t="s">
        <v>4347</v>
      </c>
      <c r="AK729">
        <v>0</v>
      </c>
      <c r="AO729" t="s">
        <v>1372</v>
      </c>
      <c r="AP729" t="s">
        <v>1373</v>
      </c>
    </row>
    <row r="730" hidden="1" spans="1:42">
      <c r="A730" t="s">
        <v>4350</v>
      </c>
      <c r="B730" t="s">
        <v>1356</v>
      </c>
      <c r="C730" t="s">
        <v>1375</v>
      </c>
      <c r="D730" t="s">
        <v>1358</v>
      </c>
      <c r="F730" t="s">
        <v>1377</v>
      </c>
      <c r="G730" s="45">
        <v>44815.8242476852</v>
      </c>
      <c r="H730" s="45">
        <v>44815.8243634259</v>
      </c>
      <c r="J730" t="s">
        <v>407</v>
      </c>
      <c r="M730">
        <v>359</v>
      </c>
      <c r="N730">
        <v>0</v>
      </c>
      <c r="O730">
        <v>-4</v>
      </c>
      <c r="P730">
        <v>0</v>
      </c>
      <c r="Q730">
        <v>355</v>
      </c>
      <c r="R730">
        <v>355</v>
      </c>
      <c r="S730" t="s">
        <v>1388</v>
      </c>
      <c r="T730" t="s">
        <v>4039</v>
      </c>
      <c r="U730">
        <v>1</v>
      </c>
      <c r="V730" t="s">
        <v>1364</v>
      </c>
      <c r="X730" t="s">
        <v>681</v>
      </c>
      <c r="Y730" t="s">
        <v>4351</v>
      </c>
      <c r="Z730" t="s">
        <v>1678</v>
      </c>
      <c r="AA730" t="s">
        <v>3523</v>
      </c>
      <c r="AB730" t="s">
        <v>4352</v>
      </c>
      <c r="AC730" t="s">
        <v>4353</v>
      </c>
      <c r="AF730" t="s">
        <v>4354</v>
      </c>
      <c r="AG730" t="s">
        <v>1372</v>
      </c>
      <c r="AK730">
        <v>0</v>
      </c>
      <c r="AO730" t="s">
        <v>1372</v>
      </c>
      <c r="AP730" t="s">
        <v>1373</v>
      </c>
    </row>
    <row r="731" hidden="1" spans="1:42">
      <c r="A731" t="s">
        <v>4355</v>
      </c>
      <c r="B731" t="s">
        <v>1356</v>
      </c>
      <c r="C731" t="s">
        <v>1375</v>
      </c>
      <c r="D731" t="s">
        <v>1358</v>
      </c>
      <c r="F731" t="s">
        <v>1377</v>
      </c>
      <c r="G731" s="45">
        <v>44815.8217013889</v>
      </c>
      <c r="H731" s="45">
        <v>44815.8217939815</v>
      </c>
      <c r="J731" t="s">
        <v>407</v>
      </c>
      <c r="M731">
        <v>249</v>
      </c>
      <c r="N731">
        <v>0</v>
      </c>
      <c r="O731">
        <v>-5</v>
      </c>
      <c r="P731">
        <v>0</v>
      </c>
      <c r="Q731">
        <v>244</v>
      </c>
      <c r="R731">
        <v>244</v>
      </c>
      <c r="S731" t="s">
        <v>1422</v>
      </c>
      <c r="T731" t="s">
        <v>3920</v>
      </c>
      <c r="U731">
        <v>1</v>
      </c>
      <c r="V731" t="s">
        <v>1364</v>
      </c>
      <c r="X731" t="s">
        <v>401</v>
      </c>
      <c r="Y731" t="s">
        <v>2161</v>
      </c>
      <c r="Z731" t="s">
        <v>2028</v>
      </c>
      <c r="AA731" t="s">
        <v>2162</v>
      </c>
      <c r="AB731" t="s">
        <v>2163</v>
      </c>
      <c r="AC731" t="s">
        <v>2164</v>
      </c>
      <c r="AF731" t="s">
        <v>401</v>
      </c>
      <c r="AG731" t="s">
        <v>1385</v>
      </c>
      <c r="AH731" t="s">
        <v>2161</v>
      </c>
      <c r="AK731">
        <v>0</v>
      </c>
      <c r="AO731" t="s">
        <v>1372</v>
      </c>
      <c r="AP731" t="s">
        <v>1373</v>
      </c>
    </row>
    <row r="732" hidden="1" spans="1:42">
      <c r="A732" t="s">
        <v>4356</v>
      </c>
      <c r="B732" t="s">
        <v>1356</v>
      </c>
      <c r="C732" t="s">
        <v>1375</v>
      </c>
      <c r="D732" t="s">
        <v>1780</v>
      </c>
      <c r="F732" t="s">
        <v>1377</v>
      </c>
      <c r="G732" s="45">
        <v>44815.8203125</v>
      </c>
      <c r="H732" s="45">
        <v>44815.8205671296</v>
      </c>
      <c r="J732" t="s">
        <v>407</v>
      </c>
      <c r="M732">
        <v>249</v>
      </c>
      <c r="N732">
        <v>0</v>
      </c>
      <c r="O732">
        <v>0</v>
      </c>
      <c r="P732">
        <v>0</v>
      </c>
      <c r="Q732">
        <v>249</v>
      </c>
      <c r="R732">
        <v>249</v>
      </c>
      <c r="T732" t="s">
        <v>3375</v>
      </c>
      <c r="U732">
        <v>1</v>
      </c>
      <c r="V732" t="s">
        <v>1364</v>
      </c>
      <c r="X732" t="s">
        <v>681</v>
      </c>
      <c r="Y732" t="s">
        <v>4351</v>
      </c>
      <c r="Z732" t="s">
        <v>1678</v>
      </c>
      <c r="AA732" t="s">
        <v>3523</v>
      </c>
      <c r="AB732" t="s">
        <v>4352</v>
      </c>
      <c r="AC732" t="s">
        <v>4353</v>
      </c>
      <c r="AF732" t="s">
        <v>4354</v>
      </c>
      <c r="AG732" t="s">
        <v>1372</v>
      </c>
      <c r="AJ732" t="s">
        <v>2945</v>
      </c>
      <c r="AK732">
        <v>249</v>
      </c>
      <c r="AO732" t="s">
        <v>1372</v>
      </c>
      <c r="AP732" t="s">
        <v>1373</v>
      </c>
    </row>
    <row r="733" hidden="1" spans="1:42">
      <c r="A733" t="s">
        <v>4357</v>
      </c>
      <c r="B733" t="s">
        <v>1356</v>
      </c>
      <c r="C733" t="s">
        <v>1375</v>
      </c>
      <c r="D733" t="s">
        <v>1376</v>
      </c>
      <c r="F733" t="s">
        <v>1377</v>
      </c>
      <c r="G733" s="45">
        <v>44815.8192361111</v>
      </c>
      <c r="M733">
        <v>19.9</v>
      </c>
      <c r="N733">
        <v>0</v>
      </c>
      <c r="O733">
        <v>0</v>
      </c>
      <c r="P733">
        <v>0</v>
      </c>
      <c r="Q733">
        <v>19.9</v>
      </c>
      <c r="R733">
        <v>0</v>
      </c>
      <c r="T733" t="s">
        <v>1613</v>
      </c>
      <c r="U733">
        <v>1</v>
      </c>
      <c r="V733" t="s">
        <v>1364</v>
      </c>
      <c r="X733" t="s">
        <v>4358</v>
      </c>
      <c r="Y733" t="s">
        <v>4359</v>
      </c>
      <c r="Z733" t="s">
        <v>1533</v>
      </c>
      <c r="AA733" t="s">
        <v>1534</v>
      </c>
      <c r="AB733" t="s">
        <v>1535</v>
      </c>
      <c r="AC733" t="s">
        <v>4360</v>
      </c>
      <c r="AF733" t="s">
        <v>4361</v>
      </c>
      <c r="AG733" t="s">
        <v>1372</v>
      </c>
      <c r="AK733">
        <v>0</v>
      </c>
      <c r="AO733" t="s">
        <v>1372</v>
      </c>
      <c r="AP733" t="s">
        <v>1373</v>
      </c>
    </row>
    <row r="734" hidden="1" spans="1:42">
      <c r="A734" t="s">
        <v>4362</v>
      </c>
      <c r="B734" t="s">
        <v>1356</v>
      </c>
      <c r="C734" t="s">
        <v>1375</v>
      </c>
      <c r="D734" t="s">
        <v>1358</v>
      </c>
      <c r="F734" t="s">
        <v>1377</v>
      </c>
      <c r="G734" s="45">
        <v>44815.8191435185</v>
      </c>
      <c r="H734" s="45">
        <v>44815.8194328704</v>
      </c>
      <c r="J734" t="s">
        <v>407</v>
      </c>
      <c r="M734">
        <v>249</v>
      </c>
      <c r="N734">
        <v>0</v>
      </c>
      <c r="O734">
        <v>0</v>
      </c>
      <c r="P734">
        <v>0</v>
      </c>
      <c r="Q734">
        <v>249</v>
      </c>
      <c r="R734">
        <v>249</v>
      </c>
      <c r="T734" t="s">
        <v>3384</v>
      </c>
      <c r="U734">
        <v>1</v>
      </c>
      <c r="V734" t="s">
        <v>1364</v>
      </c>
      <c r="X734" t="s">
        <v>833</v>
      </c>
      <c r="Y734" t="s">
        <v>4363</v>
      </c>
      <c r="Z734" t="s">
        <v>1560</v>
      </c>
      <c r="AA734" t="s">
        <v>1560</v>
      </c>
      <c r="AB734" t="s">
        <v>3476</v>
      </c>
      <c r="AC734" t="s">
        <v>4364</v>
      </c>
      <c r="AF734" t="s">
        <v>4365</v>
      </c>
      <c r="AG734" t="s">
        <v>1372</v>
      </c>
      <c r="AK734">
        <v>0</v>
      </c>
      <c r="AO734" t="s">
        <v>1372</v>
      </c>
      <c r="AP734" t="s">
        <v>1373</v>
      </c>
    </row>
    <row r="735" hidden="1" spans="1:42">
      <c r="A735" t="s">
        <v>4366</v>
      </c>
      <c r="B735" t="s">
        <v>1356</v>
      </c>
      <c r="C735" t="s">
        <v>1375</v>
      </c>
      <c r="D735" t="s">
        <v>1376</v>
      </c>
      <c r="F735" t="s">
        <v>1377</v>
      </c>
      <c r="G735" s="45">
        <v>44815.8180902778</v>
      </c>
      <c r="M735">
        <v>19.9</v>
      </c>
      <c r="N735">
        <v>10</v>
      </c>
      <c r="O735">
        <v>0</v>
      </c>
      <c r="P735">
        <v>0</v>
      </c>
      <c r="Q735">
        <v>29.9</v>
      </c>
      <c r="R735">
        <v>0</v>
      </c>
      <c r="T735" t="s">
        <v>1613</v>
      </c>
      <c r="U735">
        <v>1</v>
      </c>
      <c r="V735" t="s">
        <v>1364</v>
      </c>
      <c r="X735" t="s">
        <v>4367</v>
      </c>
      <c r="Y735" t="s">
        <v>4368</v>
      </c>
      <c r="Z735" t="s">
        <v>2298</v>
      </c>
      <c r="AA735" t="s">
        <v>3568</v>
      </c>
      <c r="AB735" t="s">
        <v>4369</v>
      </c>
      <c r="AC735" t="s">
        <v>4370</v>
      </c>
      <c r="AF735" t="s">
        <v>4371</v>
      </c>
      <c r="AG735" t="s">
        <v>1372</v>
      </c>
      <c r="AH735" t="s">
        <v>4368</v>
      </c>
      <c r="AK735">
        <v>0</v>
      </c>
      <c r="AO735" t="s">
        <v>1372</v>
      </c>
      <c r="AP735" t="s">
        <v>1373</v>
      </c>
    </row>
    <row r="736" hidden="1" spans="1:42">
      <c r="A736" t="s">
        <v>4372</v>
      </c>
      <c r="B736" t="s">
        <v>1356</v>
      </c>
      <c r="C736" t="s">
        <v>1375</v>
      </c>
      <c r="D736" t="s">
        <v>1358</v>
      </c>
      <c r="F736" t="s">
        <v>1377</v>
      </c>
      <c r="G736" s="45">
        <v>44815.8175231482</v>
      </c>
      <c r="H736" s="45">
        <v>44815.8176273148</v>
      </c>
      <c r="J736" t="s">
        <v>407</v>
      </c>
      <c r="M736">
        <v>19.9</v>
      </c>
      <c r="N736">
        <v>0</v>
      </c>
      <c r="O736">
        <v>0</v>
      </c>
      <c r="P736">
        <v>0</v>
      </c>
      <c r="Q736">
        <v>19.9</v>
      </c>
      <c r="R736">
        <v>19.9</v>
      </c>
      <c r="T736" t="s">
        <v>1578</v>
      </c>
      <c r="U736">
        <v>1</v>
      </c>
      <c r="V736" t="s">
        <v>1364</v>
      </c>
      <c r="X736" t="s">
        <v>756</v>
      </c>
      <c r="Y736" t="s">
        <v>3971</v>
      </c>
      <c r="Z736" t="s">
        <v>1748</v>
      </c>
      <c r="AA736" t="s">
        <v>3972</v>
      </c>
      <c r="AB736" t="s">
        <v>3973</v>
      </c>
      <c r="AC736" t="s">
        <v>4373</v>
      </c>
      <c r="AF736" t="s">
        <v>4374</v>
      </c>
      <c r="AG736" t="s">
        <v>1372</v>
      </c>
      <c r="AK736">
        <v>0</v>
      </c>
      <c r="AO736" t="s">
        <v>1372</v>
      </c>
      <c r="AP736" t="s">
        <v>1373</v>
      </c>
    </row>
    <row r="737" hidden="1" spans="1:42">
      <c r="A737" t="s">
        <v>4375</v>
      </c>
      <c r="B737" t="s">
        <v>1356</v>
      </c>
      <c r="C737" t="s">
        <v>1375</v>
      </c>
      <c r="D737" t="s">
        <v>1376</v>
      </c>
      <c r="F737" t="s">
        <v>1377</v>
      </c>
      <c r="G737" s="45">
        <v>44815.8170138889</v>
      </c>
      <c r="M737">
        <v>19.9</v>
      </c>
      <c r="N737">
        <v>0</v>
      </c>
      <c r="O737">
        <v>0</v>
      </c>
      <c r="P737">
        <v>0</v>
      </c>
      <c r="Q737">
        <v>19.9</v>
      </c>
      <c r="R737">
        <v>0</v>
      </c>
      <c r="T737" t="s">
        <v>1726</v>
      </c>
      <c r="U737">
        <v>1</v>
      </c>
      <c r="V737" t="s">
        <v>1364</v>
      </c>
      <c r="X737" t="s">
        <v>756</v>
      </c>
      <c r="Y737" t="s">
        <v>3971</v>
      </c>
      <c r="Z737" t="s">
        <v>1748</v>
      </c>
      <c r="AA737" t="s">
        <v>3972</v>
      </c>
      <c r="AB737" t="s">
        <v>3973</v>
      </c>
      <c r="AC737" t="s">
        <v>4373</v>
      </c>
      <c r="AF737" t="s">
        <v>4374</v>
      </c>
      <c r="AG737" t="s">
        <v>1372</v>
      </c>
      <c r="AK737">
        <v>0</v>
      </c>
      <c r="AO737" t="s">
        <v>1372</v>
      </c>
      <c r="AP737" t="s">
        <v>1373</v>
      </c>
    </row>
    <row r="738" hidden="1" spans="1:42">
      <c r="A738" t="s">
        <v>4376</v>
      </c>
      <c r="B738" t="s">
        <v>1356</v>
      </c>
      <c r="C738" t="s">
        <v>1375</v>
      </c>
      <c r="D738" t="s">
        <v>1358</v>
      </c>
      <c r="F738" t="s">
        <v>3560</v>
      </c>
      <c r="G738" s="45">
        <v>44815.8132291667</v>
      </c>
      <c r="H738" s="45">
        <v>44815.8135763889</v>
      </c>
      <c r="J738" t="s">
        <v>407</v>
      </c>
      <c r="M738">
        <v>19.9</v>
      </c>
      <c r="N738">
        <v>0</v>
      </c>
      <c r="O738">
        <v>0</v>
      </c>
      <c r="P738">
        <v>0</v>
      </c>
      <c r="Q738">
        <v>19.9</v>
      </c>
      <c r="R738">
        <v>19.9</v>
      </c>
      <c r="T738" t="s">
        <v>1858</v>
      </c>
      <c r="U738">
        <v>1</v>
      </c>
      <c r="V738" t="s">
        <v>1364</v>
      </c>
      <c r="X738" t="s">
        <v>869</v>
      </c>
      <c r="Y738" t="s">
        <v>4377</v>
      </c>
      <c r="Z738" t="s">
        <v>2336</v>
      </c>
      <c r="AA738" t="s">
        <v>2336</v>
      </c>
      <c r="AB738" t="s">
        <v>4378</v>
      </c>
      <c r="AC738" t="s">
        <v>4379</v>
      </c>
      <c r="AF738" t="s">
        <v>869</v>
      </c>
      <c r="AG738" t="s">
        <v>1385</v>
      </c>
      <c r="AH738" t="s">
        <v>4377</v>
      </c>
      <c r="AK738">
        <v>0</v>
      </c>
      <c r="AO738" t="s">
        <v>1372</v>
      </c>
      <c r="AP738" t="s">
        <v>1373</v>
      </c>
    </row>
    <row r="739" hidden="1" spans="1:42">
      <c r="A739" t="s">
        <v>4380</v>
      </c>
      <c r="B739" t="s">
        <v>1356</v>
      </c>
      <c r="C739" t="s">
        <v>1375</v>
      </c>
      <c r="D739" t="s">
        <v>1358</v>
      </c>
      <c r="F739" t="s">
        <v>1377</v>
      </c>
      <c r="G739" s="45">
        <v>44815.8119328704</v>
      </c>
      <c r="H739" s="45">
        <v>44815.8120486111</v>
      </c>
      <c r="J739" t="s">
        <v>407</v>
      </c>
      <c r="M739">
        <v>19.9</v>
      </c>
      <c r="N739">
        <v>0</v>
      </c>
      <c r="O739">
        <v>0</v>
      </c>
      <c r="P739">
        <v>0</v>
      </c>
      <c r="Q739">
        <v>19.9</v>
      </c>
      <c r="R739">
        <v>19.9</v>
      </c>
      <c r="T739" t="s">
        <v>1529</v>
      </c>
      <c r="U739">
        <v>1</v>
      </c>
      <c r="V739" t="s">
        <v>1364</v>
      </c>
      <c r="X739" t="s">
        <v>655</v>
      </c>
      <c r="Y739" t="s">
        <v>4381</v>
      </c>
      <c r="Z739" t="s">
        <v>1367</v>
      </c>
      <c r="AA739" t="s">
        <v>1486</v>
      </c>
      <c r="AB739" t="s">
        <v>2437</v>
      </c>
      <c r="AC739" t="s">
        <v>4382</v>
      </c>
      <c r="AF739" t="s">
        <v>4383</v>
      </c>
      <c r="AG739" t="s">
        <v>1385</v>
      </c>
      <c r="AH739" t="s">
        <v>4381</v>
      </c>
      <c r="AK739">
        <v>0</v>
      </c>
      <c r="AO739" t="s">
        <v>1372</v>
      </c>
      <c r="AP739" t="s">
        <v>1373</v>
      </c>
    </row>
    <row r="740" hidden="1" spans="1:42">
      <c r="A740" t="s">
        <v>4384</v>
      </c>
      <c r="B740" t="s">
        <v>1356</v>
      </c>
      <c r="C740" t="s">
        <v>1375</v>
      </c>
      <c r="D740" t="s">
        <v>1358</v>
      </c>
      <c r="F740" t="s">
        <v>1359</v>
      </c>
      <c r="G740" s="45">
        <v>44817.0085069444</v>
      </c>
      <c r="H740" s="45">
        <v>44817.0086226852</v>
      </c>
      <c r="J740" t="s">
        <v>1360</v>
      </c>
      <c r="K740" t="s">
        <v>4385</v>
      </c>
      <c r="L740" t="s">
        <v>4386</v>
      </c>
      <c r="M740">
        <v>69</v>
      </c>
      <c r="N740">
        <v>0</v>
      </c>
      <c r="O740">
        <v>-4</v>
      </c>
      <c r="P740">
        <v>0</v>
      </c>
      <c r="Q740">
        <v>65</v>
      </c>
      <c r="R740">
        <v>65</v>
      </c>
      <c r="S740" t="s">
        <v>1388</v>
      </c>
      <c r="T740" t="s">
        <v>4387</v>
      </c>
      <c r="U740">
        <v>1</v>
      </c>
      <c r="V740" t="s">
        <v>1364</v>
      </c>
      <c r="X740" t="s">
        <v>592</v>
      </c>
      <c r="Y740" t="s">
        <v>3873</v>
      </c>
      <c r="Z740" t="s">
        <v>1678</v>
      </c>
      <c r="AA740" t="s">
        <v>2007</v>
      </c>
      <c r="AB740" t="s">
        <v>2451</v>
      </c>
      <c r="AC740" t="s">
        <v>3874</v>
      </c>
      <c r="AD740" t="s">
        <v>4388</v>
      </c>
      <c r="AF740" t="s">
        <v>4389</v>
      </c>
      <c r="AG740" t="s">
        <v>1372</v>
      </c>
      <c r="AH740" t="s">
        <v>4390</v>
      </c>
      <c r="AK740">
        <v>0</v>
      </c>
      <c r="AO740" t="s">
        <v>1372</v>
      </c>
      <c r="AP740" t="s">
        <v>1373</v>
      </c>
    </row>
    <row r="741" hidden="1" spans="1:42">
      <c r="A741" t="s">
        <v>4391</v>
      </c>
      <c r="B741" t="s">
        <v>1356</v>
      </c>
      <c r="C741" t="s">
        <v>1375</v>
      </c>
      <c r="D741" t="s">
        <v>1358</v>
      </c>
      <c r="F741" t="s">
        <v>1377</v>
      </c>
      <c r="G741" s="45">
        <v>44816.9994675926</v>
      </c>
      <c r="H741" s="45">
        <v>44816.9995833333</v>
      </c>
      <c r="J741" t="s">
        <v>407</v>
      </c>
      <c r="M741">
        <v>39.9</v>
      </c>
      <c r="N741">
        <v>0</v>
      </c>
      <c r="O741">
        <v>0</v>
      </c>
      <c r="P741">
        <v>0</v>
      </c>
      <c r="Q741">
        <v>39.9</v>
      </c>
      <c r="R741">
        <v>39.9</v>
      </c>
      <c r="T741" t="s">
        <v>4392</v>
      </c>
      <c r="U741">
        <v>1</v>
      </c>
      <c r="V741" t="s">
        <v>1364</v>
      </c>
      <c r="X741" t="s">
        <v>592</v>
      </c>
      <c r="Y741" t="s">
        <v>3873</v>
      </c>
      <c r="Z741" t="s">
        <v>1678</v>
      </c>
      <c r="AA741" t="s">
        <v>2007</v>
      </c>
      <c r="AB741" t="s">
        <v>2451</v>
      </c>
      <c r="AC741" t="s">
        <v>3874</v>
      </c>
      <c r="AF741" t="s">
        <v>4389</v>
      </c>
      <c r="AG741" t="s">
        <v>1372</v>
      </c>
      <c r="AH741" t="s">
        <v>4390</v>
      </c>
      <c r="AK741">
        <v>0</v>
      </c>
      <c r="AO741" t="s">
        <v>1372</v>
      </c>
      <c r="AP741" t="s">
        <v>1373</v>
      </c>
    </row>
    <row r="742" hidden="1" spans="1:42">
      <c r="A742" t="s">
        <v>4393</v>
      </c>
      <c r="B742" t="s">
        <v>1356</v>
      </c>
      <c r="C742" t="s">
        <v>1375</v>
      </c>
      <c r="D742" t="s">
        <v>1358</v>
      </c>
      <c r="F742" t="s">
        <v>1632</v>
      </c>
      <c r="G742" s="45">
        <v>44816.9895023148</v>
      </c>
      <c r="H742" s="45">
        <v>44816.9899074074</v>
      </c>
      <c r="J742" t="s">
        <v>1360</v>
      </c>
      <c r="K742" t="s">
        <v>4394</v>
      </c>
      <c r="L742" t="s">
        <v>4395</v>
      </c>
      <c r="M742">
        <v>49</v>
      </c>
      <c r="N742">
        <v>0</v>
      </c>
      <c r="O742">
        <v>0</v>
      </c>
      <c r="P742">
        <v>0</v>
      </c>
      <c r="Q742">
        <v>49</v>
      </c>
      <c r="R742">
        <v>49</v>
      </c>
      <c r="T742" t="s">
        <v>4396</v>
      </c>
      <c r="U742">
        <v>1</v>
      </c>
      <c r="V742" t="s">
        <v>1364</v>
      </c>
      <c r="X742" t="s">
        <v>622</v>
      </c>
      <c r="Y742" t="s">
        <v>4397</v>
      </c>
      <c r="Z742" t="s">
        <v>1495</v>
      </c>
      <c r="AA742" t="s">
        <v>2355</v>
      </c>
      <c r="AB742" t="s">
        <v>4398</v>
      </c>
      <c r="AC742" t="s">
        <v>4399</v>
      </c>
      <c r="AF742" t="s">
        <v>4400</v>
      </c>
      <c r="AG742" t="s">
        <v>1385</v>
      </c>
      <c r="AH742" t="s">
        <v>4397</v>
      </c>
      <c r="AK742">
        <v>0</v>
      </c>
      <c r="AO742" t="s">
        <v>1372</v>
      </c>
      <c r="AP742" t="s">
        <v>1373</v>
      </c>
    </row>
    <row r="743" hidden="1" spans="1:42">
      <c r="A743" t="s">
        <v>4401</v>
      </c>
      <c r="B743" t="s">
        <v>1356</v>
      </c>
      <c r="C743" t="s">
        <v>1375</v>
      </c>
      <c r="D743" t="s">
        <v>1358</v>
      </c>
      <c r="F743" t="s">
        <v>1377</v>
      </c>
      <c r="G743" s="45">
        <v>44816.9827430556</v>
      </c>
      <c r="H743" s="45">
        <v>44816.9828703704</v>
      </c>
      <c r="J743" t="s">
        <v>407</v>
      </c>
      <c r="M743">
        <v>249</v>
      </c>
      <c r="N743">
        <v>0</v>
      </c>
      <c r="O743">
        <v>0</v>
      </c>
      <c r="P743">
        <v>0</v>
      </c>
      <c r="Q743">
        <v>249</v>
      </c>
      <c r="R743">
        <v>249</v>
      </c>
      <c r="T743" t="s">
        <v>4402</v>
      </c>
      <c r="U743">
        <v>1</v>
      </c>
      <c r="V743" t="s">
        <v>1364</v>
      </c>
      <c r="X743" t="s">
        <v>745</v>
      </c>
      <c r="Y743" t="s">
        <v>3296</v>
      </c>
      <c r="Z743" t="s">
        <v>1367</v>
      </c>
      <c r="AA743" t="s">
        <v>1439</v>
      </c>
      <c r="AB743" t="s">
        <v>3297</v>
      </c>
      <c r="AC743" t="s">
        <v>3298</v>
      </c>
      <c r="AF743" t="s">
        <v>3299</v>
      </c>
      <c r="AG743" t="s">
        <v>1372</v>
      </c>
      <c r="AK743">
        <v>0</v>
      </c>
      <c r="AO743" t="s">
        <v>1372</v>
      </c>
      <c r="AP743" t="s">
        <v>1373</v>
      </c>
    </row>
    <row r="744" hidden="1" spans="1:42">
      <c r="A744" t="s">
        <v>4403</v>
      </c>
      <c r="B744" t="s">
        <v>1356</v>
      </c>
      <c r="C744" t="s">
        <v>1375</v>
      </c>
      <c r="D744" t="s">
        <v>1358</v>
      </c>
      <c r="F744" t="s">
        <v>1377</v>
      </c>
      <c r="G744" s="45">
        <v>44816.9607407407</v>
      </c>
      <c r="H744" s="45">
        <v>44816.9609259259</v>
      </c>
      <c r="J744" t="s">
        <v>407</v>
      </c>
      <c r="M744">
        <v>249</v>
      </c>
      <c r="N744">
        <v>0</v>
      </c>
      <c r="O744">
        <v>-5</v>
      </c>
      <c r="P744">
        <v>0</v>
      </c>
      <c r="Q744">
        <v>244</v>
      </c>
      <c r="R744">
        <v>244</v>
      </c>
      <c r="S744" t="s">
        <v>1422</v>
      </c>
      <c r="T744" t="s">
        <v>4404</v>
      </c>
      <c r="U744">
        <v>1</v>
      </c>
      <c r="V744" t="s">
        <v>1364</v>
      </c>
      <c r="X744" t="s">
        <v>607</v>
      </c>
      <c r="Y744" t="s">
        <v>4405</v>
      </c>
      <c r="Z744" t="s">
        <v>1367</v>
      </c>
      <c r="AA744" t="s">
        <v>4406</v>
      </c>
      <c r="AB744" t="s">
        <v>4407</v>
      </c>
      <c r="AC744" t="s">
        <v>4408</v>
      </c>
      <c r="AF744" t="s">
        <v>607</v>
      </c>
      <c r="AG744" t="s">
        <v>1385</v>
      </c>
      <c r="AH744" t="s">
        <v>4405</v>
      </c>
      <c r="AK744">
        <v>0</v>
      </c>
      <c r="AO744" t="s">
        <v>1372</v>
      </c>
      <c r="AP744" t="s">
        <v>1373</v>
      </c>
    </row>
    <row r="745" hidden="1" spans="1:42">
      <c r="A745" t="s">
        <v>4409</v>
      </c>
      <c r="B745" t="s">
        <v>1356</v>
      </c>
      <c r="C745" t="s">
        <v>1375</v>
      </c>
      <c r="D745" t="s">
        <v>1358</v>
      </c>
      <c r="F745" t="s">
        <v>1377</v>
      </c>
      <c r="G745" s="45">
        <v>44816.951087963</v>
      </c>
      <c r="H745" s="45">
        <v>44816.9513773148</v>
      </c>
      <c r="J745" t="s">
        <v>407</v>
      </c>
      <c r="M745">
        <v>239</v>
      </c>
      <c r="N745">
        <v>0</v>
      </c>
      <c r="O745">
        <v>0</v>
      </c>
      <c r="P745">
        <v>0</v>
      </c>
      <c r="Q745">
        <v>239</v>
      </c>
      <c r="R745">
        <v>239</v>
      </c>
      <c r="T745" t="s">
        <v>4410</v>
      </c>
      <c r="U745">
        <v>1</v>
      </c>
      <c r="V745" t="s">
        <v>1364</v>
      </c>
      <c r="X745" t="s">
        <v>873</v>
      </c>
      <c r="Y745" t="s">
        <v>4411</v>
      </c>
      <c r="Z745" t="s">
        <v>1367</v>
      </c>
      <c r="AA745" t="s">
        <v>1943</v>
      </c>
      <c r="AB745" t="s">
        <v>2039</v>
      </c>
      <c r="AC745" t="s">
        <v>4412</v>
      </c>
      <c r="AF745" t="s">
        <v>4413</v>
      </c>
      <c r="AG745" t="s">
        <v>1372</v>
      </c>
      <c r="AK745">
        <v>0</v>
      </c>
      <c r="AO745" t="s">
        <v>1372</v>
      </c>
      <c r="AP745" t="s">
        <v>1373</v>
      </c>
    </row>
    <row r="746" hidden="1" spans="1:42">
      <c r="A746" t="s">
        <v>4414</v>
      </c>
      <c r="B746" t="s">
        <v>1356</v>
      </c>
      <c r="C746" t="s">
        <v>1375</v>
      </c>
      <c r="D746" t="s">
        <v>1358</v>
      </c>
      <c r="F746" t="s">
        <v>1377</v>
      </c>
      <c r="G746" s="45">
        <v>44816.9471990741</v>
      </c>
      <c r="H746" s="45">
        <v>44816.9473263889</v>
      </c>
      <c r="J746" t="s">
        <v>407</v>
      </c>
      <c r="M746">
        <v>239</v>
      </c>
      <c r="N746">
        <v>0</v>
      </c>
      <c r="O746">
        <v>-4</v>
      </c>
      <c r="P746">
        <v>0</v>
      </c>
      <c r="Q746">
        <v>235</v>
      </c>
      <c r="R746">
        <v>235</v>
      </c>
      <c r="S746" t="s">
        <v>1388</v>
      </c>
      <c r="T746" t="s">
        <v>4415</v>
      </c>
      <c r="U746">
        <v>1</v>
      </c>
      <c r="V746" t="s">
        <v>1364</v>
      </c>
      <c r="X746" t="s">
        <v>638</v>
      </c>
      <c r="Y746" t="s">
        <v>4416</v>
      </c>
      <c r="Z746" t="s">
        <v>1853</v>
      </c>
      <c r="AA746" t="s">
        <v>3210</v>
      </c>
      <c r="AB746" t="s">
        <v>4417</v>
      </c>
      <c r="AC746" t="s">
        <v>4418</v>
      </c>
      <c r="AF746" t="s">
        <v>4419</v>
      </c>
      <c r="AG746" t="s">
        <v>1372</v>
      </c>
      <c r="AK746">
        <v>0</v>
      </c>
      <c r="AO746" t="s">
        <v>1372</v>
      </c>
      <c r="AP746" t="s">
        <v>1373</v>
      </c>
    </row>
    <row r="747" hidden="1" spans="1:42">
      <c r="A747" t="s">
        <v>4420</v>
      </c>
      <c r="B747" t="s">
        <v>1356</v>
      </c>
      <c r="C747" t="s">
        <v>1375</v>
      </c>
      <c r="D747" t="s">
        <v>1358</v>
      </c>
      <c r="F747" t="s">
        <v>1377</v>
      </c>
      <c r="G747" s="45">
        <v>44816.9468055556</v>
      </c>
      <c r="H747" s="45">
        <v>44816.9472916667</v>
      </c>
      <c r="J747" t="s">
        <v>407</v>
      </c>
      <c r="M747">
        <v>239</v>
      </c>
      <c r="N747">
        <v>0</v>
      </c>
      <c r="O747">
        <v>-4</v>
      </c>
      <c r="P747">
        <v>0</v>
      </c>
      <c r="Q747">
        <v>235</v>
      </c>
      <c r="R747">
        <v>235</v>
      </c>
      <c r="S747" t="s">
        <v>1388</v>
      </c>
      <c r="T747" t="s">
        <v>4421</v>
      </c>
      <c r="U747">
        <v>1</v>
      </c>
      <c r="V747" t="s">
        <v>1364</v>
      </c>
      <c r="X747" t="s">
        <v>630</v>
      </c>
      <c r="Y747" t="s">
        <v>3895</v>
      </c>
      <c r="Z747" t="s">
        <v>1380</v>
      </c>
      <c r="AA747" t="s">
        <v>3896</v>
      </c>
      <c r="AB747" t="s">
        <v>3897</v>
      </c>
      <c r="AC747" t="s">
        <v>3898</v>
      </c>
      <c r="AF747" t="s">
        <v>3899</v>
      </c>
      <c r="AG747" t="s">
        <v>1372</v>
      </c>
      <c r="AH747" t="s">
        <v>3895</v>
      </c>
      <c r="AK747">
        <v>0</v>
      </c>
      <c r="AO747" t="s">
        <v>1372</v>
      </c>
      <c r="AP747" t="s">
        <v>1373</v>
      </c>
    </row>
    <row r="748" hidden="1" spans="1:42">
      <c r="A748" t="s">
        <v>4422</v>
      </c>
      <c r="B748" t="s">
        <v>1356</v>
      </c>
      <c r="C748" t="s">
        <v>1375</v>
      </c>
      <c r="D748" t="s">
        <v>1376</v>
      </c>
      <c r="F748" t="s">
        <v>1377</v>
      </c>
      <c r="G748" s="45">
        <v>44816.9457060185</v>
      </c>
      <c r="M748">
        <v>239</v>
      </c>
      <c r="N748">
        <v>0</v>
      </c>
      <c r="O748">
        <v>-5</v>
      </c>
      <c r="P748">
        <v>0</v>
      </c>
      <c r="Q748">
        <v>234</v>
      </c>
      <c r="R748">
        <v>0</v>
      </c>
      <c r="S748" t="s">
        <v>1422</v>
      </c>
      <c r="T748" t="s">
        <v>4421</v>
      </c>
      <c r="U748">
        <v>1</v>
      </c>
      <c r="V748" t="s">
        <v>1364</v>
      </c>
      <c r="X748" t="s">
        <v>483</v>
      </c>
      <c r="Y748" t="s">
        <v>3427</v>
      </c>
      <c r="Z748" t="s">
        <v>1513</v>
      </c>
      <c r="AA748" t="s">
        <v>3428</v>
      </c>
      <c r="AB748" t="s">
        <v>3429</v>
      </c>
      <c r="AC748" t="s">
        <v>3430</v>
      </c>
      <c r="AF748" t="s">
        <v>3431</v>
      </c>
      <c r="AG748" t="s">
        <v>1385</v>
      </c>
      <c r="AH748" t="s">
        <v>3427</v>
      </c>
      <c r="AK748">
        <v>0</v>
      </c>
      <c r="AO748" t="s">
        <v>1372</v>
      </c>
      <c r="AP748" t="s">
        <v>1373</v>
      </c>
    </row>
    <row r="749" hidden="1" spans="1:42">
      <c r="A749" t="s">
        <v>4423</v>
      </c>
      <c r="B749" t="s">
        <v>1356</v>
      </c>
      <c r="C749" t="s">
        <v>1375</v>
      </c>
      <c r="D749" t="s">
        <v>1358</v>
      </c>
      <c r="F749" t="s">
        <v>1377</v>
      </c>
      <c r="G749" s="45">
        <v>44816.9455902778</v>
      </c>
      <c r="H749" s="45">
        <v>44816.9458217593</v>
      </c>
      <c r="J749" t="s">
        <v>407</v>
      </c>
      <c r="M749">
        <v>239</v>
      </c>
      <c r="N749">
        <v>0</v>
      </c>
      <c r="O749">
        <v>0</v>
      </c>
      <c r="P749">
        <v>0</v>
      </c>
      <c r="Q749">
        <v>239</v>
      </c>
      <c r="R749">
        <v>239</v>
      </c>
      <c r="T749" t="s">
        <v>4424</v>
      </c>
      <c r="U749">
        <v>1</v>
      </c>
      <c r="V749" t="s">
        <v>1364</v>
      </c>
      <c r="X749" t="s">
        <v>759</v>
      </c>
      <c r="Y749" t="s">
        <v>4425</v>
      </c>
      <c r="Z749" t="s">
        <v>1495</v>
      </c>
      <c r="AA749" t="s">
        <v>1757</v>
      </c>
      <c r="AB749" t="s">
        <v>4426</v>
      </c>
      <c r="AC749" t="s">
        <v>4427</v>
      </c>
      <c r="AF749" t="s">
        <v>4428</v>
      </c>
      <c r="AG749" t="s">
        <v>1372</v>
      </c>
      <c r="AH749" t="s">
        <v>4425</v>
      </c>
      <c r="AK749">
        <v>0</v>
      </c>
      <c r="AO749" t="s">
        <v>1372</v>
      </c>
      <c r="AP749" t="s">
        <v>1373</v>
      </c>
    </row>
    <row r="750" hidden="1" spans="1:42">
      <c r="A750" t="s">
        <v>4429</v>
      </c>
      <c r="B750" t="s">
        <v>1356</v>
      </c>
      <c r="C750" t="s">
        <v>1375</v>
      </c>
      <c r="D750" t="s">
        <v>1358</v>
      </c>
      <c r="F750" t="s">
        <v>1377</v>
      </c>
      <c r="G750" s="45">
        <v>44816.9444212963</v>
      </c>
      <c r="H750" s="45">
        <v>44816.9445717593</v>
      </c>
      <c r="J750" t="s">
        <v>407</v>
      </c>
      <c r="M750">
        <v>239</v>
      </c>
      <c r="N750">
        <v>0</v>
      </c>
      <c r="O750">
        <v>0</v>
      </c>
      <c r="P750">
        <v>0</v>
      </c>
      <c r="Q750">
        <v>239</v>
      </c>
      <c r="R750">
        <v>239</v>
      </c>
      <c r="T750" t="s">
        <v>4430</v>
      </c>
      <c r="U750">
        <v>1</v>
      </c>
      <c r="V750" t="s">
        <v>1364</v>
      </c>
      <c r="X750" t="s">
        <v>638</v>
      </c>
      <c r="Y750" t="s">
        <v>4416</v>
      </c>
      <c r="Z750" t="s">
        <v>1853</v>
      </c>
      <c r="AA750" t="s">
        <v>3210</v>
      </c>
      <c r="AB750" t="s">
        <v>4417</v>
      </c>
      <c r="AC750" t="s">
        <v>4418</v>
      </c>
      <c r="AF750" t="s">
        <v>4419</v>
      </c>
      <c r="AG750" t="s">
        <v>1372</v>
      </c>
      <c r="AK750">
        <v>0</v>
      </c>
      <c r="AO750" t="s">
        <v>1372</v>
      </c>
      <c r="AP750" t="s">
        <v>1373</v>
      </c>
    </row>
    <row r="751" hidden="1" spans="1:42">
      <c r="A751" t="s">
        <v>4431</v>
      </c>
      <c r="B751" t="s">
        <v>1356</v>
      </c>
      <c r="C751" t="s">
        <v>1375</v>
      </c>
      <c r="D751" t="s">
        <v>1358</v>
      </c>
      <c r="F751" t="s">
        <v>3560</v>
      </c>
      <c r="G751" s="45">
        <v>44816.9406944444</v>
      </c>
      <c r="H751" s="45">
        <v>44816.9408217593</v>
      </c>
      <c r="J751" t="s">
        <v>407</v>
      </c>
      <c r="M751">
        <v>39.9</v>
      </c>
      <c r="N751">
        <v>0</v>
      </c>
      <c r="O751">
        <v>0</v>
      </c>
      <c r="P751">
        <v>0</v>
      </c>
      <c r="Q751">
        <v>39.9</v>
      </c>
      <c r="R751">
        <v>39.9</v>
      </c>
      <c r="T751" t="s">
        <v>1897</v>
      </c>
      <c r="U751">
        <v>1</v>
      </c>
      <c r="V751" t="s">
        <v>1364</v>
      </c>
      <c r="X751" t="s">
        <v>895</v>
      </c>
      <c r="Y751" t="s">
        <v>4432</v>
      </c>
      <c r="Z751" t="s">
        <v>1710</v>
      </c>
      <c r="AA751" t="s">
        <v>3937</v>
      </c>
      <c r="AB751" t="s">
        <v>3938</v>
      </c>
      <c r="AC751" t="s">
        <v>4433</v>
      </c>
      <c r="AF751" t="s">
        <v>4434</v>
      </c>
      <c r="AG751" t="s">
        <v>1372</v>
      </c>
      <c r="AK751">
        <v>0</v>
      </c>
      <c r="AO751" t="s">
        <v>1372</v>
      </c>
      <c r="AP751" t="s">
        <v>1373</v>
      </c>
    </row>
    <row r="752" hidden="1" spans="1:42">
      <c r="A752" t="s">
        <v>4435</v>
      </c>
      <c r="B752" t="s">
        <v>1356</v>
      </c>
      <c r="C752" t="s">
        <v>1375</v>
      </c>
      <c r="D752" t="s">
        <v>1358</v>
      </c>
      <c r="F752" t="s">
        <v>1377</v>
      </c>
      <c r="G752" s="45">
        <v>44816.9368402778</v>
      </c>
      <c r="H752" s="45">
        <v>44816.9371180556</v>
      </c>
      <c r="J752" t="s">
        <v>407</v>
      </c>
      <c r="M752">
        <v>249</v>
      </c>
      <c r="N752">
        <v>0</v>
      </c>
      <c r="O752">
        <v>0</v>
      </c>
      <c r="P752">
        <v>0</v>
      </c>
      <c r="Q752">
        <v>249</v>
      </c>
      <c r="R752">
        <v>249</v>
      </c>
      <c r="T752" t="s">
        <v>1862</v>
      </c>
      <c r="U752">
        <v>1</v>
      </c>
      <c r="V752" t="s">
        <v>1364</v>
      </c>
      <c r="X752" t="s">
        <v>823</v>
      </c>
      <c r="Y752" t="s">
        <v>4436</v>
      </c>
      <c r="Z752" t="s">
        <v>1430</v>
      </c>
      <c r="AA752" t="s">
        <v>2934</v>
      </c>
      <c r="AB752" t="s">
        <v>2935</v>
      </c>
      <c r="AC752" t="s">
        <v>4437</v>
      </c>
      <c r="AF752" t="s">
        <v>4438</v>
      </c>
      <c r="AG752" t="s">
        <v>1372</v>
      </c>
      <c r="AK752">
        <v>0</v>
      </c>
      <c r="AO752" t="s">
        <v>1372</v>
      </c>
      <c r="AP752" t="s">
        <v>1373</v>
      </c>
    </row>
    <row r="753" hidden="1" spans="1:42">
      <c r="A753" t="s">
        <v>4439</v>
      </c>
      <c r="B753" t="s">
        <v>1356</v>
      </c>
      <c r="C753" t="s">
        <v>1375</v>
      </c>
      <c r="D753" t="s">
        <v>1358</v>
      </c>
      <c r="F753" t="s">
        <v>1377</v>
      </c>
      <c r="G753" s="45">
        <v>44816.9358217593</v>
      </c>
      <c r="H753" s="45">
        <v>44816.9363078704</v>
      </c>
      <c r="J753" t="s">
        <v>407</v>
      </c>
      <c r="M753">
        <v>249</v>
      </c>
      <c r="N753">
        <v>0</v>
      </c>
      <c r="O753">
        <v>-5</v>
      </c>
      <c r="P753">
        <v>0</v>
      </c>
      <c r="Q753">
        <v>244</v>
      </c>
      <c r="R753">
        <v>244</v>
      </c>
      <c r="S753" t="s">
        <v>1422</v>
      </c>
      <c r="T753" t="s">
        <v>3915</v>
      </c>
      <c r="U753">
        <v>1</v>
      </c>
      <c r="V753" t="s">
        <v>1364</v>
      </c>
      <c r="X753" t="s">
        <v>859</v>
      </c>
      <c r="Y753" t="s">
        <v>4440</v>
      </c>
      <c r="Z753" t="s">
        <v>1626</v>
      </c>
      <c r="AA753" t="s">
        <v>2741</v>
      </c>
      <c r="AB753" t="s">
        <v>2742</v>
      </c>
      <c r="AC753" t="s">
        <v>4441</v>
      </c>
      <c r="AF753" t="s">
        <v>4442</v>
      </c>
      <c r="AG753" t="s">
        <v>1385</v>
      </c>
      <c r="AH753" t="s">
        <v>4440</v>
      </c>
      <c r="AK753">
        <v>0</v>
      </c>
      <c r="AO753" t="s">
        <v>1372</v>
      </c>
      <c r="AP753" t="s">
        <v>1373</v>
      </c>
    </row>
    <row r="754" hidden="1" spans="1:42">
      <c r="A754" t="s">
        <v>4443</v>
      </c>
      <c r="B754" t="s">
        <v>1356</v>
      </c>
      <c r="C754" t="s">
        <v>1375</v>
      </c>
      <c r="D754" t="s">
        <v>1358</v>
      </c>
      <c r="F754" t="s">
        <v>1377</v>
      </c>
      <c r="G754" s="45">
        <v>44816.9308796296</v>
      </c>
      <c r="H754" s="45">
        <v>44816.9310185185</v>
      </c>
      <c r="J754" t="s">
        <v>407</v>
      </c>
      <c r="M754">
        <v>249</v>
      </c>
      <c r="N754">
        <v>0</v>
      </c>
      <c r="O754">
        <v>0</v>
      </c>
      <c r="P754">
        <v>0</v>
      </c>
      <c r="Q754">
        <v>249</v>
      </c>
      <c r="R754">
        <v>249</v>
      </c>
      <c r="T754" t="s">
        <v>1984</v>
      </c>
      <c r="U754">
        <v>1</v>
      </c>
      <c r="V754" t="s">
        <v>1364</v>
      </c>
      <c r="X754" t="s">
        <v>822</v>
      </c>
      <c r="Y754" t="s">
        <v>4444</v>
      </c>
      <c r="Z754" t="s">
        <v>1466</v>
      </c>
      <c r="AA754" t="s">
        <v>4445</v>
      </c>
      <c r="AB754" t="s">
        <v>4446</v>
      </c>
      <c r="AC754" t="s">
        <v>4447</v>
      </c>
      <c r="AF754" t="s">
        <v>4448</v>
      </c>
      <c r="AG754" t="s">
        <v>1372</v>
      </c>
      <c r="AK754">
        <v>0</v>
      </c>
      <c r="AO754" t="s">
        <v>1372</v>
      </c>
      <c r="AP754" t="s">
        <v>1373</v>
      </c>
    </row>
    <row r="755" hidden="1" spans="1:42">
      <c r="A755" t="s">
        <v>4449</v>
      </c>
      <c r="B755" t="s">
        <v>1356</v>
      </c>
      <c r="C755" t="s">
        <v>1375</v>
      </c>
      <c r="D755" t="s">
        <v>1358</v>
      </c>
      <c r="F755" t="s">
        <v>1377</v>
      </c>
      <c r="G755" s="45">
        <v>44816.9285300926</v>
      </c>
      <c r="H755" s="45">
        <v>44816.9286574074</v>
      </c>
      <c r="J755" t="s">
        <v>407</v>
      </c>
      <c r="M755">
        <v>249</v>
      </c>
      <c r="N755">
        <v>0</v>
      </c>
      <c r="O755">
        <v>0</v>
      </c>
      <c r="P755">
        <v>0</v>
      </c>
      <c r="Q755">
        <v>249</v>
      </c>
      <c r="R755">
        <v>249</v>
      </c>
      <c r="T755" t="s">
        <v>3259</v>
      </c>
      <c r="U755">
        <v>1</v>
      </c>
      <c r="V755" t="s">
        <v>1364</v>
      </c>
      <c r="X755" t="s">
        <v>526</v>
      </c>
      <c r="Y755" t="s">
        <v>2838</v>
      </c>
      <c r="Z755" t="s">
        <v>1626</v>
      </c>
      <c r="AA755" t="s">
        <v>2149</v>
      </c>
      <c r="AB755" t="s">
        <v>2839</v>
      </c>
      <c r="AC755" t="s">
        <v>2840</v>
      </c>
      <c r="AF755" t="s">
        <v>2841</v>
      </c>
      <c r="AG755" t="s">
        <v>1372</v>
      </c>
      <c r="AH755" t="s">
        <v>2838</v>
      </c>
      <c r="AK755">
        <v>0</v>
      </c>
      <c r="AO755" t="s">
        <v>1372</v>
      </c>
      <c r="AP755" t="s">
        <v>1373</v>
      </c>
    </row>
    <row r="756" hidden="1" spans="1:42">
      <c r="A756" t="s">
        <v>4450</v>
      </c>
      <c r="B756" t="s">
        <v>1356</v>
      </c>
      <c r="C756" t="s">
        <v>1375</v>
      </c>
      <c r="D756" t="s">
        <v>1376</v>
      </c>
      <c r="F756" t="s">
        <v>1377</v>
      </c>
      <c r="G756" s="45">
        <v>44816.9277546296</v>
      </c>
      <c r="M756">
        <v>249</v>
      </c>
      <c r="N756">
        <v>0</v>
      </c>
      <c r="O756">
        <v>0</v>
      </c>
      <c r="P756">
        <v>0</v>
      </c>
      <c r="Q756">
        <v>249</v>
      </c>
      <c r="R756">
        <v>0</v>
      </c>
      <c r="T756" t="s">
        <v>3893</v>
      </c>
      <c r="U756">
        <v>1</v>
      </c>
      <c r="V756" t="s">
        <v>1364</v>
      </c>
      <c r="X756" t="s">
        <v>822</v>
      </c>
      <c r="Y756" t="s">
        <v>4444</v>
      </c>
      <c r="Z756" t="s">
        <v>1466</v>
      </c>
      <c r="AA756" t="s">
        <v>4445</v>
      </c>
      <c r="AB756" t="s">
        <v>4446</v>
      </c>
      <c r="AC756" t="s">
        <v>4447</v>
      </c>
      <c r="AF756" t="s">
        <v>4448</v>
      </c>
      <c r="AG756" t="s">
        <v>1372</v>
      </c>
      <c r="AK756">
        <v>0</v>
      </c>
      <c r="AO756" t="s">
        <v>1372</v>
      </c>
      <c r="AP756" t="s">
        <v>1373</v>
      </c>
    </row>
    <row r="757" hidden="1" spans="1:42">
      <c r="A757" t="s">
        <v>4451</v>
      </c>
      <c r="B757" t="s">
        <v>1356</v>
      </c>
      <c r="C757" t="s">
        <v>1375</v>
      </c>
      <c r="D757" t="s">
        <v>1376</v>
      </c>
      <c r="F757" t="s">
        <v>1377</v>
      </c>
      <c r="G757" s="45">
        <v>44816.9277430556</v>
      </c>
      <c r="M757">
        <v>249</v>
      </c>
      <c r="N757">
        <v>0</v>
      </c>
      <c r="O757">
        <v>-5</v>
      </c>
      <c r="P757">
        <v>0</v>
      </c>
      <c r="Q757">
        <v>244</v>
      </c>
      <c r="R757">
        <v>0</v>
      </c>
      <c r="S757" t="s">
        <v>1422</v>
      </c>
      <c r="T757" t="s">
        <v>3548</v>
      </c>
      <c r="U757">
        <v>1</v>
      </c>
      <c r="V757" t="s">
        <v>1364</v>
      </c>
      <c r="X757" t="s">
        <v>526</v>
      </c>
      <c r="Y757" t="s">
        <v>2838</v>
      </c>
      <c r="Z757" t="s">
        <v>1626</v>
      </c>
      <c r="AA757" t="s">
        <v>2149</v>
      </c>
      <c r="AB757" t="s">
        <v>2839</v>
      </c>
      <c r="AC757" t="s">
        <v>2840</v>
      </c>
      <c r="AF757" t="s">
        <v>2841</v>
      </c>
      <c r="AG757" t="s">
        <v>1372</v>
      </c>
      <c r="AH757" t="s">
        <v>2838</v>
      </c>
      <c r="AK757">
        <v>0</v>
      </c>
      <c r="AO757" t="s">
        <v>1372</v>
      </c>
      <c r="AP757" t="s">
        <v>1373</v>
      </c>
    </row>
    <row r="758" hidden="1" spans="1:42">
      <c r="A758" t="s">
        <v>4452</v>
      </c>
      <c r="B758" t="s">
        <v>1356</v>
      </c>
      <c r="C758" t="s">
        <v>1375</v>
      </c>
      <c r="D758" t="s">
        <v>1358</v>
      </c>
      <c r="F758" t="s">
        <v>1377</v>
      </c>
      <c r="G758" s="45">
        <v>44816.926724537</v>
      </c>
      <c r="H758" s="45">
        <v>44816.9268865741</v>
      </c>
      <c r="J758" t="s">
        <v>407</v>
      </c>
      <c r="M758">
        <v>249</v>
      </c>
      <c r="N758">
        <v>0</v>
      </c>
      <c r="O758">
        <v>0</v>
      </c>
      <c r="P758">
        <v>0</v>
      </c>
      <c r="Q758">
        <v>249</v>
      </c>
      <c r="R758">
        <v>249</v>
      </c>
      <c r="T758" t="s">
        <v>1986</v>
      </c>
      <c r="U758">
        <v>1</v>
      </c>
      <c r="V758" t="s">
        <v>1364</v>
      </c>
      <c r="X758" t="s">
        <v>583</v>
      </c>
      <c r="Y758" t="s">
        <v>4453</v>
      </c>
      <c r="Z758" t="s">
        <v>1430</v>
      </c>
      <c r="AA758" t="s">
        <v>3042</v>
      </c>
      <c r="AB758" t="s">
        <v>3043</v>
      </c>
      <c r="AC758" t="s">
        <v>4454</v>
      </c>
      <c r="AF758" t="s">
        <v>583</v>
      </c>
      <c r="AG758" t="s">
        <v>1372</v>
      </c>
      <c r="AH758" t="s">
        <v>4453</v>
      </c>
      <c r="AK758">
        <v>0</v>
      </c>
      <c r="AO758" t="s">
        <v>1372</v>
      </c>
      <c r="AP758" t="s">
        <v>1373</v>
      </c>
    </row>
    <row r="759" hidden="1" spans="1:42">
      <c r="A759" t="s">
        <v>4455</v>
      </c>
      <c r="B759" t="s">
        <v>1356</v>
      </c>
      <c r="C759" t="s">
        <v>1375</v>
      </c>
      <c r="D759" t="s">
        <v>1358</v>
      </c>
      <c r="F759" t="s">
        <v>1377</v>
      </c>
      <c r="G759" s="45">
        <v>44816.923275463</v>
      </c>
      <c r="H759" s="45">
        <v>44816.9233912037</v>
      </c>
      <c r="J759" t="s">
        <v>407</v>
      </c>
      <c r="M759">
        <v>599</v>
      </c>
      <c r="N759">
        <v>0</v>
      </c>
      <c r="O759">
        <v>0</v>
      </c>
      <c r="P759">
        <v>0</v>
      </c>
      <c r="Q759">
        <v>599</v>
      </c>
      <c r="R759">
        <v>599</v>
      </c>
      <c r="T759" t="s">
        <v>4456</v>
      </c>
      <c r="U759">
        <v>1</v>
      </c>
      <c r="V759" t="s">
        <v>1364</v>
      </c>
      <c r="X759" t="s">
        <v>528</v>
      </c>
      <c r="Y759" t="s">
        <v>4457</v>
      </c>
      <c r="Z759" t="s">
        <v>1794</v>
      </c>
      <c r="AA759" t="s">
        <v>2791</v>
      </c>
      <c r="AB759" t="s">
        <v>4458</v>
      </c>
      <c r="AC759" t="s">
        <v>4459</v>
      </c>
      <c r="AF759" t="s">
        <v>4460</v>
      </c>
      <c r="AG759" t="s">
        <v>1372</v>
      </c>
      <c r="AH759" t="s">
        <v>4457</v>
      </c>
      <c r="AK759">
        <v>0</v>
      </c>
      <c r="AO759" t="s">
        <v>1372</v>
      </c>
      <c r="AP759" t="s">
        <v>1373</v>
      </c>
    </row>
    <row r="760" hidden="1" spans="1:42">
      <c r="A760" t="s">
        <v>4461</v>
      </c>
      <c r="B760" t="s">
        <v>1356</v>
      </c>
      <c r="C760" t="s">
        <v>1375</v>
      </c>
      <c r="D760" t="s">
        <v>1358</v>
      </c>
      <c r="F760" t="s">
        <v>1377</v>
      </c>
      <c r="G760" s="45">
        <v>44816.9053356481</v>
      </c>
      <c r="H760" s="45">
        <v>44816.9055208333</v>
      </c>
      <c r="J760" t="s">
        <v>407</v>
      </c>
      <c r="M760">
        <v>249</v>
      </c>
      <c r="N760">
        <v>0</v>
      </c>
      <c r="O760">
        <v>0</v>
      </c>
      <c r="P760">
        <v>0</v>
      </c>
      <c r="Q760">
        <v>249</v>
      </c>
      <c r="R760">
        <v>249</v>
      </c>
      <c r="T760" t="s">
        <v>1867</v>
      </c>
      <c r="U760">
        <v>1</v>
      </c>
      <c r="V760" t="s">
        <v>1364</v>
      </c>
      <c r="X760" t="s">
        <v>828</v>
      </c>
      <c r="Y760" t="s">
        <v>4462</v>
      </c>
      <c r="Z760" t="s">
        <v>1367</v>
      </c>
      <c r="AA760" t="s">
        <v>1943</v>
      </c>
      <c r="AB760" t="s">
        <v>2039</v>
      </c>
      <c r="AC760" t="s">
        <v>4463</v>
      </c>
      <c r="AF760" t="s">
        <v>828</v>
      </c>
      <c r="AG760" t="s">
        <v>1372</v>
      </c>
      <c r="AK760">
        <v>0</v>
      </c>
      <c r="AO760" t="s">
        <v>1372</v>
      </c>
      <c r="AP760" t="s">
        <v>1373</v>
      </c>
    </row>
    <row r="761" hidden="1" spans="1:42">
      <c r="A761" t="s">
        <v>4464</v>
      </c>
      <c r="B761" t="s">
        <v>1356</v>
      </c>
      <c r="C761" t="s">
        <v>1375</v>
      </c>
      <c r="D761" t="s">
        <v>1358</v>
      </c>
      <c r="F761" t="s">
        <v>1377</v>
      </c>
      <c r="G761" s="45">
        <v>44816.8995023148</v>
      </c>
      <c r="H761" s="45">
        <v>44816.9000115741</v>
      </c>
      <c r="J761" t="s">
        <v>407</v>
      </c>
      <c r="M761">
        <v>39.9</v>
      </c>
      <c r="N761">
        <v>0</v>
      </c>
      <c r="O761">
        <v>0</v>
      </c>
      <c r="P761">
        <v>0</v>
      </c>
      <c r="Q761">
        <v>39.9</v>
      </c>
      <c r="R761">
        <v>39.9</v>
      </c>
      <c r="T761" t="s">
        <v>2182</v>
      </c>
      <c r="U761">
        <v>1</v>
      </c>
      <c r="V761" t="s">
        <v>1364</v>
      </c>
      <c r="X761" t="s">
        <v>544</v>
      </c>
      <c r="Y761" t="s">
        <v>1964</v>
      </c>
      <c r="Z761" t="s">
        <v>1430</v>
      </c>
      <c r="AA761" t="s">
        <v>1965</v>
      </c>
      <c r="AB761" t="s">
        <v>1966</v>
      </c>
      <c r="AC761" t="s">
        <v>1967</v>
      </c>
      <c r="AF761" t="s">
        <v>1968</v>
      </c>
      <c r="AG761" t="s">
        <v>1372</v>
      </c>
      <c r="AK761">
        <v>0</v>
      </c>
      <c r="AO761" t="s">
        <v>1372</v>
      </c>
      <c r="AP761" t="s">
        <v>1373</v>
      </c>
    </row>
    <row r="762" hidden="1" spans="1:42">
      <c r="A762" t="s">
        <v>4465</v>
      </c>
      <c r="B762" t="s">
        <v>1356</v>
      </c>
      <c r="C762" t="s">
        <v>1375</v>
      </c>
      <c r="D762" t="s">
        <v>1358</v>
      </c>
      <c r="F762" t="s">
        <v>1377</v>
      </c>
      <c r="G762" s="45">
        <v>44816.8984953704</v>
      </c>
      <c r="H762" s="45">
        <v>44816.8989814815</v>
      </c>
      <c r="J762" t="s">
        <v>407</v>
      </c>
      <c r="M762">
        <v>249</v>
      </c>
      <c r="N762">
        <v>0</v>
      </c>
      <c r="O762">
        <v>0</v>
      </c>
      <c r="P762">
        <v>0</v>
      </c>
      <c r="Q762">
        <v>249</v>
      </c>
      <c r="R762">
        <v>249</v>
      </c>
      <c r="T762" t="s">
        <v>3703</v>
      </c>
      <c r="U762">
        <v>1</v>
      </c>
      <c r="V762" t="s">
        <v>1364</v>
      </c>
      <c r="X762" t="s">
        <v>830</v>
      </c>
      <c r="Y762" t="s">
        <v>4466</v>
      </c>
      <c r="Z762" t="s">
        <v>1513</v>
      </c>
      <c r="AA762" t="s">
        <v>4467</v>
      </c>
      <c r="AB762" t="s">
        <v>4468</v>
      </c>
      <c r="AC762" t="s">
        <v>4469</v>
      </c>
      <c r="AF762" t="s">
        <v>830</v>
      </c>
      <c r="AG762" t="s">
        <v>1372</v>
      </c>
      <c r="AK762">
        <v>0</v>
      </c>
      <c r="AO762" t="s">
        <v>1372</v>
      </c>
      <c r="AP762" t="s">
        <v>1373</v>
      </c>
    </row>
    <row r="763" hidden="1" spans="1:42">
      <c r="A763" t="s">
        <v>4470</v>
      </c>
      <c r="B763" t="s">
        <v>1356</v>
      </c>
      <c r="C763" t="s">
        <v>1375</v>
      </c>
      <c r="D763" t="s">
        <v>1358</v>
      </c>
      <c r="F763" t="s">
        <v>1377</v>
      </c>
      <c r="G763" s="45">
        <v>44816.8958564815</v>
      </c>
      <c r="H763" s="45">
        <v>44816.896099537</v>
      </c>
      <c r="J763" t="s">
        <v>407</v>
      </c>
      <c r="M763">
        <v>249</v>
      </c>
      <c r="N763">
        <v>0</v>
      </c>
      <c r="O763">
        <v>-1</v>
      </c>
      <c r="P763">
        <v>0</v>
      </c>
      <c r="Q763">
        <v>248</v>
      </c>
      <c r="R763">
        <v>248</v>
      </c>
      <c r="S763" t="s">
        <v>1414</v>
      </c>
      <c r="T763" t="s">
        <v>1708</v>
      </c>
      <c r="U763">
        <v>1</v>
      </c>
      <c r="V763" t="s">
        <v>1364</v>
      </c>
      <c r="X763" t="s">
        <v>549</v>
      </c>
      <c r="Y763" t="s">
        <v>1512</v>
      </c>
      <c r="Z763" t="s">
        <v>1513</v>
      </c>
      <c r="AA763" t="s">
        <v>1514</v>
      </c>
      <c r="AB763" t="s">
        <v>1515</v>
      </c>
      <c r="AC763" t="s">
        <v>1516</v>
      </c>
      <c r="AF763" t="s">
        <v>1517</v>
      </c>
      <c r="AG763" t="s">
        <v>1385</v>
      </c>
      <c r="AH763" t="s">
        <v>1512</v>
      </c>
      <c r="AK763">
        <v>0</v>
      </c>
      <c r="AO763" t="s">
        <v>1372</v>
      </c>
      <c r="AP763" t="s">
        <v>1373</v>
      </c>
    </row>
    <row r="764" hidden="1" spans="1:42">
      <c r="A764" t="s">
        <v>4471</v>
      </c>
      <c r="B764" t="s">
        <v>1356</v>
      </c>
      <c r="C764" t="s">
        <v>1375</v>
      </c>
      <c r="D764" t="s">
        <v>1358</v>
      </c>
      <c r="F764" t="s">
        <v>1377</v>
      </c>
      <c r="G764" s="45">
        <v>44816.8923958333</v>
      </c>
      <c r="H764" s="45">
        <v>44816.893599537</v>
      </c>
      <c r="J764" t="s">
        <v>407</v>
      </c>
      <c r="M764">
        <v>249</v>
      </c>
      <c r="N764">
        <v>0</v>
      </c>
      <c r="O764">
        <v>0</v>
      </c>
      <c r="P764">
        <v>0</v>
      </c>
      <c r="Q764">
        <v>249</v>
      </c>
      <c r="R764">
        <v>249</v>
      </c>
      <c r="T764" t="s">
        <v>1890</v>
      </c>
      <c r="U764">
        <v>1</v>
      </c>
      <c r="V764" t="s">
        <v>1364</v>
      </c>
      <c r="X764" t="s">
        <v>827</v>
      </c>
      <c r="Y764" t="s">
        <v>4472</v>
      </c>
      <c r="Z764" t="s">
        <v>1804</v>
      </c>
      <c r="AA764" t="s">
        <v>2751</v>
      </c>
      <c r="AB764" t="s">
        <v>4473</v>
      </c>
      <c r="AC764" t="s">
        <v>4474</v>
      </c>
      <c r="AF764" t="s">
        <v>4475</v>
      </c>
      <c r="AG764" t="s">
        <v>1372</v>
      </c>
      <c r="AK764">
        <v>0</v>
      </c>
      <c r="AO764" t="s">
        <v>1372</v>
      </c>
      <c r="AP764" t="s">
        <v>1373</v>
      </c>
    </row>
    <row r="765" hidden="1" spans="1:42">
      <c r="A765" t="s">
        <v>4476</v>
      </c>
      <c r="B765" t="s">
        <v>1356</v>
      </c>
      <c r="C765" t="s">
        <v>1375</v>
      </c>
      <c r="D765" t="s">
        <v>1358</v>
      </c>
      <c r="F765" t="s">
        <v>1377</v>
      </c>
      <c r="G765" s="45">
        <v>44816.8878587963</v>
      </c>
      <c r="H765" s="45">
        <v>44816.8880902778</v>
      </c>
      <c r="J765" t="s">
        <v>407</v>
      </c>
      <c r="M765">
        <v>249</v>
      </c>
      <c r="N765">
        <v>0</v>
      </c>
      <c r="O765">
        <v>-8</v>
      </c>
      <c r="P765">
        <v>0</v>
      </c>
      <c r="Q765">
        <v>241</v>
      </c>
      <c r="R765">
        <v>241</v>
      </c>
      <c r="S765" t="s">
        <v>2959</v>
      </c>
      <c r="T765" t="s">
        <v>1708</v>
      </c>
      <c r="U765">
        <v>1</v>
      </c>
      <c r="V765" t="s">
        <v>1364</v>
      </c>
      <c r="X765" t="s">
        <v>625</v>
      </c>
      <c r="Y765" t="s">
        <v>4477</v>
      </c>
      <c r="Z765" t="s">
        <v>1824</v>
      </c>
      <c r="AA765" t="s">
        <v>1825</v>
      </c>
      <c r="AB765" t="s">
        <v>4478</v>
      </c>
      <c r="AC765" t="s">
        <v>4479</v>
      </c>
      <c r="AF765" t="s">
        <v>4480</v>
      </c>
      <c r="AG765" t="s">
        <v>1385</v>
      </c>
      <c r="AH765" t="s">
        <v>4477</v>
      </c>
      <c r="AK765">
        <v>0</v>
      </c>
      <c r="AO765" t="s">
        <v>1372</v>
      </c>
      <c r="AP765" t="s">
        <v>1373</v>
      </c>
    </row>
    <row r="766" hidden="1" spans="1:42">
      <c r="A766" t="s">
        <v>4481</v>
      </c>
      <c r="B766" t="s">
        <v>1356</v>
      </c>
      <c r="C766" t="s">
        <v>1375</v>
      </c>
      <c r="D766" t="s">
        <v>1358</v>
      </c>
      <c r="F766" t="s">
        <v>1359</v>
      </c>
      <c r="G766" s="45">
        <v>44816.8849768518</v>
      </c>
      <c r="H766" s="45">
        <v>44816.8852083333</v>
      </c>
      <c r="J766" t="s">
        <v>1360</v>
      </c>
      <c r="K766" t="s">
        <v>4482</v>
      </c>
      <c r="L766" t="s">
        <v>4483</v>
      </c>
      <c r="M766">
        <v>249</v>
      </c>
      <c r="N766">
        <v>0</v>
      </c>
      <c r="O766">
        <v>-2</v>
      </c>
      <c r="P766">
        <v>0</v>
      </c>
      <c r="Q766">
        <v>247</v>
      </c>
      <c r="R766">
        <v>247</v>
      </c>
      <c r="S766" t="s">
        <v>1400</v>
      </c>
      <c r="T766" t="s">
        <v>3618</v>
      </c>
      <c r="U766">
        <v>1</v>
      </c>
      <c r="V766" t="s">
        <v>1364</v>
      </c>
      <c r="X766" t="s">
        <v>4484</v>
      </c>
      <c r="Y766" t="s">
        <v>4485</v>
      </c>
      <c r="Z766" t="s">
        <v>1478</v>
      </c>
      <c r="AA766" t="s">
        <v>4486</v>
      </c>
      <c r="AB766" t="s">
        <v>4487</v>
      </c>
      <c r="AC766" t="s">
        <v>4488</v>
      </c>
      <c r="AF766" t="s">
        <v>4489</v>
      </c>
      <c r="AG766" t="s">
        <v>1385</v>
      </c>
      <c r="AH766" t="s">
        <v>4490</v>
      </c>
      <c r="AK766">
        <v>0</v>
      </c>
      <c r="AO766" t="s">
        <v>1372</v>
      </c>
      <c r="AP766" t="s">
        <v>1373</v>
      </c>
    </row>
    <row r="767" hidden="1" spans="1:42">
      <c r="A767" t="s">
        <v>4491</v>
      </c>
      <c r="B767" t="s">
        <v>1356</v>
      </c>
      <c r="C767" t="s">
        <v>1375</v>
      </c>
      <c r="D767" t="s">
        <v>1358</v>
      </c>
      <c r="F767" t="s">
        <v>1359</v>
      </c>
      <c r="G767" s="45">
        <v>44816.8804861111</v>
      </c>
      <c r="H767" s="45">
        <v>44816.8809375</v>
      </c>
      <c r="J767" t="s">
        <v>1360</v>
      </c>
      <c r="K767" t="s">
        <v>4492</v>
      </c>
      <c r="L767" t="s">
        <v>4493</v>
      </c>
      <c r="M767">
        <v>159</v>
      </c>
      <c r="N767">
        <v>0</v>
      </c>
      <c r="O767">
        <v>0</v>
      </c>
      <c r="P767">
        <v>0</v>
      </c>
      <c r="Q767">
        <v>159</v>
      </c>
      <c r="R767">
        <v>159</v>
      </c>
      <c r="T767" t="s">
        <v>4494</v>
      </c>
      <c r="U767">
        <v>1</v>
      </c>
      <c r="V767" t="s">
        <v>1364</v>
      </c>
      <c r="X767" t="s">
        <v>625</v>
      </c>
      <c r="Y767" t="s">
        <v>4477</v>
      </c>
      <c r="Z767" t="s">
        <v>1824</v>
      </c>
      <c r="AA767" t="s">
        <v>1825</v>
      </c>
      <c r="AB767" t="s">
        <v>4478</v>
      </c>
      <c r="AC767" t="s">
        <v>4479</v>
      </c>
      <c r="AF767" t="s">
        <v>4480</v>
      </c>
      <c r="AG767" t="s">
        <v>1385</v>
      </c>
      <c r="AH767" t="s">
        <v>4477</v>
      </c>
      <c r="AK767">
        <v>0</v>
      </c>
      <c r="AO767" t="s">
        <v>1372</v>
      </c>
      <c r="AP767" t="s">
        <v>1373</v>
      </c>
    </row>
    <row r="768" hidden="1" spans="1:42">
      <c r="A768" t="s">
        <v>4495</v>
      </c>
      <c r="B768" t="s">
        <v>1356</v>
      </c>
      <c r="C768" t="s">
        <v>1375</v>
      </c>
      <c r="D768" t="s">
        <v>1358</v>
      </c>
      <c r="F768" t="s">
        <v>1377</v>
      </c>
      <c r="G768" s="45">
        <v>44816.8802199074</v>
      </c>
      <c r="H768" s="45">
        <v>44816.8803819444</v>
      </c>
      <c r="J768" t="s">
        <v>407</v>
      </c>
      <c r="M768">
        <v>249</v>
      </c>
      <c r="N768">
        <v>0</v>
      </c>
      <c r="O768">
        <v>-2</v>
      </c>
      <c r="P768">
        <v>0</v>
      </c>
      <c r="Q768">
        <v>247</v>
      </c>
      <c r="R768">
        <v>247</v>
      </c>
      <c r="S768" t="s">
        <v>1400</v>
      </c>
      <c r="T768" t="s">
        <v>3483</v>
      </c>
      <c r="U768">
        <v>1</v>
      </c>
      <c r="V768" t="s">
        <v>1364</v>
      </c>
      <c r="X768" t="s">
        <v>660</v>
      </c>
      <c r="Y768" t="s">
        <v>4496</v>
      </c>
      <c r="Z768" t="s">
        <v>1513</v>
      </c>
      <c r="AA768" t="s">
        <v>4497</v>
      </c>
      <c r="AB768" t="s">
        <v>4498</v>
      </c>
      <c r="AC768" t="s">
        <v>4499</v>
      </c>
      <c r="AF768" t="s">
        <v>4500</v>
      </c>
      <c r="AG768" t="s">
        <v>1385</v>
      </c>
      <c r="AH768" t="s">
        <v>4496</v>
      </c>
      <c r="AK768">
        <v>0</v>
      </c>
      <c r="AO768" t="s">
        <v>1372</v>
      </c>
      <c r="AP768" t="s">
        <v>1373</v>
      </c>
    </row>
    <row r="769" hidden="1" spans="1:42">
      <c r="A769" t="s">
        <v>4501</v>
      </c>
      <c r="B769" t="s">
        <v>1356</v>
      </c>
      <c r="C769" t="s">
        <v>1375</v>
      </c>
      <c r="D769" t="s">
        <v>1358</v>
      </c>
      <c r="F769" t="s">
        <v>1377</v>
      </c>
      <c r="G769" s="45">
        <v>44816.8782291667</v>
      </c>
      <c r="H769" s="45">
        <v>44816.8784259259</v>
      </c>
      <c r="J769" t="s">
        <v>407</v>
      </c>
      <c r="M769">
        <v>359</v>
      </c>
      <c r="N769">
        <v>0</v>
      </c>
      <c r="O769">
        <v>-3</v>
      </c>
      <c r="P769">
        <v>0</v>
      </c>
      <c r="Q769">
        <v>356</v>
      </c>
      <c r="R769">
        <v>356</v>
      </c>
      <c r="S769" t="s">
        <v>1397</v>
      </c>
      <c r="T769" t="s">
        <v>3414</v>
      </c>
      <c r="U769">
        <v>1</v>
      </c>
      <c r="V769" t="s">
        <v>1364</v>
      </c>
      <c r="X769" t="s">
        <v>530</v>
      </c>
      <c r="Y769" t="s">
        <v>4152</v>
      </c>
      <c r="Z769" t="s">
        <v>1804</v>
      </c>
      <c r="AA769" t="s">
        <v>3163</v>
      </c>
      <c r="AB769" t="s">
        <v>4153</v>
      </c>
      <c r="AC769" t="s">
        <v>4154</v>
      </c>
      <c r="AF769" t="s">
        <v>530</v>
      </c>
      <c r="AG769" t="s">
        <v>1372</v>
      </c>
      <c r="AH769" t="s">
        <v>4152</v>
      </c>
      <c r="AK769">
        <v>0</v>
      </c>
      <c r="AO769" t="s">
        <v>1372</v>
      </c>
      <c r="AP769" t="s">
        <v>1373</v>
      </c>
    </row>
    <row r="770" hidden="1" spans="1:42">
      <c r="A770" t="s">
        <v>4502</v>
      </c>
      <c r="B770" t="s">
        <v>1356</v>
      </c>
      <c r="C770" t="s">
        <v>1375</v>
      </c>
      <c r="D770" t="s">
        <v>1358</v>
      </c>
      <c r="F770" t="s">
        <v>1359</v>
      </c>
      <c r="G770" s="45">
        <v>44816.8768171296</v>
      </c>
      <c r="H770" s="45">
        <v>44816.8769444444</v>
      </c>
      <c r="J770" t="s">
        <v>1360</v>
      </c>
      <c r="K770" t="s">
        <v>4503</v>
      </c>
      <c r="L770" t="s">
        <v>4504</v>
      </c>
      <c r="M770">
        <v>129</v>
      </c>
      <c r="N770">
        <v>0</v>
      </c>
      <c r="O770">
        <v>0</v>
      </c>
      <c r="P770">
        <v>0</v>
      </c>
      <c r="Q770">
        <v>129</v>
      </c>
      <c r="R770">
        <v>129</v>
      </c>
      <c r="T770" t="s">
        <v>4505</v>
      </c>
      <c r="U770">
        <v>1</v>
      </c>
      <c r="V770" t="s">
        <v>1364</v>
      </c>
      <c r="X770" t="s">
        <v>4506</v>
      </c>
      <c r="Y770" t="s">
        <v>4507</v>
      </c>
      <c r="Z770" t="s">
        <v>1478</v>
      </c>
      <c r="AA770" t="s">
        <v>3124</v>
      </c>
      <c r="AB770" t="s">
        <v>4508</v>
      </c>
      <c r="AC770" t="s">
        <v>4509</v>
      </c>
      <c r="AF770" t="s">
        <v>4510</v>
      </c>
      <c r="AG770" t="s">
        <v>1372</v>
      </c>
      <c r="AH770" t="s">
        <v>4511</v>
      </c>
      <c r="AK770">
        <v>0</v>
      </c>
      <c r="AO770" t="s">
        <v>1372</v>
      </c>
      <c r="AP770" t="s">
        <v>1373</v>
      </c>
    </row>
    <row r="771" hidden="1" spans="1:42">
      <c r="A771" t="s">
        <v>4512</v>
      </c>
      <c r="B771" t="s">
        <v>1356</v>
      </c>
      <c r="C771" t="s">
        <v>1375</v>
      </c>
      <c r="D771" t="s">
        <v>1358</v>
      </c>
      <c r="F771" t="s">
        <v>1377</v>
      </c>
      <c r="G771" s="45">
        <v>44816.8712731482</v>
      </c>
      <c r="H771" s="45">
        <v>44816.8715046296</v>
      </c>
      <c r="J771" t="s">
        <v>407</v>
      </c>
      <c r="M771">
        <v>249</v>
      </c>
      <c r="N771">
        <v>0</v>
      </c>
      <c r="O771">
        <v>0</v>
      </c>
      <c r="P771">
        <v>0</v>
      </c>
      <c r="Q771">
        <v>249</v>
      </c>
      <c r="R771">
        <v>249</v>
      </c>
      <c r="T771" t="s">
        <v>1708</v>
      </c>
      <c r="U771">
        <v>1</v>
      </c>
      <c r="V771" t="s">
        <v>1364</v>
      </c>
      <c r="X771" t="s">
        <v>826</v>
      </c>
      <c r="Y771" t="s">
        <v>4513</v>
      </c>
      <c r="Z771" t="s">
        <v>1478</v>
      </c>
      <c r="AA771" t="s">
        <v>4486</v>
      </c>
      <c r="AB771" t="s">
        <v>4487</v>
      </c>
      <c r="AC771" t="s">
        <v>4514</v>
      </c>
      <c r="AF771" t="s">
        <v>4515</v>
      </c>
      <c r="AG771" t="s">
        <v>1372</v>
      </c>
      <c r="AK771">
        <v>0</v>
      </c>
      <c r="AO771" t="s">
        <v>1372</v>
      </c>
      <c r="AP771" t="s">
        <v>1373</v>
      </c>
    </row>
    <row r="772" hidden="1" spans="1:42">
      <c r="A772" t="s">
        <v>4516</v>
      </c>
      <c r="B772" t="s">
        <v>1356</v>
      </c>
      <c r="C772" t="s">
        <v>1375</v>
      </c>
      <c r="D772" t="s">
        <v>1376</v>
      </c>
      <c r="F772" t="s">
        <v>1359</v>
      </c>
      <c r="G772" s="45">
        <v>44816.8706134259</v>
      </c>
      <c r="M772">
        <v>129</v>
      </c>
      <c r="N772">
        <v>0</v>
      </c>
      <c r="O772">
        <v>-1</v>
      </c>
      <c r="P772">
        <v>0</v>
      </c>
      <c r="Q772">
        <v>128</v>
      </c>
      <c r="R772">
        <v>0</v>
      </c>
      <c r="S772" t="s">
        <v>1414</v>
      </c>
      <c r="T772" t="s">
        <v>4505</v>
      </c>
      <c r="U772">
        <v>1</v>
      </c>
      <c r="V772" t="s">
        <v>1364</v>
      </c>
      <c r="X772" t="s">
        <v>4506</v>
      </c>
      <c r="Y772" t="s">
        <v>4507</v>
      </c>
      <c r="Z772" t="s">
        <v>1478</v>
      </c>
      <c r="AA772" t="s">
        <v>3124</v>
      </c>
      <c r="AB772" t="s">
        <v>4508</v>
      </c>
      <c r="AC772" t="s">
        <v>4509</v>
      </c>
      <c r="AF772" t="s">
        <v>4510</v>
      </c>
      <c r="AG772" t="s">
        <v>1372</v>
      </c>
      <c r="AH772" t="s">
        <v>4511</v>
      </c>
      <c r="AK772">
        <v>0</v>
      </c>
      <c r="AO772" t="s">
        <v>1372</v>
      </c>
      <c r="AP772" t="s">
        <v>1373</v>
      </c>
    </row>
    <row r="773" hidden="1" spans="1:42">
      <c r="A773" t="s">
        <v>4517</v>
      </c>
      <c r="B773" t="s">
        <v>1356</v>
      </c>
      <c r="C773" t="s">
        <v>1375</v>
      </c>
      <c r="D773" t="s">
        <v>1376</v>
      </c>
      <c r="F773" t="s">
        <v>1377</v>
      </c>
      <c r="G773" s="45">
        <v>44816.8601041667</v>
      </c>
      <c r="M773">
        <v>19.9</v>
      </c>
      <c r="N773">
        <v>0</v>
      </c>
      <c r="O773">
        <v>0</v>
      </c>
      <c r="P773">
        <v>0</v>
      </c>
      <c r="Q773">
        <v>19.9</v>
      </c>
      <c r="R773">
        <v>0</v>
      </c>
      <c r="T773" t="s">
        <v>1726</v>
      </c>
      <c r="U773">
        <v>1</v>
      </c>
      <c r="V773" t="s">
        <v>1364</v>
      </c>
      <c r="X773" t="s">
        <v>4518</v>
      </c>
      <c r="Y773" t="s">
        <v>4519</v>
      </c>
      <c r="Z773" t="s">
        <v>1513</v>
      </c>
      <c r="AA773" t="s">
        <v>4520</v>
      </c>
      <c r="AB773" t="s">
        <v>4521</v>
      </c>
      <c r="AC773" t="s">
        <v>4522</v>
      </c>
      <c r="AF773" t="s">
        <v>4518</v>
      </c>
      <c r="AG773" t="s">
        <v>1385</v>
      </c>
      <c r="AH773" t="s">
        <v>4519</v>
      </c>
      <c r="AK773">
        <v>0</v>
      </c>
      <c r="AO773" t="s">
        <v>1372</v>
      </c>
      <c r="AP773" t="s">
        <v>1373</v>
      </c>
    </row>
    <row r="774" hidden="1" spans="1:42">
      <c r="A774" t="s">
        <v>4523</v>
      </c>
      <c r="B774" t="s">
        <v>1356</v>
      </c>
      <c r="C774" t="s">
        <v>1375</v>
      </c>
      <c r="D774" t="s">
        <v>1376</v>
      </c>
      <c r="F774" t="s">
        <v>1377</v>
      </c>
      <c r="G774" s="45">
        <v>44816.8597685185</v>
      </c>
      <c r="M774">
        <v>219</v>
      </c>
      <c r="N774">
        <v>0</v>
      </c>
      <c r="O774">
        <v>0</v>
      </c>
      <c r="P774">
        <v>0</v>
      </c>
      <c r="Q774">
        <v>219</v>
      </c>
      <c r="R774">
        <v>0</v>
      </c>
      <c r="T774" t="s">
        <v>1472</v>
      </c>
      <c r="U774">
        <v>1</v>
      </c>
      <c r="V774" t="s">
        <v>1364</v>
      </c>
      <c r="X774" t="s">
        <v>734</v>
      </c>
      <c r="Y774" t="s">
        <v>4524</v>
      </c>
      <c r="Z774" t="s">
        <v>1794</v>
      </c>
      <c r="AA774" t="s">
        <v>3507</v>
      </c>
      <c r="AB774" t="s">
        <v>4525</v>
      </c>
      <c r="AC774" t="s">
        <v>4526</v>
      </c>
      <c r="AF774" t="s">
        <v>4527</v>
      </c>
      <c r="AG774" t="s">
        <v>1372</v>
      </c>
      <c r="AK774">
        <v>0</v>
      </c>
      <c r="AO774" t="s">
        <v>1372</v>
      </c>
      <c r="AP774" t="s">
        <v>1373</v>
      </c>
    </row>
    <row r="775" hidden="1" spans="1:42">
      <c r="A775" t="s">
        <v>4528</v>
      </c>
      <c r="B775" t="s">
        <v>1356</v>
      </c>
      <c r="C775" t="s">
        <v>1375</v>
      </c>
      <c r="D775" t="s">
        <v>1358</v>
      </c>
      <c r="F775" t="s">
        <v>1377</v>
      </c>
      <c r="G775" s="45">
        <v>44816.8516666667</v>
      </c>
      <c r="H775" s="45">
        <v>44816.8517708333</v>
      </c>
      <c r="J775" t="s">
        <v>407</v>
      </c>
      <c r="M775">
        <v>219</v>
      </c>
      <c r="N775">
        <v>0</v>
      </c>
      <c r="O775">
        <v>0</v>
      </c>
      <c r="P775">
        <v>0</v>
      </c>
      <c r="Q775">
        <v>219</v>
      </c>
      <c r="R775">
        <v>219</v>
      </c>
      <c r="T775" t="s">
        <v>1445</v>
      </c>
      <c r="U775">
        <v>1</v>
      </c>
      <c r="V775" t="s">
        <v>1364</v>
      </c>
      <c r="X775" t="s">
        <v>390</v>
      </c>
      <c r="Y775" t="s">
        <v>3301</v>
      </c>
      <c r="Z775" t="s">
        <v>1794</v>
      </c>
      <c r="AA775" t="s">
        <v>3302</v>
      </c>
      <c r="AB775" t="s">
        <v>3303</v>
      </c>
      <c r="AC775" t="s">
        <v>3304</v>
      </c>
      <c r="AF775" t="s">
        <v>3305</v>
      </c>
      <c r="AG775" t="s">
        <v>1385</v>
      </c>
      <c r="AH775" t="s">
        <v>3301</v>
      </c>
      <c r="AJ775" t="s">
        <v>1649</v>
      </c>
      <c r="AK775">
        <v>0</v>
      </c>
      <c r="AO775" t="s">
        <v>1372</v>
      </c>
      <c r="AP775" t="s">
        <v>1373</v>
      </c>
    </row>
    <row r="776" hidden="1" spans="1:42">
      <c r="A776" t="s">
        <v>4529</v>
      </c>
      <c r="B776" t="s">
        <v>1356</v>
      </c>
      <c r="C776" t="s">
        <v>1375</v>
      </c>
      <c r="D776" t="s">
        <v>1358</v>
      </c>
      <c r="F776" t="s">
        <v>1377</v>
      </c>
      <c r="G776" s="45">
        <v>44816.8501157407</v>
      </c>
      <c r="H776" s="45">
        <v>44816.8502199074</v>
      </c>
      <c r="J776" t="s">
        <v>407</v>
      </c>
      <c r="M776">
        <v>39.9</v>
      </c>
      <c r="N776">
        <v>0</v>
      </c>
      <c r="O776">
        <v>-1</v>
      </c>
      <c r="P776">
        <v>0</v>
      </c>
      <c r="Q776">
        <v>38.9</v>
      </c>
      <c r="R776">
        <v>38.9</v>
      </c>
      <c r="S776" t="s">
        <v>1414</v>
      </c>
      <c r="T776" t="s">
        <v>4530</v>
      </c>
      <c r="U776">
        <v>1</v>
      </c>
      <c r="V776" t="s">
        <v>1364</v>
      </c>
      <c r="X776" t="s">
        <v>478</v>
      </c>
      <c r="Y776" t="s">
        <v>2217</v>
      </c>
      <c r="Z776" t="s">
        <v>1367</v>
      </c>
      <c r="AA776" t="s">
        <v>1943</v>
      </c>
      <c r="AB776" t="s">
        <v>2039</v>
      </c>
      <c r="AC776" t="s">
        <v>2218</v>
      </c>
      <c r="AF776" t="s">
        <v>2219</v>
      </c>
      <c r="AG776" t="s">
        <v>1372</v>
      </c>
      <c r="AH776" t="s">
        <v>2217</v>
      </c>
      <c r="AK776">
        <v>0</v>
      </c>
      <c r="AO776" t="s">
        <v>1372</v>
      </c>
      <c r="AP776" t="s">
        <v>1373</v>
      </c>
    </row>
    <row r="777" hidden="1" spans="1:42">
      <c r="A777" t="s">
        <v>4531</v>
      </c>
      <c r="B777" t="s">
        <v>1356</v>
      </c>
      <c r="C777" t="s">
        <v>1375</v>
      </c>
      <c r="D777" t="s">
        <v>1358</v>
      </c>
      <c r="F777" t="s">
        <v>1377</v>
      </c>
      <c r="G777" s="45">
        <v>44816.8499421296</v>
      </c>
      <c r="H777" s="45">
        <v>44816.8501041667</v>
      </c>
      <c r="J777" t="s">
        <v>407</v>
      </c>
      <c r="M777">
        <v>249</v>
      </c>
      <c r="N777">
        <v>0</v>
      </c>
      <c r="O777">
        <v>0</v>
      </c>
      <c r="P777">
        <v>0</v>
      </c>
      <c r="Q777">
        <v>249</v>
      </c>
      <c r="R777">
        <v>249</v>
      </c>
      <c r="T777" t="s">
        <v>3384</v>
      </c>
      <c r="U777">
        <v>1</v>
      </c>
      <c r="V777" t="s">
        <v>1364</v>
      </c>
      <c r="X777" t="s">
        <v>824</v>
      </c>
      <c r="Y777" t="s">
        <v>4532</v>
      </c>
      <c r="Z777" t="s">
        <v>1794</v>
      </c>
      <c r="AA777" t="s">
        <v>2276</v>
      </c>
      <c r="AB777" t="s">
        <v>4533</v>
      </c>
      <c r="AC777" t="s">
        <v>4534</v>
      </c>
      <c r="AD777" t="s">
        <v>4535</v>
      </c>
      <c r="AF777" t="s">
        <v>4536</v>
      </c>
      <c r="AG777" t="s">
        <v>1372</v>
      </c>
      <c r="AH777" t="s">
        <v>4536</v>
      </c>
      <c r="AK777">
        <v>0</v>
      </c>
      <c r="AO777" t="s">
        <v>1372</v>
      </c>
      <c r="AP777" t="s">
        <v>1373</v>
      </c>
    </row>
    <row r="778" hidden="1" spans="1:42">
      <c r="A778" t="s">
        <v>4537</v>
      </c>
      <c r="B778" t="s">
        <v>1356</v>
      </c>
      <c r="C778" t="s">
        <v>1375</v>
      </c>
      <c r="D778" t="s">
        <v>1358</v>
      </c>
      <c r="F778" t="s">
        <v>1377</v>
      </c>
      <c r="G778" s="45">
        <v>44816.8497569444</v>
      </c>
      <c r="H778" s="45">
        <v>44816.8500462963</v>
      </c>
      <c r="J778" t="s">
        <v>407</v>
      </c>
      <c r="M778">
        <v>259</v>
      </c>
      <c r="N778">
        <v>0</v>
      </c>
      <c r="O778">
        <v>-8</v>
      </c>
      <c r="P778">
        <v>0</v>
      </c>
      <c r="Q778">
        <v>251</v>
      </c>
      <c r="R778">
        <v>251</v>
      </c>
      <c r="S778" t="s">
        <v>2959</v>
      </c>
      <c r="T778" t="s">
        <v>4048</v>
      </c>
      <c r="U778">
        <v>1</v>
      </c>
      <c r="V778" t="s">
        <v>1364</v>
      </c>
      <c r="X778" t="s">
        <v>625</v>
      </c>
      <c r="Y778" t="s">
        <v>4477</v>
      </c>
      <c r="Z778" t="s">
        <v>1824</v>
      </c>
      <c r="AA778" t="s">
        <v>1825</v>
      </c>
      <c r="AB778" t="s">
        <v>4478</v>
      </c>
      <c r="AC778" t="s">
        <v>4479</v>
      </c>
      <c r="AF778" t="s">
        <v>4480</v>
      </c>
      <c r="AG778" t="s">
        <v>1385</v>
      </c>
      <c r="AH778" t="s">
        <v>4477</v>
      </c>
      <c r="AK778">
        <v>0</v>
      </c>
      <c r="AO778" t="s">
        <v>1372</v>
      </c>
      <c r="AP778" t="s">
        <v>1373</v>
      </c>
    </row>
    <row r="779" hidden="1" spans="1:42">
      <c r="A779" t="s">
        <v>4538</v>
      </c>
      <c r="B779" t="s">
        <v>1356</v>
      </c>
      <c r="C779" t="s">
        <v>1375</v>
      </c>
      <c r="D779" t="s">
        <v>1376</v>
      </c>
      <c r="F779" t="s">
        <v>1377</v>
      </c>
      <c r="G779" s="45">
        <v>44816.8496412037</v>
      </c>
      <c r="M779">
        <v>249</v>
      </c>
      <c r="N779">
        <v>0</v>
      </c>
      <c r="O779">
        <v>0</v>
      </c>
      <c r="P779">
        <v>0</v>
      </c>
      <c r="Q779">
        <v>249</v>
      </c>
      <c r="R779">
        <v>0</v>
      </c>
      <c r="T779" t="s">
        <v>3384</v>
      </c>
      <c r="U779">
        <v>1</v>
      </c>
      <c r="V779" t="s">
        <v>1364</v>
      </c>
      <c r="X779" t="s">
        <v>824</v>
      </c>
      <c r="Y779" t="s">
        <v>4532</v>
      </c>
      <c r="Z779" t="s">
        <v>1794</v>
      </c>
      <c r="AA779" t="s">
        <v>2276</v>
      </c>
      <c r="AB779" t="s">
        <v>4533</v>
      </c>
      <c r="AC779" t="s">
        <v>4534</v>
      </c>
      <c r="AD779" t="s">
        <v>4535</v>
      </c>
      <c r="AF779" t="s">
        <v>4536</v>
      </c>
      <c r="AG779" t="s">
        <v>1372</v>
      </c>
      <c r="AH779" t="s">
        <v>4536</v>
      </c>
      <c r="AK779">
        <v>0</v>
      </c>
      <c r="AO779" t="s">
        <v>1372</v>
      </c>
      <c r="AP779" t="s">
        <v>1373</v>
      </c>
    </row>
    <row r="780" hidden="1" spans="1:42">
      <c r="A780" t="s">
        <v>4539</v>
      </c>
      <c r="B780" t="s">
        <v>1356</v>
      </c>
      <c r="C780" t="s">
        <v>1375</v>
      </c>
      <c r="D780" t="s">
        <v>1376</v>
      </c>
      <c r="F780" t="s">
        <v>1377</v>
      </c>
      <c r="G780" s="45">
        <v>44816.8481944444</v>
      </c>
      <c r="M780">
        <v>259</v>
      </c>
      <c r="N780">
        <v>0</v>
      </c>
      <c r="O780">
        <v>-7</v>
      </c>
      <c r="P780">
        <v>0</v>
      </c>
      <c r="Q780">
        <v>252</v>
      </c>
      <c r="R780">
        <v>0</v>
      </c>
      <c r="S780" t="s">
        <v>2550</v>
      </c>
      <c r="T780" t="s">
        <v>4540</v>
      </c>
      <c r="U780">
        <v>1</v>
      </c>
      <c r="V780" t="s">
        <v>1364</v>
      </c>
      <c r="X780" t="s">
        <v>680</v>
      </c>
      <c r="Y780" t="s">
        <v>4040</v>
      </c>
      <c r="Z780" t="s">
        <v>1748</v>
      </c>
      <c r="AA780" t="s">
        <v>4041</v>
      </c>
      <c r="AB780" t="s">
        <v>4042</v>
      </c>
      <c r="AC780" t="s">
        <v>4043</v>
      </c>
      <c r="AF780" t="s">
        <v>4044</v>
      </c>
      <c r="AG780" t="s">
        <v>1372</v>
      </c>
      <c r="AK780">
        <v>0</v>
      </c>
      <c r="AO780" t="s">
        <v>1372</v>
      </c>
      <c r="AP780" t="s">
        <v>1373</v>
      </c>
    </row>
    <row r="781" hidden="1" spans="1:42">
      <c r="A781" t="s">
        <v>4541</v>
      </c>
      <c r="B781" t="s">
        <v>1356</v>
      </c>
      <c r="C781" t="s">
        <v>1375</v>
      </c>
      <c r="D781" t="s">
        <v>1358</v>
      </c>
      <c r="F781" t="s">
        <v>1377</v>
      </c>
      <c r="G781" s="45">
        <v>44816.8475694444</v>
      </c>
      <c r="H781" s="45">
        <v>44816.8477314815</v>
      </c>
      <c r="J781" t="s">
        <v>407</v>
      </c>
      <c r="M781">
        <v>249</v>
      </c>
      <c r="N781">
        <v>0</v>
      </c>
      <c r="O781">
        <v>0</v>
      </c>
      <c r="P781">
        <v>0</v>
      </c>
      <c r="Q781">
        <v>249</v>
      </c>
      <c r="R781">
        <v>249</v>
      </c>
      <c r="T781" t="s">
        <v>3548</v>
      </c>
      <c r="U781">
        <v>1</v>
      </c>
      <c r="V781" t="s">
        <v>1364</v>
      </c>
      <c r="X781" t="s">
        <v>829</v>
      </c>
      <c r="Y781" t="s">
        <v>4542</v>
      </c>
      <c r="Z781" t="s">
        <v>1794</v>
      </c>
      <c r="AA781" t="s">
        <v>2719</v>
      </c>
      <c r="AB781" t="s">
        <v>2720</v>
      </c>
      <c r="AC781" t="s">
        <v>4543</v>
      </c>
      <c r="AF781" t="s">
        <v>4544</v>
      </c>
      <c r="AG781" t="s">
        <v>1372</v>
      </c>
      <c r="AK781">
        <v>0</v>
      </c>
      <c r="AO781" t="s">
        <v>1372</v>
      </c>
      <c r="AP781" t="s">
        <v>1373</v>
      </c>
    </row>
    <row r="782" hidden="1" spans="1:42">
      <c r="A782" t="s">
        <v>4545</v>
      </c>
      <c r="B782" t="s">
        <v>1356</v>
      </c>
      <c r="C782" t="s">
        <v>1375</v>
      </c>
      <c r="D782" t="s">
        <v>1358</v>
      </c>
      <c r="F782" t="s">
        <v>1377</v>
      </c>
      <c r="G782" s="45">
        <v>44816.8463773148</v>
      </c>
      <c r="H782" s="45">
        <v>44816.8466550926</v>
      </c>
      <c r="J782" t="s">
        <v>407</v>
      </c>
      <c r="M782">
        <v>249</v>
      </c>
      <c r="N782">
        <v>0</v>
      </c>
      <c r="O782">
        <v>0</v>
      </c>
      <c r="P782">
        <v>0</v>
      </c>
      <c r="Q782">
        <v>249</v>
      </c>
      <c r="R782">
        <v>249</v>
      </c>
      <c r="T782" t="s">
        <v>3384</v>
      </c>
      <c r="U782">
        <v>1</v>
      </c>
      <c r="V782" t="s">
        <v>1364</v>
      </c>
      <c r="X782" t="s">
        <v>825</v>
      </c>
      <c r="Y782" t="s">
        <v>4546</v>
      </c>
      <c r="Z782" t="s">
        <v>1495</v>
      </c>
      <c r="AA782" t="s">
        <v>4547</v>
      </c>
      <c r="AB782" t="s">
        <v>4548</v>
      </c>
      <c r="AC782" t="s">
        <v>4549</v>
      </c>
      <c r="AF782" t="s">
        <v>4550</v>
      </c>
      <c r="AG782" t="s">
        <v>1372</v>
      </c>
      <c r="AK782">
        <v>0</v>
      </c>
      <c r="AO782" t="s">
        <v>1372</v>
      </c>
      <c r="AP782" t="s">
        <v>1373</v>
      </c>
    </row>
    <row r="783" hidden="1" spans="1:42">
      <c r="A783" t="s">
        <v>4551</v>
      </c>
      <c r="B783" t="s">
        <v>1356</v>
      </c>
      <c r="C783" t="s">
        <v>1375</v>
      </c>
      <c r="D783" t="s">
        <v>1358</v>
      </c>
      <c r="F783" t="s">
        <v>1377</v>
      </c>
      <c r="G783" s="45">
        <v>44816.8453356481</v>
      </c>
      <c r="H783" s="45">
        <v>44816.8460069444</v>
      </c>
      <c r="J783" t="s">
        <v>407</v>
      </c>
      <c r="M783">
        <v>249</v>
      </c>
      <c r="N783">
        <v>0</v>
      </c>
      <c r="O783">
        <v>0</v>
      </c>
      <c r="P783">
        <v>0</v>
      </c>
      <c r="Q783">
        <v>249</v>
      </c>
      <c r="R783">
        <v>249</v>
      </c>
      <c r="T783" t="s">
        <v>3384</v>
      </c>
      <c r="U783">
        <v>1</v>
      </c>
      <c r="V783" t="s">
        <v>1364</v>
      </c>
      <c r="X783" t="s">
        <v>610</v>
      </c>
      <c r="Y783" t="s">
        <v>4552</v>
      </c>
      <c r="Z783" t="s">
        <v>1380</v>
      </c>
      <c r="AA783" t="s">
        <v>1506</v>
      </c>
      <c r="AB783" t="s">
        <v>4553</v>
      </c>
      <c r="AC783" t="s">
        <v>4554</v>
      </c>
      <c r="AF783" t="s">
        <v>4555</v>
      </c>
      <c r="AG783" t="s">
        <v>1372</v>
      </c>
      <c r="AK783">
        <v>0</v>
      </c>
      <c r="AO783" t="s">
        <v>1372</v>
      </c>
      <c r="AP783" t="s">
        <v>1373</v>
      </c>
    </row>
    <row r="784" hidden="1" spans="1:42">
      <c r="A784" t="s">
        <v>4556</v>
      </c>
      <c r="B784" t="s">
        <v>1356</v>
      </c>
      <c r="C784" t="s">
        <v>1375</v>
      </c>
      <c r="D784" t="s">
        <v>1358</v>
      </c>
      <c r="F784" t="s">
        <v>1377</v>
      </c>
      <c r="G784" s="45">
        <v>44816.844837963</v>
      </c>
      <c r="H784" s="45">
        <v>44816.8451388889</v>
      </c>
      <c r="J784" t="s">
        <v>407</v>
      </c>
      <c r="M784">
        <v>249</v>
      </c>
      <c r="N784">
        <v>0</v>
      </c>
      <c r="O784">
        <v>-1</v>
      </c>
      <c r="P784">
        <v>0</v>
      </c>
      <c r="Q784">
        <v>248</v>
      </c>
      <c r="R784">
        <v>248</v>
      </c>
      <c r="S784" t="s">
        <v>1414</v>
      </c>
      <c r="T784" t="s">
        <v>1890</v>
      </c>
      <c r="U784">
        <v>1</v>
      </c>
      <c r="V784" t="s">
        <v>1364</v>
      </c>
      <c r="X784" t="s">
        <v>475</v>
      </c>
      <c r="Y784" t="s">
        <v>2196</v>
      </c>
      <c r="Z784" t="s">
        <v>1495</v>
      </c>
      <c r="AA784" t="s">
        <v>2197</v>
      </c>
      <c r="AB784" t="s">
        <v>2198</v>
      </c>
      <c r="AC784" t="s">
        <v>2199</v>
      </c>
      <c r="AF784" t="s">
        <v>475</v>
      </c>
      <c r="AG784" t="s">
        <v>1372</v>
      </c>
      <c r="AH784" t="s">
        <v>2196</v>
      </c>
      <c r="AK784">
        <v>0</v>
      </c>
      <c r="AO784" t="s">
        <v>1372</v>
      </c>
      <c r="AP784" t="s">
        <v>1373</v>
      </c>
    </row>
    <row r="785" hidden="1" spans="1:42">
      <c r="A785" t="s">
        <v>4557</v>
      </c>
      <c r="B785" t="s">
        <v>1356</v>
      </c>
      <c r="C785" t="s">
        <v>1375</v>
      </c>
      <c r="D785" t="s">
        <v>1376</v>
      </c>
      <c r="F785" t="s">
        <v>3560</v>
      </c>
      <c r="G785" s="45">
        <v>44816.8441087963</v>
      </c>
      <c r="M785">
        <v>249</v>
      </c>
      <c r="N785">
        <v>0</v>
      </c>
      <c r="O785">
        <v>0</v>
      </c>
      <c r="P785">
        <v>0</v>
      </c>
      <c r="Q785">
        <v>249</v>
      </c>
      <c r="R785">
        <v>0</v>
      </c>
      <c r="T785" t="s">
        <v>3697</v>
      </c>
      <c r="U785">
        <v>1</v>
      </c>
      <c r="V785" t="s">
        <v>1364</v>
      </c>
      <c r="X785" t="s">
        <v>824</v>
      </c>
      <c r="Y785" t="s">
        <v>4532</v>
      </c>
      <c r="Z785" t="s">
        <v>1794</v>
      </c>
      <c r="AA785" t="s">
        <v>2276</v>
      </c>
      <c r="AB785" t="s">
        <v>4533</v>
      </c>
      <c r="AC785" t="s">
        <v>4534</v>
      </c>
      <c r="AD785" t="s">
        <v>4558</v>
      </c>
      <c r="AF785" t="s">
        <v>4536</v>
      </c>
      <c r="AG785" t="s">
        <v>1372</v>
      </c>
      <c r="AH785" t="s">
        <v>4536</v>
      </c>
      <c r="AK785">
        <v>0</v>
      </c>
      <c r="AO785" t="s">
        <v>1372</v>
      </c>
      <c r="AP785" t="s">
        <v>1373</v>
      </c>
    </row>
    <row r="786" hidden="1" spans="1:42">
      <c r="A786" t="s">
        <v>4559</v>
      </c>
      <c r="B786" t="s">
        <v>1356</v>
      </c>
      <c r="C786" t="s">
        <v>1375</v>
      </c>
      <c r="D786" t="s">
        <v>1358</v>
      </c>
      <c r="F786" t="s">
        <v>1377</v>
      </c>
      <c r="G786" s="45">
        <v>44816.8408564815</v>
      </c>
      <c r="H786" s="45">
        <v>44816.8409490741</v>
      </c>
      <c r="J786" t="s">
        <v>407</v>
      </c>
      <c r="M786">
        <v>249</v>
      </c>
      <c r="N786">
        <v>0</v>
      </c>
      <c r="O786">
        <v>-5</v>
      </c>
      <c r="P786">
        <v>0</v>
      </c>
      <c r="Q786">
        <v>244</v>
      </c>
      <c r="R786">
        <v>244</v>
      </c>
      <c r="S786" t="s">
        <v>1422</v>
      </c>
      <c r="T786" t="s">
        <v>3483</v>
      </c>
      <c r="U786">
        <v>1</v>
      </c>
      <c r="V786" t="s">
        <v>1364</v>
      </c>
      <c r="X786" t="s">
        <v>376</v>
      </c>
      <c r="Y786" t="s">
        <v>3407</v>
      </c>
      <c r="Z786" t="s">
        <v>1626</v>
      </c>
      <c r="AA786" t="s">
        <v>1627</v>
      </c>
      <c r="AB786" t="s">
        <v>3408</v>
      </c>
      <c r="AC786" t="s">
        <v>3409</v>
      </c>
      <c r="AD786" t="s">
        <v>4560</v>
      </c>
      <c r="AF786" t="s">
        <v>3411</v>
      </c>
      <c r="AG786" t="s">
        <v>1385</v>
      </c>
      <c r="AH786" t="s">
        <v>3407</v>
      </c>
      <c r="AK786">
        <v>0</v>
      </c>
      <c r="AO786" t="s">
        <v>1372</v>
      </c>
      <c r="AP786" t="s">
        <v>1373</v>
      </c>
    </row>
    <row r="787" hidden="1" spans="1:42">
      <c r="A787" t="s">
        <v>4561</v>
      </c>
      <c r="B787" t="s">
        <v>1356</v>
      </c>
      <c r="C787" t="s">
        <v>1375</v>
      </c>
      <c r="D787" t="s">
        <v>1376</v>
      </c>
      <c r="F787" t="s">
        <v>1377</v>
      </c>
      <c r="G787" s="45">
        <v>44816.8352199074</v>
      </c>
      <c r="M787">
        <v>249</v>
      </c>
      <c r="N787">
        <v>0</v>
      </c>
      <c r="O787">
        <v>0</v>
      </c>
      <c r="P787">
        <v>0</v>
      </c>
      <c r="Q787">
        <v>249</v>
      </c>
      <c r="R787">
        <v>0</v>
      </c>
      <c r="T787" t="s">
        <v>3488</v>
      </c>
      <c r="U787">
        <v>1</v>
      </c>
      <c r="V787" t="s">
        <v>1364</v>
      </c>
      <c r="X787" t="s">
        <v>4562</v>
      </c>
      <c r="Y787" t="s">
        <v>4563</v>
      </c>
      <c r="Z787" t="s">
        <v>1853</v>
      </c>
      <c r="AA787" t="s">
        <v>4564</v>
      </c>
      <c r="AB787" t="s">
        <v>4565</v>
      </c>
      <c r="AC787" t="s">
        <v>4566</v>
      </c>
      <c r="AF787" t="s">
        <v>4567</v>
      </c>
      <c r="AG787" t="s">
        <v>1372</v>
      </c>
      <c r="AK787">
        <v>0</v>
      </c>
      <c r="AO787" t="s">
        <v>1372</v>
      </c>
      <c r="AP787" t="s">
        <v>1373</v>
      </c>
    </row>
    <row r="788" hidden="1" spans="1:42">
      <c r="A788" t="s">
        <v>4568</v>
      </c>
      <c r="B788" t="s">
        <v>1356</v>
      </c>
      <c r="C788" t="s">
        <v>1375</v>
      </c>
      <c r="D788" t="s">
        <v>1358</v>
      </c>
      <c r="F788" t="s">
        <v>1377</v>
      </c>
      <c r="G788" s="45">
        <v>44816.8315046296</v>
      </c>
      <c r="H788" s="45">
        <v>44816.8315972222</v>
      </c>
      <c r="J788" t="s">
        <v>407</v>
      </c>
      <c r="M788">
        <v>249</v>
      </c>
      <c r="N788">
        <v>0</v>
      </c>
      <c r="O788">
        <v>-11</v>
      </c>
      <c r="P788">
        <v>0</v>
      </c>
      <c r="Q788">
        <v>238</v>
      </c>
      <c r="R788">
        <v>238</v>
      </c>
      <c r="S788" t="s">
        <v>3720</v>
      </c>
      <c r="T788" t="s">
        <v>1862</v>
      </c>
      <c r="U788">
        <v>1</v>
      </c>
      <c r="V788" t="s">
        <v>1364</v>
      </c>
      <c r="X788" t="s">
        <v>376</v>
      </c>
      <c r="Y788" t="s">
        <v>3407</v>
      </c>
      <c r="Z788" t="s">
        <v>1626</v>
      </c>
      <c r="AA788" t="s">
        <v>1627</v>
      </c>
      <c r="AB788" t="s">
        <v>3408</v>
      </c>
      <c r="AC788" t="s">
        <v>3409</v>
      </c>
      <c r="AD788" t="s">
        <v>4560</v>
      </c>
      <c r="AF788" t="s">
        <v>3411</v>
      </c>
      <c r="AG788" t="s">
        <v>1385</v>
      </c>
      <c r="AH788" t="s">
        <v>3407</v>
      </c>
      <c r="AK788">
        <v>0</v>
      </c>
      <c r="AO788" t="s">
        <v>1372</v>
      </c>
      <c r="AP788" t="s">
        <v>1373</v>
      </c>
    </row>
    <row r="789" hidden="1" spans="1:42">
      <c r="A789" t="s">
        <v>4569</v>
      </c>
      <c r="B789" t="s">
        <v>1356</v>
      </c>
      <c r="C789" t="s">
        <v>1375</v>
      </c>
      <c r="D789" t="s">
        <v>1358</v>
      </c>
      <c r="F789" t="s">
        <v>1377</v>
      </c>
      <c r="G789" s="45">
        <v>44816.8287268519</v>
      </c>
      <c r="H789" s="45">
        <v>44816.8290740741</v>
      </c>
      <c r="J789" t="s">
        <v>407</v>
      </c>
      <c r="M789">
        <v>39.9</v>
      </c>
      <c r="N789">
        <v>0</v>
      </c>
      <c r="O789">
        <v>-2</v>
      </c>
      <c r="P789">
        <v>0</v>
      </c>
      <c r="Q789">
        <v>37.9</v>
      </c>
      <c r="R789">
        <v>37.9</v>
      </c>
      <c r="S789" t="s">
        <v>1400</v>
      </c>
      <c r="T789" t="s">
        <v>2195</v>
      </c>
      <c r="U789">
        <v>1</v>
      </c>
      <c r="V789" t="s">
        <v>1364</v>
      </c>
      <c r="X789" t="s">
        <v>628</v>
      </c>
      <c r="Y789" t="s">
        <v>4570</v>
      </c>
      <c r="Z789" t="s">
        <v>1533</v>
      </c>
      <c r="AA789" t="s">
        <v>2503</v>
      </c>
      <c r="AB789" t="s">
        <v>2504</v>
      </c>
      <c r="AC789" t="s">
        <v>4571</v>
      </c>
      <c r="AF789" t="s">
        <v>628</v>
      </c>
      <c r="AG789" t="s">
        <v>1385</v>
      </c>
      <c r="AH789" t="s">
        <v>4570</v>
      </c>
      <c r="AK789">
        <v>0</v>
      </c>
      <c r="AO789" t="s">
        <v>1372</v>
      </c>
      <c r="AP789" t="s">
        <v>1373</v>
      </c>
    </row>
    <row r="790" hidden="1" spans="1:42">
      <c r="A790" t="s">
        <v>4572</v>
      </c>
      <c r="B790" t="s">
        <v>1356</v>
      </c>
      <c r="C790" t="s">
        <v>1375</v>
      </c>
      <c r="D790" t="s">
        <v>1358</v>
      </c>
      <c r="F790" t="s">
        <v>3560</v>
      </c>
      <c r="G790" s="45">
        <v>44816.8282638889</v>
      </c>
      <c r="H790" s="45">
        <v>44816.8285416667</v>
      </c>
      <c r="J790" t="s">
        <v>407</v>
      </c>
      <c r="M790">
        <v>19.9</v>
      </c>
      <c r="N790">
        <v>0</v>
      </c>
      <c r="O790">
        <v>0</v>
      </c>
      <c r="P790">
        <v>0</v>
      </c>
      <c r="Q790">
        <v>19.9</v>
      </c>
      <c r="R790">
        <v>19.9</v>
      </c>
      <c r="T790" t="s">
        <v>2102</v>
      </c>
      <c r="U790">
        <v>1</v>
      </c>
      <c r="V790" t="s">
        <v>1364</v>
      </c>
      <c r="X790" t="s">
        <v>739</v>
      </c>
      <c r="Y790" t="s">
        <v>3441</v>
      </c>
      <c r="Z790" t="s">
        <v>1626</v>
      </c>
      <c r="AA790" t="s">
        <v>3442</v>
      </c>
      <c r="AB790" t="s">
        <v>3443</v>
      </c>
      <c r="AC790" t="s">
        <v>3444</v>
      </c>
      <c r="AF790" t="s">
        <v>3445</v>
      </c>
      <c r="AG790" t="s">
        <v>1385</v>
      </c>
      <c r="AH790" t="s">
        <v>3441</v>
      </c>
      <c r="AK790">
        <v>0</v>
      </c>
      <c r="AO790" t="s">
        <v>1372</v>
      </c>
      <c r="AP790" t="s">
        <v>1373</v>
      </c>
    </row>
    <row r="791" hidden="1" spans="1:42">
      <c r="A791" t="s">
        <v>4573</v>
      </c>
      <c r="B791" t="s">
        <v>1356</v>
      </c>
      <c r="C791" t="s">
        <v>1375</v>
      </c>
      <c r="D791" t="s">
        <v>1376</v>
      </c>
      <c r="F791" t="s">
        <v>1377</v>
      </c>
      <c r="G791" s="45">
        <v>44816.8277430556</v>
      </c>
      <c r="M791">
        <v>249</v>
      </c>
      <c r="N791">
        <v>0</v>
      </c>
      <c r="O791">
        <v>0</v>
      </c>
      <c r="P791">
        <v>0</v>
      </c>
      <c r="Q791">
        <v>249</v>
      </c>
      <c r="R791">
        <v>0</v>
      </c>
      <c r="T791" t="s">
        <v>3160</v>
      </c>
      <c r="U791">
        <v>1</v>
      </c>
      <c r="V791" t="s">
        <v>1364</v>
      </c>
      <c r="X791" t="s">
        <v>879</v>
      </c>
      <c r="Y791" t="s">
        <v>4574</v>
      </c>
      <c r="Z791" t="s">
        <v>1380</v>
      </c>
      <c r="AA791" t="s">
        <v>1409</v>
      </c>
      <c r="AB791" t="s">
        <v>4166</v>
      </c>
      <c r="AC791" t="s">
        <v>4575</v>
      </c>
      <c r="AF791" t="s">
        <v>4576</v>
      </c>
      <c r="AG791" t="s">
        <v>1385</v>
      </c>
      <c r="AH791" t="s">
        <v>4574</v>
      </c>
      <c r="AK791">
        <v>0</v>
      </c>
      <c r="AO791" t="s">
        <v>1372</v>
      </c>
      <c r="AP791" t="s">
        <v>1373</v>
      </c>
    </row>
    <row r="792" hidden="1" spans="1:42">
      <c r="A792" t="s">
        <v>4577</v>
      </c>
      <c r="B792" t="s">
        <v>1356</v>
      </c>
      <c r="C792" t="s">
        <v>1375</v>
      </c>
      <c r="D792" t="s">
        <v>1358</v>
      </c>
      <c r="F792" t="s">
        <v>1377</v>
      </c>
      <c r="G792" s="45">
        <v>44816.8254282407</v>
      </c>
      <c r="H792" s="45">
        <v>44816.8256597222</v>
      </c>
      <c r="J792" t="s">
        <v>407</v>
      </c>
      <c r="M792">
        <v>19.9</v>
      </c>
      <c r="N792">
        <v>0</v>
      </c>
      <c r="O792">
        <v>0</v>
      </c>
      <c r="P792">
        <v>0</v>
      </c>
      <c r="Q792">
        <v>19.9</v>
      </c>
      <c r="R792">
        <v>19.9</v>
      </c>
      <c r="T792" t="s">
        <v>3251</v>
      </c>
      <c r="U792">
        <v>1</v>
      </c>
      <c r="V792" t="s">
        <v>1364</v>
      </c>
      <c r="X792" t="s">
        <v>900</v>
      </c>
      <c r="Y792" t="s">
        <v>4578</v>
      </c>
      <c r="Z792" t="s">
        <v>1367</v>
      </c>
      <c r="AA792" t="s">
        <v>1899</v>
      </c>
      <c r="AB792" t="s">
        <v>2022</v>
      </c>
      <c r="AC792" t="s">
        <v>4579</v>
      </c>
      <c r="AF792" t="s">
        <v>4580</v>
      </c>
      <c r="AG792" t="s">
        <v>1372</v>
      </c>
      <c r="AK792">
        <v>0</v>
      </c>
      <c r="AO792" t="s">
        <v>1372</v>
      </c>
      <c r="AP792" t="s">
        <v>1373</v>
      </c>
    </row>
    <row r="793" hidden="1" spans="1:42">
      <c r="A793" t="s">
        <v>4581</v>
      </c>
      <c r="B793" t="s">
        <v>1356</v>
      </c>
      <c r="C793" t="s">
        <v>1375</v>
      </c>
      <c r="D793" t="s">
        <v>1358</v>
      </c>
      <c r="F793" t="s">
        <v>1377</v>
      </c>
      <c r="G793" s="45">
        <v>44816.8239351852</v>
      </c>
      <c r="H793" s="45">
        <v>44816.8243055556</v>
      </c>
      <c r="J793" t="s">
        <v>407</v>
      </c>
      <c r="M793">
        <v>19.9</v>
      </c>
      <c r="N793">
        <v>0</v>
      </c>
      <c r="O793">
        <v>0</v>
      </c>
      <c r="P793">
        <v>0</v>
      </c>
      <c r="Q793">
        <v>19.9</v>
      </c>
      <c r="R793">
        <v>19.9</v>
      </c>
      <c r="T793" t="s">
        <v>1845</v>
      </c>
      <c r="U793">
        <v>1</v>
      </c>
      <c r="V793" t="s">
        <v>1364</v>
      </c>
      <c r="X793" t="s">
        <v>628</v>
      </c>
      <c r="Y793" t="s">
        <v>4570</v>
      </c>
      <c r="Z793" t="s">
        <v>1533</v>
      </c>
      <c r="AA793" t="s">
        <v>2503</v>
      </c>
      <c r="AB793" t="s">
        <v>2504</v>
      </c>
      <c r="AC793" t="s">
        <v>4571</v>
      </c>
      <c r="AF793" t="s">
        <v>628</v>
      </c>
      <c r="AG793" t="s">
        <v>1385</v>
      </c>
      <c r="AH793" t="s">
        <v>4570</v>
      </c>
      <c r="AK793">
        <v>0</v>
      </c>
      <c r="AO793" t="s">
        <v>1372</v>
      </c>
      <c r="AP793" t="s">
        <v>1373</v>
      </c>
    </row>
    <row r="794" hidden="1" spans="1:42">
      <c r="A794" t="s">
        <v>4582</v>
      </c>
      <c r="B794" t="s">
        <v>1356</v>
      </c>
      <c r="C794" t="s">
        <v>1375</v>
      </c>
      <c r="D794" t="s">
        <v>1358</v>
      </c>
      <c r="F794" t="s">
        <v>1377</v>
      </c>
      <c r="G794" s="45">
        <v>44816.8238888889</v>
      </c>
      <c r="H794" s="45">
        <v>44816.8240393518</v>
      </c>
      <c r="J794" t="s">
        <v>407</v>
      </c>
      <c r="M794">
        <v>19.9</v>
      </c>
      <c r="N794">
        <v>0</v>
      </c>
      <c r="O794">
        <v>0</v>
      </c>
      <c r="P794">
        <v>0</v>
      </c>
      <c r="Q794">
        <v>19.9</v>
      </c>
      <c r="R794">
        <v>19.9</v>
      </c>
      <c r="T794" t="s">
        <v>1733</v>
      </c>
      <c r="U794">
        <v>1</v>
      </c>
      <c r="V794" t="s">
        <v>1364</v>
      </c>
      <c r="X794" t="s">
        <v>389</v>
      </c>
      <c r="Y794" t="s">
        <v>3926</v>
      </c>
      <c r="Z794" t="s">
        <v>1466</v>
      </c>
      <c r="AA794" t="s">
        <v>1835</v>
      </c>
      <c r="AB794" t="s">
        <v>3610</v>
      </c>
      <c r="AC794" t="s">
        <v>3927</v>
      </c>
      <c r="AF794" t="s">
        <v>3928</v>
      </c>
      <c r="AG794" t="s">
        <v>1372</v>
      </c>
      <c r="AK794">
        <v>0</v>
      </c>
      <c r="AO794" t="s">
        <v>1372</v>
      </c>
      <c r="AP794" t="s">
        <v>1373</v>
      </c>
    </row>
    <row r="795" hidden="1" spans="1:42">
      <c r="A795" t="s">
        <v>4583</v>
      </c>
      <c r="B795" t="s">
        <v>1356</v>
      </c>
      <c r="C795" t="s">
        <v>1375</v>
      </c>
      <c r="D795" t="s">
        <v>1376</v>
      </c>
      <c r="F795" t="s">
        <v>1377</v>
      </c>
      <c r="G795" s="45">
        <v>44816.8238310185</v>
      </c>
      <c r="M795">
        <v>19.9</v>
      </c>
      <c r="N795">
        <v>0</v>
      </c>
      <c r="O795">
        <v>0</v>
      </c>
      <c r="P795">
        <v>0</v>
      </c>
      <c r="Q795">
        <v>19.9</v>
      </c>
      <c r="R795">
        <v>0</v>
      </c>
      <c r="T795" t="s">
        <v>1527</v>
      </c>
      <c r="U795">
        <v>1</v>
      </c>
      <c r="V795" t="s">
        <v>1364</v>
      </c>
      <c r="X795" t="s">
        <v>4584</v>
      </c>
      <c r="Y795" t="s">
        <v>4585</v>
      </c>
      <c r="Z795" t="s">
        <v>1794</v>
      </c>
      <c r="AA795" t="s">
        <v>2251</v>
      </c>
      <c r="AB795" t="s">
        <v>4586</v>
      </c>
      <c r="AC795" t="s">
        <v>4587</v>
      </c>
      <c r="AF795" t="s">
        <v>4584</v>
      </c>
      <c r="AG795" t="s">
        <v>1372</v>
      </c>
      <c r="AH795" t="s">
        <v>4585</v>
      </c>
      <c r="AK795">
        <v>0</v>
      </c>
      <c r="AO795" t="s">
        <v>1372</v>
      </c>
      <c r="AP795" t="s">
        <v>1373</v>
      </c>
    </row>
    <row r="796" hidden="1" spans="1:42">
      <c r="A796" t="s">
        <v>4588</v>
      </c>
      <c r="B796" t="s">
        <v>1356</v>
      </c>
      <c r="C796" t="s">
        <v>1375</v>
      </c>
      <c r="D796" t="s">
        <v>1358</v>
      </c>
      <c r="F796" t="s">
        <v>1377</v>
      </c>
      <c r="G796" s="45">
        <v>44816.8236574074</v>
      </c>
      <c r="H796" s="45">
        <v>44816.82375</v>
      </c>
      <c r="J796" t="s">
        <v>407</v>
      </c>
      <c r="M796">
        <v>19.9</v>
      </c>
      <c r="N796">
        <v>0</v>
      </c>
      <c r="O796">
        <v>0</v>
      </c>
      <c r="P796">
        <v>0</v>
      </c>
      <c r="Q796">
        <v>19.9</v>
      </c>
      <c r="R796">
        <v>19.9</v>
      </c>
      <c r="T796" t="s">
        <v>1850</v>
      </c>
      <c r="U796">
        <v>1</v>
      </c>
      <c r="V796" t="s">
        <v>1364</v>
      </c>
      <c r="X796" t="s">
        <v>376</v>
      </c>
      <c r="Y796" t="s">
        <v>3407</v>
      </c>
      <c r="Z796" t="s">
        <v>1626</v>
      </c>
      <c r="AA796" t="s">
        <v>1627</v>
      </c>
      <c r="AB796" t="s">
        <v>3408</v>
      </c>
      <c r="AC796" t="s">
        <v>3409</v>
      </c>
      <c r="AF796" t="s">
        <v>3411</v>
      </c>
      <c r="AG796" t="s">
        <v>1385</v>
      </c>
      <c r="AH796" t="s">
        <v>3407</v>
      </c>
      <c r="AK796">
        <v>0</v>
      </c>
      <c r="AO796" t="s">
        <v>1372</v>
      </c>
      <c r="AP796" t="s">
        <v>1373</v>
      </c>
    </row>
    <row r="797" hidden="1" spans="1:42">
      <c r="A797" t="s">
        <v>4589</v>
      </c>
      <c r="B797" t="s">
        <v>1356</v>
      </c>
      <c r="C797" t="s">
        <v>1375</v>
      </c>
      <c r="D797" t="s">
        <v>1358</v>
      </c>
      <c r="F797" t="s">
        <v>1377</v>
      </c>
      <c r="G797" s="45">
        <v>44816.8235300926</v>
      </c>
      <c r="H797" s="45">
        <v>44816.8236689815</v>
      </c>
      <c r="J797" t="s">
        <v>407</v>
      </c>
      <c r="M797">
        <v>19.9</v>
      </c>
      <c r="N797">
        <v>0</v>
      </c>
      <c r="O797">
        <v>0</v>
      </c>
      <c r="P797">
        <v>0</v>
      </c>
      <c r="Q797">
        <v>19.9</v>
      </c>
      <c r="R797">
        <v>19.9</v>
      </c>
      <c r="T797" t="s">
        <v>1529</v>
      </c>
      <c r="U797">
        <v>1</v>
      </c>
      <c r="V797" t="s">
        <v>1364</v>
      </c>
      <c r="X797" t="s">
        <v>898</v>
      </c>
      <c r="Y797" t="s">
        <v>4590</v>
      </c>
      <c r="Z797" t="s">
        <v>1804</v>
      </c>
      <c r="AA797" t="s">
        <v>4591</v>
      </c>
      <c r="AB797" t="s">
        <v>4592</v>
      </c>
      <c r="AC797" t="s">
        <v>4593</v>
      </c>
      <c r="AF797" t="s">
        <v>4594</v>
      </c>
      <c r="AG797" t="s">
        <v>1372</v>
      </c>
      <c r="AH797" t="s">
        <v>4590</v>
      </c>
      <c r="AK797">
        <v>0</v>
      </c>
      <c r="AO797" t="s">
        <v>1372</v>
      </c>
      <c r="AP797" t="s">
        <v>1373</v>
      </c>
    </row>
    <row r="798" hidden="1" spans="1:42">
      <c r="A798" t="s">
        <v>4595</v>
      </c>
      <c r="B798" t="s">
        <v>1356</v>
      </c>
      <c r="C798" t="s">
        <v>1375</v>
      </c>
      <c r="D798" t="s">
        <v>1376</v>
      </c>
      <c r="F798" t="s">
        <v>1377</v>
      </c>
      <c r="G798" s="45">
        <v>44816.8231944444</v>
      </c>
      <c r="M798">
        <v>19.9</v>
      </c>
      <c r="N798">
        <v>0</v>
      </c>
      <c r="O798">
        <v>0</v>
      </c>
      <c r="P798">
        <v>0</v>
      </c>
      <c r="Q798">
        <v>19.9</v>
      </c>
      <c r="R798">
        <v>0</v>
      </c>
      <c r="T798" t="s">
        <v>1858</v>
      </c>
      <c r="U798">
        <v>1</v>
      </c>
      <c r="V798" t="s">
        <v>1364</v>
      </c>
      <c r="X798" t="s">
        <v>389</v>
      </c>
      <c r="Y798" t="s">
        <v>3926</v>
      </c>
      <c r="Z798" t="s">
        <v>1466</v>
      </c>
      <c r="AA798" t="s">
        <v>1835</v>
      </c>
      <c r="AB798" t="s">
        <v>3610</v>
      </c>
      <c r="AC798" t="s">
        <v>3927</v>
      </c>
      <c r="AF798" t="s">
        <v>3928</v>
      </c>
      <c r="AG798" t="s">
        <v>1372</v>
      </c>
      <c r="AK798">
        <v>0</v>
      </c>
      <c r="AO798" t="s">
        <v>1372</v>
      </c>
      <c r="AP798" t="s">
        <v>1373</v>
      </c>
    </row>
    <row r="799" hidden="1" spans="1:42">
      <c r="A799" t="s">
        <v>4596</v>
      </c>
      <c r="B799" t="s">
        <v>1356</v>
      </c>
      <c r="C799" t="s">
        <v>1375</v>
      </c>
      <c r="D799" t="s">
        <v>1358</v>
      </c>
      <c r="F799" t="s">
        <v>1377</v>
      </c>
      <c r="G799" s="45">
        <v>44816.823125</v>
      </c>
      <c r="H799" s="45">
        <v>44816.8232291667</v>
      </c>
      <c r="J799" t="s">
        <v>407</v>
      </c>
      <c r="M799">
        <v>19.9</v>
      </c>
      <c r="N799">
        <v>0</v>
      </c>
      <c r="O799">
        <v>0</v>
      </c>
      <c r="P799">
        <v>0</v>
      </c>
      <c r="Q799">
        <v>19.9</v>
      </c>
      <c r="R799">
        <v>19.9</v>
      </c>
      <c r="T799" t="s">
        <v>1527</v>
      </c>
      <c r="U799">
        <v>1</v>
      </c>
      <c r="V799" t="s">
        <v>1364</v>
      </c>
      <c r="X799" t="s">
        <v>372</v>
      </c>
      <c r="Y799" t="s">
        <v>3832</v>
      </c>
      <c r="Z799" t="s">
        <v>1495</v>
      </c>
      <c r="AA799" t="s">
        <v>1757</v>
      </c>
      <c r="AB799" t="s">
        <v>1783</v>
      </c>
      <c r="AC799" t="s">
        <v>3833</v>
      </c>
      <c r="AF799" t="s">
        <v>3834</v>
      </c>
      <c r="AG799" t="s">
        <v>1372</v>
      </c>
      <c r="AK799">
        <v>0</v>
      </c>
      <c r="AO799" t="s">
        <v>1372</v>
      </c>
      <c r="AP799" t="s">
        <v>1373</v>
      </c>
    </row>
    <row r="800" hidden="1" spans="1:42">
      <c r="A800" t="s">
        <v>4597</v>
      </c>
      <c r="B800" t="s">
        <v>1356</v>
      </c>
      <c r="C800" t="s">
        <v>1375</v>
      </c>
      <c r="D800" t="s">
        <v>1358</v>
      </c>
      <c r="F800" t="s">
        <v>3560</v>
      </c>
      <c r="G800" s="45">
        <v>44816.8228125</v>
      </c>
      <c r="H800" s="45">
        <v>44816.8229050926</v>
      </c>
      <c r="J800" t="s">
        <v>407</v>
      </c>
      <c r="M800">
        <v>19.9</v>
      </c>
      <c r="N800">
        <v>0</v>
      </c>
      <c r="O800">
        <v>0</v>
      </c>
      <c r="P800">
        <v>0</v>
      </c>
      <c r="Q800">
        <v>19.9</v>
      </c>
      <c r="R800">
        <v>19.9</v>
      </c>
      <c r="T800" t="s">
        <v>1540</v>
      </c>
      <c r="U800">
        <v>1</v>
      </c>
      <c r="V800" t="s">
        <v>1364</v>
      </c>
      <c r="X800" t="s">
        <v>376</v>
      </c>
      <c r="Y800" t="s">
        <v>3407</v>
      </c>
      <c r="Z800" t="s">
        <v>1626</v>
      </c>
      <c r="AA800" t="s">
        <v>1627</v>
      </c>
      <c r="AB800" t="s">
        <v>3408</v>
      </c>
      <c r="AC800" t="s">
        <v>3409</v>
      </c>
      <c r="AF800" t="s">
        <v>3411</v>
      </c>
      <c r="AG800" t="s">
        <v>1385</v>
      </c>
      <c r="AH800" t="s">
        <v>3407</v>
      </c>
      <c r="AK800">
        <v>0</v>
      </c>
      <c r="AO800" t="s">
        <v>1372</v>
      </c>
      <c r="AP800" t="s">
        <v>1373</v>
      </c>
    </row>
    <row r="801" hidden="1" spans="1:42">
      <c r="A801" t="s">
        <v>4598</v>
      </c>
      <c r="B801" t="s">
        <v>1356</v>
      </c>
      <c r="C801" t="s">
        <v>1375</v>
      </c>
      <c r="D801" t="s">
        <v>1358</v>
      </c>
      <c r="F801" t="s">
        <v>1359</v>
      </c>
      <c r="G801" s="45">
        <v>44816.8225347222</v>
      </c>
      <c r="H801" s="45">
        <v>44816.8239930556</v>
      </c>
      <c r="J801" t="s">
        <v>1360</v>
      </c>
      <c r="K801" t="s">
        <v>4599</v>
      </c>
      <c r="L801" t="s">
        <v>4600</v>
      </c>
      <c r="M801">
        <v>116</v>
      </c>
      <c r="N801">
        <v>0</v>
      </c>
      <c r="O801">
        <v>0</v>
      </c>
      <c r="P801">
        <v>0</v>
      </c>
      <c r="Q801">
        <v>116</v>
      </c>
      <c r="R801">
        <v>116</v>
      </c>
      <c r="T801" t="s">
        <v>4601</v>
      </c>
      <c r="U801">
        <v>1</v>
      </c>
      <c r="V801" t="s">
        <v>1364</v>
      </c>
      <c r="X801" t="s">
        <v>448</v>
      </c>
      <c r="Y801" t="s">
        <v>4602</v>
      </c>
      <c r="Z801" t="s">
        <v>1367</v>
      </c>
      <c r="AA801" t="s">
        <v>1943</v>
      </c>
      <c r="AB801" t="s">
        <v>4603</v>
      </c>
      <c r="AC801" t="s">
        <v>4604</v>
      </c>
      <c r="AF801" t="s">
        <v>4605</v>
      </c>
      <c r="AG801" t="s">
        <v>1372</v>
      </c>
      <c r="AH801" t="s">
        <v>4602</v>
      </c>
      <c r="AK801">
        <v>0</v>
      </c>
      <c r="AO801" t="s">
        <v>1372</v>
      </c>
      <c r="AP801" t="s">
        <v>1373</v>
      </c>
    </row>
    <row r="802" hidden="1" spans="1:42">
      <c r="A802" s="46" t="s">
        <v>4606</v>
      </c>
      <c r="B802" s="46" t="s">
        <v>1356</v>
      </c>
      <c r="C802" s="46" t="s">
        <v>1375</v>
      </c>
      <c r="D802" s="46" t="s">
        <v>1358</v>
      </c>
      <c r="E802" s="46"/>
      <c r="F802" s="46" t="s">
        <v>1377</v>
      </c>
      <c r="G802" s="47">
        <v>44818.0363310185</v>
      </c>
      <c r="H802" s="47">
        <v>44818.0364930556</v>
      </c>
      <c r="I802" s="46"/>
      <c r="J802" s="46" t="s">
        <v>407</v>
      </c>
      <c r="K802" s="46"/>
      <c r="L802" s="46"/>
      <c r="M802" s="46">
        <v>599</v>
      </c>
      <c r="N802" s="46">
        <v>0</v>
      </c>
      <c r="O802" s="46">
        <v>0</v>
      </c>
      <c r="P802" s="46">
        <v>0</v>
      </c>
      <c r="Q802" s="46">
        <v>599</v>
      </c>
      <c r="R802" s="46">
        <v>599</v>
      </c>
      <c r="S802" s="46"/>
      <c r="T802" s="46" t="s">
        <v>4456</v>
      </c>
      <c r="U802" s="46">
        <v>1</v>
      </c>
      <c r="V802" s="46" t="s">
        <v>1364</v>
      </c>
      <c r="W802" s="46"/>
      <c r="X802" s="46" t="s">
        <v>4607</v>
      </c>
      <c r="Y802" s="46" t="s">
        <v>4608</v>
      </c>
      <c r="Z802" s="46" t="s">
        <v>2651</v>
      </c>
      <c r="AA802" s="46" t="s">
        <v>4609</v>
      </c>
      <c r="AB802" s="46" t="s">
        <v>4610</v>
      </c>
      <c r="AC802" s="46" t="s">
        <v>4611</v>
      </c>
      <c r="AD802" s="46" t="s">
        <v>4612</v>
      </c>
      <c r="AE802" s="46"/>
      <c r="AF802" s="46" t="s">
        <v>4613</v>
      </c>
      <c r="AG802" s="46" t="s">
        <v>1372</v>
      </c>
      <c r="AH802" s="46"/>
      <c r="AI802" s="46"/>
      <c r="AJ802" s="46"/>
      <c r="AK802" s="46">
        <v>0</v>
      </c>
      <c r="AL802" s="46"/>
      <c r="AM802" s="46"/>
      <c r="AN802" s="46"/>
      <c r="AO802" s="46" t="s">
        <v>1372</v>
      </c>
      <c r="AP802" s="46" t="s">
        <v>1373</v>
      </c>
    </row>
    <row r="803" hidden="1" spans="1:42">
      <c r="A803" s="46" t="s">
        <v>4614</v>
      </c>
      <c r="B803" s="46" t="s">
        <v>1356</v>
      </c>
      <c r="C803" s="46" t="s">
        <v>1375</v>
      </c>
      <c r="D803" s="46" t="s">
        <v>1358</v>
      </c>
      <c r="E803" s="46"/>
      <c r="F803" s="46" t="s">
        <v>1377</v>
      </c>
      <c r="G803" s="47">
        <v>44818.0324189815</v>
      </c>
      <c r="H803" s="47">
        <v>44818.0325115741</v>
      </c>
      <c r="I803" s="46"/>
      <c r="J803" s="46" t="s">
        <v>407</v>
      </c>
      <c r="K803" s="46"/>
      <c r="L803" s="46"/>
      <c r="M803" s="46">
        <v>599</v>
      </c>
      <c r="N803" s="46">
        <v>0</v>
      </c>
      <c r="O803" s="46">
        <v>0</v>
      </c>
      <c r="P803" s="46">
        <v>0</v>
      </c>
      <c r="Q803" s="46">
        <v>599</v>
      </c>
      <c r="R803" s="46">
        <v>599</v>
      </c>
      <c r="S803" s="46"/>
      <c r="T803" s="46" t="s">
        <v>4615</v>
      </c>
      <c r="U803" s="46">
        <v>1</v>
      </c>
      <c r="V803" s="46" t="s">
        <v>1364</v>
      </c>
      <c r="W803" s="46"/>
      <c r="X803" s="46" t="s">
        <v>4616</v>
      </c>
      <c r="Y803" s="46" t="s">
        <v>4617</v>
      </c>
      <c r="Z803" s="46" t="s">
        <v>1824</v>
      </c>
      <c r="AA803" s="46" t="s">
        <v>1825</v>
      </c>
      <c r="AB803" s="46" t="s">
        <v>4618</v>
      </c>
      <c r="AC803" s="46" t="s">
        <v>4619</v>
      </c>
      <c r="AD803" s="46" t="s">
        <v>4620</v>
      </c>
      <c r="AE803" s="46"/>
      <c r="AF803" s="46" t="s">
        <v>4621</v>
      </c>
      <c r="AG803" s="46" t="s">
        <v>1372</v>
      </c>
      <c r="AH803" s="46"/>
      <c r="AI803" s="46"/>
      <c r="AJ803" s="46" t="s">
        <v>1649</v>
      </c>
      <c r="AK803" s="46">
        <v>0</v>
      </c>
      <c r="AL803" s="46"/>
      <c r="AM803" s="46"/>
      <c r="AN803" s="46"/>
      <c r="AO803" s="46" t="s">
        <v>1372</v>
      </c>
      <c r="AP803" s="46" t="s">
        <v>1373</v>
      </c>
    </row>
    <row r="804" hidden="1" spans="1:42">
      <c r="A804" s="46" t="s">
        <v>4622</v>
      </c>
      <c r="B804" s="46" t="s">
        <v>1356</v>
      </c>
      <c r="C804" s="46" t="s">
        <v>1375</v>
      </c>
      <c r="D804" s="46" t="s">
        <v>1358</v>
      </c>
      <c r="E804" s="46"/>
      <c r="F804" s="46" t="s">
        <v>1377</v>
      </c>
      <c r="G804" s="47">
        <v>44818.0319097222</v>
      </c>
      <c r="H804" s="47">
        <v>44818.0320486111</v>
      </c>
      <c r="I804" s="46"/>
      <c r="J804" s="46" t="s">
        <v>407</v>
      </c>
      <c r="K804" s="46"/>
      <c r="L804" s="46"/>
      <c r="M804" s="46">
        <v>269</v>
      </c>
      <c r="N804" s="46">
        <v>0</v>
      </c>
      <c r="O804" s="46">
        <v>-5</v>
      </c>
      <c r="P804" s="46">
        <v>0</v>
      </c>
      <c r="Q804" s="46">
        <v>264</v>
      </c>
      <c r="R804" s="46">
        <v>264</v>
      </c>
      <c r="S804" s="46" t="s">
        <v>1422</v>
      </c>
      <c r="T804" s="46" t="s">
        <v>3483</v>
      </c>
      <c r="U804" s="46">
        <v>1</v>
      </c>
      <c r="V804" s="46" t="s">
        <v>1364</v>
      </c>
      <c r="W804" s="46"/>
      <c r="X804" s="46" t="s">
        <v>4623</v>
      </c>
      <c r="Y804" s="46" t="s">
        <v>4624</v>
      </c>
      <c r="Z804" s="46" t="s">
        <v>1513</v>
      </c>
      <c r="AA804" s="46" t="s">
        <v>4520</v>
      </c>
      <c r="AB804" s="46" t="s">
        <v>4625</v>
      </c>
      <c r="AC804" s="46" t="s">
        <v>4626</v>
      </c>
      <c r="AD804" s="46"/>
      <c r="AE804" s="46"/>
      <c r="AF804" s="46" t="s">
        <v>4627</v>
      </c>
      <c r="AG804" s="46" t="s">
        <v>1372</v>
      </c>
      <c r="AH804" s="46"/>
      <c r="AI804" s="46"/>
      <c r="AJ804" s="46"/>
      <c r="AK804" s="46">
        <v>0</v>
      </c>
      <c r="AL804" s="46"/>
      <c r="AM804" s="46"/>
      <c r="AN804" s="46"/>
      <c r="AO804" s="46" t="s">
        <v>1372</v>
      </c>
      <c r="AP804" s="46" t="s">
        <v>1373</v>
      </c>
    </row>
    <row r="805" hidden="1" spans="1:42">
      <c r="A805" s="46" t="s">
        <v>4628</v>
      </c>
      <c r="B805" s="46" t="s">
        <v>1356</v>
      </c>
      <c r="C805" s="46" t="s">
        <v>1375</v>
      </c>
      <c r="D805" s="46" t="s">
        <v>1358</v>
      </c>
      <c r="E805" s="46"/>
      <c r="F805" s="46" t="s">
        <v>1377</v>
      </c>
      <c r="G805" s="47">
        <v>44818.0255902778</v>
      </c>
      <c r="H805" s="47">
        <v>44818.0264351852</v>
      </c>
      <c r="I805" s="46"/>
      <c r="J805" s="46" t="s">
        <v>407</v>
      </c>
      <c r="K805" s="46"/>
      <c r="L805" s="46"/>
      <c r="M805" s="46">
        <v>299</v>
      </c>
      <c r="N805" s="46">
        <v>0</v>
      </c>
      <c r="O805" s="46">
        <v>0</v>
      </c>
      <c r="P805" s="46">
        <v>0</v>
      </c>
      <c r="Q805" s="46">
        <v>299</v>
      </c>
      <c r="R805" s="46">
        <v>299</v>
      </c>
      <c r="S805" s="46"/>
      <c r="T805" s="46" t="s">
        <v>4629</v>
      </c>
      <c r="U805" s="46">
        <v>1</v>
      </c>
      <c r="V805" s="46" t="s">
        <v>1364</v>
      </c>
      <c r="W805" s="46"/>
      <c r="X805" s="46" t="s">
        <v>972</v>
      </c>
      <c r="Y805" s="46" t="s">
        <v>4630</v>
      </c>
      <c r="Z805" s="46" t="s">
        <v>1495</v>
      </c>
      <c r="AA805" s="46" t="s">
        <v>2877</v>
      </c>
      <c r="AB805" s="46" t="s">
        <v>2878</v>
      </c>
      <c r="AC805" s="46" t="s">
        <v>4631</v>
      </c>
      <c r="AD805" s="46"/>
      <c r="AE805" s="46"/>
      <c r="AF805" s="46" t="s">
        <v>4632</v>
      </c>
      <c r="AG805" s="46" t="s">
        <v>1372</v>
      </c>
      <c r="AH805" s="46"/>
      <c r="AI805" s="46"/>
      <c r="AJ805" s="46"/>
      <c r="AK805" s="46">
        <v>0</v>
      </c>
      <c r="AL805" s="46"/>
      <c r="AM805" s="46"/>
      <c r="AN805" s="46"/>
      <c r="AO805" s="46" t="s">
        <v>1372</v>
      </c>
      <c r="AP805" s="46" t="s">
        <v>1373</v>
      </c>
    </row>
    <row r="806" hidden="1" spans="1:42">
      <c r="A806" s="46" t="s">
        <v>4633</v>
      </c>
      <c r="B806" s="46" t="s">
        <v>1356</v>
      </c>
      <c r="C806" s="46" t="s">
        <v>1375</v>
      </c>
      <c r="D806" s="46" t="s">
        <v>1358</v>
      </c>
      <c r="E806" s="46"/>
      <c r="F806" s="46" t="s">
        <v>1377</v>
      </c>
      <c r="G806" s="47">
        <v>44818.0199305556</v>
      </c>
      <c r="H806" s="47">
        <v>44818.0202430556</v>
      </c>
      <c r="I806" s="46"/>
      <c r="J806" s="46" t="s">
        <v>407</v>
      </c>
      <c r="K806" s="46"/>
      <c r="L806" s="46"/>
      <c r="M806" s="46">
        <v>269</v>
      </c>
      <c r="N806" s="46">
        <v>0</v>
      </c>
      <c r="O806" s="46">
        <v>0</v>
      </c>
      <c r="P806" s="46">
        <v>0</v>
      </c>
      <c r="Q806" s="46">
        <v>269</v>
      </c>
      <c r="R806" s="46">
        <v>269</v>
      </c>
      <c r="S806" s="46"/>
      <c r="T806" s="46" t="s">
        <v>1862</v>
      </c>
      <c r="U806" s="46">
        <v>1</v>
      </c>
      <c r="V806" s="46" t="s">
        <v>1364</v>
      </c>
      <c r="W806" s="46"/>
      <c r="X806" s="46" t="s">
        <v>4623</v>
      </c>
      <c r="Y806" s="46" t="s">
        <v>4624</v>
      </c>
      <c r="Z806" s="46" t="s">
        <v>1513</v>
      </c>
      <c r="AA806" s="46" t="s">
        <v>4520</v>
      </c>
      <c r="AB806" s="46" t="s">
        <v>4625</v>
      </c>
      <c r="AC806" s="46" t="s">
        <v>4626</v>
      </c>
      <c r="AD806" s="46"/>
      <c r="AE806" s="46"/>
      <c r="AF806" s="46" t="s">
        <v>4627</v>
      </c>
      <c r="AG806" s="46" t="s">
        <v>1372</v>
      </c>
      <c r="AH806" s="46"/>
      <c r="AI806" s="46"/>
      <c r="AJ806" s="46"/>
      <c r="AK806" s="46">
        <v>0</v>
      </c>
      <c r="AL806" s="46"/>
      <c r="AM806" s="46"/>
      <c r="AN806" s="46"/>
      <c r="AO806" s="46" t="s">
        <v>1372</v>
      </c>
      <c r="AP806" s="46" t="s">
        <v>1373</v>
      </c>
    </row>
    <row r="807" hidden="1" spans="1:42">
      <c r="A807" s="46" t="s">
        <v>4634</v>
      </c>
      <c r="B807" s="46" t="s">
        <v>1356</v>
      </c>
      <c r="C807" s="46" t="s">
        <v>1375</v>
      </c>
      <c r="D807" s="46" t="s">
        <v>1358</v>
      </c>
      <c r="E807" s="46"/>
      <c r="F807" s="46" t="s">
        <v>1377</v>
      </c>
      <c r="G807" s="47">
        <v>44818.0028356481</v>
      </c>
      <c r="H807" s="47">
        <v>44818.002962963</v>
      </c>
      <c r="I807" s="46"/>
      <c r="J807" s="46" t="s">
        <v>407</v>
      </c>
      <c r="K807" s="46"/>
      <c r="L807" s="46"/>
      <c r="M807" s="46">
        <v>269</v>
      </c>
      <c r="N807" s="46">
        <v>0</v>
      </c>
      <c r="O807" s="46">
        <v>0</v>
      </c>
      <c r="P807" s="46">
        <v>0</v>
      </c>
      <c r="Q807" s="46">
        <v>269</v>
      </c>
      <c r="R807" s="46">
        <v>269</v>
      </c>
      <c r="S807" s="46"/>
      <c r="T807" s="46" t="s">
        <v>1708</v>
      </c>
      <c r="U807" s="46">
        <v>1</v>
      </c>
      <c r="V807" s="46" t="s">
        <v>1364</v>
      </c>
      <c r="W807" s="46"/>
      <c r="X807" s="46" t="s">
        <v>4635</v>
      </c>
      <c r="Y807" s="46" t="s">
        <v>4636</v>
      </c>
      <c r="Z807" s="46" t="s">
        <v>1367</v>
      </c>
      <c r="AA807" s="46" t="s">
        <v>3074</v>
      </c>
      <c r="AB807" s="46" t="s">
        <v>4637</v>
      </c>
      <c r="AC807" s="46" t="s">
        <v>4638</v>
      </c>
      <c r="AD807" s="46" t="s">
        <v>4639</v>
      </c>
      <c r="AE807" s="46"/>
      <c r="AF807" s="46" t="s">
        <v>4640</v>
      </c>
      <c r="AG807" s="46" t="s">
        <v>1372</v>
      </c>
      <c r="AH807" s="46"/>
      <c r="AI807" s="46"/>
      <c r="AJ807" s="46"/>
      <c r="AK807" s="46">
        <v>0</v>
      </c>
      <c r="AL807" s="46"/>
      <c r="AM807" s="46"/>
      <c r="AN807" s="46"/>
      <c r="AO807" s="46" t="s">
        <v>1372</v>
      </c>
      <c r="AP807" s="46" t="s">
        <v>1373</v>
      </c>
    </row>
    <row r="808" hidden="1" spans="1:42">
      <c r="A808" s="46" t="s">
        <v>4641</v>
      </c>
      <c r="B808" s="46" t="s">
        <v>1356</v>
      </c>
      <c r="C808" s="46" t="s">
        <v>1375</v>
      </c>
      <c r="D808" s="46" t="s">
        <v>1358</v>
      </c>
      <c r="E808" s="46"/>
      <c r="F808" s="46" t="s">
        <v>1377</v>
      </c>
      <c r="G808" s="47">
        <v>44817.9996990741</v>
      </c>
      <c r="H808" s="47">
        <v>44817.9998842593</v>
      </c>
      <c r="I808" s="46"/>
      <c r="J808" s="46" t="s">
        <v>407</v>
      </c>
      <c r="K808" s="46"/>
      <c r="L808" s="46"/>
      <c r="M808" s="46">
        <v>269</v>
      </c>
      <c r="N808" s="46">
        <v>0</v>
      </c>
      <c r="O808" s="46">
        <v>0</v>
      </c>
      <c r="P808" s="46">
        <v>0</v>
      </c>
      <c r="Q808" s="46">
        <v>269</v>
      </c>
      <c r="R808" s="46">
        <v>269</v>
      </c>
      <c r="S808" s="46"/>
      <c r="T808" s="46" t="s">
        <v>1862</v>
      </c>
      <c r="U808" s="46">
        <v>1</v>
      </c>
      <c r="V808" s="46" t="s">
        <v>1364</v>
      </c>
      <c r="W808" s="46"/>
      <c r="X808" s="46" t="s">
        <v>776</v>
      </c>
      <c r="Y808" s="46" t="s">
        <v>4642</v>
      </c>
      <c r="Z808" s="46" t="s">
        <v>1560</v>
      </c>
      <c r="AA808" s="46" t="s">
        <v>1560</v>
      </c>
      <c r="AB808" s="46" t="s">
        <v>4643</v>
      </c>
      <c r="AC808" s="46" t="s">
        <v>4644</v>
      </c>
      <c r="AD808" s="46"/>
      <c r="AE808" s="46"/>
      <c r="AF808" s="46" t="s">
        <v>4645</v>
      </c>
      <c r="AG808" s="46" t="s">
        <v>1372</v>
      </c>
      <c r="AH808" s="46"/>
      <c r="AI808" s="46"/>
      <c r="AJ808" s="46"/>
      <c r="AK808" s="46">
        <v>0</v>
      </c>
      <c r="AL808" s="46" t="s">
        <v>4646</v>
      </c>
      <c r="AM808" s="46"/>
      <c r="AN808" s="46"/>
      <c r="AO808" s="46" t="s">
        <v>1372</v>
      </c>
      <c r="AP808" s="46" t="s">
        <v>1373</v>
      </c>
    </row>
    <row r="809" hidden="1" spans="1:42">
      <c r="A809" s="46" t="s">
        <v>4647</v>
      </c>
      <c r="B809" s="46" t="s">
        <v>1356</v>
      </c>
      <c r="C809" s="46" t="s">
        <v>1375</v>
      </c>
      <c r="D809" s="46" t="s">
        <v>1358</v>
      </c>
      <c r="E809" s="46"/>
      <c r="F809" s="46" t="s">
        <v>1377</v>
      </c>
      <c r="G809" s="47">
        <v>44817.996712963</v>
      </c>
      <c r="H809" s="47">
        <v>44817.9970486111</v>
      </c>
      <c r="I809" s="46"/>
      <c r="J809" s="46" t="s">
        <v>407</v>
      </c>
      <c r="K809" s="46"/>
      <c r="L809" s="46"/>
      <c r="M809" s="46">
        <v>269</v>
      </c>
      <c r="N809" s="46">
        <v>0</v>
      </c>
      <c r="O809" s="46">
        <v>-5</v>
      </c>
      <c r="P809" s="46">
        <v>0</v>
      </c>
      <c r="Q809" s="46">
        <v>264</v>
      </c>
      <c r="R809" s="46">
        <v>264</v>
      </c>
      <c r="S809" s="46" t="s">
        <v>1422</v>
      </c>
      <c r="T809" s="46" t="s">
        <v>3384</v>
      </c>
      <c r="U809" s="46">
        <v>1</v>
      </c>
      <c r="V809" s="46" t="s">
        <v>1364</v>
      </c>
      <c r="W809" s="46"/>
      <c r="X809" s="46" t="s">
        <v>607</v>
      </c>
      <c r="Y809" s="46" t="s">
        <v>4405</v>
      </c>
      <c r="Z809" s="46" t="s">
        <v>1367</v>
      </c>
      <c r="AA809" s="46" t="s">
        <v>4406</v>
      </c>
      <c r="AB809" s="46" t="s">
        <v>4407</v>
      </c>
      <c r="AC809" s="46" t="s">
        <v>4408</v>
      </c>
      <c r="AD809" s="46"/>
      <c r="AE809" s="46"/>
      <c r="AF809" s="46" t="s">
        <v>607</v>
      </c>
      <c r="AG809" s="46" t="s">
        <v>1385</v>
      </c>
      <c r="AH809" s="46" t="s">
        <v>4405</v>
      </c>
      <c r="AI809" s="46"/>
      <c r="AJ809" s="46"/>
      <c r="AK809" s="46">
        <v>0</v>
      </c>
      <c r="AL809" s="46"/>
      <c r="AM809" s="46"/>
      <c r="AN809" s="46"/>
      <c r="AO809" s="46" t="s">
        <v>1372</v>
      </c>
      <c r="AP809" s="46" t="s">
        <v>1373</v>
      </c>
    </row>
    <row r="810" hidden="1" spans="1:42">
      <c r="A810" s="46" t="s">
        <v>4648</v>
      </c>
      <c r="B810" s="46" t="s">
        <v>1356</v>
      </c>
      <c r="C810" s="46" t="s">
        <v>1375</v>
      </c>
      <c r="D810" s="46" t="s">
        <v>1358</v>
      </c>
      <c r="E810" s="46"/>
      <c r="F810" s="46" t="s">
        <v>1377</v>
      </c>
      <c r="G810" s="47">
        <v>44817.9966203704</v>
      </c>
      <c r="H810" s="47">
        <v>44817.9967361111</v>
      </c>
      <c r="I810" s="46"/>
      <c r="J810" s="46" t="s">
        <v>407</v>
      </c>
      <c r="K810" s="46"/>
      <c r="L810" s="46"/>
      <c r="M810" s="46">
        <v>239</v>
      </c>
      <c r="N810" s="46">
        <v>0</v>
      </c>
      <c r="O810" s="46">
        <v>0</v>
      </c>
      <c r="P810" s="46">
        <v>0</v>
      </c>
      <c r="Q810" s="46">
        <v>239</v>
      </c>
      <c r="R810" s="46">
        <v>239</v>
      </c>
      <c r="S810" s="46"/>
      <c r="T810" s="46" t="s">
        <v>4649</v>
      </c>
      <c r="U810" s="46">
        <v>1</v>
      </c>
      <c r="V810" s="46" t="s">
        <v>1364</v>
      </c>
      <c r="W810" s="46"/>
      <c r="X810" s="46" t="s">
        <v>403</v>
      </c>
      <c r="Y810" s="46" t="s">
        <v>2271</v>
      </c>
      <c r="Z810" s="46" t="s">
        <v>1430</v>
      </c>
      <c r="AA810" s="46" t="s">
        <v>1965</v>
      </c>
      <c r="AB810" s="46" t="s">
        <v>1966</v>
      </c>
      <c r="AC810" s="46" t="s">
        <v>2272</v>
      </c>
      <c r="AD810" s="46"/>
      <c r="AE810" s="46"/>
      <c r="AF810" s="46" t="s">
        <v>2273</v>
      </c>
      <c r="AG810" s="46" t="s">
        <v>1385</v>
      </c>
      <c r="AH810" s="46" t="s">
        <v>2271</v>
      </c>
      <c r="AI810" s="46"/>
      <c r="AJ810" s="46"/>
      <c r="AK810" s="46">
        <v>0</v>
      </c>
      <c r="AL810" s="46"/>
      <c r="AM810" s="46"/>
      <c r="AN810" s="46"/>
      <c r="AO810" s="46" t="s">
        <v>1372</v>
      </c>
      <c r="AP810" s="46" t="s">
        <v>1373</v>
      </c>
    </row>
    <row r="811" hidden="1" spans="1:42">
      <c r="A811" s="46" t="s">
        <v>4650</v>
      </c>
      <c r="B811" s="46" t="s">
        <v>1356</v>
      </c>
      <c r="C811" s="46" t="s">
        <v>1375</v>
      </c>
      <c r="D811" s="46" t="s">
        <v>1780</v>
      </c>
      <c r="E811" s="46"/>
      <c r="F811" s="46" t="s">
        <v>1377</v>
      </c>
      <c r="G811" s="47">
        <v>44817.9941666667</v>
      </c>
      <c r="H811" s="46"/>
      <c r="I811" s="46"/>
      <c r="J811" s="46"/>
      <c r="K811" s="46"/>
      <c r="L811" s="46"/>
      <c r="M811" s="46">
        <v>269</v>
      </c>
      <c r="N811" s="46">
        <v>0</v>
      </c>
      <c r="O811" s="46">
        <v>-5</v>
      </c>
      <c r="P811" s="46">
        <v>0</v>
      </c>
      <c r="Q811" s="46">
        <v>264</v>
      </c>
      <c r="R811" s="46">
        <v>0</v>
      </c>
      <c r="S811" s="46" t="s">
        <v>1422</v>
      </c>
      <c r="T811" s="46" t="s">
        <v>3384</v>
      </c>
      <c r="U811" s="46">
        <v>1</v>
      </c>
      <c r="V811" s="46" t="s">
        <v>1364</v>
      </c>
      <c r="W811" s="46"/>
      <c r="X811" s="46" t="s">
        <v>607</v>
      </c>
      <c r="Y811" s="46" t="s">
        <v>4405</v>
      </c>
      <c r="Z811" s="46" t="s">
        <v>1367</v>
      </c>
      <c r="AA811" s="46" t="s">
        <v>4406</v>
      </c>
      <c r="AB811" s="46" t="s">
        <v>4407</v>
      </c>
      <c r="AC811" s="46" t="s">
        <v>4408</v>
      </c>
      <c r="AD811" s="46"/>
      <c r="AE811" s="46"/>
      <c r="AF811" s="46" t="s">
        <v>607</v>
      </c>
      <c r="AG811" s="46" t="s">
        <v>1385</v>
      </c>
      <c r="AH811" s="46" t="s">
        <v>4405</v>
      </c>
      <c r="AI811" s="46"/>
      <c r="AJ811" s="46"/>
      <c r="AK811" s="46">
        <v>0</v>
      </c>
      <c r="AL811" s="46"/>
      <c r="AM811" s="46"/>
      <c r="AN811" s="46"/>
      <c r="AO811" s="46" t="s">
        <v>1372</v>
      </c>
      <c r="AP811" s="46" t="s">
        <v>1373</v>
      </c>
    </row>
    <row r="812" hidden="1" spans="1:42">
      <c r="A812" s="46" t="s">
        <v>4651</v>
      </c>
      <c r="B812" s="46" t="s">
        <v>1356</v>
      </c>
      <c r="C812" s="46" t="s">
        <v>1375</v>
      </c>
      <c r="D812" s="46" t="s">
        <v>1358</v>
      </c>
      <c r="E812" s="46"/>
      <c r="F812" s="46" t="s">
        <v>1377</v>
      </c>
      <c r="G812" s="47">
        <v>44817.9900694444</v>
      </c>
      <c r="H812" s="47">
        <v>44817.990162037</v>
      </c>
      <c r="I812" s="46"/>
      <c r="J812" s="46" t="s">
        <v>407</v>
      </c>
      <c r="K812" s="46"/>
      <c r="L812" s="46"/>
      <c r="M812" s="46">
        <v>239</v>
      </c>
      <c r="N812" s="46">
        <v>0</v>
      </c>
      <c r="O812" s="46">
        <v>-5</v>
      </c>
      <c r="P812" s="46">
        <v>0</v>
      </c>
      <c r="Q812" s="46">
        <v>234</v>
      </c>
      <c r="R812" s="46">
        <v>234</v>
      </c>
      <c r="S812" s="46" t="s">
        <v>1422</v>
      </c>
      <c r="T812" s="46" t="s">
        <v>4652</v>
      </c>
      <c r="U812" s="46">
        <v>1</v>
      </c>
      <c r="V812" s="46" t="s">
        <v>1364</v>
      </c>
      <c r="W812" s="46"/>
      <c r="X812" s="46" t="s">
        <v>377</v>
      </c>
      <c r="Y812" s="46" t="s">
        <v>4653</v>
      </c>
      <c r="Z812" s="46" t="s">
        <v>2386</v>
      </c>
      <c r="AA812" s="46" t="s">
        <v>2386</v>
      </c>
      <c r="AB812" s="46" t="s">
        <v>3620</v>
      </c>
      <c r="AC812" s="46" t="s">
        <v>4654</v>
      </c>
      <c r="AD812" s="46"/>
      <c r="AE812" s="46"/>
      <c r="AF812" s="46" t="s">
        <v>4655</v>
      </c>
      <c r="AG812" s="46" t="s">
        <v>1372</v>
      </c>
      <c r="AH812" s="46"/>
      <c r="AI812" s="46"/>
      <c r="AJ812" s="46"/>
      <c r="AK812" s="46">
        <v>0</v>
      </c>
      <c r="AL812" s="46"/>
      <c r="AM812" s="46"/>
      <c r="AN812" s="46"/>
      <c r="AO812" s="46" t="s">
        <v>1372</v>
      </c>
      <c r="AP812" s="46" t="s">
        <v>1373</v>
      </c>
    </row>
    <row r="813" hidden="1" spans="1:42">
      <c r="A813" s="46" t="s">
        <v>4656</v>
      </c>
      <c r="B813" s="46" t="s">
        <v>1356</v>
      </c>
      <c r="C813" s="46" t="s">
        <v>1375</v>
      </c>
      <c r="D813" s="46" t="s">
        <v>1376</v>
      </c>
      <c r="E813" s="46"/>
      <c r="F813" s="46" t="s">
        <v>1377</v>
      </c>
      <c r="G813" s="47">
        <v>44817.9885416667</v>
      </c>
      <c r="H813" s="46"/>
      <c r="I813" s="46"/>
      <c r="J813" s="46"/>
      <c r="K813" s="46"/>
      <c r="L813" s="46"/>
      <c r="M813" s="46">
        <v>269</v>
      </c>
      <c r="N813" s="46">
        <v>0</v>
      </c>
      <c r="O813" s="46">
        <v>0</v>
      </c>
      <c r="P813" s="46">
        <v>0</v>
      </c>
      <c r="Q813" s="46">
        <v>269</v>
      </c>
      <c r="R813" s="46">
        <v>0</v>
      </c>
      <c r="S813" s="46"/>
      <c r="T813" s="46" t="s">
        <v>3375</v>
      </c>
      <c r="U813" s="46">
        <v>1</v>
      </c>
      <c r="V813" s="46" t="s">
        <v>1364</v>
      </c>
      <c r="W813" s="46"/>
      <c r="X813" s="46" t="s">
        <v>4657</v>
      </c>
      <c r="Y813" s="46" t="s">
        <v>4658</v>
      </c>
      <c r="Z813" s="46" t="s">
        <v>1533</v>
      </c>
      <c r="AA813" s="46" t="s">
        <v>1534</v>
      </c>
      <c r="AB813" s="46" t="s">
        <v>1535</v>
      </c>
      <c r="AC813" s="46" t="s">
        <v>4659</v>
      </c>
      <c r="AD813" s="46"/>
      <c r="AE813" s="46"/>
      <c r="AF813" s="46" t="s">
        <v>4660</v>
      </c>
      <c r="AG813" s="46" t="s">
        <v>1372</v>
      </c>
      <c r="AH813" s="46"/>
      <c r="AI813" s="46"/>
      <c r="AJ813" s="46"/>
      <c r="AK813" s="46">
        <v>0</v>
      </c>
      <c r="AL813" s="46"/>
      <c r="AM813" s="46"/>
      <c r="AN813" s="46"/>
      <c r="AO813" s="46" t="s">
        <v>1372</v>
      </c>
      <c r="AP813" s="46" t="s">
        <v>1373</v>
      </c>
    </row>
    <row r="814" hidden="1" spans="1:42">
      <c r="A814" s="46" t="s">
        <v>4661</v>
      </c>
      <c r="B814" s="46" t="s">
        <v>1356</v>
      </c>
      <c r="C814" s="46" t="s">
        <v>1375</v>
      </c>
      <c r="D814" s="46" t="s">
        <v>1358</v>
      </c>
      <c r="E814" s="46"/>
      <c r="F814" s="46" t="s">
        <v>1377</v>
      </c>
      <c r="G814" s="47">
        <v>44817.9880324074</v>
      </c>
      <c r="H814" s="47">
        <v>44817.988125</v>
      </c>
      <c r="I814" s="46"/>
      <c r="J814" s="46" t="s">
        <v>407</v>
      </c>
      <c r="K814" s="46"/>
      <c r="L814" s="46"/>
      <c r="M814" s="46">
        <v>269</v>
      </c>
      <c r="N814" s="46">
        <v>10</v>
      </c>
      <c r="O814" s="46">
        <v>-12</v>
      </c>
      <c r="P814" s="46">
        <v>0</v>
      </c>
      <c r="Q814" s="46">
        <v>267</v>
      </c>
      <c r="R814" s="46">
        <v>267</v>
      </c>
      <c r="S814" s="46" t="s">
        <v>3354</v>
      </c>
      <c r="T814" s="46" t="s">
        <v>1867</v>
      </c>
      <c r="U814" s="46">
        <v>1</v>
      </c>
      <c r="V814" s="46" t="s">
        <v>1364</v>
      </c>
      <c r="W814" s="46"/>
      <c r="X814" s="46" t="s">
        <v>366</v>
      </c>
      <c r="Y814" s="46" t="s">
        <v>4662</v>
      </c>
      <c r="Z814" s="46" t="s">
        <v>2298</v>
      </c>
      <c r="AA814" s="46" t="s">
        <v>3568</v>
      </c>
      <c r="AB814" s="46" t="s">
        <v>4663</v>
      </c>
      <c r="AC814" s="46" t="s">
        <v>4664</v>
      </c>
      <c r="AD814" s="46"/>
      <c r="AE814" s="46"/>
      <c r="AF814" s="46" t="s">
        <v>4665</v>
      </c>
      <c r="AG814" s="46" t="s">
        <v>1372</v>
      </c>
      <c r="AH814" s="46"/>
      <c r="AI814" s="46"/>
      <c r="AJ814" s="46"/>
      <c r="AK814" s="46">
        <v>0</v>
      </c>
      <c r="AL814" s="46"/>
      <c r="AM814" s="46"/>
      <c r="AN814" s="46"/>
      <c r="AO814" s="46" t="s">
        <v>1372</v>
      </c>
      <c r="AP814" s="46" t="s">
        <v>1373</v>
      </c>
    </row>
    <row r="815" hidden="1" spans="1:42">
      <c r="A815" s="46" t="s">
        <v>4666</v>
      </c>
      <c r="B815" s="46" t="s">
        <v>1356</v>
      </c>
      <c r="C815" s="46" t="s">
        <v>1375</v>
      </c>
      <c r="D815" s="46" t="s">
        <v>1376</v>
      </c>
      <c r="E815" s="46"/>
      <c r="F815" s="46" t="s">
        <v>1377</v>
      </c>
      <c r="G815" s="47">
        <v>44817.982337963</v>
      </c>
      <c r="H815" s="46"/>
      <c r="I815" s="46"/>
      <c r="J815" s="46"/>
      <c r="K815" s="46"/>
      <c r="L815" s="46"/>
      <c r="M815" s="46">
        <v>269</v>
      </c>
      <c r="N815" s="46">
        <v>0</v>
      </c>
      <c r="O815" s="46">
        <v>0</v>
      </c>
      <c r="P815" s="46">
        <v>0</v>
      </c>
      <c r="Q815" s="46">
        <v>269</v>
      </c>
      <c r="R815" s="46">
        <v>0</v>
      </c>
      <c r="S815" s="46"/>
      <c r="T815" s="46" t="s">
        <v>3616</v>
      </c>
      <c r="U815" s="46">
        <v>1</v>
      </c>
      <c r="V815" s="46" t="s">
        <v>1364</v>
      </c>
      <c r="W815" s="46"/>
      <c r="X815" s="46" t="s">
        <v>4667</v>
      </c>
      <c r="Y815" s="46" t="s">
        <v>4668</v>
      </c>
      <c r="Z815" s="46" t="s">
        <v>1367</v>
      </c>
      <c r="AA815" s="46" t="s">
        <v>1899</v>
      </c>
      <c r="AB815" s="46" t="s">
        <v>4669</v>
      </c>
      <c r="AC815" s="46" t="s">
        <v>4670</v>
      </c>
      <c r="AD815" s="46" t="s">
        <v>4671</v>
      </c>
      <c r="AE815" s="46"/>
      <c r="AF815" s="46" t="s">
        <v>4672</v>
      </c>
      <c r="AG815" s="46" t="s">
        <v>1372</v>
      </c>
      <c r="AH815" s="46"/>
      <c r="AI815" s="46"/>
      <c r="AJ815" s="46"/>
      <c r="AK815" s="46">
        <v>0</v>
      </c>
      <c r="AL815" s="46"/>
      <c r="AM815" s="46"/>
      <c r="AN815" s="46"/>
      <c r="AO815" s="46" t="s">
        <v>1372</v>
      </c>
      <c r="AP815" s="46" t="s">
        <v>1373</v>
      </c>
    </row>
    <row r="816" hidden="1" spans="1:42">
      <c r="A816" s="46" t="s">
        <v>4673</v>
      </c>
      <c r="B816" s="46" t="s">
        <v>1356</v>
      </c>
      <c r="C816" s="46" t="s">
        <v>1375</v>
      </c>
      <c r="D816" s="46" t="s">
        <v>1358</v>
      </c>
      <c r="E816" s="46"/>
      <c r="F816" s="46" t="s">
        <v>1377</v>
      </c>
      <c r="G816" s="47">
        <v>44817.9821875</v>
      </c>
      <c r="H816" s="47">
        <v>44817.9823958333</v>
      </c>
      <c r="I816" s="46"/>
      <c r="J816" s="46" t="s">
        <v>407</v>
      </c>
      <c r="K816" s="46"/>
      <c r="L816" s="46"/>
      <c r="M816" s="46">
        <v>269</v>
      </c>
      <c r="N816" s="46">
        <v>0</v>
      </c>
      <c r="O816" s="46">
        <v>0</v>
      </c>
      <c r="P816" s="46">
        <v>0</v>
      </c>
      <c r="Q816" s="46">
        <v>269</v>
      </c>
      <c r="R816" s="46">
        <v>269</v>
      </c>
      <c r="S816" s="46"/>
      <c r="T816" s="46" t="s">
        <v>3483</v>
      </c>
      <c r="U816" s="46">
        <v>1</v>
      </c>
      <c r="V816" s="46" t="s">
        <v>1364</v>
      </c>
      <c r="W816" s="46"/>
      <c r="X816" s="46" t="s">
        <v>778</v>
      </c>
      <c r="Y816" s="46" t="s">
        <v>4674</v>
      </c>
      <c r="Z816" s="46" t="s">
        <v>1391</v>
      </c>
      <c r="AA816" s="46" t="s">
        <v>3379</v>
      </c>
      <c r="AB816" s="46" t="s">
        <v>4675</v>
      </c>
      <c r="AC816" s="46" t="s">
        <v>4676</v>
      </c>
      <c r="AD816" s="46"/>
      <c r="AE816" s="46"/>
      <c r="AF816" s="46" t="s">
        <v>4677</v>
      </c>
      <c r="AG816" s="46" t="s">
        <v>1372</v>
      </c>
      <c r="AH816" s="46"/>
      <c r="AI816" s="46"/>
      <c r="AJ816" s="46"/>
      <c r="AK816" s="46">
        <v>0</v>
      </c>
      <c r="AL816" s="46"/>
      <c r="AM816" s="46"/>
      <c r="AN816" s="46"/>
      <c r="AO816" s="46" t="s">
        <v>1372</v>
      </c>
      <c r="AP816" s="46" t="s">
        <v>1373</v>
      </c>
    </row>
    <row r="817" hidden="1" spans="1:42">
      <c r="A817" s="46" t="s">
        <v>4678</v>
      </c>
      <c r="B817" s="46" t="s">
        <v>1356</v>
      </c>
      <c r="C817" s="46" t="s">
        <v>1375</v>
      </c>
      <c r="D817" s="46" t="s">
        <v>1358</v>
      </c>
      <c r="E817" s="46"/>
      <c r="F817" s="46" t="s">
        <v>1377</v>
      </c>
      <c r="G817" s="47">
        <v>44817.9811111111</v>
      </c>
      <c r="H817" s="47">
        <v>44817.9812152778</v>
      </c>
      <c r="I817" s="46"/>
      <c r="J817" s="46" t="s">
        <v>407</v>
      </c>
      <c r="K817" s="46"/>
      <c r="L817" s="46"/>
      <c r="M817" s="46">
        <v>599</v>
      </c>
      <c r="N817" s="46">
        <v>10</v>
      </c>
      <c r="O817" s="46">
        <v>-4</v>
      </c>
      <c r="P817" s="46">
        <v>0</v>
      </c>
      <c r="Q817" s="46">
        <v>605</v>
      </c>
      <c r="R817" s="46">
        <v>605</v>
      </c>
      <c r="S817" s="46" t="s">
        <v>1388</v>
      </c>
      <c r="T817" s="46" t="s">
        <v>4679</v>
      </c>
      <c r="U817" s="46">
        <v>1</v>
      </c>
      <c r="V817" s="46" t="s">
        <v>1364</v>
      </c>
      <c r="W817" s="46"/>
      <c r="X817" s="46" t="s">
        <v>366</v>
      </c>
      <c r="Y817" s="46" t="s">
        <v>4662</v>
      </c>
      <c r="Z817" s="46" t="s">
        <v>2298</v>
      </c>
      <c r="AA817" s="46" t="s">
        <v>3568</v>
      </c>
      <c r="AB817" s="46" t="s">
        <v>4663</v>
      </c>
      <c r="AC817" s="46" t="s">
        <v>4664</v>
      </c>
      <c r="AD817" s="46" t="s">
        <v>4680</v>
      </c>
      <c r="AE817" s="46"/>
      <c r="AF817" s="46" t="s">
        <v>4665</v>
      </c>
      <c r="AG817" s="46" t="s">
        <v>1372</v>
      </c>
      <c r="AH817" s="46"/>
      <c r="AI817" s="46"/>
      <c r="AJ817" s="46"/>
      <c r="AK817" s="46">
        <v>0</v>
      </c>
      <c r="AL817" s="46"/>
      <c r="AM817" s="46"/>
      <c r="AN817" s="46"/>
      <c r="AO817" s="46" t="s">
        <v>1372</v>
      </c>
      <c r="AP817" s="46" t="s">
        <v>1373</v>
      </c>
    </row>
    <row r="818" hidden="1" spans="1:42">
      <c r="A818" s="46" t="s">
        <v>4681</v>
      </c>
      <c r="B818" s="46" t="s">
        <v>1356</v>
      </c>
      <c r="C818" s="46" t="s">
        <v>1375</v>
      </c>
      <c r="D818" s="46" t="s">
        <v>1358</v>
      </c>
      <c r="E818" s="46"/>
      <c r="F818" s="46" t="s">
        <v>1377</v>
      </c>
      <c r="G818" s="47">
        <v>44817.9798958333</v>
      </c>
      <c r="H818" s="47">
        <v>44817.9800462963</v>
      </c>
      <c r="I818" s="46"/>
      <c r="J818" s="46" t="s">
        <v>407</v>
      </c>
      <c r="K818" s="46"/>
      <c r="L818" s="46"/>
      <c r="M818" s="46">
        <v>239</v>
      </c>
      <c r="N818" s="46">
        <v>0</v>
      </c>
      <c r="O818" s="46">
        <v>-2</v>
      </c>
      <c r="P818" s="46">
        <v>0</v>
      </c>
      <c r="Q818" s="46">
        <v>237</v>
      </c>
      <c r="R818" s="46">
        <v>237</v>
      </c>
      <c r="S818" s="46" t="s">
        <v>1400</v>
      </c>
      <c r="T818" s="46" t="s">
        <v>4682</v>
      </c>
      <c r="U818" s="46">
        <v>1</v>
      </c>
      <c r="V818" s="46" t="s">
        <v>1364</v>
      </c>
      <c r="W818" s="46"/>
      <c r="X818" s="46" t="s">
        <v>374</v>
      </c>
      <c r="Y818" s="46" t="s">
        <v>3220</v>
      </c>
      <c r="Z818" s="46" t="s">
        <v>1478</v>
      </c>
      <c r="AA818" s="46" t="s">
        <v>2994</v>
      </c>
      <c r="AB818" s="46" t="s">
        <v>3221</v>
      </c>
      <c r="AC818" s="46" t="s">
        <v>3222</v>
      </c>
      <c r="AD818" s="46"/>
      <c r="AE818" s="46"/>
      <c r="AF818" s="46" t="s">
        <v>3223</v>
      </c>
      <c r="AG818" s="46" t="s">
        <v>1372</v>
      </c>
      <c r="AH818" s="46" t="s">
        <v>3220</v>
      </c>
      <c r="AI818" s="46"/>
      <c r="AJ818" s="46"/>
      <c r="AK818" s="46">
        <v>0</v>
      </c>
      <c r="AL818" s="46"/>
      <c r="AM818" s="46"/>
      <c r="AN818" s="46"/>
      <c r="AO818" s="46" t="s">
        <v>1372</v>
      </c>
      <c r="AP818" s="46" t="s">
        <v>1373</v>
      </c>
    </row>
    <row r="819" hidden="1" spans="1:42">
      <c r="A819" s="46" t="s">
        <v>4683</v>
      </c>
      <c r="B819" s="46" t="s">
        <v>1356</v>
      </c>
      <c r="C819" s="46" t="s">
        <v>1375</v>
      </c>
      <c r="D819" s="46" t="s">
        <v>1358</v>
      </c>
      <c r="E819" s="46"/>
      <c r="F819" s="46" t="s">
        <v>1377</v>
      </c>
      <c r="G819" s="47">
        <v>44817.9778472222</v>
      </c>
      <c r="H819" s="47">
        <v>44817.9779398148</v>
      </c>
      <c r="I819" s="46"/>
      <c r="J819" s="46" t="s">
        <v>407</v>
      </c>
      <c r="K819" s="46"/>
      <c r="L819" s="46"/>
      <c r="M819" s="46">
        <v>269</v>
      </c>
      <c r="N819" s="46">
        <v>0</v>
      </c>
      <c r="O819" s="46">
        <v>-5</v>
      </c>
      <c r="P819" s="46">
        <v>0</v>
      </c>
      <c r="Q819" s="46">
        <v>264</v>
      </c>
      <c r="R819" s="46">
        <v>264</v>
      </c>
      <c r="S819" s="46" t="s">
        <v>1422</v>
      </c>
      <c r="T819" s="46" t="s">
        <v>1986</v>
      </c>
      <c r="U819" s="46">
        <v>1</v>
      </c>
      <c r="V819" s="46" t="s">
        <v>1364</v>
      </c>
      <c r="W819" s="46"/>
      <c r="X819" s="46" t="s">
        <v>377</v>
      </c>
      <c r="Y819" s="46" t="s">
        <v>4653</v>
      </c>
      <c r="Z819" s="46" t="s">
        <v>2386</v>
      </c>
      <c r="AA819" s="46" t="s">
        <v>2386</v>
      </c>
      <c r="AB819" s="46" t="s">
        <v>3620</v>
      </c>
      <c r="AC819" s="46" t="s">
        <v>4654</v>
      </c>
      <c r="AD819" s="46"/>
      <c r="AE819" s="46"/>
      <c r="AF819" s="46" t="s">
        <v>4684</v>
      </c>
      <c r="AG819" s="46" t="s">
        <v>1372</v>
      </c>
      <c r="AH819" s="46"/>
      <c r="AI819" s="46"/>
      <c r="AJ819" s="46"/>
      <c r="AK819" s="46">
        <v>0</v>
      </c>
      <c r="AL819" s="46"/>
      <c r="AM819" s="46"/>
      <c r="AN819" s="46"/>
      <c r="AO819" s="46" t="s">
        <v>1372</v>
      </c>
      <c r="AP819" s="46" t="s">
        <v>1373</v>
      </c>
    </row>
    <row r="820" hidden="1" spans="1:42">
      <c r="A820" s="46" t="s">
        <v>4685</v>
      </c>
      <c r="B820" s="46" t="s">
        <v>1356</v>
      </c>
      <c r="C820" s="46" t="s">
        <v>1375</v>
      </c>
      <c r="D820" s="46" t="s">
        <v>1358</v>
      </c>
      <c r="E820" s="46"/>
      <c r="F820" s="46" t="s">
        <v>1377</v>
      </c>
      <c r="G820" s="47">
        <v>44817.9730092593</v>
      </c>
      <c r="H820" s="47">
        <v>44817.9731134259</v>
      </c>
      <c r="I820" s="46"/>
      <c r="J820" s="46" t="s">
        <v>407</v>
      </c>
      <c r="K820" s="46"/>
      <c r="L820" s="46"/>
      <c r="M820" s="46">
        <v>239</v>
      </c>
      <c r="N820" s="46">
        <v>10</v>
      </c>
      <c r="O820" s="46">
        <v>-7</v>
      </c>
      <c r="P820" s="46">
        <v>0</v>
      </c>
      <c r="Q820" s="46">
        <v>242</v>
      </c>
      <c r="R820" s="46">
        <v>242</v>
      </c>
      <c r="S820" s="46" t="s">
        <v>2550</v>
      </c>
      <c r="T820" s="46" t="s">
        <v>4686</v>
      </c>
      <c r="U820" s="46">
        <v>1</v>
      </c>
      <c r="V820" s="46" t="s">
        <v>1364</v>
      </c>
      <c r="W820" s="46"/>
      <c r="X820" s="46" t="s">
        <v>366</v>
      </c>
      <c r="Y820" s="46" t="s">
        <v>4662</v>
      </c>
      <c r="Z820" s="46" t="s">
        <v>2298</v>
      </c>
      <c r="AA820" s="46" t="s">
        <v>3568</v>
      </c>
      <c r="AB820" s="46" t="s">
        <v>4663</v>
      </c>
      <c r="AC820" s="46" t="s">
        <v>4664</v>
      </c>
      <c r="AD820" s="46" t="s">
        <v>4687</v>
      </c>
      <c r="AE820" s="46"/>
      <c r="AF820" s="46" t="s">
        <v>4665</v>
      </c>
      <c r="AG820" s="46" t="s">
        <v>1372</v>
      </c>
      <c r="AH820" s="46"/>
      <c r="AI820" s="46"/>
      <c r="AJ820" s="46"/>
      <c r="AK820" s="46">
        <v>0</v>
      </c>
      <c r="AL820" s="46"/>
      <c r="AM820" s="46"/>
      <c r="AN820" s="46"/>
      <c r="AO820" s="46" t="s">
        <v>1372</v>
      </c>
      <c r="AP820" s="46" t="s">
        <v>1373</v>
      </c>
    </row>
    <row r="821" hidden="1" spans="1:42">
      <c r="A821" s="46" t="s">
        <v>4688</v>
      </c>
      <c r="B821" s="46" t="s">
        <v>1356</v>
      </c>
      <c r="C821" s="46" t="s">
        <v>1375</v>
      </c>
      <c r="D821" s="46" t="s">
        <v>1358</v>
      </c>
      <c r="E821" s="46"/>
      <c r="F821" s="46" t="s">
        <v>1377</v>
      </c>
      <c r="G821" s="47">
        <v>44817.9707291667</v>
      </c>
      <c r="H821" s="47">
        <v>44817.9708333333</v>
      </c>
      <c r="I821" s="46"/>
      <c r="J821" s="46" t="s">
        <v>407</v>
      </c>
      <c r="K821" s="46"/>
      <c r="L821" s="46"/>
      <c r="M821" s="46">
        <v>359</v>
      </c>
      <c r="N821" s="46">
        <v>10</v>
      </c>
      <c r="O821" s="46">
        <v>-5</v>
      </c>
      <c r="P821" s="46">
        <v>0</v>
      </c>
      <c r="Q821" s="46">
        <v>364</v>
      </c>
      <c r="R821" s="46">
        <v>364</v>
      </c>
      <c r="S821" s="46" t="s">
        <v>1422</v>
      </c>
      <c r="T821" s="46" t="s">
        <v>3414</v>
      </c>
      <c r="U821" s="46">
        <v>1</v>
      </c>
      <c r="V821" s="46" t="s">
        <v>1364</v>
      </c>
      <c r="W821" s="46"/>
      <c r="X821" s="46" t="s">
        <v>366</v>
      </c>
      <c r="Y821" s="46" t="s">
        <v>4662</v>
      </c>
      <c r="Z821" s="46" t="s">
        <v>2298</v>
      </c>
      <c r="AA821" s="46" t="s">
        <v>3568</v>
      </c>
      <c r="AB821" s="46" t="s">
        <v>4663</v>
      </c>
      <c r="AC821" s="46" t="s">
        <v>4664</v>
      </c>
      <c r="AD821" s="46"/>
      <c r="AE821" s="46"/>
      <c r="AF821" s="46" t="s">
        <v>4665</v>
      </c>
      <c r="AG821" s="46" t="s">
        <v>1372</v>
      </c>
      <c r="AH821" s="46"/>
      <c r="AI821" s="46"/>
      <c r="AJ821" s="46"/>
      <c r="AK821" s="46">
        <v>0</v>
      </c>
      <c r="AL821" s="46"/>
      <c r="AM821" s="46"/>
      <c r="AN821" s="46"/>
      <c r="AO821" s="46" t="s">
        <v>1372</v>
      </c>
      <c r="AP821" s="46" t="s">
        <v>1373</v>
      </c>
    </row>
    <row r="822" hidden="1" spans="1:42">
      <c r="A822" s="46" t="s">
        <v>4689</v>
      </c>
      <c r="B822" s="46" t="s">
        <v>1356</v>
      </c>
      <c r="C822" s="46" t="s">
        <v>1375</v>
      </c>
      <c r="D822" s="46" t="s">
        <v>1358</v>
      </c>
      <c r="E822" s="46"/>
      <c r="F822" s="46" t="s">
        <v>1377</v>
      </c>
      <c r="G822" s="47">
        <v>44817.9648148148</v>
      </c>
      <c r="H822" s="47">
        <v>44817.9654282407</v>
      </c>
      <c r="I822" s="46"/>
      <c r="J822" s="46" t="s">
        <v>407</v>
      </c>
      <c r="K822" s="46"/>
      <c r="L822" s="46"/>
      <c r="M822" s="46">
        <v>239</v>
      </c>
      <c r="N822" s="46">
        <v>0</v>
      </c>
      <c r="O822" s="46">
        <v>0</v>
      </c>
      <c r="P822" s="46">
        <v>0</v>
      </c>
      <c r="Q822" s="46">
        <v>239</v>
      </c>
      <c r="R822" s="46">
        <v>239</v>
      </c>
      <c r="S822" s="46"/>
      <c r="T822" s="46" t="s">
        <v>4690</v>
      </c>
      <c r="U822" s="46">
        <v>1</v>
      </c>
      <c r="V822" s="46" t="s">
        <v>1364</v>
      </c>
      <c r="W822" s="46"/>
      <c r="X822" s="46" t="s">
        <v>871</v>
      </c>
      <c r="Y822" s="46" t="s">
        <v>4691</v>
      </c>
      <c r="Z822" s="46" t="s">
        <v>1478</v>
      </c>
      <c r="AA822" s="46" t="s">
        <v>4692</v>
      </c>
      <c r="AB822" s="46" t="s">
        <v>4693</v>
      </c>
      <c r="AC822" s="46" t="s">
        <v>4694</v>
      </c>
      <c r="AD822" s="46" t="s">
        <v>4695</v>
      </c>
      <c r="AE822" s="46"/>
      <c r="AF822" s="46" t="s">
        <v>4696</v>
      </c>
      <c r="AG822" s="46" t="s">
        <v>1372</v>
      </c>
      <c r="AH822" s="46"/>
      <c r="AI822" s="46"/>
      <c r="AJ822" s="46"/>
      <c r="AK822" s="46">
        <v>0</v>
      </c>
      <c r="AL822" s="46"/>
      <c r="AM822" s="46"/>
      <c r="AN822" s="46"/>
      <c r="AO822" s="46" t="s">
        <v>1372</v>
      </c>
      <c r="AP822" s="46" t="s">
        <v>1373</v>
      </c>
    </row>
    <row r="823" hidden="1" spans="1:42">
      <c r="A823" s="46" t="s">
        <v>4697</v>
      </c>
      <c r="B823" s="46" t="s">
        <v>1356</v>
      </c>
      <c r="C823" s="46" t="s">
        <v>1375</v>
      </c>
      <c r="D823" s="46" t="s">
        <v>1358</v>
      </c>
      <c r="E823" s="46"/>
      <c r="F823" s="46" t="s">
        <v>1377</v>
      </c>
      <c r="G823" s="47">
        <v>44817.9646180556</v>
      </c>
      <c r="H823" s="47">
        <v>44817.9647222222</v>
      </c>
      <c r="I823" s="46"/>
      <c r="J823" s="46" t="s">
        <v>407</v>
      </c>
      <c r="K823" s="46"/>
      <c r="L823" s="46"/>
      <c r="M823" s="46">
        <v>239</v>
      </c>
      <c r="N823" s="46">
        <v>10</v>
      </c>
      <c r="O823" s="46">
        <v>-5</v>
      </c>
      <c r="P823" s="46">
        <v>0</v>
      </c>
      <c r="Q823" s="46">
        <v>244</v>
      </c>
      <c r="R823" s="46">
        <v>244</v>
      </c>
      <c r="S823" s="46" t="s">
        <v>1422</v>
      </c>
      <c r="T823" s="46" t="s">
        <v>4698</v>
      </c>
      <c r="U823" s="46">
        <v>1</v>
      </c>
      <c r="V823" s="46" t="s">
        <v>1364</v>
      </c>
      <c r="W823" s="46"/>
      <c r="X823" s="46" t="s">
        <v>366</v>
      </c>
      <c r="Y823" s="46" t="s">
        <v>4662</v>
      </c>
      <c r="Z823" s="46" t="s">
        <v>2298</v>
      </c>
      <c r="AA823" s="46" t="s">
        <v>3568</v>
      </c>
      <c r="AB823" s="46" t="s">
        <v>4663</v>
      </c>
      <c r="AC823" s="46" t="s">
        <v>4664</v>
      </c>
      <c r="AD823" s="46" t="s">
        <v>4687</v>
      </c>
      <c r="AE823" s="46"/>
      <c r="AF823" s="46" t="s">
        <v>4665</v>
      </c>
      <c r="AG823" s="46" t="s">
        <v>1372</v>
      </c>
      <c r="AH823" s="46"/>
      <c r="AI823" s="46"/>
      <c r="AJ823" s="46"/>
      <c r="AK823" s="46">
        <v>0</v>
      </c>
      <c r="AL823" s="46"/>
      <c r="AM823" s="46"/>
      <c r="AN823" s="46"/>
      <c r="AO823" s="46" t="s">
        <v>1372</v>
      </c>
      <c r="AP823" s="46" t="s">
        <v>1373</v>
      </c>
    </row>
    <row r="824" hidden="1" spans="1:42">
      <c r="A824" s="46" t="s">
        <v>4699</v>
      </c>
      <c r="B824" s="46" t="s">
        <v>1356</v>
      </c>
      <c r="C824" s="46" t="s">
        <v>1375</v>
      </c>
      <c r="D824" s="46" t="s">
        <v>1358</v>
      </c>
      <c r="E824" s="46"/>
      <c r="F824" s="46" t="s">
        <v>1377</v>
      </c>
      <c r="G824" s="47">
        <v>44817.9632060185</v>
      </c>
      <c r="H824" s="47">
        <v>44817.9633101852</v>
      </c>
      <c r="I824" s="46"/>
      <c r="J824" s="46" t="s">
        <v>407</v>
      </c>
      <c r="K824" s="46"/>
      <c r="L824" s="46"/>
      <c r="M824" s="46">
        <v>239</v>
      </c>
      <c r="N824" s="46">
        <v>0</v>
      </c>
      <c r="O824" s="46">
        <v>-5</v>
      </c>
      <c r="P824" s="46">
        <v>0</v>
      </c>
      <c r="Q824" s="46">
        <v>234</v>
      </c>
      <c r="R824" s="46">
        <v>234</v>
      </c>
      <c r="S824" s="46" t="s">
        <v>1422</v>
      </c>
      <c r="T824" s="46" t="s">
        <v>4700</v>
      </c>
      <c r="U824" s="46">
        <v>1</v>
      </c>
      <c r="V824" s="46" t="s">
        <v>1364</v>
      </c>
      <c r="W824" s="46"/>
      <c r="X824" s="46" t="s">
        <v>377</v>
      </c>
      <c r="Y824" s="46" t="s">
        <v>4653</v>
      </c>
      <c r="Z824" s="46" t="s">
        <v>2386</v>
      </c>
      <c r="AA824" s="46" t="s">
        <v>2386</v>
      </c>
      <c r="AB824" s="46" t="s">
        <v>3620</v>
      </c>
      <c r="AC824" s="46" t="s">
        <v>4654</v>
      </c>
      <c r="AD824" s="46"/>
      <c r="AE824" s="46"/>
      <c r="AF824" s="46" t="s">
        <v>4684</v>
      </c>
      <c r="AG824" s="46" t="s">
        <v>1372</v>
      </c>
      <c r="AH824" s="46"/>
      <c r="AI824" s="46"/>
      <c r="AJ824" s="46"/>
      <c r="AK824" s="46">
        <v>0</v>
      </c>
      <c r="AL824" s="46"/>
      <c r="AM824" s="46"/>
      <c r="AN824" s="46"/>
      <c r="AO824" s="46" t="s">
        <v>1372</v>
      </c>
      <c r="AP824" s="46" t="s">
        <v>1373</v>
      </c>
    </row>
    <row r="825" hidden="1" spans="1:42">
      <c r="A825" s="46" t="s">
        <v>4701</v>
      </c>
      <c r="B825" s="46" t="s">
        <v>1356</v>
      </c>
      <c r="C825" s="46" t="s">
        <v>1375</v>
      </c>
      <c r="D825" s="46" t="s">
        <v>1358</v>
      </c>
      <c r="E825" s="46"/>
      <c r="F825" s="46" t="s">
        <v>1377</v>
      </c>
      <c r="G825" s="47">
        <v>44817.9629861111</v>
      </c>
      <c r="H825" s="47">
        <v>44817.9631828704</v>
      </c>
      <c r="I825" s="46"/>
      <c r="J825" s="46" t="s">
        <v>407</v>
      </c>
      <c r="K825" s="46"/>
      <c r="L825" s="46"/>
      <c r="M825" s="46">
        <v>239</v>
      </c>
      <c r="N825" s="46">
        <v>0</v>
      </c>
      <c r="O825" s="46">
        <v>-7</v>
      </c>
      <c r="P825" s="46">
        <v>0</v>
      </c>
      <c r="Q825" s="46">
        <v>232</v>
      </c>
      <c r="R825" s="46">
        <v>232</v>
      </c>
      <c r="S825" s="46" t="s">
        <v>2550</v>
      </c>
      <c r="T825" s="46" t="s">
        <v>4702</v>
      </c>
      <c r="U825" s="46">
        <v>1</v>
      </c>
      <c r="V825" s="46" t="s">
        <v>1364</v>
      </c>
      <c r="W825" s="46"/>
      <c r="X825" s="46" t="s">
        <v>375</v>
      </c>
      <c r="Y825" s="46" t="s">
        <v>2450</v>
      </c>
      <c r="Z825" s="46" t="s">
        <v>1678</v>
      </c>
      <c r="AA825" s="46" t="s">
        <v>2007</v>
      </c>
      <c r="AB825" s="46" t="s">
        <v>2451</v>
      </c>
      <c r="AC825" s="46" t="s">
        <v>2452</v>
      </c>
      <c r="AD825" s="46"/>
      <c r="AE825" s="46"/>
      <c r="AF825" s="46" t="s">
        <v>2453</v>
      </c>
      <c r="AG825" s="46" t="s">
        <v>1385</v>
      </c>
      <c r="AH825" s="46" t="s">
        <v>2450</v>
      </c>
      <c r="AI825" s="46"/>
      <c r="AJ825" s="46"/>
      <c r="AK825" s="46">
        <v>0</v>
      </c>
      <c r="AL825" s="46"/>
      <c r="AM825" s="46"/>
      <c r="AN825" s="46"/>
      <c r="AO825" s="46" t="s">
        <v>1372</v>
      </c>
      <c r="AP825" s="46" t="s">
        <v>1373</v>
      </c>
    </row>
    <row r="826" hidden="1" spans="1:42">
      <c r="A826" s="46" t="s">
        <v>4703</v>
      </c>
      <c r="B826" s="46" t="s">
        <v>1356</v>
      </c>
      <c r="C826" s="46" t="s">
        <v>1375</v>
      </c>
      <c r="D826" s="46" t="s">
        <v>1358</v>
      </c>
      <c r="E826" s="46"/>
      <c r="F826" s="46" t="s">
        <v>1377</v>
      </c>
      <c r="G826" s="47">
        <v>44817.9620949074</v>
      </c>
      <c r="H826" s="47">
        <v>44817.9622916667</v>
      </c>
      <c r="I826" s="46"/>
      <c r="J826" s="46" t="s">
        <v>407</v>
      </c>
      <c r="K826" s="46"/>
      <c r="L826" s="46"/>
      <c r="M826" s="46">
        <v>259</v>
      </c>
      <c r="N826" s="46">
        <v>0</v>
      </c>
      <c r="O826" s="46">
        <v>-5</v>
      </c>
      <c r="P826" s="46">
        <v>0</v>
      </c>
      <c r="Q826" s="46">
        <v>254</v>
      </c>
      <c r="R826" s="46">
        <v>254</v>
      </c>
      <c r="S826" s="46" t="s">
        <v>1422</v>
      </c>
      <c r="T826" s="46" t="s">
        <v>4704</v>
      </c>
      <c r="U826" s="46">
        <v>1</v>
      </c>
      <c r="V826" s="46" t="s">
        <v>1364</v>
      </c>
      <c r="W826" s="46"/>
      <c r="X826" s="46" t="s">
        <v>522</v>
      </c>
      <c r="Y826" s="46" t="s">
        <v>4705</v>
      </c>
      <c r="Z826" s="46" t="s">
        <v>1380</v>
      </c>
      <c r="AA826" s="46" t="s">
        <v>1506</v>
      </c>
      <c r="AB826" s="46" t="s">
        <v>4553</v>
      </c>
      <c r="AC826" s="46" t="s">
        <v>4706</v>
      </c>
      <c r="AD826" s="46"/>
      <c r="AE826" s="46"/>
      <c r="AF826" s="46" t="s">
        <v>4707</v>
      </c>
      <c r="AG826" s="46" t="s">
        <v>1385</v>
      </c>
      <c r="AH826" s="46" t="s">
        <v>4705</v>
      </c>
      <c r="AI826" s="46"/>
      <c r="AJ826" s="46"/>
      <c r="AK826" s="46">
        <v>0</v>
      </c>
      <c r="AL826" s="46"/>
      <c r="AM826" s="46"/>
      <c r="AN826" s="46"/>
      <c r="AO826" s="46" t="s">
        <v>1372</v>
      </c>
      <c r="AP826" s="46" t="s">
        <v>1373</v>
      </c>
    </row>
    <row r="827" hidden="1" spans="1:42">
      <c r="A827" s="46" t="s">
        <v>4708</v>
      </c>
      <c r="B827" s="46" t="s">
        <v>1356</v>
      </c>
      <c r="C827" s="46" t="s">
        <v>1375</v>
      </c>
      <c r="D827" s="46" t="s">
        <v>1358</v>
      </c>
      <c r="E827" s="46"/>
      <c r="F827" s="46" t="s">
        <v>1377</v>
      </c>
      <c r="G827" s="47">
        <v>44817.9584490741</v>
      </c>
      <c r="H827" s="47">
        <v>44817.9585416667</v>
      </c>
      <c r="I827" s="46"/>
      <c r="J827" s="46" t="s">
        <v>407</v>
      </c>
      <c r="K827" s="46"/>
      <c r="L827" s="46"/>
      <c r="M827" s="46">
        <v>239</v>
      </c>
      <c r="N827" s="46">
        <v>0</v>
      </c>
      <c r="O827" s="46">
        <v>-5</v>
      </c>
      <c r="P827" s="46">
        <v>0</v>
      </c>
      <c r="Q827" s="46">
        <v>234</v>
      </c>
      <c r="R827" s="46">
        <v>234</v>
      </c>
      <c r="S827" s="46" t="s">
        <v>1422</v>
      </c>
      <c r="T827" s="46" t="s">
        <v>4709</v>
      </c>
      <c r="U827" s="46">
        <v>1</v>
      </c>
      <c r="V827" s="46" t="s">
        <v>1364</v>
      </c>
      <c r="W827" s="46"/>
      <c r="X827" s="46" t="s">
        <v>377</v>
      </c>
      <c r="Y827" s="46" t="s">
        <v>4653</v>
      </c>
      <c r="Z827" s="46" t="s">
        <v>2386</v>
      </c>
      <c r="AA827" s="46" t="s">
        <v>2386</v>
      </c>
      <c r="AB827" s="46" t="s">
        <v>3620</v>
      </c>
      <c r="AC827" s="46" t="s">
        <v>4654</v>
      </c>
      <c r="AD827" s="46"/>
      <c r="AE827" s="46"/>
      <c r="AF827" s="46" t="s">
        <v>4684</v>
      </c>
      <c r="AG827" s="46" t="s">
        <v>1372</v>
      </c>
      <c r="AH827" s="46"/>
      <c r="AI827" s="46"/>
      <c r="AJ827" s="46"/>
      <c r="AK827" s="46">
        <v>0</v>
      </c>
      <c r="AL827" s="46"/>
      <c r="AM827" s="46"/>
      <c r="AN827" s="46"/>
      <c r="AO827" s="46" t="s">
        <v>1372</v>
      </c>
      <c r="AP827" s="46" t="s">
        <v>1373</v>
      </c>
    </row>
    <row r="828" hidden="1" spans="1:42">
      <c r="A828" s="46" t="s">
        <v>4710</v>
      </c>
      <c r="B828" s="46" t="s">
        <v>1356</v>
      </c>
      <c r="C828" s="46" t="s">
        <v>1375</v>
      </c>
      <c r="D828" s="46" t="s">
        <v>1358</v>
      </c>
      <c r="E828" s="46"/>
      <c r="F828" s="46" t="s">
        <v>1377</v>
      </c>
      <c r="G828" s="47">
        <v>44817.9566898148</v>
      </c>
      <c r="H828" s="47">
        <v>44817.9568402778</v>
      </c>
      <c r="I828" s="46"/>
      <c r="J828" s="46" t="s">
        <v>407</v>
      </c>
      <c r="K828" s="46"/>
      <c r="L828" s="46"/>
      <c r="M828" s="46">
        <v>249</v>
      </c>
      <c r="N828" s="46">
        <v>0</v>
      </c>
      <c r="O828" s="46">
        <v>-1</v>
      </c>
      <c r="P828" s="46">
        <v>0</v>
      </c>
      <c r="Q828" s="46">
        <v>248</v>
      </c>
      <c r="R828" s="46">
        <v>248</v>
      </c>
      <c r="S828" s="46" t="s">
        <v>1414</v>
      </c>
      <c r="T828" s="46" t="s">
        <v>4711</v>
      </c>
      <c r="U828" s="46">
        <v>1</v>
      </c>
      <c r="V828" s="46" t="s">
        <v>1364</v>
      </c>
      <c r="W828" s="46"/>
      <c r="X828" s="46" t="s">
        <v>846</v>
      </c>
      <c r="Y828" s="46" t="s">
        <v>4712</v>
      </c>
      <c r="Z828" s="46" t="s">
        <v>1367</v>
      </c>
      <c r="AA828" s="46" t="s">
        <v>1417</v>
      </c>
      <c r="AB828" s="46" t="s">
        <v>1418</v>
      </c>
      <c r="AC828" s="46" t="s">
        <v>4713</v>
      </c>
      <c r="AD828" s="46"/>
      <c r="AE828" s="46"/>
      <c r="AF828" s="46" t="s">
        <v>846</v>
      </c>
      <c r="AG828" s="46" t="s">
        <v>1372</v>
      </c>
      <c r="AH828" s="46" t="s">
        <v>4712</v>
      </c>
      <c r="AI828" s="46"/>
      <c r="AJ828" s="46"/>
      <c r="AK828" s="46">
        <v>0</v>
      </c>
      <c r="AL828" s="46"/>
      <c r="AM828" s="46"/>
      <c r="AN828" s="46"/>
      <c r="AO828" s="46" t="s">
        <v>1372</v>
      </c>
      <c r="AP828" s="46" t="s">
        <v>1373</v>
      </c>
    </row>
    <row r="829" hidden="1" spans="1:42">
      <c r="A829" s="46" t="s">
        <v>4714</v>
      </c>
      <c r="B829" s="46" t="s">
        <v>1356</v>
      </c>
      <c r="C829" s="46" t="s">
        <v>1375</v>
      </c>
      <c r="D829" s="46" t="s">
        <v>1358</v>
      </c>
      <c r="E829" s="46"/>
      <c r="F829" s="46" t="s">
        <v>1377</v>
      </c>
      <c r="G829" s="47">
        <v>44817.9561226852</v>
      </c>
      <c r="H829" s="47">
        <v>44817.9584606482</v>
      </c>
      <c r="I829" s="46"/>
      <c r="J829" s="46" t="s">
        <v>407</v>
      </c>
      <c r="K829" s="46"/>
      <c r="L829" s="46"/>
      <c r="M829" s="46">
        <v>239</v>
      </c>
      <c r="N829" s="46">
        <v>0</v>
      </c>
      <c r="O829" s="46">
        <v>-2</v>
      </c>
      <c r="P829" s="46">
        <v>0</v>
      </c>
      <c r="Q829" s="46">
        <v>237</v>
      </c>
      <c r="R829" s="46">
        <v>237</v>
      </c>
      <c r="S829" s="46" t="s">
        <v>1400</v>
      </c>
      <c r="T829" s="46" t="s">
        <v>4715</v>
      </c>
      <c r="U829" s="46">
        <v>1</v>
      </c>
      <c r="V829" s="46" t="s">
        <v>1364</v>
      </c>
      <c r="W829" s="46"/>
      <c r="X829" s="46" t="s">
        <v>603</v>
      </c>
      <c r="Y829" s="46" t="s">
        <v>4716</v>
      </c>
      <c r="Z829" s="46" t="s">
        <v>1367</v>
      </c>
      <c r="AA829" s="46" t="s">
        <v>1551</v>
      </c>
      <c r="AB829" s="46" t="s">
        <v>1647</v>
      </c>
      <c r="AC829" s="46" t="s">
        <v>4717</v>
      </c>
      <c r="AD829" s="46"/>
      <c r="AE829" s="46"/>
      <c r="AF829" s="46" t="s">
        <v>4718</v>
      </c>
      <c r="AG829" s="46" t="s">
        <v>1385</v>
      </c>
      <c r="AH829" s="46" t="s">
        <v>4716</v>
      </c>
      <c r="AI829" s="46"/>
      <c r="AJ829" s="46"/>
      <c r="AK829" s="46">
        <v>0</v>
      </c>
      <c r="AL829" s="46"/>
      <c r="AM829" s="46"/>
      <c r="AN829" s="46"/>
      <c r="AO829" s="46" t="s">
        <v>1372</v>
      </c>
      <c r="AP829" s="46" t="s">
        <v>1373</v>
      </c>
    </row>
    <row r="830" hidden="1" spans="1:42">
      <c r="A830" s="46" t="s">
        <v>4719</v>
      </c>
      <c r="B830" s="46" t="s">
        <v>1356</v>
      </c>
      <c r="C830" s="46" t="s">
        <v>1375</v>
      </c>
      <c r="D830" s="46" t="s">
        <v>1780</v>
      </c>
      <c r="E830" s="46"/>
      <c r="F830" s="46" t="s">
        <v>1377</v>
      </c>
      <c r="G830" s="47">
        <v>44817.9526273148</v>
      </c>
      <c r="H830" s="46"/>
      <c r="I830" s="46"/>
      <c r="J830" s="46"/>
      <c r="K830" s="46"/>
      <c r="L830" s="46"/>
      <c r="M830" s="46">
        <v>239</v>
      </c>
      <c r="N830" s="46">
        <v>0</v>
      </c>
      <c r="O830" s="46">
        <v>0</v>
      </c>
      <c r="P830" s="46">
        <v>0</v>
      </c>
      <c r="Q830" s="46">
        <v>239</v>
      </c>
      <c r="R830" s="46">
        <v>0</v>
      </c>
      <c r="S830" s="46"/>
      <c r="T830" s="46" t="s">
        <v>4715</v>
      </c>
      <c r="U830" s="46">
        <v>1</v>
      </c>
      <c r="V830" s="46" t="s">
        <v>1364</v>
      </c>
      <c r="W830" s="46"/>
      <c r="X830" s="46" t="s">
        <v>603</v>
      </c>
      <c r="Y830" s="46" t="s">
        <v>4716</v>
      </c>
      <c r="Z830" s="46" t="s">
        <v>1367</v>
      </c>
      <c r="AA830" s="46" t="s">
        <v>1551</v>
      </c>
      <c r="AB830" s="46" t="s">
        <v>1647</v>
      </c>
      <c r="AC830" s="46" t="s">
        <v>4720</v>
      </c>
      <c r="AD830" s="46"/>
      <c r="AE830" s="46"/>
      <c r="AF830" s="46" t="s">
        <v>4718</v>
      </c>
      <c r="AG830" s="46" t="s">
        <v>1385</v>
      </c>
      <c r="AH830" s="46" t="s">
        <v>4716</v>
      </c>
      <c r="AI830" s="46"/>
      <c r="AJ830" s="46"/>
      <c r="AK830" s="46">
        <v>0</v>
      </c>
      <c r="AL830" s="46"/>
      <c r="AM830" s="46"/>
      <c r="AN830" s="46"/>
      <c r="AO830" s="46" t="s">
        <v>1372</v>
      </c>
      <c r="AP830" s="46" t="s">
        <v>1373</v>
      </c>
    </row>
    <row r="831" hidden="1" spans="1:42">
      <c r="A831" s="46" t="s">
        <v>4721</v>
      </c>
      <c r="B831" s="46" t="s">
        <v>1356</v>
      </c>
      <c r="C831" s="46" t="s">
        <v>1375</v>
      </c>
      <c r="D831" s="46" t="s">
        <v>1358</v>
      </c>
      <c r="E831" s="46"/>
      <c r="F831" s="46" t="s">
        <v>1377</v>
      </c>
      <c r="G831" s="47">
        <v>44817.9523032407</v>
      </c>
      <c r="H831" s="47">
        <v>44817.9524074074</v>
      </c>
      <c r="I831" s="46"/>
      <c r="J831" s="46" t="s">
        <v>407</v>
      </c>
      <c r="K831" s="46"/>
      <c r="L831" s="46"/>
      <c r="M831" s="46">
        <v>239</v>
      </c>
      <c r="N831" s="46">
        <v>10</v>
      </c>
      <c r="O831" s="46">
        <v>-5</v>
      </c>
      <c r="P831" s="46">
        <v>0</v>
      </c>
      <c r="Q831" s="46">
        <v>244</v>
      </c>
      <c r="R831" s="46">
        <v>244</v>
      </c>
      <c r="S831" s="46" t="s">
        <v>1422</v>
      </c>
      <c r="T831" s="46" t="s">
        <v>4722</v>
      </c>
      <c r="U831" s="46">
        <v>1</v>
      </c>
      <c r="V831" s="46" t="s">
        <v>1364</v>
      </c>
      <c r="W831" s="46"/>
      <c r="X831" s="46" t="s">
        <v>366</v>
      </c>
      <c r="Y831" s="46" t="s">
        <v>4662</v>
      </c>
      <c r="Z831" s="46" t="s">
        <v>2298</v>
      </c>
      <c r="AA831" s="46" t="s">
        <v>3568</v>
      </c>
      <c r="AB831" s="46" t="s">
        <v>4663</v>
      </c>
      <c r="AC831" s="46" t="s">
        <v>4664</v>
      </c>
      <c r="AD831" s="46"/>
      <c r="AE831" s="46"/>
      <c r="AF831" s="46" t="s">
        <v>4665</v>
      </c>
      <c r="AG831" s="46" t="s">
        <v>1372</v>
      </c>
      <c r="AH831" s="46"/>
      <c r="AI831" s="46"/>
      <c r="AJ831" s="46"/>
      <c r="AK831" s="46">
        <v>0</v>
      </c>
      <c r="AL831" s="46"/>
      <c r="AM831" s="46"/>
      <c r="AN831" s="46"/>
      <c r="AO831" s="46" t="s">
        <v>1372</v>
      </c>
      <c r="AP831" s="46" t="s">
        <v>1373</v>
      </c>
    </row>
    <row r="832" hidden="1" spans="1:42">
      <c r="A832" s="46" t="s">
        <v>4723</v>
      </c>
      <c r="B832" s="46" t="s">
        <v>1356</v>
      </c>
      <c r="C832" s="46" t="s">
        <v>1375</v>
      </c>
      <c r="D832" s="46" t="s">
        <v>1358</v>
      </c>
      <c r="E832" s="46"/>
      <c r="F832" s="46" t="s">
        <v>1377</v>
      </c>
      <c r="G832" s="47">
        <v>44817.9491319444</v>
      </c>
      <c r="H832" s="47">
        <v>44817.949212963</v>
      </c>
      <c r="I832" s="46"/>
      <c r="J832" s="46" t="s">
        <v>407</v>
      </c>
      <c r="K832" s="46"/>
      <c r="L832" s="46"/>
      <c r="M832" s="46">
        <v>299</v>
      </c>
      <c r="N832" s="46">
        <v>0</v>
      </c>
      <c r="O832" s="46">
        <v>0</v>
      </c>
      <c r="P832" s="46">
        <v>0</v>
      </c>
      <c r="Q832" s="46">
        <v>299</v>
      </c>
      <c r="R832" s="46">
        <v>299</v>
      </c>
      <c r="S832" s="46"/>
      <c r="T832" s="46" t="s">
        <v>4724</v>
      </c>
      <c r="U832" s="46">
        <v>1</v>
      </c>
      <c r="V832" s="46" t="s">
        <v>1364</v>
      </c>
      <c r="W832" s="46"/>
      <c r="X832" s="46" t="s">
        <v>377</v>
      </c>
      <c r="Y832" s="46" t="s">
        <v>4653</v>
      </c>
      <c r="Z832" s="46" t="s">
        <v>2386</v>
      </c>
      <c r="AA832" s="46" t="s">
        <v>2386</v>
      </c>
      <c r="AB832" s="46" t="s">
        <v>3620</v>
      </c>
      <c r="AC832" s="46" t="s">
        <v>4654</v>
      </c>
      <c r="AD832" s="46"/>
      <c r="AE832" s="46"/>
      <c r="AF832" s="46" t="s">
        <v>4684</v>
      </c>
      <c r="AG832" s="46" t="s">
        <v>1372</v>
      </c>
      <c r="AH832" s="46"/>
      <c r="AI832" s="46"/>
      <c r="AJ832" s="46"/>
      <c r="AK832" s="46">
        <v>0</v>
      </c>
      <c r="AL832" s="46"/>
      <c r="AM832" s="46"/>
      <c r="AN832" s="46"/>
      <c r="AO832" s="46" t="s">
        <v>1372</v>
      </c>
      <c r="AP832" s="46" t="s">
        <v>1373</v>
      </c>
    </row>
    <row r="833" hidden="1" spans="1:42">
      <c r="A833" s="46" t="s">
        <v>4725</v>
      </c>
      <c r="B833" s="46" t="s">
        <v>1356</v>
      </c>
      <c r="C833" s="46" t="s">
        <v>1375</v>
      </c>
      <c r="D833" s="46" t="s">
        <v>1358</v>
      </c>
      <c r="E833" s="46"/>
      <c r="F833" s="46" t="s">
        <v>1377</v>
      </c>
      <c r="G833" s="47">
        <v>44817.945474537</v>
      </c>
      <c r="H833" s="47">
        <v>44817.946099537</v>
      </c>
      <c r="I833" s="46"/>
      <c r="J833" s="46" t="s">
        <v>407</v>
      </c>
      <c r="K833" s="46"/>
      <c r="L833" s="46"/>
      <c r="M833" s="46">
        <v>259</v>
      </c>
      <c r="N833" s="46">
        <v>0</v>
      </c>
      <c r="O833" s="46">
        <v>-3</v>
      </c>
      <c r="P833" s="46">
        <v>0</v>
      </c>
      <c r="Q833" s="46">
        <v>256</v>
      </c>
      <c r="R833" s="46">
        <v>256</v>
      </c>
      <c r="S833" s="46" t="s">
        <v>1397</v>
      </c>
      <c r="T833" s="46" t="s">
        <v>4726</v>
      </c>
      <c r="U833" s="46">
        <v>1</v>
      </c>
      <c r="V833" s="46" t="s">
        <v>1364</v>
      </c>
      <c r="W833" s="46"/>
      <c r="X833" s="46" t="s">
        <v>522</v>
      </c>
      <c r="Y833" s="46" t="s">
        <v>4705</v>
      </c>
      <c r="Z833" s="46" t="s">
        <v>1380</v>
      </c>
      <c r="AA833" s="46" t="s">
        <v>1506</v>
      </c>
      <c r="AB833" s="46" t="s">
        <v>4553</v>
      </c>
      <c r="AC833" s="46" t="s">
        <v>4706</v>
      </c>
      <c r="AD833" s="46"/>
      <c r="AE833" s="46"/>
      <c r="AF833" s="46" t="s">
        <v>4707</v>
      </c>
      <c r="AG833" s="46" t="s">
        <v>1385</v>
      </c>
      <c r="AH833" s="46" t="s">
        <v>4705</v>
      </c>
      <c r="AI833" s="46"/>
      <c r="AJ833" s="46"/>
      <c r="AK833" s="46">
        <v>0</v>
      </c>
      <c r="AL833" s="46"/>
      <c r="AM833" s="46"/>
      <c r="AN833" s="46"/>
      <c r="AO833" s="46" t="s">
        <v>1372</v>
      </c>
      <c r="AP833" s="46" t="s">
        <v>1373</v>
      </c>
    </row>
    <row r="834" hidden="1" spans="1:42">
      <c r="A834" s="46" t="s">
        <v>4727</v>
      </c>
      <c r="B834" s="46" t="s">
        <v>1356</v>
      </c>
      <c r="C834" s="46" t="s">
        <v>1375</v>
      </c>
      <c r="D834" s="46" t="s">
        <v>1358</v>
      </c>
      <c r="E834" s="46"/>
      <c r="F834" s="46" t="s">
        <v>1377</v>
      </c>
      <c r="G834" s="47">
        <v>44817.9429976852</v>
      </c>
      <c r="H834" s="47">
        <v>44817.9431018519</v>
      </c>
      <c r="I834" s="46"/>
      <c r="J834" s="46" t="s">
        <v>407</v>
      </c>
      <c r="K834" s="46"/>
      <c r="L834" s="46"/>
      <c r="M834" s="46">
        <v>249</v>
      </c>
      <c r="N834" s="46">
        <v>10</v>
      </c>
      <c r="O834" s="46">
        <v>-5</v>
      </c>
      <c r="P834" s="46">
        <v>0</v>
      </c>
      <c r="Q834" s="46">
        <v>254</v>
      </c>
      <c r="R834" s="46">
        <v>254</v>
      </c>
      <c r="S834" s="46" t="s">
        <v>1422</v>
      </c>
      <c r="T834" s="46" t="s">
        <v>4728</v>
      </c>
      <c r="U834" s="46">
        <v>1</v>
      </c>
      <c r="V834" s="46" t="s">
        <v>1364</v>
      </c>
      <c r="W834" s="46"/>
      <c r="X834" s="46" t="s">
        <v>366</v>
      </c>
      <c r="Y834" s="46" t="s">
        <v>4662</v>
      </c>
      <c r="Z834" s="46" t="s">
        <v>2298</v>
      </c>
      <c r="AA834" s="46" t="s">
        <v>3568</v>
      </c>
      <c r="AB834" s="46" t="s">
        <v>4663</v>
      </c>
      <c r="AC834" s="46" t="s">
        <v>4664</v>
      </c>
      <c r="AD834" s="46"/>
      <c r="AE834" s="46"/>
      <c r="AF834" s="46" t="s">
        <v>4665</v>
      </c>
      <c r="AG834" s="46" t="s">
        <v>1372</v>
      </c>
      <c r="AH834" s="46"/>
      <c r="AI834" s="46"/>
      <c r="AJ834" s="46" t="s">
        <v>1649</v>
      </c>
      <c r="AK834" s="46">
        <v>0</v>
      </c>
      <c r="AL834" s="46"/>
      <c r="AM834" s="46"/>
      <c r="AN834" s="46"/>
      <c r="AO834" s="46" t="s">
        <v>1372</v>
      </c>
      <c r="AP834" s="46" t="s">
        <v>1373</v>
      </c>
    </row>
    <row r="835" hidden="1" spans="1:42">
      <c r="A835" s="46" t="s">
        <v>4729</v>
      </c>
      <c r="B835" s="46" t="s">
        <v>1356</v>
      </c>
      <c r="C835" s="46" t="s">
        <v>1375</v>
      </c>
      <c r="D835" s="46" t="s">
        <v>1358</v>
      </c>
      <c r="E835" s="46"/>
      <c r="F835" s="46" t="s">
        <v>1377</v>
      </c>
      <c r="G835" s="47">
        <v>44817.941099537</v>
      </c>
      <c r="H835" s="47">
        <v>44817.941400463</v>
      </c>
      <c r="I835" s="46"/>
      <c r="J835" s="46" t="s">
        <v>407</v>
      </c>
      <c r="K835" s="46"/>
      <c r="L835" s="46"/>
      <c r="M835" s="46">
        <v>299</v>
      </c>
      <c r="N835" s="46">
        <v>0</v>
      </c>
      <c r="O835" s="46">
        <v>-6</v>
      </c>
      <c r="P835" s="46">
        <v>0</v>
      </c>
      <c r="Q835" s="46">
        <v>293</v>
      </c>
      <c r="R835" s="46">
        <v>293</v>
      </c>
      <c r="S835" s="46" t="s">
        <v>1463</v>
      </c>
      <c r="T835" s="46" t="s">
        <v>4730</v>
      </c>
      <c r="U835" s="46">
        <v>1</v>
      </c>
      <c r="V835" s="46" t="s">
        <v>1364</v>
      </c>
      <c r="W835" s="46"/>
      <c r="X835" s="46" t="s">
        <v>564</v>
      </c>
      <c r="Y835" s="46" t="s">
        <v>4731</v>
      </c>
      <c r="Z835" s="46" t="s">
        <v>1380</v>
      </c>
      <c r="AA835" s="46" t="s">
        <v>4317</v>
      </c>
      <c r="AB835" s="46" t="s">
        <v>4318</v>
      </c>
      <c r="AC835" s="46" t="s">
        <v>4732</v>
      </c>
      <c r="AD835" s="46"/>
      <c r="AE835" s="46"/>
      <c r="AF835" s="46" t="s">
        <v>564</v>
      </c>
      <c r="AG835" s="46" t="s">
        <v>1372</v>
      </c>
      <c r="AH835" s="46" t="s">
        <v>4731</v>
      </c>
      <c r="AI835" s="46"/>
      <c r="AJ835" s="46"/>
      <c r="AK835" s="46">
        <v>0</v>
      </c>
      <c r="AL835" s="46"/>
      <c r="AM835" s="46"/>
      <c r="AN835" s="46"/>
      <c r="AO835" s="46" t="s">
        <v>1372</v>
      </c>
      <c r="AP835" s="46" t="s">
        <v>1373</v>
      </c>
    </row>
    <row r="836" hidden="1" spans="1:42">
      <c r="A836" s="46" t="s">
        <v>4733</v>
      </c>
      <c r="B836" s="46" t="s">
        <v>1356</v>
      </c>
      <c r="C836" s="46" t="s">
        <v>1375</v>
      </c>
      <c r="D836" s="46" t="s">
        <v>1358</v>
      </c>
      <c r="E836" s="46"/>
      <c r="F836" s="46" t="s">
        <v>1377</v>
      </c>
      <c r="G836" s="47">
        <v>44817.940787037</v>
      </c>
      <c r="H836" s="47">
        <v>44817.9411689815</v>
      </c>
      <c r="I836" s="46"/>
      <c r="J836" s="46" t="s">
        <v>407</v>
      </c>
      <c r="K836" s="46"/>
      <c r="L836" s="46"/>
      <c r="M836" s="46">
        <v>359</v>
      </c>
      <c r="N836" s="46">
        <v>0</v>
      </c>
      <c r="O836" s="46">
        <v>0</v>
      </c>
      <c r="P836" s="46">
        <v>0</v>
      </c>
      <c r="Q836" s="46">
        <v>359</v>
      </c>
      <c r="R836" s="46">
        <v>359</v>
      </c>
      <c r="S836" s="46"/>
      <c r="T836" s="46" t="s">
        <v>4734</v>
      </c>
      <c r="U836" s="46">
        <v>1</v>
      </c>
      <c r="V836" s="46" t="s">
        <v>1364</v>
      </c>
      <c r="W836" s="46"/>
      <c r="X836" s="46" t="s">
        <v>600</v>
      </c>
      <c r="Y836" s="46" t="s">
        <v>4735</v>
      </c>
      <c r="Z836" s="46" t="s">
        <v>1466</v>
      </c>
      <c r="AA836" s="46" t="s">
        <v>1835</v>
      </c>
      <c r="AB836" s="46" t="s">
        <v>4736</v>
      </c>
      <c r="AC836" s="46" t="s">
        <v>4737</v>
      </c>
      <c r="AD836" s="46" t="s">
        <v>4738</v>
      </c>
      <c r="AE836" s="46"/>
      <c r="AF836" s="46" t="s">
        <v>4739</v>
      </c>
      <c r="AG836" s="46" t="s">
        <v>1372</v>
      </c>
      <c r="AH836" s="46"/>
      <c r="AI836" s="46"/>
      <c r="AJ836" s="46"/>
      <c r="AK836" s="46">
        <v>0</v>
      </c>
      <c r="AL836" s="46"/>
      <c r="AM836" s="46"/>
      <c r="AN836" s="46"/>
      <c r="AO836" s="46" t="s">
        <v>1372</v>
      </c>
      <c r="AP836" s="46" t="s">
        <v>1373</v>
      </c>
    </row>
    <row r="837" hidden="1" spans="1:42">
      <c r="A837" s="46" t="s">
        <v>4740</v>
      </c>
      <c r="B837" s="46" t="s">
        <v>1356</v>
      </c>
      <c r="C837" s="46" t="s">
        <v>1375</v>
      </c>
      <c r="D837" s="46" t="s">
        <v>1358</v>
      </c>
      <c r="E837" s="46"/>
      <c r="F837" s="46" t="s">
        <v>1377</v>
      </c>
      <c r="G837" s="47">
        <v>44817.9375462963</v>
      </c>
      <c r="H837" s="47">
        <v>44817.9377430556</v>
      </c>
      <c r="I837" s="46"/>
      <c r="J837" s="46" t="s">
        <v>407</v>
      </c>
      <c r="K837" s="46"/>
      <c r="L837" s="46"/>
      <c r="M837" s="46">
        <v>299</v>
      </c>
      <c r="N837" s="46">
        <v>0</v>
      </c>
      <c r="O837" s="46">
        <v>0</v>
      </c>
      <c r="P837" s="46">
        <v>0</v>
      </c>
      <c r="Q837" s="46">
        <v>299</v>
      </c>
      <c r="R837" s="46">
        <v>299</v>
      </c>
      <c r="S837" s="46"/>
      <c r="T837" s="46" t="s">
        <v>4741</v>
      </c>
      <c r="U837" s="46">
        <v>1</v>
      </c>
      <c r="V837" s="46" t="s">
        <v>1364</v>
      </c>
      <c r="W837" s="46"/>
      <c r="X837" s="46" t="s">
        <v>564</v>
      </c>
      <c r="Y837" s="46" t="s">
        <v>4731</v>
      </c>
      <c r="Z837" s="46" t="s">
        <v>1380</v>
      </c>
      <c r="AA837" s="46" t="s">
        <v>4317</v>
      </c>
      <c r="AB837" s="46" t="s">
        <v>4318</v>
      </c>
      <c r="AC837" s="46" t="s">
        <v>4732</v>
      </c>
      <c r="AD837" s="46"/>
      <c r="AE837" s="46"/>
      <c r="AF837" s="46" t="s">
        <v>4742</v>
      </c>
      <c r="AG837" s="46" t="s">
        <v>1372</v>
      </c>
      <c r="AH837" s="46"/>
      <c r="AI837" s="46"/>
      <c r="AJ837" s="46"/>
      <c r="AK837" s="46">
        <v>0</v>
      </c>
      <c r="AL837" s="46"/>
      <c r="AM837" s="46"/>
      <c r="AN837" s="46"/>
      <c r="AO837" s="46" t="s">
        <v>1372</v>
      </c>
      <c r="AP837" s="46" t="s">
        <v>1373</v>
      </c>
    </row>
    <row r="838" hidden="1" spans="1:42">
      <c r="A838" s="46" t="s">
        <v>4743</v>
      </c>
      <c r="B838" s="46" t="s">
        <v>1356</v>
      </c>
      <c r="C838" s="46" t="s">
        <v>1375</v>
      </c>
      <c r="D838" s="46" t="s">
        <v>1780</v>
      </c>
      <c r="E838" s="46"/>
      <c r="F838" s="46" t="s">
        <v>1377</v>
      </c>
      <c r="G838" s="47">
        <v>44817.9375347222</v>
      </c>
      <c r="H838" s="46"/>
      <c r="I838" s="46"/>
      <c r="J838" s="46"/>
      <c r="K838" s="46"/>
      <c r="L838" s="46"/>
      <c r="M838" s="46">
        <v>239</v>
      </c>
      <c r="N838" s="46">
        <v>0</v>
      </c>
      <c r="O838" s="46">
        <v>-2</v>
      </c>
      <c r="P838" s="46">
        <v>0</v>
      </c>
      <c r="Q838" s="46">
        <v>237</v>
      </c>
      <c r="R838" s="46">
        <v>0</v>
      </c>
      <c r="S838" s="46" t="s">
        <v>1400</v>
      </c>
      <c r="T838" s="46" t="s">
        <v>4744</v>
      </c>
      <c r="U838" s="46">
        <v>1</v>
      </c>
      <c r="V838" s="46" t="s">
        <v>1364</v>
      </c>
      <c r="W838" s="46"/>
      <c r="X838" s="46" t="s">
        <v>603</v>
      </c>
      <c r="Y838" s="46" t="s">
        <v>4716</v>
      </c>
      <c r="Z838" s="46" t="s">
        <v>1367</v>
      </c>
      <c r="AA838" s="46" t="s">
        <v>1551</v>
      </c>
      <c r="AB838" s="46" t="s">
        <v>1647</v>
      </c>
      <c r="AC838" s="46" t="s">
        <v>4717</v>
      </c>
      <c r="AD838" s="46"/>
      <c r="AE838" s="46"/>
      <c r="AF838" s="46" t="s">
        <v>4718</v>
      </c>
      <c r="AG838" s="46" t="s">
        <v>1385</v>
      </c>
      <c r="AH838" s="46" t="s">
        <v>4716</v>
      </c>
      <c r="AI838" s="46"/>
      <c r="AJ838" s="46"/>
      <c r="AK838" s="46">
        <v>0</v>
      </c>
      <c r="AL838" s="46"/>
      <c r="AM838" s="46"/>
      <c r="AN838" s="46"/>
      <c r="AO838" s="46" t="s">
        <v>1372</v>
      </c>
      <c r="AP838" s="46" t="s">
        <v>1373</v>
      </c>
    </row>
    <row r="839" hidden="1" spans="1:42">
      <c r="A839" s="46" t="s">
        <v>4745</v>
      </c>
      <c r="B839" s="46" t="s">
        <v>1356</v>
      </c>
      <c r="C839" s="46" t="s">
        <v>1375</v>
      </c>
      <c r="D839" s="46" t="s">
        <v>1358</v>
      </c>
      <c r="E839" s="46"/>
      <c r="F839" s="46" t="s">
        <v>1377</v>
      </c>
      <c r="G839" s="47">
        <v>44817.9372800926</v>
      </c>
      <c r="H839" s="47">
        <v>44817.937962963</v>
      </c>
      <c r="I839" s="46"/>
      <c r="J839" s="46" t="s">
        <v>407</v>
      </c>
      <c r="K839" s="46"/>
      <c r="L839" s="46"/>
      <c r="M839" s="46">
        <v>299</v>
      </c>
      <c r="N839" s="46">
        <v>0</v>
      </c>
      <c r="O839" s="46">
        <v>0</v>
      </c>
      <c r="P839" s="46">
        <v>0</v>
      </c>
      <c r="Q839" s="46">
        <v>299</v>
      </c>
      <c r="R839" s="46">
        <v>299</v>
      </c>
      <c r="S839" s="46"/>
      <c r="T839" s="46" t="s">
        <v>4629</v>
      </c>
      <c r="U839" s="46">
        <v>1</v>
      </c>
      <c r="V839" s="46" t="s">
        <v>1364</v>
      </c>
      <c r="W839" s="46"/>
      <c r="X839" s="46" t="s">
        <v>543</v>
      </c>
      <c r="Y839" s="46" t="s">
        <v>4746</v>
      </c>
      <c r="Z839" s="46" t="s">
        <v>1678</v>
      </c>
      <c r="AA839" s="46" t="s">
        <v>2007</v>
      </c>
      <c r="AB839" s="46" t="s">
        <v>4747</v>
      </c>
      <c r="AC839" s="46" t="s">
        <v>4748</v>
      </c>
      <c r="AD839" s="46"/>
      <c r="AE839" s="46"/>
      <c r="AF839" s="46" t="s">
        <v>4749</v>
      </c>
      <c r="AG839" s="46" t="s">
        <v>1372</v>
      </c>
      <c r="AH839" s="46"/>
      <c r="AI839" s="46"/>
      <c r="AJ839" s="46"/>
      <c r="AK839" s="46">
        <v>0</v>
      </c>
      <c r="AL839" s="46"/>
      <c r="AM839" s="46"/>
      <c r="AN839" s="46"/>
      <c r="AO839" s="46" t="s">
        <v>1372</v>
      </c>
      <c r="AP839" s="46" t="s">
        <v>1373</v>
      </c>
    </row>
    <row r="840" hidden="1" spans="1:42">
      <c r="A840" s="46" t="s">
        <v>4750</v>
      </c>
      <c r="B840" s="46" t="s">
        <v>1356</v>
      </c>
      <c r="C840" s="46" t="s">
        <v>1375</v>
      </c>
      <c r="D840" s="46" t="s">
        <v>1358</v>
      </c>
      <c r="E840" s="46"/>
      <c r="F840" s="46" t="s">
        <v>1377</v>
      </c>
      <c r="G840" s="47">
        <v>44817.9362268519</v>
      </c>
      <c r="H840" s="47">
        <v>44817.9363194444</v>
      </c>
      <c r="I840" s="46"/>
      <c r="J840" s="46" t="s">
        <v>407</v>
      </c>
      <c r="K840" s="46"/>
      <c r="L840" s="46"/>
      <c r="M840" s="46">
        <v>299</v>
      </c>
      <c r="N840" s="46">
        <v>10</v>
      </c>
      <c r="O840" s="46">
        <v>-6</v>
      </c>
      <c r="P840" s="46">
        <v>0</v>
      </c>
      <c r="Q840" s="46">
        <v>303</v>
      </c>
      <c r="R840" s="46">
        <v>303</v>
      </c>
      <c r="S840" s="46" t="s">
        <v>1463</v>
      </c>
      <c r="T840" s="46" t="s">
        <v>4751</v>
      </c>
      <c r="U840" s="46">
        <v>1</v>
      </c>
      <c r="V840" s="46" t="s">
        <v>1364</v>
      </c>
      <c r="W840" s="46"/>
      <c r="X840" s="46" t="s">
        <v>366</v>
      </c>
      <c r="Y840" s="46" t="s">
        <v>4662</v>
      </c>
      <c r="Z840" s="46" t="s">
        <v>2298</v>
      </c>
      <c r="AA840" s="46" t="s">
        <v>3568</v>
      </c>
      <c r="AB840" s="46" t="s">
        <v>4663</v>
      </c>
      <c r="AC840" s="46" t="s">
        <v>4664</v>
      </c>
      <c r="AD840" s="46"/>
      <c r="AE840" s="46"/>
      <c r="AF840" s="46" t="s">
        <v>4665</v>
      </c>
      <c r="AG840" s="46" t="s">
        <v>1372</v>
      </c>
      <c r="AH840" s="46"/>
      <c r="AI840" s="46"/>
      <c r="AJ840" s="46"/>
      <c r="AK840" s="46">
        <v>0</v>
      </c>
      <c r="AL840" s="46"/>
      <c r="AM840" s="46"/>
      <c r="AN840" s="46"/>
      <c r="AO840" s="46" t="s">
        <v>1372</v>
      </c>
      <c r="AP840" s="46" t="s">
        <v>1373</v>
      </c>
    </row>
    <row r="841" hidden="1" spans="1:42">
      <c r="A841" s="46" t="s">
        <v>4752</v>
      </c>
      <c r="B841" s="46" t="s">
        <v>1356</v>
      </c>
      <c r="C841" s="46" t="s">
        <v>1375</v>
      </c>
      <c r="D841" s="46" t="s">
        <v>1358</v>
      </c>
      <c r="E841" s="46"/>
      <c r="F841" s="46" t="s">
        <v>1377</v>
      </c>
      <c r="G841" s="47">
        <v>44817.935625</v>
      </c>
      <c r="H841" s="47">
        <v>44817.9357407407</v>
      </c>
      <c r="I841" s="46"/>
      <c r="J841" s="46" t="s">
        <v>407</v>
      </c>
      <c r="K841" s="46"/>
      <c r="L841" s="46"/>
      <c r="M841" s="46">
        <v>299</v>
      </c>
      <c r="N841" s="46">
        <v>10</v>
      </c>
      <c r="O841" s="46">
        <v>-7</v>
      </c>
      <c r="P841" s="46">
        <v>0</v>
      </c>
      <c r="Q841" s="46">
        <v>302</v>
      </c>
      <c r="R841" s="46">
        <v>302</v>
      </c>
      <c r="S841" s="46" t="s">
        <v>2550</v>
      </c>
      <c r="T841" s="46" t="s">
        <v>4753</v>
      </c>
      <c r="U841" s="46">
        <v>1</v>
      </c>
      <c r="V841" s="46" t="s">
        <v>1364</v>
      </c>
      <c r="W841" s="46"/>
      <c r="X841" s="46" t="s">
        <v>366</v>
      </c>
      <c r="Y841" s="46" t="s">
        <v>4662</v>
      </c>
      <c r="Z841" s="46" t="s">
        <v>2298</v>
      </c>
      <c r="AA841" s="46" t="s">
        <v>3568</v>
      </c>
      <c r="AB841" s="46" t="s">
        <v>4663</v>
      </c>
      <c r="AC841" s="46" t="s">
        <v>4664</v>
      </c>
      <c r="AD841" s="46"/>
      <c r="AE841" s="46"/>
      <c r="AF841" s="46" t="s">
        <v>4665</v>
      </c>
      <c r="AG841" s="46" t="s">
        <v>1372</v>
      </c>
      <c r="AH841" s="46"/>
      <c r="AI841" s="46"/>
      <c r="AJ841" s="46"/>
      <c r="AK841" s="46">
        <v>0</v>
      </c>
      <c r="AL841" s="46"/>
      <c r="AM841" s="46"/>
      <c r="AN841" s="46"/>
      <c r="AO841" s="46" t="s">
        <v>1372</v>
      </c>
      <c r="AP841" s="46" t="s">
        <v>1373</v>
      </c>
    </row>
    <row r="842" hidden="1" spans="1:42">
      <c r="A842" s="46" t="s">
        <v>4754</v>
      </c>
      <c r="B842" s="46" t="s">
        <v>1356</v>
      </c>
      <c r="C842" s="46" t="s">
        <v>1375</v>
      </c>
      <c r="D842" s="46" t="s">
        <v>1358</v>
      </c>
      <c r="E842" s="46"/>
      <c r="F842" s="46" t="s">
        <v>1377</v>
      </c>
      <c r="G842" s="47">
        <v>44817.9354861111</v>
      </c>
      <c r="H842" s="47">
        <v>44817.9356365741</v>
      </c>
      <c r="I842" s="46"/>
      <c r="J842" s="46" t="s">
        <v>407</v>
      </c>
      <c r="K842" s="46"/>
      <c r="L842" s="46"/>
      <c r="M842" s="46">
        <v>299</v>
      </c>
      <c r="N842" s="46">
        <v>0</v>
      </c>
      <c r="O842" s="46">
        <v>-6</v>
      </c>
      <c r="P842" s="46">
        <v>0</v>
      </c>
      <c r="Q842" s="46">
        <v>293</v>
      </c>
      <c r="R842" s="46">
        <v>293</v>
      </c>
      <c r="S842" s="46" t="s">
        <v>1463</v>
      </c>
      <c r="T842" s="46" t="s">
        <v>4629</v>
      </c>
      <c r="U842" s="46">
        <v>1</v>
      </c>
      <c r="V842" s="46" t="s">
        <v>1364</v>
      </c>
      <c r="W842" s="46"/>
      <c r="X842" s="46" t="s">
        <v>484</v>
      </c>
      <c r="Y842" s="46" t="s">
        <v>4755</v>
      </c>
      <c r="Z842" s="46" t="s">
        <v>1695</v>
      </c>
      <c r="AA842" s="46" t="s">
        <v>2917</v>
      </c>
      <c r="AB842" s="46" t="s">
        <v>2918</v>
      </c>
      <c r="AC842" s="46" t="s">
        <v>4756</v>
      </c>
      <c r="AD842" s="46"/>
      <c r="AE842" s="46"/>
      <c r="AF842" s="46" t="s">
        <v>4757</v>
      </c>
      <c r="AG842" s="46" t="s">
        <v>1372</v>
      </c>
      <c r="AH842" s="46"/>
      <c r="AI842" s="46"/>
      <c r="AJ842" s="46"/>
      <c r="AK842" s="46">
        <v>0</v>
      </c>
      <c r="AL842" s="46"/>
      <c r="AM842" s="46"/>
      <c r="AN842" s="46"/>
      <c r="AO842" s="46" t="s">
        <v>1372</v>
      </c>
      <c r="AP842" s="46" t="s">
        <v>1373</v>
      </c>
    </row>
    <row r="843" hidden="1" spans="1:42">
      <c r="A843" s="46" t="s">
        <v>4758</v>
      </c>
      <c r="B843" s="46" t="s">
        <v>1356</v>
      </c>
      <c r="C843" s="46" t="s">
        <v>1375</v>
      </c>
      <c r="D843" s="46" t="s">
        <v>1376</v>
      </c>
      <c r="E843" s="46"/>
      <c r="F843" s="46" t="s">
        <v>1377</v>
      </c>
      <c r="G843" s="47">
        <v>44817.9333564815</v>
      </c>
      <c r="H843" s="46"/>
      <c r="I843" s="46"/>
      <c r="J843" s="46"/>
      <c r="K843" s="46"/>
      <c r="L843" s="46"/>
      <c r="M843" s="46">
        <v>259</v>
      </c>
      <c r="N843" s="46">
        <v>0</v>
      </c>
      <c r="O843" s="46">
        <v>0</v>
      </c>
      <c r="P843" s="46">
        <v>0</v>
      </c>
      <c r="Q843" s="46">
        <v>259</v>
      </c>
      <c r="R843" s="46">
        <v>0</v>
      </c>
      <c r="S843" s="46"/>
      <c r="T843" s="46" t="s">
        <v>4759</v>
      </c>
      <c r="U843" s="46">
        <v>1</v>
      </c>
      <c r="V843" s="46" t="s">
        <v>1364</v>
      </c>
      <c r="W843" s="46"/>
      <c r="X843" s="46" t="s">
        <v>719</v>
      </c>
      <c r="Y843" s="46" t="s">
        <v>4760</v>
      </c>
      <c r="Z843" s="46" t="s">
        <v>1380</v>
      </c>
      <c r="AA843" s="46" t="s">
        <v>1638</v>
      </c>
      <c r="AB843" s="46" t="s">
        <v>4761</v>
      </c>
      <c r="AC843" s="46" t="s">
        <v>4762</v>
      </c>
      <c r="AD843" s="46"/>
      <c r="AE843" s="46"/>
      <c r="AF843" s="46" t="s">
        <v>719</v>
      </c>
      <c r="AG843" s="46" t="s">
        <v>1385</v>
      </c>
      <c r="AH843" s="46" t="s">
        <v>4760</v>
      </c>
      <c r="AI843" s="46"/>
      <c r="AJ843" s="46"/>
      <c r="AK843" s="46">
        <v>0</v>
      </c>
      <c r="AL843" s="46"/>
      <c r="AM843" s="46"/>
      <c r="AN843" s="46"/>
      <c r="AO843" s="46" t="s">
        <v>1372</v>
      </c>
      <c r="AP843" s="46" t="s">
        <v>1373</v>
      </c>
    </row>
    <row r="844" hidden="1" spans="1:42">
      <c r="A844" s="46" t="s">
        <v>4763</v>
      </c>
      <c r="B844" s="46" t="s">
        <v>1356</v>
      </c>
      <c r="C844" s="46" t="s">
        <v>1375</v>
      </c>
      <c r="D844" s="46" t="s">
        <v>1358</v>
      </c>
      <c r="E844" s="46"/>
      <c r="F844" s="46" t="s">
        <v>1377</v>
      </c>
      <c r="G844" s="47">
        <v>44817.9302430556</v>
      </c>
      <c r="H844" s="47">
        <v>44817.9306481481</v>
      </c>
      <c r="I844" s="46"/>
      <c r="J844" s="46" t="s">
        <v>407</v>
      </c>
      <c r="K844" s="46"/>
      <c r="L844" s="46"/>
      <c r="M844" s="46">
        <v>259</v>
      </c>
      <c r="N844" s="46">
        <v>0</v>
      </c>
      <c r="O844" s="46">
        <v>-21</v>
      </c>
      <c r="P844" s="46">
        <v>0</v>
      </c>
      <c r="Q844" s="46">
        <v>238</v>
      </c>
      <c r="R844" s="46">
        <v>238</v>
      </c>
      <c r="S844" s="46" t="s">
        <v>4764</v>
      </c>
      <c r="T844" s="46" t="s">
        <v>4765</v>
      </c>
      <c r="U844" s="46">
        <v>1</v>
      </c>
      <c r="V844" s="46" t="s">
        <v>1364</v>
      </c>
      <c r="W844" s="46"/>
      <c r="X844" s="46" t="s">
        <v>876</v>
      </c>
      <c r="Y844" s="46" t="s">
        <v>4766</v>
      </c>
      <c r="Z844" s="46" t="s">
        <v>1478</v>
      </c>
      <c r="AA844" s="46" t="s">
        <v>1479</v>
      </c>
      <c r="AB844" s="46" t="s">
        <v>1480</v>
      </c>
      <c r="AC844" s="46" t="s">
        <v>4767</v>
      </c>
      <c r="AD844" s="46"/>
      <c r="AE844" s="46"/>
      <c r="AF844" s="46" t="s">
        <v>4768</v>
      </c>
      <c r="AG844" s="46" t="s">
        <v>1385</v>
      </c>
      <c r="AH844" s="46" t="s">
        <v>4766</v>
      </c>
      <c r="AI844" s="46"/>
      <c r="AJ844" s="46"/>
      <c r="AK844" s="46">
        <v>0</v>
      </c>
      <c r="AL844" s="46"/>
      <c r="AM844" s="46"/>
      <c r="AN844" s="46"/>
      <c r="AO844" s="46" t="s">
        <v>1372</v>
      </c>
      <c r="AP844" s="46" t="s">
        <v>1373</v>
      </c>
    </row>
    <row r="845" hidden="1" spans="1:42">
      <c r="A845" s="46" t="s">
        <v>4769</v>
      </c>
      <c r="B845" s="46" t="s">
        <v>1356</v>
      </c>
      <c r="C845" s="46" t="s">
        <v>1375</v>
      </c>
      <c r="D845" s="46" t="s">
        <v>1358</v>
      </c>
      <c r="E845" s="46"/>
      <c r="F845" s="46" t="s">
        <v>1377</v>
      </c>
      <c r="G845" s="47">
        <v>44817.9255439815</v>
      </c>
      <c r="H845" s="47">
        <v>44817.9256828704</v>
      </c>
      <c r="I845" s="46"/>
      <c r="J845" s="46" t="s">
        <v>407</v>
      </c>
      <c r="K845" s="46"/>
      <c r="L845" s="46"/>
      <c r="M845" s="46">
        <v>299</v>
      </c>
      <c r="N845" s="46">
        <v>0</v>
      </c>
      <c r="O845" s="46">
        <v>0</v>
      </c>
      <c r="P845" s="46">
        <v>0</v>
      </c>
      <c r="Q845" s="46">
        <v>299</v>
      </c>
      <c r="R845" s="46">
        <v>299</v>
      </c>
      <c r="S845" s="46"/>
      <c r="T845" s="46" t="s">
        <v>4770</v>
      </c>
      <c r="U845" s="46">
        <v>1</v>
      </c>
      <c r="V845" s="46" t="s">
        <v>1364</v>
      </c>
      <c r="W845" s="46"/>
      <c r="X845" s="46" t="s">
        <v>483</v>
      </c>
      <c r="Y845" s="46" t="s">
        <v>3427</v>
      </c>
      <c r="Z845" s="46" t="s">
        <v>1513</v>
      </c>
      <c r="AA845" s="46" t="s">
        <v>3428</v>
      </c>
      <c r="AB845" s="46" t="s">
        <v>3429</v>
      </c>
      <c r="AC845" s="46" t="s">
        <v>3430</v>
      </c>
      <c r="AD845" s="46"/>
      <c r="AE845" s="46"/>
      <c r="AF845" s="46" t="s">
        <v>3431</v>
      </c>
      <c r="AG845" s="46" t="s">
        <v>1385</v>
      </c>
      <c r="AH845" s="46" t="s">
        <v>3427</v>
      </c>
      <c r="AI845" s="46"/>
      <c r="AJ845" s="46"/>
      <c r="AK845" s="46">
        <v>0</v>
      </c>
      <c r="AL845" s="46"/>
      <c r="AM845" s="46"/>
      <c r="AN845" s="46"/>
      <c r="AO845" s="46" t="s">
        <v>1372</v>
      </c>
      <c r="AP845" s="46" t="s">
        <v>1373</v>
      </c>
    </row>
    <row r="846" hidden="1" spans="1:42">
      <c r="A846" s="46" t="s">
        <v>4771</v>
      </c>
      <c r="B846" s="46" t="s">
        <v>1356</v>
      </c>
      <c r="C846" s="46" t="s">
        <v>1375</v>
      </c>
      <c r="D846" s="46" t="s">
        <v>1358</v>
      </c>
      <c r="E846" s="46"/>
      <c r="F846" s="46" t="s">
        <v>1377</v>
      </c>
      <c r="G846" s="47">
        <v>44817.9254166667</v>
      </c>
      <c r="H846" s="47">
        <v>44817.9255787037</v>
      </c>
      <c r="I846" s="46"/>
      <c r="J846" s="46" t="s">
        <v>407</v>
      </c>
      <c r="K846" s="46"/>
      <c r="L846" s="46"/>
      <c r="M846" s="46">
        <v>299</v>
      </c>
      <c r="N846" s="46">
        <v>0</v>
      </c>
      <c r="O846" s="46">
        <v>-5</v>
      </c>
      <c r="P846" s="46">
        <v>0</v>
      </c>
      <c r="Q846" s="46">
        <v>294</v>
      </c>
      <c r="R846" s="46">
        <v>294</v>
      </c>
      <c r="S846" s="46" t="s">
        <v>1422</v>
      </c>
      <c r="T846" s="46" t="s">
        <v>4772</v>
      </c>
      <c r="U846" s="46">
        <v>1</v>
      </c>
      <c r="V846" s="46" t="s">
        <v>1364</v>
      </c>
      <c r="W846" s="46"/>
      <c r="X846" s="46" t="s">
        <v>484</v>
      </c>
      <c r="Y846" s="46" t="s">
        <v>4755</v>
      </c>
      <c r="Z846" s="46" t="s">
        <v>1695</v>
      </c>
      <c r="AA846" s="46" t="s">
        <v>2917</v>
      </c>
      <c r="AB846" s="46" t="s">
        <v>2918</v>
      </c>
      <c r="AC846" s="46" t="s">
        <v>4756</v>
      </c>
      <c r="AD846" s="46"/>
      <c r="AE846" s="46"/>
      <c r="AF846" s="46" t="s">
        <v>4757</v>
      </c>
      <c r="AG846" s="46" t="s">
        <v>1372</v>
      </c>
      <c r="AH846" s="46"/>
      <c r="AI846" s="46"/>
      <c r="AJ846" s="46"/>
      <c r="AK846" s="46">
        <v>0</v>
      </c>
      <c r="AL846" s="46"/>
      <c r="AM846" s="46"/>
      <c r="AN846" s="46"/>
      <c r="AO846" s="46" t="s">
        <v>1372</v>
      </c>
      <c r="AP846" s="46" t="s">
        <v>1373</v>
      </c>
    </row>
    <row r="847" hidden="1" spans="1:42">
      <c r="A847" s="46" t="s">
        <v>4773</v>
      </c>
      <c r="B847" s="46" t="s">
        <v>1356</v>
      </c>
      <c r="C847" s="46" t="s">
        <v>1375</v>
      </c>
      <c r="D847" s="46" t="s">
        <v>1376</v>
      </c>
      <c r="E847" s="46"/>
      <c r="F847" s="46" t="s">
        <v>1377</v>
      </c>
      <c r="G847" s="47">
        <v>44817.9230902778</v>
      </c>
      <c r="H847" s="46"/>
      <c r="I847" s="46"/>
      <c r="J847" s="46"/>
      <c r="K847" s="46"/>
      <c r="L847" s="46"/>
      <c r="M847" s="46">
        <v>259</v>
      </c>
      <c r="N847" s="46">
        <v>0</v>
      </c>
      <c r="O847" s="46">
        <v>0</v>
      </c>
      <c r="P847" s="46">
        <v>0</v>
      </c>
      <c r="Q847" s="46">
        <v>259</v>
      </c>
      <c r="R847" s="46">
        <v>0</v>
      </c>
      <c r="S847" s="46"/>
      <c r="T847" s="46" t="s">
        <v>4774</v>
      </c>
      <c r="U847" s="46">
        <v>1</v>
      </c>
      <c r="V847" s="46" t="s">
        <v>1364</v>
      </c>
      <c r="W847" s="46"/>
      <c r="X847" s="46" t="s">
        <v>483</v>
      </c>
      <c r="Y847" s="46" t="s">
        <v>3427</v>
      </c>
      <c r="Z847" s="46" t="s">
        <v>1513</v>
      </c>
      <c r="AA847" s="46" t="s">
        <v>3428</v>
      </c>
      <c r="AB847" s="46" t="s">
        <v>3429</v>
      </c>
      <c r="AC847" s="46" t="s">
        <v>3430</v>
      </c>
      <c r="AD847" s="46"/>
      <c r="AE847" s="46"/>
      <c r="AF847" s="46" t="s">
        <v>3431</v>
      </c>
      <c r="AG847" s="46" t="s">
        <v>1385</v>
      </c>
      <c r="AH847" s="46" t="s">
        <v>3427</v>
      </c>
      <c r="AI847" s="46"/>
      <c r="AJ847" s="46"/>
      <c r="AK847" s="46">
        <v>0</v>
      </c>
      <c r="AL847" s="46"/>
      <c r="AM847" s="46"/>
      <c r="AN847" s="46"/>
      <c r="AO847" s="46" t="s">
        <v>1372</v>
      </c>
      <c r="AP847" s="46" t="s">
        <v>1373</v>
      </c>
    </row>
    <row r="848" hidden="1" spans="1:42">
      <c r="A848" s="46" t="s">
        <v>4775</v>
      </c>
      <c r="B848" s="46" t="s">
        <v>1356</v>
      </c>
      <c r="C848" s="46" t="s">
        <v>1375</v>
      </c>
      <c r="D848" s="46" t="s">
        <v>1358</v>
      </c>
      <c r="E848" s="46"/>
      <c r="F848" s="46" t="s">
        <v>1377</v>
      </c>
      <c r="G848" s="47">
        <v>44817.9186921296</v>
      </c>
      <c r="H848" s="47">
        <v>44817.9188078704</v>
      </c>
      <c r="I848" s="46"/>
      <c r="J848" s="46" t="s">
        <v>407</v>
      </c>
      <c r="K848" s="46"/>
      <c r="L848" s="46"/>
      <c r="M848" s="46">
        <v>359</v>
      </c>
      <c r="N848" s="46">
        <v>10</v>
      </c>
      <c r="O848" s="46">
        <v>-5</v>
      </c>
      <c r="P848" s="46">
        <v>0</v>
      </c>
      <c r="Q848" s="46">
        <v>364</v>
      </c>
      <c r="R848" s="46">
        <v>364</v>
      </c>
      <c r="S848" s="46" t="s">
        <v>1422</v>
      </c>
      <c r="T848" s="46" t="s">
        <v>4776</v>
      </c>
      <c r="U848" s="46">
        <v>1</v>
      </c>
      <c r="V848" s="46" t="s">
        <v>1364</v>
      </c>
      <c r="W848" s="46"/>
      <c r="X848" s="46" t="s">
        <v>366</v>
      </c>
      <c r="Y848" s="46" t="s">
        <v>4662</v>
      </c>
      <c r="Z848" s="46" t="s">
        <v>2298</v>
      </c>
      <c r="AA848" s="46" t="s">
        <v>3568</v>
      </c>
      <c r="AB848" s="46" t="s">
        <v>4663</v>
      </c>
      <c r="AC848" s="46" t="s">
        <v>4664</v>
      </c>
      <c r="AD848" s="46" t="s">
        <v>4777</v>
      </c>
      <c r="AE848" s="46"/>
      <c r="AF848" s="46" t="s">
        <v>4665</v>
      </c>
      <c r="AG848" s="46" t="s">
        <v>1372</v>
      </c>
      <c r="AH848" s="46"/>
      <c r="AI848" s="46"/>
      <c r="AJ848" s="46"/>
      <c r="AK848" s="46">
        <v>0</v>
      </c>
      <c r="AL848" s="46"/>
      <c r="AM848" s="46"/>
      <c r="AN848" s="46"/>
      <c r="AO848" s="46" t="s">
        <v>1372</v>
      </c>
      <c r="AP848" s="46" t="s">
        <v>1373</v>
      </c>
    </row>
    <row r="849" hidden="1" spans="1:42">
      <c r="A849" s="46" t="s">
        <v>4778</v>
      </c>
      <c r="B849" s="46" t="s">
        <v>1356</v>
      </c>
      <c r="C849" s="46" t="s">
        <v>1375</v>
      </c>
      <c r="D849" s="46" t="s">
        <v>1358</v>
      </c>
      <c r="E849" s="46"/>
      <c r="F849" s="46" t="s">
        <v>1377</v>
      </c>
      <c r="G849" s="47">
        <v>44817.9177662037</v>
      </c>
      <c r="H849" s="47">
        <v>44817.9179861111</v>
      </c>
      <c r="I849" s="46"/>
      <c r="J849" s="46" t="s">
        <v>407</v>
      </c>
      <c r="K849" s="46"/>
      <c r="L849" s="46"/>
      <c r="M849" s="46">
        <v>259</v>
      </c>
      <c r="N849" s="46">
        <v>0</v>
      </c>
      <c r="O849" s="46">
        <v>0</v>
      </c>
      <c r="P849" s="46">
        <v>0</v>
      </c>
      <c r="Q849" s="46">
        <v>259</v>
      </c>
      <c r="R849" s="46">
        <v>259</v>
      </c>
      <c r="S849" s="46"/>
      <c r="T849" s="46" t="s">
        <v>4779</v>
      </c>
      <c r="U849" s="46">
        <v>1</v>
      </c>
      <c r="V849" s="46" t="s">
        <v>1364</v>
      </c>
      <c r="W849" s="46"/>
      <c r="X849" s="46" t="s">
        <v>722</v>
      </c>
      <c r="Y849" s="46" t="s">
        <v>3435</v>
      </c>
      <c r="Z849" s="46" t="s">
        <v>1678</v>
      </c>
      <c r="AA849" s="46" t="s">
        <v>3436</v>
      </c>
      <c r="AB849" s="46" t="s">
        <v>3437</v>
      </c>
      <c r="AC849" s="46" t="s">
        <v>3438</v>
      </c>
      <c r="AD849" s="46"/>
      <c r="AE849" s="46"/>
      <c r="AF849" s="46" t="s">
        <v>3439</v>
      </c>
      <c r="AG849" s="46" t="s">
        <v>1372</v>
      </c>
      <c r="AH849" s="46" t="s">
        <v>3435</v>
      </c>
      <c r="AI849" s="46"/>
      <c r="AJ849" s="46"/>
      <c r="AK849" s="46">
        <v>0</v>
      </c>
      <c r="AL849" s="46"/>
      <c r="AM849" s="46"/>
      <c r="AN849" s="46"/>
      <c r="AO849" s="46" t="s">
        <v>1372</v>
      </c>
      <c r="AP849" s="46" t="s">
        <v>1373</v>
      </c>
    </row>
    <row r="850" hidden="1" spans="1:42">
      <c r="A850" s="46" t="s">
        <v>4780</v>
      </c>
      <c r="B850" s="46" t="s">
        <v>1356</v>
      </c>
      <c r="C850" s="46" t="s">
        <v>1375</v>
      </c>
      <c r="D850" s="46" t="s">
        <v>1358</v>
      </c>
      <c r="E850" s="46"/>
      <c r="F850" s="46" t="s">
        <v>1377</v>
      </c>
      <c r="G850" s="47">
        <v>44817.9164583333</v>
      </c>
      <c r="H850" s="47">
        <v>44817.9165509259</v>
      </c>
      <c r="I850" s="46"/>
      <c r="J850" s="46" t="s">
        <v>407</v>
      </c>
      <c r="K850" s="46"/>
      <c r="L850" s="46"/>
      <c r="M850" s="46">
        <v>259</v>
      </c>
      <c r="N850" s="46">
        <v>0</v>
      </c>
      <c r="O850" s="46">
        <v>0</v>
      </c>
      <c r="P850" s="46">
        <v>0</v>
      </c>
      <c r="Q850" s="46">
        <v>259</v>
      </c>
      <c r="R850" s="46">
        <v>259</v>
      </c>
      <c r="S850" s="46"/>
      <c r="T850" s="46" t="s">
        <v>4781</v>
      </c>
      <c r="U850" s="46">
        <v>1</v>
      </c>
      <c r="V850" s="46" t="s">
        <v>1364</v>
      </c>
      <c r="W850" s="46"/>
      <c r="X850" s="46" t="s">
        <v>383</v>
      </c>
      <c r="Y850" s="46" t="s">
        <v>2422</v>
      </c>
      <c r="Z850" s="46" t="s">
        <v>1367</v>
      </c>
      <c r="AA850" s="46" t="s">
        <v>1615</v>
      </c>
      <c r="AB850" s="46" t="s">
        <v>2423</v>
      </c>
      <c r="AC850" s="46" t="s">
        <v>2424</v>
      </c>
      <c r="AD850" s="46"/>
      <c r="AE850" s="46"/>
      <c r="AF850" s="46" t="s">
        <v>4782</v>
      </c>
      <c r="AG850" s="46" t="s">
        <v>1372</v>
      </c>
      <c r="AH850" s="46"/>
      <c r="AI850" s="46"/>
      <c r="AJ850" s="46"/>
      <c r="AK850" s="46">
        <v>0</v>
      </c>
      <c r="AL850" s="46"/>
      <c r="AM850" s="46"/>
      <c r="AN850" s="46"/>
      <c r="AO850" s="46" t="s">
        <v>1372</v>
      </c>
      <c r="AP850" s="46" t="s">
        <v>1373</v>
      </c>
    </row>
    <row r="851" hidden="1" spans="1:42">
      <c r="A851" s="46" t="s">
        <v>4783</v>
      </c>
      <c r="B851" s="46" t="s">
        <v>1356</v>
      </c>
      <c r="C851" s="46" t="s">
        <v>1375</v>
      </c>
      <c r="D851" s="46" t="s">
        <v>1376</v>
      </c>
      <c r="E851" s="46"/>
      <c r="F851" s="46" t="s">
        <v>1377</v>
      </c>
      <c r="G851" s="47">
        <v>44817.9150810185</v>
      </c>
      <c r="H851" s="46"/>
      <c r="I851" s="46"/>
      <c r="J851" s="46"/>
      <c r="K851" s="46"/>
      <c r="L851" s="46"/>
      <c r="M851" s="46">
        <v>259</v>
      </c>
      <c r="N851" s="46">
        <v>0</v>
      </c>
      <c r="O851" s="46">
        <v>0</v>
      </c>
      <c r="P851" s="46">
        <v>0</v>
      </c>
      <c r="Q851" s="46">
        <v>259</v>
      </c>
      <c r="R851" s="46">
        <v>0</v>
      </c>
      <c r="S851" s="46"/>
      <c r="T851" s="46" t="s">
        <v>4784</v>
      </c>
      <c r="U851" s="46">
        <v>1</v>
      </c>
      <c r="V851" s="46" t="s">
        <v>1364</v>
      </c>
      <c r="W851" s="46"/>
      <c r="X851" s="46" t="s">
        <v>383</v>
      </c>
      <c r="Y851" s="46" t="s">
        <v>2422</v>
      </c>
      <c r="Z851" s="46" t="s">
        <v>1367</v>
      </c>
      <c r="AA851" s="46" t="s">
        <v>1615</v>
      </c>
      <c r="AB851" s="46" t="s">
        <v>2423</v>
      </c>
      <c r="AC851" s="46" t="s">
        <v>2424</v>
      </c>
      <c r="AD851" s="46"/>
      <c r="AE851" s="46"/>
      <c r="AF851" s="46" t="s">
        <v>4782</v>
      </c>
      <c r="AG851" s="46" t="s">
        <v>1372</v>
      </c>
      <c r="AH851" s="46"/>
      <c r="AI851" s="46"/>
      <c r="AJ851" s="46"/>
      <c r="AK851" s="46">
        <v>0</v>
      </c>
      <c r="AL851" s="46"/>
      <c r="AM851" s="46"/>
      <c r="AN851" s="46"/>
      <c r="AO851" s="46" t="s">
        <v>1372</v>
      </c>
      <c r="AP851" s="46" t="s">
        <v>1373</v>
      </c>
    </row>
    <row r="852" hidden="1" spans="1:42">
      <c r="A852" s="46" t="s">
        <v>4785</v>
      </c>
      <c r="B852" s="46" t="s">
        <v>1356</v>
      </c>
      <c r="C852" s="46" t="s">
        <v>1375</v>
      </c>
      <c r="D852" s="46" t="s">
        <v>1376</v>
      </c>
      <c r="E852" s="46"/>
      <c r="F852" s="46" t="s">
        <v>1377</v>
      </c>
      <c r="G852" s="47">
        <v>44817.9146180556</v>
      </c>
      <c r="H852" s="46"/>
      <c r="I852" s="46"/>
      <c r="J852" s="46"/>
      <c r="K852" s="46"/>
      <c r="L852" s="46"/>
      <c r="M852" s="46">
        <v>259</v>
      </c>
      <c r="N852" s="46">
        <v>0</v>
      </c>
      <c r="O852" s="46">
        <v>-6</v>
      </c>
      <c r="P852" s="46">
        <v>0</v>
      </c>
      <c r="Q852" s="46">
        <v>253</v>
      </c>
      <c r="R852" s="46">
        <v>0</v>
      </c>
      <c r="S852" s="46" t="s">
        <v>1463</v>
      </c>
      <c r="T852" s="46" t="s">
        <v>4784</v>
      </c>
      <c r="U852" s="46">
        <v>1</v>
      </c>
      <c r="V852" s="46" t="s">
        <v>1364</v>
      </c>
      <c r="W852" s="46"/>
      <c r="X852" s="46" t="s">
        <v>383</v>
      </c>
      <c r="Y852" s="46" t="s">
        <v>2422</v>
      </c>
      <c r="Z852" s="46" t="s">
        <v>1367</v>
      </c>
      <c r="AA852" s="46" t="s">
        <v>1615</v>
      </c>
      <c r="AB852" s="46" t="s">
        <v>2423</v>
      </c>
      <c r="AC852" s="46" t="s">
        <v>2424</v>
      </c>
      <c r="AD852" s="46"/>
      <c r="AE852" s="46"/>
      <c r="AF852" s="46" t="s">
        <v>4782</v>
      </c>
      <c r="AG852" s="46" t="s">
        <v>1372</v>
      </c>
      <c r="AH852" s="46"/>
      <c r="AI852" s="46"/>
      <c r="AJ852" s="46"/>
      <c r="AK852" s="46">
        <v>0</v>
      </c>
      <c r="AL852" s="46"/>
      <c r="AM852" s="46"/>
      <c r="AN852" s="46"/>
      <c r="AO852" s="46" t="s">
        <v>1372</v>
      </c>
      <c r="AP852" s="46" t="s">
        <v>1373</v>
      </c>
    </row>
    <row r="853" hidden="1" spans="1:42">
      <c r="A853" s="46" t="s">
        <v>4786</v>
      </c>
      <c r="B853" s="46" t="s">
        <v>1356</v>
      </c>
      <c r="C853" s="46" t="s">
        <v>1375</v>
      </c>
      <c r="D853" s="46" t="s">
        <v>1376</v>
      </c>
      <c r="E853" s="46"/>
      <c r="F853" s="46" t="s">
        <v>1377</v>
      </c>
      <c r="G853" s="47">
        <v>44817.9108796296</v>
      </c>
      <c r="H853" s="46"/>
      <c r="I853" s="46"/>
      <c r="J853" s="46"/>
      <c r="K853" s="46"/>
      <c r="L853" s="46"/>
      <c r="M853" s="46">
        <v>259</v>
      </c>
      <c r="N853" s="46">
        <v>0</v>
      </c>
      <c r="O853" s="46">
        <v>-25</v>
      </c>
      <c r="P853" s="46">
        <v>0</v>
      </c>
      <c r="Q853" s="46">
        <v>234</v>
      </c>
      <c r="R853" s="46">
        <v>0</v>
      </c>
      <c r="S853" s="46" t="s">
        <v>4787</v>
      </c>
      <c r="T853" s="46" t="s">
        <v>4788</v>
      </c>
      <c r="U853" s="46">
        <v>1</v>
      </c>
      <c r="V853" s="46" t="s">
        <v>1364</v>
      </c>
      <c r="W853" s="46"/>
      <c r="X853" s="46" t="s">
        <v>707</v>
      </c>
      <c r="Y853" s="46" t="s">
        <v>3237</v>
      </c>
      <c r="Z853" s="46" t="s">
        <v>2509</v>
      </c>
      <c r="AA853" s="46" t="s">
        <v>3238</v>
      </c>
      <c r="AB853" s="46" t="s">
        <v>3239</v>
      </c>
      <c r="AC853" s="46" t="s">
        <v>3240</v>
      </c>
      <c r="AD853" s="46"/>
      <c r="AE853" s="46"/>
      <c r="AF853" s="46" t="s">
        <v>3241</v>
      </c>
      <c r="AG853" s="46" t="s">
        <v>1385</v>
      </c>
      <c r="AH853" s="46" t="s">
        <v>3237</v>
      </c>
      <c r="AI853" s="46"/>
      <c r="AJ853" s="46"/>
      <c r="AK853" s="46">
        <v>0</v>
      </c>
      <c r="AL853" s="46"/>
      <c r="AM853" s="46"/>
      <c r="AN853" s="46"/>
      <c r="AO853" s="46" t="s">
        <v>1372</v>
      </c>
      <c r="AP853" s="46" t="s">
        <v>1373</v>
      </c>
    </row>
    <row r="854" hidden="1" spans="1:42">
      <c r="A854" s="46" t="s">
        <v>4789</v>
      </c>
      <c r="B854" s="46" t="s">
        <v>1356</v>
      </c>
      <c r="C854" s="46" t="s">
        <v>1375</v>
      </c>
      <c r="D854" s="46" t="s">
        <v>1358</v>
      </c>
      <c r="E854" s="46"/>
      <c r="F854" s="46" t="s">
        <v>1377</v>
      </c>
      <c r="G854" s="47">
        <v>44817.9048958333</v>
      </c>
      <c r="H854" s="47">
        <v>44817.9049884259</v>
      </c>
      <c r="I854" s="46"/>
      <c r="J854" s="46" t="s">
        <v>407</v>
      </c>
      <c r="K854" s="46"/>
      <c r="L854" s="46"/>
      <c r="M854" s="46">
        <v>269</v>
      </c>
      <c r="N854" s="46">
        <v>0</v>
      </c>
      <c r="O854" s="46">
        <v>-5</v>
      </c>
      <c r="P854" s="46">
        <v>0</v>
      </c>
      <c r="Q854" s="46">
        <v>264</v>
      </c>
      <c r="R854" s="46">
        <v>264</v>
      </c>
      <c r="S854" s="46" t="s">
        <v>1422</v>
      </c>
      <c r="T854" s="46" t="s">
        <v>4790</v>
      </c>
      <c r="U854" s="46">
        <v>1</v>
      </c>
      <c r="V854" s="46" t="s">
        <v>1364</v>
      </c>
      <c r="W854" s="46"/>
      <c r="X854" s="46" t="s">
        <v>372</v>
      </c>
      <c r="Y854" s="46" t="s">
        <v>3832</v>
      </c>
      <c r="Z854" s="46" t="s">
        <v>1495</v>
      </c>
      <c r="AA854" s="46" t="s">
        <v>1757</v>
      </c>
      <c r="AB854" s="46" t="s">
        <v>1783</v>
      </c>
      <c r="AC854" s="46" t="s">
        <v>3833</v>
      </c>
      <c r="AD854" s="46"/>
      <c r="AE854" s="46"/>
      <c r="AF854" s="46" t="s">
        <v>4791</v>
      </c>
      <c r="AG854" s="46" t="s">
        <v>1372</v>
      </c>
      <c r="AH854" s="46"/>
      <c r="AI854" s="46"/>
      <c r="AJ854" s="46"/>
      <c r="AK854" s="46">
        <v>0</v>
      </c>
      <c r="AL854" s="46"/>
      <c r="AM854" s="46"/>
      <c r="AN854" s="46"/>
      <c r="AO854" s="46" t="s">
        <v>1372</v>
      </c>
      <c r="AP854" s="46" t="s">
        <v>1373</v>
      </c>
    </row>
    <row r="855" hidden="1" spans="1:42">
      <c r="A855" s="46" t="s">
        <v>4792</v>
      </c>
      <c r="B855" s="46" t="s">
        <v>1356</v>
      </c>
      <c r="C855" s="46" t="s">
        <v>1375</v>
      </c>
      <c r="D855" s="46" t="s">
        <v>1358</v>
      </c>
      <c r="E855" s="46"/>
      <c r="F855" s="46" t="s">
        <v>1377</v>
      </c>
      <c r="G855" s="47">
        <v>44817.8866898148</v>
      </c>
      <c r="H855" s="47">
        <v>44817.887337963</v>
      </c>
      <c r="I855" s="46"/>
      <c r="J855" s="46" t="s">
        <v>407</v>
      </c>
      <c r="K855" s="46"/>
      <c r="L855" s="46"/>
      <c r="M855" s="46">
        <v>259</v>
      </c>
      <c r="N855" s="46">
        <v>0</v>
      </c>
      <c r="O855" s="46">
        <v>-5</v>
      </c>
      <c r="P855" s="46">
        <v>0</v>
      </c>
      <c r="Q855" s="46">
        <v>254</v>
      </c>
      <c r="R855" s="46">
        <v>254</v>
      </c>
      <c r="S855" s="46" t="s">
        <v>1422</v>
      </c>
      <c r="T855" s="46" t="s">
        <v>4793</v>
      </c>
      <c r="U855" s="46">
        <v>1</v>
      </c>
      <c r="V855" s="46" t="s">
        <v>1364</v>
      </c>
      <c r="W855" s="46"/>
      <c r="X855" s="46" t="s">
        <v>372</v>
      </c>
      <c r="Y855" s="46" t="s">
        <v>3832</v>
      </c>
      <c r="Z855" s="46" t="s">
        <v>1495</v>
      </c>
      <c r="AA855" s="46" t="s">
        <v>1757</v>
      </c>
      <c r="AB855" s="46" t="s">
        <v>1783</v>
      </c>
      <c r="AC855" s="46" t="s">
        <v>3833</v>
      </c>
      <c r="AD855" s="46"/>
      <c r="AE855" s="46"/>
      <c r="AF855" s="46" t="s">
        <v>4791</v>
      </c>
      <c r="AG855" s="46" t="s">
        <v>1372</v>
      </c>
      <c r="AH855" s="46"/>
      <c r="AI855" s="46"/>
      <c r="AJ855" s="46"/>
      <c r="AK855" s="46">
        <v>0</v>
      </c>
      <c r="AL855" s="46"/>
      <c r="AM855" s="46"/>
      <c r="AN855" s="46"/>
      <c r="AO855" s="46" t="s">
        <v>1372</v>
      </c>
      <c r="AP855" s="46" t="s">
        <v>1373</v>
      </c>
    </row>
    <row r="856" hidden="1" spans="1:42">
      <c r="A856" s="46" t="s">
        <v>4794</v>
      </c>
      <c r="B856" s="46" t="s">
        <v>1356</v>
      </c>
      <c r="C856" s="46" t="s">
        <v>1375</v>
      </c>
      <c r="D856" s="46" t="s">
        <v>1358</v>
      </c>
      <c r="E856" s="46"/>
      <c r="F856" s="46" t="s">
        <v>3560</v>
      </c>
      <c r="G856" s="47">
        <v>44817.8844675926</v>
      </c>
      <c r="H856" s="47">
        <v>44817.8846412037</v>
      </c>
      <c r="I856" s="46"/>
      <c r="J856" s="46" t="s">
        <v>407</v>
      </c>
      <c r="K856" s="46"/>
      <c r="L856" s="46"/>
      <c r="M856" s="46">
        <v>49.9</v>
      </c>
      <c r="N856" s="46">
        <v>0</v>
      </c>
      <c r="O856" s="46">
        <v>-1</v>
      </c>
      <c r="P856" s="46">
        <v>0</v>
      </c>
      <c r="Q856" s="46">
        <v>48.9</v>
      </c>
      <c r="R856" s="46">
        <v>48.9</v>
      </c>
      <c r="S856" s="46" t="s">
        <v>1414</v>
      </c>
      <c r="T856" s="46" t="s">
        <v>4795</v>
      </c>
      <c r="U856" s="46">
        <v>1</v>
      </c>
      <c r="V856" s="46" t="s">
        <v>1364</v>
      </c>
      <c r="W856" s="46"/>
      <c r="X856" s="46" t="s">
        <v>405</v>
      </c>
      <c r="Y856" s="46" t="s">
        <v>2183</v>
      </c>
      <c r="Z856" s="46" t="s">
        <v>1626</v>
      </c>
      <c r="AA856" s="46" t="s">
        <v>1627</v>
      </c>
      <c r="AB856" s="46" t="s">
        <v>2184</v>
      </c>
      <c r="AC856" s="46" t="s">
        <v>2185</v>
      </c>
      <c r="AD856" s="46"/>
      <c r="AE856" s="46"/>
      <c r="AF856" s="46" t="s">
        <v>2186</v>
      </c>
      <c r="AG856" s="46" t="s">
        <v>1385</v>
      </c>
      <c r="AH856" s="46" t="s">
        <v>2183</v>
      </c>
      <c r="AI856" s="46"/>
      <c r="AJ856" s="46"/>
      <c r="AK856" s="46">
        <v>0</v>
      </c>
      <c r="AL856" s="46"/>
      <c r="AM856" s="46"/>
      <c r="AN856" s="46"/>
      <c r="AO856" s="46" t="s">
        <v>1372</v>
      </c>
      <c r="AP856" s="46" t="s">
        <v>1373</v>
      </c>
    </row>
    <row r="857" hidden="1" spans="1:42">
      <c r="A857" s="46" t="s">
        <v>4796</v>
      </c>
      <c r="B857" s="46" t="s">
        <v>1356</v>
      </c>
      <c r="C857" s="46" t="s">
        <v>1375</v>
      </c>
      <c r="D857" s="46" t="s">
        <v>1358</v>
      </c>
      <c r="E857" s="46"/>
      <c r="F857" s="46" t="s">
        <v>1377</v>
      </c>
      <c r="G857" s="47">
        <v>44817.8796180556</v>
      </c>
      <c r="H857" s="47">
        <v>44817.8797222222</v>
      </c>
      <c r="I857" s="46"/>
      <c r="J857" s="46" t="s">
        <v>407</v>
      </c>
      <c r="K857" s="46"/>
      <c r="L857" s="46"/>
      <c r="M857" s="46">
        <v>259</v>
      </c>
      <c r="N857" s="46">
        <v>10</v>
      </c>
      <c r="O857" s="46">
        <v>-5</v>
      </c>
      <c r="P857" s="46">
        <v>0</v>
      </c>
      <c r="Q857" s="46">
        <v>264</v>
      </c>
      <c r="R857" s="46">
        <v>264</v>
      </c>
      <c r="S857" s="46" t="s">
        <v>1422</v>
      </c>
      <c r="T857" s="46" t="s">
        <v>4797</v>
      </c>
      <c r="U857" s="46">
        <v>1</v>
      </c>
      <c r="V857" s="46" t="s">
        <v>1364</v>
      </c>
      <c r="W857" s="46"/>
      <c r="X857" s="46" t="s">
        <v>366</v>
      </c>
      <c r="Y857" s="46" t="s">
        <v>4662</v>
      </c>
      <c r="Z857" s="46" t="s">
        <v>2298</v>
      </c>
      <c r="AA857" s="46" t="s">
        <v>3198</v>
      </c>
      <c r="AB857" s="46" t="s">
        <v>3199</v>
      </c>
      <c r="AC857" s="46" t="s">
        <v>4798</v>
      </c>
      <c r="AD857" s="46"/>
      <c r="AE857" s="46"/>
      <c r="AF857" s="46" t="s">
        <v>4665</v>
      </c>
      <c r="AG857" s="46" t="s">
        <v>1372</v>
      </c>
      <c r="AH857" s="46"/>
      <c r="AI857" s="46"/>
      <c r="AJ857" s="46"/>
      <c r="AK857" s="46">
        <v>0</v>
      </c>
      <c r="AL857" s="46"/>
      <c r="AM857" s="46"/>
      <c r="AN857" s="46"/>
      <c r="AO857" s="46" t="s">
        <v>1372</v>
      </c>
      <c r="AP857" s="46" t="s">
        <v>1373</v>
      </c>
    </row>
    <row r="858" hidden="1" spans="1:42">
      <c r="A858" s="46" t="s">
        <v>4799</v>
      </c>
      <c r="B858" s="46" t="s">
        <v>1356</v>
      </c>
      <c r="C858" s="46" t="s">
        <v>1375</v>
      </c>
      <c r="D858" s="46" t="s">
        <v>1358</v>
      </c>
      <c r="E858" s="46"/>
      <c r="F858" s="46" t="s">
        <v>1377</v>
      </c>
      <c r="G858" s="47">
        <v>44817.8737731481</v>
      </c>
      <c r="H858" s="47">
        <v>44817.875787037</v>
      </c>
      <c r="I858" s="46"/>
      <c r="J858" s="46" t="s">
        <v>407</v>
      </c>
      <c r="K858" s="46"/>
      <c r="L858" s="46"/>
      <c r="M858" s="46">
        <v>239</v>
      </c>
      <c r="N858" s="46">
        <v>0</v>
      </c>
      <c r="O858" s="46">
        <v>-12</v>
      </c>
      <c r="P858" s="46">
        <v>0</v>
      </c>
      <c r="Q858" s="46">
        <v>227</v>
      </c>
      <c r="R858" s="46">
        <v>227</v>
      </c>
      <c r="S858" s="46" t="s">
        <v>3354</v>
      </c>
      <c r="T858" s="46" t="s">
        <v>4800</v>
      </c>
      <c r="U858" s="46">
        <v>1</v>
      </c>
      <c r="V858" s="46" t="s">
        <v>1364</v>
      </c>
      <c r="W858" s="46"/>
      <c r="X858" s="46" t="s">
        <v>372</v>
      </c>
      <c r="Y858" s="46" t="s">
        <v>3832</v>
      </c>
      <c r="Z858" s="46" t="s">
        <v>1495</v>
      </c>
      <c r="AA858" s="46" t="s">
        <v>1757</v>
      </c>
      <c r="AB858" s="46" t="s">
        <v>1783</v>
      </c>
      <c r="AC858" s="46" t="s">
        <v>3833</v>
      </c>
      <c r="AD858" s="46"/>
      <c r="AE858" s="46"/>
      <c r="AF858" s="46" t="s">
        <v>4791</v>
      </c>
      <c r="AG858" s="46" t="s">
        <v>1372</v>
      </c>
      <c r="AH858" s="46"/>
      <c r="AI858" s="46"/>
      <c r="AJ858" s="46"/>
      <c r="AK858" s="46">
        <v>0</v>
      </c>
      <c r="AL858" s="46"/>
      <c r="AM858" s="46"/>
      <c r="AN858" s="46"/>
      <c r="AO858" s="46" t="s">
        <v>1372</v>
      </c>
      <c r="AP858" s="46" t="s">
        <v>1373</v>
      </c>
    </row>
    <row r="859" hidden="1" spans="1:42">
      <c r="A859" s="46" t="s">
        <v>4801</v>
      </c>
      <c r="B859" s="46" t="s">
        <v>1356</v>
      </c>
      <c r="C859" s="46" t="s">
        <v>1375</v>
      </c>
      <c r="D859" s="46" t="s">
        <v>1358</v>
      </c>
      <c r="E859" s="46"/>
      <c r="F859" s="46" t="s">
        <v>1377</v>
      </c>
      <c r="G859" s="47">
        <v>44817.8732291667</v>
      </c>
      <c r="H859" s="47">
        <v>44817.8733333333</v>
      </c>
      <c r="I859" s="46"/>
      <c r="J859" s="46" t="s">
        <v>407</v>
      </c>
      <c r="K859" s="46"/>
      <c r="L859" s="46"/>
      <c r="M859" s="46">
        <v>239</v>
      </c>
      <c r="N859" s="46">
        <v>10</v>
      </c>
      <c r="O859" s="46">
        <v>-2</v>
      </c>
      <c r="P859" s="46">
        <v>0</v>
      </c>
      <c r="Q859" s="46">
        <v>247</v>
      </c>
      <c r="R859" s="46">
        <v>247</v>
      </c>
      <c r="S859" s="46" t="s">
        <v>1400</v>
      </c>
      <c r="T859" s="46" t="s">
        <v>4802</v>
      </c>
      <c r="U859" s="46">
        <v>1</v>
      </c>
      <c r="V859" s="46" t="s">
        <v>1364</v>
      </c>
      <c r="W859" s="46"/>
      <c r="X859" s="46" t="s">
        <v>366</v>
      </c>
      <c r="Y859" s="46" t="s">
        <v>4662</v>
      </c>
      <c r="Z859" s="46" t="s">
        <v>2298</v>
      </c>
      <c r="AA859" s="46" t="s">
        <v>3568</v>
      </c>
      <c r="AB859" s="46" t="s">
        <v>4663</v>
      </c>
      <c r="AC859" s="46" t="s">
        <v>4664</v>
      </c>
      <c r="AD859" s="46"/>
      <c r="AE859" s="46"/>
      <c r="AF859" s="46" t="s">
        <v>4665</v>
      </c>
      <c r="AG859" s="46" t="s">
        <v>1372</v>
      </c>
      <c r="AH859" s="46"/>
      <c r="AI859" s="46"/>
      <c r="AJ859" s="46"/>
      <c r="AK859" s="46">
        <v>0</v>
      </c>
      <c r="AL859" s="46"/>
      <c r="AM859" s="46"/>
      <c r="AN859" s="46"/>
      <c r="AO859" s="46" t="s">
        <v>1372</v>
      </c>
      <c r="AP859" s="46" t="s">
        <v>1373</v>
      </c>
    </row>
    <row r="860" hidden="1" spans="1:42">
      <c r="A860" s="46" t="s">
        <v>4803</v>
      </c>
      <c r="B860" s="46" t="s">
        <v>1356</v>
      </c>
      <c r="C860" s="46" t="s">
        <v>1375</v>
      </c>
      <c r="D860" s="46" t="s">
        <v>1358</v>
      </c>
      <c r="E860" s="46"/>
      <c r="F860" s="46" t="s">
        <v>1377</v>
      </c>
      <c r="G860" s="47">
        <v>44817.8694560185</v>
      </c>
      <c r="H860" s="47">
        <v>44817.87</v>
      </c>
      <c r="I860" s="46"/>
      <c r="J860" s="46" t="s">
        <v>407</v>
      </c>
      <c r="K860" s="46"/>
      <c r="L860" s="46"/>
      <c r="M860" s="46">
        <v>119</v>
      </c>
      <c r="N860" s="46">
        <v>10</v>
      </c>
      <c r="O860" s="46">
        <v>0</v>
      </c>
      <c r="P860" s="46">
        <v>0</v>
      </c>
      <c r="Q860" s="46">
        <v>129</v>
      </c>
      <c r="R860" s="46">
        <v>129</v>
      </c>
      <c r="S860" s="46"/>
      <c r="T860" s="46" t="s">
        <v>2012</v>
      </c>
      <c r="U860" s="46">
        <v>1</v>
      </c>
      <c r="V860" s="46" t="s">
        <v>1364</v>
      </c>
      <c r="W860" s="46"/>
      <c r="X860" s="46" t="s">
        <v>366</v>
      </c>
      <c r="Y860" s="46" t="s">
        <v>4662</v>
      </c>
      <c r="Z860" s="46" t="s">
        <v>2298</v>
      </c>
      <c r="AA860" s="46" t="s">
        <v>3568</v>
      </c>
      <c r="AB860" s="46" t="s">
        <v>4663</v>
      </c>
      <c r="AC860" s="46" t="s">
        <v>4664</v>
      </c>
      <c r="AD860" s="46"/>
      <c r="AE860" s="46"/>
      <c r="AF860" s="46" t="s">
        <v>4665</v>
      </c>
      <c r="AG860" s="46" t="s">
        <v>1372</v>
      </c>
      <c r="AH860" s="46"/>
      <c r="AI860" s="46"/>
      <c r="AJ860" s="46"/>
      <c r="AK860" s="46">
        <v>0</v>
      </c>
      <c r="AL860" s="46"/>
      <c r="AM860" s="46"/>
      <c r="AN860" s="46"/>
      <c r="AO860" s="46" t="s">
        <v>1372</v>
      </c>
      <c r="AP860" s="46" t="s">
        <v>1373</v>
      </c>
    </row>
    <row r="861" hidden="1" spans="1:42">
      <c r="A861" s="46" t="s">
        <v>4804</v>
      </c>
      <c r="B861" s="46" t="s">
        <v>1356</v>
      </c>
      <c r="C861" s="46" t="s">
        <v>1375</v>
      </c>
      <c r="D861" s="46" t="s">
        <v>1358</v>
      </c>
      <c r="E861" s="46"/>
      <c r="F861" s="46" t="s">
        <v>1377</v>
      </c>
      <c r="G861" s="47">
        <v>44817.8645601852</v>
      </c>
      <c r="H861" s="47">
        <v>44817.8649074074</v>
      </c>
      <c r="I861" s="46"/>
      <c r="J861" s="46" t="s">
        <v>407</v>
      </c>
      <c r="K861" s="46"/>
      <c r="L861" s="46"/>
      <c r="M861" s="46">
        <v>599</v>
      </c>
      <c r="N861" s="46">
        <v>0</v>
      </c>
      <c r="O861" s="46">
        <v>0</v>
      </c>
      <c r="P861" s="46">
        <v>0</v>
      </c>
      <c r="Q861" s="46">
        <v>599</v>
      </c>
      <c r="R861" s="46">
        <v>599</v>
      </c>
      <c r="S861" s="46"/>
      <c r="T861" s="46" t="s">
        <v>4805</v>
      </c>
      <c r="U861" s="46">
        <v>1</v>
      </c>
      <c r="V861" s="46" t="s">
        <v>1364</v>
      </c>
      <c r="W861" s="46"/>
      <c r="X861" s="46" t="s">
        <v>552</v>
      </c>
      <c r="Y861" s="46" t="s">
        <v>4806</v>
      </c>
      <c r="Z861" s="46" t="s">
        <v>1804</v>
      </c>
      <c r="AA861" s="46" t="s">
        <v>3163</v>
      </c>
      <c r="AB861" s="46" t="s">
        <v>4807</v>
      </c>
      <c r="AC861" s="46" t="s">
        <v>4808</v>
      </c>
      <c r="AD861" s="46"/>
      <c r="AE861" s="46"/>
      <c r="AF861" s="46" t="s">
        <v>4809</v>
      </c>
      <c r="AG861" s="46" t="s">
        <v>1372</v>
      </c>
      <c r="AH861" s="46"/>
      <c r="AI861" s="46"/>
      <c r="AJ861" s="46"/>
      <c r="AK861" s="46">
        <v>0</v>
      </c>
      <c r="AL861" s="46"/>
      <c r="AM861" s="46"/>
      <c r="AN861" s="46"/>
      <c r="AO861" s="46" t="s">
        <v>1372</v>
      </c>
      <c r="AP861" s="46" t="s">
        <v>1373</v>
      </c>
    </row>
    <row r="862" hidden="1" spans="1:42">
      <c r="A862" s="46" t="s">
        <v>4810</v>
      </c>
      <c r="B862" s="46" t="s">
        <v>1356</v>
      </c>
      <c r="C862" s="46" t="s">
        <v>1375</v>
      </c>
      <c r="D862" s="46" t="s">
        <v>1780</v>
      </c>
      <c r="E862" s="46"/>
      <c r="F862" s="46" t="s">
        <v>1377</v>
      </c>
      <c r="G862" s="47">
        <v>44817.8618287037</v>
      </c>
      <c r="H862" s="46"/>
      <c r="I862" s="46"/>
      <c r="J862" s="46"/>
      <c r="K862" s="46"/>
      <c r="L862" s="46"/>
      <c r="M862" s="46">
        <v>599</v>
      </c>
      <c r="N862" s="46">
        <v>0</v>
      </c>
      <c r="O862" s="46">
        <v>0</v>
      </c>
      <c r="P862" s="46">
        <v>0</v>
      </c>
      <c r="Q862" s="46">
        <v>599</v>
      </c>
      <c r="R862" s="46">
        <v>0</v>
      </c>
      <c r="S862" s="46"/>
      <c r="T862" s="46" t="s">
        <v>4615</v>
      </c>
      <c r="U862" s="46">
        <v>1</v>
      </c>
      <c r="V862" s="46" t="s">
        <v>1364</v>
      </c>
      <c r="W862" s="46"/>
      <c r="X862" s="46" t="s">
        <v>372</v>
      </c>
      <c r="Y862" s="46" t="s">
        <v>3832</v>
      </c>
      <c r="Z862" s="46" t="s">
        <v>1495</v>
      </c>
      <c r="AA862" s="46" t="s">
        <v>1757</v>
      </c>
      <c r="AB862" s="46" t="s">
        <v>1783</v>
      </c>
      <c r="AC862" s="46" t="s">
        <v>3833</v>
      </c>
      <c r="AD862" s="46"/>
      <c r="AE862" s="46"/>
      <c r="AF862" s="46" t="s">
        <v>4791</v>
      </c>
      <c r="AG862" s="46" t="s">
        <v>1372</v>
      </c>
      <c r="AH862" s="46"/>
      <c r="AI862" s="46"/>
      <c r="AJ862" s="46"/>
      <c r="AK862" s="46">
        <v>0</v>
      </c>
      <c r="AL862" s="46"/>
      <c r="AM862" s="46"/>
      <c r="AN862" s="46"/>
      <c r="AO862" s="46" t="s">
        <v>1372</v>
      </c>
      <c r="AP862" s="46" t="s">
        <v>1373</v>
      </c>
    </row>
    <row r="863" hidden="1" spans="1:42">
      <c r="A863" s="46" t="s">
        <v>4811</v>
      </c>
      <c r="B863" s="46" t="s">
        <v>1356</v>
      </c>
      <c r="C863" s="46" t="s">
        <v>1375</v>
      </c>
      <c r="D863" s="46" t="s">
        <v>1358</v>
      </c>
      <c r="E863" s="46"/>
      <c r="F863" s="46" t="s">
        <v>1377</v>
      </c>
      <c r="G863" s="47">
        <v>44817.8610532407</v>
      </c>
      <c r="H863" s="47">
        <v>44817.8612962963</v>
      </c>
      <c r="I863" s="46"/>
      <c r="J863" s="46" t="s">
        <v>407</v>
      </c>
      <c r="K863" s="46"/>
      <c r="L863" s="46"/>
      <c r="M863" s="46">
        <v>599</v>
      </c>
      <c r="N863" s="46">
        <v>0</v>
      </c>
      <c r="O863" s="46">
        <v>-5</v>
      </c>
      <c r="P863" s="46">
        <v>0</v>
      </c>
      <c r="Q863" s="46">
        <v>594</v>
      </c>
      <c r="R863" s="46">
        <v>594</v>
      </c>
      <c r="S863" s="46" t="s">
        <v>1422</v>
      </c>
      <c r="T863" s="46" t="s">
        <v>4615</v>
      </c>
      <c r="U863" s="46">
        <v>1</v>
      </c>
      <c r="V863" s="46" t="s">
        <v>1364</v>
      </c>
      <c r="W863" s="46"/>
      <c r="X863" s="46" t="s">
        <v>524</v>
      </c>
      <c r="Y863" s="46" t="s">
        <v>4812</v>
      </c>
      <c r="Z863" s="46" t="s">
        <v>2336</v>
      </c>
      <c r="AA863" s="46" t="s">
        <v>2336</v>
      </c>
      <c r="AB863" s="46" t="s">
        <v>2337</v>
      </c>
      <c r="AC863" s="46" t="s">
        <v>4813</v>
      </c>
      <c r="AD863" s="46"/>
      <c r="AE863" s="46"/>
      <c r="AF863" s="46" t="s">
        <v>524</v>
      </c>
      <c r="AG863" s="46" t="s">
        <v>1385</v>
      </c>
      <c r="AH863" s="46" t="s">
        <v>4812</v>
      </c>
      <c r="AI863" s="46"/>
      <c r="AJ863" s="46"/>
      <c r="AK863" s="46">
        <v>0</v>
      </c>
      <c r="AL863" s="46"/>
      <c r="AM863" s="46"/>
      <c r="AN863" s="46"/>
      <c r="AO863" s="46" t="s">
        <v>1372</v>
      </c>
      <c r="AP863" s="46" t="s">
        <v>1373</v>
      </c>
    </row>
    <row r="864" hidden="1" spans="1:42">
      <c r="A864" s="46" t="s">
        <v>4814</v>
      </c>
      <c r="B864" s="46" t="s">
        <v>1356</v>
      </c>
      <c r="C864" s="46" t="s">
        <v>1375</v>
      </c>
      <c r="D864" s="46" t="s">
        <v>1358</v>
      </c>
      <c r="E864" s="46"/>
      <c r="F864" s="46" t="s">
        <v>1377</v>
      </c>
      <c r="G864" s="47">
        <v>44817.8603356481</v>
      </c>
      <c r="H864" s="47">
        <v>44817.8624074074</v>
      </c>
      <c r="I864" s="46"/>
      <c r="J864" s="46" t="s">
        <v>407</v>
      </c>
      <c r="K864" s="46"/>
      <c r="L864" s="46"/>
      <c r="M864" s="46">
        <v>599</v>
      </c>
      <c r="N864" s="46">
        <v>0</v>
      </c>
      <c r="O864" s="46">
        <v>-5</v>
      </c>
      <c r="P864" s="46">
        <v>0</v>
      </c>
      <c r="Q864" s="46">
        <v>594</v>
      </c>
      <c r="R864" s="46">
        <v>594</v>
      </c>
      <c r="S864" s="46" t="s">
        <v>1422</v>
      </c>
      <c r="T864" s="46" t="s">
        <v>4615</v>
      </c>
      <c r="U864" s="46">
        <v>1</v>
      </c>
      <c r="V864" s="46" t="s">
        <v>1364</v>
      </c>
      <c r="W864" s="46"/>
      <c r="X864" s="46" t="s">
        <v>372</v>
      </c>
      <c r="Y864" s="46" t="s">
        <v>3832</v>
      </c>
      <c r="Z864" s="46" t="s">
        <v>1495</v>
      </c>
      <c r="AA864" s="46" t="s">
        <v>1757</v>
      </c>
      <c r="AB864" s="46" t="s">
        <v>1783</v>
      </c>
      <c r="AC864" s="46" t="s">
        <v>3833</v>
      </c>
      <c r="AD864" s="46"/>
      <c r="AE864" s="46"/>
      <c r="AF864" s="46" t="s">
        <v>4791</v>
      </c>
      <c r="AG864" s="46" t="s">
        <v>1372</v>
      </c>
      <c r="AH864" s="46"/>
      <c r="AI864" s="46"/>
      <c r="AJ864" s="46"/>
      <c r="AK864" s="46">
        <v>0</v>
      </c>
      <c r="AL864" s="46"/>
      <c r="AM864" s="46"/>
      <c r="AN864" s="46"/>
      <c r="AO864" s="46" t="s">
        <v>1372</v>
      </c>
      <c r="AP864" s="46" t="s">
        <v>1373</v>
      </c>
    </row>
    <row r="865" hidden="1" spans="1:42">
      <c r="A865" s="46" t="s">
        <v>4815</v>
      </c>
      <c r="B865" s="46" t="s">
        <v>1356</v>
      </c>
      <c r="C865" s="46" t="s">
        <v>1375</v>
      </c>
      <c r="D865" s="46" t="s">
        <v>1358</v>
      </c>
      <c r="E865" s="46"/>
      <c r="F865" s="46" t="s">
        <v>1377</v>
      </c>
      <c r="G865" s="47">
        <v>44817.8522569444</v>
      </c>
      <c r="H865" s="47">
        <v>44817.8525810185</v>
      </c>
      <c r="I865" s="46"/>
      <c r="J865" s="46" t="s">
        <v>407</v>
      </c>
      <c r="K865" s="46"/>
      <c r="L865" s="46"/>
      <c r="M865" s="46">
        <v>69</v>
      </c>
      <c r="N865" s="46">
        <v>0</v>
      </c>
      <c r="O865" s="46">
        <v>-6</v>
      </c>
      <c r="P865" s="46">
        <v>0</v>
      </c>
      <c r="Q865" s="46">
        <v>63</v>
      </c>
      <c r="R865" s="46">
        <v>63</v>
      </c>
      <c r="S865" s="46" t="s">
        <v>1463</v>
      </c>
      <c r="T865" s="46" t="s">
        <v>2524</v>
      </c>
      <c r="U865" s="46">
        <v>1</v>
      </c>
      <c r="V865" s="46" t="s">
        <v>1364</v>
      </c>
      <c r="W865" s="46"/>
      <c r="X865" s="46" t="s">
        <v>524</v>
      </c>
      <c r="Y865" s="46" t="s">
        <v>4812</v>
      </c>
      <c r="Z865" s="46" t="s">
        <v>2336</v>
      </c>
      <c r="AA865" s="46" t="s">
        <v>2336</v>
      </c>
      <c r="AB865" s="46" t="s">
        <v>2337</v>
      </c>
      <c r="AC865" s="46" t="s">
        <v>4813</v>
      </c>
      <c r="AD865" s="46"/>
      <c r="AE865" s="46"/>
      <c r="AF865" s="46" t="s">
        <v>524</v>
      </c>
      <c r="AG865" s="46" t="s">
        <v>1385</v>
      </c>
      <c r="AH865" s="46" t="s">
        <v>4812</v>
      </c>
      <c r="AI865" s="46"/>
      <c r="AJ865" s="46"/>
      <c r="AK865" s="46">
        <v>0</v>
      </c>
      <c r="AL865" s="46"/>
      <c r="AM865" s="46"/>
      <c r="AN865" s="46"/>
      <c r="AO865" s="46" t="s">
        <v>1372</v>
      </c>
      <c r="AP865" s="46" t="s">
        <v>1373</v>
      </c>
    </row>
    <row r="866" hidden="1" spans="1:42">
      <c r="A866" s="46" t="s">
        <v>4816</v>
      </c>
      <c r="B866" s="46" t="s">
        <v>1356</v>
      </c>
      <c r="C866" s="46" t="s">
        <v>1375</v>
      </c>
      <c r="D866" s="46" t="s">
        <v>1358</v>
      </c>
      <c r="E866" s="46"/>
      <c r="F866" s="46" t="s">
        <v>1377</v>
      </c>
      <c r="G866" s="47">
        <v>44817.8499074074</v>
      </c>
      <c r="H866" s="47">
        <v>44817.8500578704</v>
      </c>
      <c r="I866" s="46"/>
      <c r="J866" s="46" t="s">
        <v>407</v>
      </c>
      <c r="K866" s="46"/>
      <c r="L866" s="46"/>
      <c r="M866" s="46">
        <v>269</v>
      </c>
      <c r="N866" s="46">
        <v>0</v>
      </c>
      <c r="O866" s="46">
        <v>0</v>
      </c>
      <c r="P866" s="46">
        <v>0</v>
      </c>
      <c r="Q866" s="46">
        <v>269</v>
      </c>
      <c r="R866" s="46">
        <v>269</v>
      </c>
      <c r="S866" s="46"/>
      <c r="T866" s="46" t="s">
        <v>1708</v>
      </c>
      <c r="U866" s="46">
        <v>1</v>
      </c>
      <c r="V866" s="46" t="s">
        <v>1364</v>
      </c>
      <c r="W866" s="46"/>
      <c r="X866" s="46" t="s">
        <v>484</v>
      </c>
      <c r="Y866" s="46" t="s">
        <v>4755</v>
      </c>
      <c r="Z866" s="46" t="s">
        <v>1695</v>
      </c>
      <c r="AA866" s="46" t="s">
        <v>2917</v>
      </c>
      <c r="AB866" s="46" t="s">
        <v>2918</v>
      </c>
      <c r="AC866" s="46" t="s">
        <v>4756</v>
      </c>
      <c r="AD866" s="46"/>
      <c r="AE866" s="46"/>
      <c r="AF866" s="46" t="s">
        <v>4757</v>
      </c>
      <c r="AG866" s="46" t="s">
        <v>1372</v>
      </c>
      <c r="AH866" s="46"/>
      <c r="AI866" s="46"/>
      <c r="AJ866" s="46"/>
      <c r="AK866" s="46">
        <v>0</v>
      </c>
      <c r="AL866" s="46"/>
      <c r="AM866" s="46"/>
      <c r="AN866" s="46"/>
      <c r="AO866" s="46" t="s">
        <v>1372</v>
      </c>
      <c r="AP866" s="46" t="s">
        <v>1373</v>
      </c>
    </row>
    <row r="867" hidden="1" spans="1:42">
      <c r="A867" s="46" t="s">
        <v>4817</v>
      </c>
      <c r="B867" s="46" t="s">
        <v>1356</v>
      </c>
      <c r="C867" s="46" t="s">
        <v>1375</v>
      </c>
      <c r="D867" s="46" t="s">
        <v>1358</v>
      </c>
      <c r="E867" s="46"/>
      <c r="F867" s="46" t="s">
        <v>1377</v>
      </c>
      <c r="G867" s="47">
        <v>44817.848587963</v>
      </c>
      <c r="H867" s="47">
        <v>44817.8487268519</v>
      </c>
      <c r="I867" s="46"/>
      <c r="J867" s="46" t="s">
        <v>407</v>
      </c>
      <c r="K867" s="46"/>
      <c r="L867" s="46"/>
      <c r="M867" s="46">
        <v>19.9</v>
      </c>
      <c r="N867" s="46">
        <v>0</v>
      </c>
      <c r="O867" s="46">
        <v>0</v>
      </c>
      <c r="P867" s="46">
        <v>0</v>
      </c>
      <c r="Q867" s="46">
        <v>19.9</v>
      </c>
      <c r="R867" s="46">
        <v>19.9</v>
      </c>
      <c r="S867" s="46"/>
      <c r="T867" s="46" t="s">
        <v>1613</v>
      </c>
      <c r="U867" s="46">
        <v>1</v>
      </c>
      <c r="V867" s="46" t="s">
        <v>1364</v>
      </c>
      <c r="W867" s="46"/>
      <c r="X867" s="46" t="s">
        <v>383</v>
      </c>
      <c r="Y867" s="46" t="s">
        <v>2422</v>
      </c>
      <c r="Z867" s="46" t="s">
        <v>1367</v>
      </c>
      <c r="AA867" s="46" t="s">
        <v>1615</v>
      </c>
      <c r="AB867" s="46" t="s">
        <v>2423</v>
      </c>
      <c r="AC867" s="46" t="s">
        <v>2424</v>
      </c>
      <c r="AD867" s="46"/>
      <c r="AE867" s="46"/>
      <c r="AF867" s="46" t="s">
        <v>4782</v>
      </c>
      <c r="AG867" s="46" t="s">
        <v>1372</v>
      </c>
      <c r="AH867" s="46"/>
      <c r="AI867" s="46"/>
      <c r="AJ867" s="46"/>
      <c r="AK867" s="46">
        <v>0</v>
      </c>
      <c r="AL867" s="46"/>
      <c r="AM867" s="46"/>
      <c r="AN867" s="46"/>
      <c r="AO867" s="46" t="s">
        <v>1372</v>
      </c>
      <c r="AP867" s="46" t="s">
        <v>1373</v>
      </c>
    </row>
    <row r="868" hidden="1" spans="1:42">
      <c r="A868" s="46" t="s">
        <v>4818</v>
      </c>
      <c r="B868" s="46" t="s">
        <v>1356</v>
      </c>
      <c r="C868" s="46" t="s">
        <v>1375</v>
      </c>
      <c r="D868" s="46" t="s">
        <v>1358</v>
      </c>
      <c r="E868" s="46"/>
      <c r="F868" s="46" t="s">
        <v>1377</v>
      </c>
      <c r="G868" s="47">
        <v>44817.8482638889</v>
      </c>
      <c r="H868" s="47">
        <v>44817.8483564815</v>
      </c>
      <c r="I868" s="46"/>
      <c r="J868" s="46" t="s">
        <v>407</v>
      </c>
      <c r="K868" s="46"/>
      <c r="L868" s="46"/>
      <c r="M868" s="46">
        <v>19.9</v>
      </c>
      <c r="N868" s="46">
        <v>0</v>
      </c>
      <c r="O868" s="46">
        <v>0</v>
      </c>
      <c r="P868" s="46">
        <v>0</v>
      </c>
      <c r="Q868" s="46">
        <v>19.9</v>
      </c>
      <c r="R868" s="46">
        <v>19.9</v>
      </c>
      <c r="S868" s="46"/>
      <c r="T868" s="46" t="s">
        <v>1484</v>
      </c>
      <c r="U868" s="46">
        <v>1</v>
      </c>
      <c r="V868" s="46" t="s">
        <v>1364</v>
      </c>
      <c r="W868" s="46"/>
      <c r="X868" s="46" t="s">
        <v>383</v>
      </c>
      <c r="Y868" s="46" t="s">
        <v>2422</v>
      </c>
      <c r="Z868" s="46" t="s">
        <v>1367</v>
      </c>
      <c r="AA868" s="46" t="s">
        <v>1615</v>
      </c>
      <c r="AB868" s="46" t="s">
        <v>2423</v>
      </c>
      <c r="AC868" s="46" t="s">
        <v>2424</v>
      </c>
      <c r="AD868" s="46"/>
      <c r="AE868" s="46"/>
      <c r="AF868" s="46" t="s">
        <v>4782</v>
      </c>
      <c r="AG868" s="46" t="s">
        <v>1372</v>
      </c>
      <c r="AH868" s="46"/>
      <c r="AI868" s="46"/>
      <c r="AJ868" s="46"/>
      <c r="AK868" s="46">
        <v>0</v>
      </c>
      <c r="AL868" s="46"/>
      <c r="AM868" s="46"/>
      <c r="AN868" s="46"/>
      <c r="AO868" s="46" t="s">
        <v>1372</v>
      </c>
      <c r="AP868" s="46" t="s">
        <v>1373</v>
      </c>
    </row>
    <row r="869" hidden="1" spans="1:42">
      <c r="A869" s="46" t="s">
        <v>4819</v>
      </c>
      <c r="B869" s="46" t="s">
        <v>1356</v>
      </c>
      <c r="C869" s="46" t="s">
        <v>1375</v>
      </c>
      <c r="D869" s="46" t="s">
        <v>1358</v>
      </c>
      <c r="E869" s="46"/>
      <c r="F869" s="46" t="s">
        <v>1377</v>
      </c>
      <c r="G869" s="47">
        <v>44817.8473726852</v>
      </c>
      <c r="H869" s="47">
        <v>44817.8474652778</v>
      </c>
      <c r="I869" s="46"/>
      <c r="J869" s="46" t="s">
        <v>407</v>
      </c>
      <c r="K869" s="46"/>
      <c r="L869" s="46"/>
      <c r="M869" s="46">
        <v>19.9</v>
      </c>
      <c r="N869" s="46">
        <v>0</v>
      </c>
      <c r="O869" s="46">
        <v>0</v>
      </c>
      <c r="P869" s="46">
        <v>0</v>
      </c>
      <c r="Q869" s="46">
        <v>19.9</v>
      </c>
      <c r="R869" s="46">
        <v>19.9</v>
      </c>
      <c r="S869" s="46"/>
      <c r="T869" s="46" t="s">
        <v>1484</v>
      </c>
      <c r="U869" s="46">
        <v>1</v>
      </c>
      <c r="V869" s="46" t="s">
        <v>1364</v>
      </c>
      <c r="W869" s="46"/>
      <c r="X869" s="46" t="s">
        <v>372</v>
      </c>
      <c r="Y869" s="46" t="s">
        <v>3832</v>
      </c>
      <c r="Z869" s="46" t="s">
        <v>1495</v>
      </c>
      <c r="AA869" s="46" t="s">
        <v>1757</v>
      </c>
      <c r="AB869" s="46" t="s">
        <v>1783</v>
      </c>
      <c r="AC869" s="46" t="s">
        <v>3833</v>
      </c>
      <c r="AD869" s="46"/>
      <c r="AE869" s="46"/>
      <c r="AF869" s="46" t="s">
        <v>3834</v>
      </c>
      <c r="AG869" s="46" t="s">
        <v>1372</v>
      </c>
      <c r="AH869" s="46"/>
      <c r="AI869" s="46"/>
      <c r="AJ869" s="46"/>
      <c r="AK869" s="46">
        <v>0</v>
      </c>
      <c r="AL869" s="46"/>
      <c r="AM869" s="46"/>
      <c r="AN869" s="46"/>
      <c r="AO869" s="46" t="s">
        <v>1372</v>
      </c>
      <c r="AP869" s="46" t="s">
        <v>1373</v>
      </c>
    </row>
    <row r="870" hidden="1" spans="1:42">
      <c r="A870" s="46" t="s">
        <v>4820</v>
      </c>
      <c r="B870" s="46" t="s">
        <v>1356</v>
      </c>
      <c r="C870" s="46" t="s">
        <v>1375</v>
      </c>
      <c r="D870" s="46" t="s">
        <v>1358</v>
      </c>
      <c r="E870" s="46"/>
      <c r="F870" s="46" t="s">
        <v>1377</v>
      </c>
      <c r="G870" s="47">
        <v>44817.8451157407</v>
      </c>
      <c r="H870" s="47">
        <v>44817.8453009259</v>
      </c>
      <c r="I870" s="46"/>
      <c r="J870" s="46" t="s">
        <v>407</v>
      </c>
      <c r="K870" s="46"/>
      <c r="L870" s="46"/>
      <c r="M870" s="46">
        <v>259</v>
      </c>
      <c r="N870" s="46">
        <v>0</v>
      </c>
      <c r="O870" s="46">
        <v>-10</v>
      </c>
      <c r="P870" s="46">
        <v>0</v>
      </c>
      <c r="Q870" s="46">
        <v>249</v>
      </c>
      <c r="R870" s="46">
        <v>249</v>
      </c>
      <c r="S870" s="46" t="s">
        <v>2860</v>
      </c>
      <c r="T870" s="46" t="s">
        <v>4821</v>
      </c>
      <c r="U870" s="46">
        <v>1</v>
      </c>
      <c r="V870" s="46" t="s">
        <v>1364</v>
      </c>
      <c r="W870" s="46"/>
      <c r="X870" s="46" t="s">
        <v>501</v>
      </c>
      <c r="Y870" s="46" t="s">
        <v>4207</v>
      </c>
      <c r="Z870" s="46" t="s">
        <v>1678</v>
      </c>
      <c r="AA870" s="46" t="s">
        <v>1679</v>
      </c>
      <c r="AB870" s="46" t="s">
        <v>1680</v>
      </c>
      <c r="AC870" s="46" t="s">
        <v>4208</v>
      </c>
      <c r="AD870" s="46"/>
      <c r="AE870" s="46"/>
      <c r="AF870" s="46" t="s">
        <v>4209</v>
      </c>
      <c r="AG870" s="46" t="s">
        <v>1385</v>
      </c>
      <c r="AH870" s="46" t="s">
        <v>4207</v>
      </c>
      <c r="AI870" s="46"/>
      <c r="AJ870" s="46"/>
      <c r="AK870" s="46">
        <v>0</v>
      </c>
      <c r="AL870" s="46"/>
      <c r="AM870" s="46"/>
      <c r="AN870" s="46"/>
      <c r="AO870" s="46" t="s">
        <v>1372</v>
      </c>
      <c r="AP870" s="46" t="s">
        <v>1373</v>
      </c>
    </row>
    <row r="871" hidden="1" spans="1:42">
      <c r="A871" s="46" t="s">
        <v>4822</v>
      </c>
      <c r="B871" s="46" t="s">
        <v>1356</v>
      </c>
      <c r="C871" s="46" t="s">
        <v>1375</v>
      </c>
      <c r="D871" s="46" t="s">
        <v>1358</v>
      </c>
      <c r="E871" s="46"/>
      <c r="F871" s="46" t="s">
        <v>1377</v>
      </c>
      <c r="G871" s="47">
        <v>44817.8448148148</v>
      </c>
      <c r="H871" s="47">
        <v>44817.8449652778</v>
      </c>
      <c r="I871" s="46"/>
      <c r="J871" s="46" t="s">
        <v>407</v>
      </c>
      <c r="K871" s="46"/>
      <c r="L871" s="46"/>
      <c r="M871" s="46">
        <v>259</v>
      </c>
      <c r="N871" s="46">
        <v>0</v>
      </c>
      <c r="O871" s="46">
        <v>-5</v>
      </c>
      <c r="P871" s="46">
        <v>0</v>
      </c>
      <c r="Q871" s="46">
        <v>254</v>
      </c>
      <c r="R871" s="46">
        <v>254</v>
      </c>
      <c r="S871" s="46" t="s">
        <v>1422</v>
      </c>
      <c r="T871" s="46" t="s">
        <v>4823</v>
      </c>
      <c r="U871" s="46">
        <v>1</v>
      </c>
      <c r="V871" s="46" t="s">
        <v>1364</v>
      </c>
      <c r="W871" s="46"/>
      <c r="X871" s="46" t="s">
        <v>372</v>
      </c>
      <c r="Y871" s="46" t="s">
        <v>3832</v>
      </c>
      <c r="Z871" s="46" t="s">
        <v>1495</v>
      </c>
      <c r="AA871" s="46" t="s">
        <v>1757</v>
      </c>
      <c r="AB871" s="46" t="s">
        <v>1783</v>
      </c>
      <c r="AC871" s="46" t="s">
        <v>3833</v>
      </c>
      <c r="AD871" s="46" t="s">
        <v>4824</v>
      </c>
      <c r="AE871" s="46"/>
      <c r="AF871" s="46" t="s">
        <v>3834</v>
      </c>
      <c r="AG871" s="46" t="s">
        <v>1372</v>
      </c>
      <c r="AH871" s="46"/>
      <c r="AI871" s="46"/>
      <c r="AJ871" s="46"/>
      <c r="AK871" s="46">
        <v>0</v>
      </c>
      <c r="AL871" s="46" t="s">
        <v>4825</v>
      </c>
      <c r="AM871" s="46"/>
      <c r="AN871" s="46"/>
      <c r="AO871" s="46" t="s">
        <v>1372</v>
      </c>
      <c r="AP871" s="46" t="s">
        <v>1373</v>
      </c>
    </row>
    <row r="872" hidden="1" spans="1:42">
      <c r="A872" s="46" t="s">
        <v>4826</v>
      </c>
      <c r="B872" s="46" t="s">
        <v>1356</v>
      </c>
      <c r="C872" s="46" t="s">
        <v>1375</v>
      </c>
      <c r="D872" s="46" t="s">
        <v>1358</v>
      </c>
      <c r="E872" s="46"/>
      <c r="F872" s="46" t="s">
        <v>1377</v>
      </c>
      <c r="G872" s="47">
        <v>44817.8385185185</v>
      </c>
      <c r="H872" s="47">
        <v>44817.8388773148</v>
      </c>
      <c r="I872" s="46"/>
      <c r="J872" s="46" t="s">
        <v>407</v>
      </c>
      <c r="K872" s="46"/>
      <c r="L872" s="46"/>
      <c r="M872" s="46">
        <v>39.9</v>
      </c>
      <c r="N872" s="46">
        <v>0</v>
      </c>
      <c r="O872" s="46">
        <v>-1</v>
      </c>
      <c r="P872" s="46">
        <v>0</v>
      </c>
      <c r="Q872" s="46">
        <v>38.9</v>
      </c>
      <c r="R872" s="46">
        <v>38.9</v>
      </c>
      <c r="S872" s="46" t="s">
        <v>1414</v>
      </c>
      <c r="T872" s="46" t="s">
        <v>4827</v>
      </c>
      <c r="U872" s="46">
        <v>1</v>
      </c>
      <c r="V872" s="46" t="s">
        <v>1364</v>
      </c>
      <c r="W872" s="46"/>
      <c r="X872" s="46" t="s">
        <v>498</v>
      </c>
      <c r="Y872" s="46" t="s">
        <v>1880</v>
      </c>
      <c r="Z872" s="46" t="s">
        <v>1695</v>
      </c>
      <c r="AA872" s="46" t="s">
        <v>1876</v>
      </c>
      <c r="AB872" s="46" t="s">
        <v>1877</v>
      </c>
      <c r="AC872" s="46" t="s">
        <v>1878</v>
      </c>
      <c r="AD872" s="46"/>
      <c r="AE872" s="46"/>
      <c r="AF872" s="46" t="s">
        <v>1879</v>
      </c>
      <c r="AG872" s="46" t="s">
        <v>1372</v>
      </c>
      <c r="AH872" s="46" t="s">
        <v>1880</v>
      </c>
      <c r="AI872" s="46"/>
      <c r="AJ872" s="46"/>
      <c r="AK872" s="46">
        <v>0</v>
      </c>
      <c r="AL872" s="46"/>
      <c r="AM872" s="46"/>
      <c r="AN872" s="46"/>
      <c r="AO872" s="46" t="s">
        <v>1372</v>
      </c>
      <c r="AP872" s="46" t="s">
        <v>1373</v>
      </c>
    </row>
    <row r="873" hidden="1" spans="1:42">
      <c r="A873" s="46" t="s">
        <v>4828</v>
      </c>
      <c r="B873" s="46" t="s">
        <v>1356</v>
      </c>
      <c r="C873" s="46" t="s">
        <v>1375</v>
      </c>
      <c r="D873" s="46" t="s">
        <v>1358</v>
      </c>
      <c r="E873" s="46"/>
      <c r="F873" s="46" t="s">
        <v>1377</v>
      </c>
      <c r="G873" s="47">
        <v>44817.8341782407</v>
      </c>
      <c r="H873" s="47">
        <v>44817.8342939815</v>
      </c>
      <c r="I873" s="46"/>
      <c r="J873" s="46" t="s">
        <v>407</v>
      </c>
      <c r="K873" s="46"/>
      <c r="L873" s="46"/>
      <c r="M873" s="46">
        <v>39.9</v>
      </c>
      <c r="N873" s="46">
        <v>0</v>
      </c>
      <c r="O873" s="46">
        <v>-1</v>
      </c>
      <c r="P873" s="46">
        <v>0</v>
      </c>
      <c r="Q873" s="46">
        <v>38.9</v>
      </c>
      <c r="R873" s="46">
        <v>38.9</v>
      </c>
      <c r="S873" s="46" t="s">
        <v>1414</v>
      </c>
      <c r="T873" s="46" t="s">
        <v>4829</v>
      </c>
      <c r="U873" s="46">
        <v>1</v>
      </c>
      <c r="V873" s="46" t="s">
        <v>1364</v>
      </c>
      <c r="W873" s="46"/>
      <c r="X873" s="46" t="s">
        <v>918</v>
      </c>
      <c r="Y873" s="46" t="s">
        <v>4830</v>
      </c>
      <c r="Z873" s="46" t="s">
        <v>1430</v>
      </c>
      <c r="AA873" s="46" t="s">
        <v>2210</v>
      </c>
      <c r="AB873" s="46" t="s">
        <v>4831</v>
      </c>
      <c r="AC873" s="46" t="s">
        <v>4832</v>
      </c>
      <c r="AD873" s="46"/>
      <c r="AE873" s="46"/>
      <c r="AF873" s="46" t="s">
        <v>4833</v>
      </c>
      <c r="AG873" s="46" t="s">
        <v>1385</v>
      </c>
      <c r="AH873" s="46" t="s">
        <v>4830</v>
      </c>
      <c r="AI873" s="46"/>
      <c r="AJ873" s="46"/>
      <c r="AK873" s="46">
        <v>0</v>
      </c>
      <c r="AL873" s="46"/>
      <c r="AM873" s="46"/>
      <c r="AN873" s="46"/>
      <c r="AO873" s="46" t="s">
        <v>1372</v>
      </c>
      <c r="AP873" s="46" t="s">
        <v>1373</v>
      </c>
    </row>
    <row r="874" hidden="1" spans="1:42">
      <c r="A874" s="46" t="s">
        <v>4834</v>
      </c>
      <c r="B874" s="46" t="s">
        <v>1356</v>
      </c>
      <c r="C874" s="46" t="s">
        <v>1375</v>
      </c>
      <c r="D874" s="46" t="s">
        <v>1358</v>
      </c>
      <c r="E874" s="46"/>
      <c r="F874" s="46" t="s">
        <v>1359</v>
      </c>
      <c r="G874" s="47">
        <v>44817.833287037</v>
      </c>
      <c r="H874" s="47">
        <v>44817.8333912037</v>
      </c>
      <c r="I874" s="46"/>
      <c r="J874" s="46" t="s">
        <v>1360</v>
      </c>
      <c r="K874" s="46" t="s">
        <v>4835</v>
      </c>
      <c r="L874" s="46" t="s">
        <v>4836</v>
      </c>
      <c r="M874" s="46">
        <v>208</v>
      </c>
      <c r="N874" s="46">
        <v>0</v>
      </c>
      <c r="O874" s="46">
        <v>0</v>
      </c>
      <c r="P874" s="46">
        <v>0</v>
      </c>
      <c r="Q874" s="46">
        <v>208</v>
      </c>
      <c r="R874" s="46">
        <v>208</v>
      </c>
      <c r="S874" s="46"/>
      <c r="T874" s="46" t="s">
        <v>4837</v>
      </c>
      <c r="U874" s="46">
        <v>1</v>
      </c>
      <c r="V874" s="46" t="s">
        <v>1364</v>
      </c>
      <c r="W874" s="46"/>
      <c r="X874" s="46" t="s">
        <v>4838</v>
      </c>
      <c r="Y874" s="46" t="s">
        <v>4839</v>
      </c>
      <c r="Z874" s="46" t="s">
        <v>1380</v>
      </c>
      <c r="AA874" s="46" t="s">
        <v>4317</v>
      </c>
      <c r="AB874" s="46" t="s">
        <v>4840</v>
      </c>
      <c r="AC874" s="46" t="s">
        <v>4841</v>
      </c>
      <c r="AD874" s="46"/>
      <c r="AE874" s="46"/>
      <c r="AF874" s="46" t="s">
        <v>4842</v>
      </c>
      <c r="AG874" s="46" t="s">
        <v>1385</v>
      </c>
      <c r="AH874" s="46" t="s">
        <v>4843</v>
      </c>
      <c r="AI874" s="46"/>
      <c r="AJ874" s="46"/>
      <c r="AK874" s="46">
        <v>0</v>
      </c>
      <c r="AL874" s="46"/>
      <c r="AM874" s="46"/>
      <c r="AN874" s="46"/>
      <c r="AO874" s="46" t="s">
        <v>1372</v>
      </c>
      <c r="AP874" s="46" t="s">
        <v>1373</v>
      </c>
    </row>
    <row r="875" hidden="1" spans="1:42">
      <c r="A875" s="46" t="s">
        <v>4844</v>
      </c>
      <c r="B875" s="46" t="s">
        <v>1356</v>
      </c>
      <c r="C875" s="46" t="s">
        <v>1375</v>
      </c>
      <c r="D875" s="46" t="s">
        <v>1358</v>
      </c>
      <c r="E875" s="46"/>
      <c r="F875" s="46" t="s">
        <v>1377</v>
      </c>
      <c r="G875" s="47">
        <v>44817.830150463</v>
      </c>
      <c r="H875" s="47">
        <v>44817.8302546296</v>
      </c>
      <c r="I875" s="46"/>
      <c r="J875" s="46" t="s">
        <v>407</v>
      </c>
      <c r="K875" s="46"/>
      <c r="L875" s="46"/>
      <c r="M875" s="46">
        <v>49.9</v>
      </c>
      <c r="N875" s="46">
        <v>0</v>
      </c>
      <c r="O875" s="46">
        <v>-3</v>
      </c>
      <c r="P875" s="46">
        <v>0</v>
      </c>
      <c r="Q875" s="46">
        <v>46.9</v>
      </c>
      <c r="R875" s="46">
        <v>46.9</v>
      </c>
      <c r="S875" s="46" t="s">
        <v>1397</v>
      </c>
      <c r="T875" s="46" t="s">
        <v>4845</v>
      </c>
      <c r="U875" s="46">
        <v>1</v>
      </c>
      <c r="V875" s="46" t="s">
        <v>1364</v>
      </c>
      <c r="W875" s="46"/>
      <c r="X875" s="46" t="s">
        <v>919</v>
      </c>
      <c r="Y875" s="46" t="s">
        <v>3230</v>
      </c>
      <c r="Z875" s="46" t="s">
        <v>3108</v>
      </c>
      <c r="AA875" s="46" t="s">
        <v>3124</v>
      </c>
      <c r="AB875" s="46" t="s">
        <v>3231</v>
      </c>
      <c r="AC875" s="46" t="s">
        <v>3837</v>
      </c>
      <c r="AD875" s="46"/>
      <c r="AE875" s="46"/>
      <c r="AF875" s="46" t="s">
        <v>3233</v>
      </c>
      <c r="AG875" s="46" t="s">
        <v>1385</v>
      </c>
      <c r="AH875" s="46" t="s">
        <v>3230</v>
      </c>
      <c r="AI875" s="46"/>
      <c r="AJ875" s="46"/>
      <c r="AK875" s="46">
        <v>0</v>
      </c>
      <c r="AL875" s="46"/>
      <c r="AM875" s="46"/>
      <c r="AN875" s="46"/>
      <c r="AO875" s="46" t="s">
        <v>1372</v>
      </c>
      <c r="AP875" s="46" t="s">
        <v>1373</v>
      </c>
    </row>
    <row r="876" hidden="1" spans="1:42">
      <c r="A876" s="46" t="s">
        <v>4846</v>
      </c>
      <c r="B876" s="46" t="s">
        <v>1356</v>
      </c>
      <c r="C876" s="46" t="s">
        <v>1375</v>
      </c>
      <c r="D876" s="46" t="s">
        <v>1358</v>
      </c>
      <c r="E876" s="46"/>
      <c r="F876" s="46" t="s">
        <v>1377</v>
      </c>
      <c r="G876" s="47">
        <v>44817.8271875</v>
      </c>
      <c r="H876" s="47">
        <v>44817.8274421296</v>
      </c>
      <c r="I876" s="46"/>
      <c r="J876" s="46" t="s">
        <v>407</v>
      </c>
      <c r="K876" s="46"/>
      <c r="L876" s="46"/>
      <c r="M876" s="46">
        <v>49.9</v>
      </c>
      <c r="N876" s="46">
        <v>0</v>
      </c>
      <c r="O876" s="46">
        <v>-3</v>
      </c>
      <c r="P876" s="46">
        <v>0</v>
      </c>
      <c r="Q876" s="46">
        <v>46.9</v>
      </c>
      <c r="R876" s="46">
        <v>46.9</v>
      </c>
      <c r="S876" s="46" t="s">
        <v>1397</v>
      </c>
      <c r="T876" s="46" t="s">
        <v>4847</v>
      </c>
      <c r="U876" s="46">
        <v>1</v>
      </c>
      <c r="V876" s="46" t="s">
        <v>1364</v>
      </c>
      <c r="W876" s="46"/>
      <c r="X876" s="46" t="s">
        <v>918</v>
      </c>
      <c r="Y876" s="46" t="s">
        <v>4830</v>
      </c>
      <c r="Z876" s="46" t="s">
        <v>1430</v>
      </c>
      <c r="AA876" s="46" t="s">
        <v>2210</v>
      </c>
      <c r="AB876" s="46" t="s">
        <v>4831</v>
      </c>
      <c r="AC876" s="46" t="s">
        <v>4832</v>
      </c>
      <c r="AD876" s="46"/>
      <c r="AE876" s="46"/>
      <c r="AF876" s="46" t="s">
        <v>4833</v>
      </c>
      <c r="AG876" s="46" t="s">
        <v>1385</v>
      </c>
      <c r="AH876" s="46" t="s">
        <v>4830</v>
      </c>
      <c r="AI876" s="46"/>
      <c r="AJ876" s="46"/>
      <c r="AK876" s="46">
        <v>0</v>
      </c>
      <c r="AL876" s="46"/>
      <c r="AM876" s="46"/>
      <c r="AN876" s="46"/>
      <c r="AO876" s="46" t="s">
        <v>1372</v>
      </c>
      <c r="AP876" s="46" t="s">
        <v>1373</v>
      </c>
    </row>
    <row r="877" hidden="1" spans="1:42">
      <c r="A877" s="46" t="s">
        <v>4848</v>
      </c>
      <c r="B877" s="46" t="s">
        <v>1356</v>
      </c>
      <c r="C877" s="46" t="s">
        <v>1375</v>
      </c>
      <c r="D877" s="46" t="s">
        <v>1358</v>
      </c>
      <c r="E877" s="46"/>
      <c r="F877" s="46" t="s">
        <v>1377</v>
      </c>
      <c r="G877" s="47">
        <v>44817.8262962963</v>
      </c>
      <c r="H877" s="47">
        <v>44817.8264699074</v>
      </c>
      <c r="I877" s="46"/>
      <c r="J877" s="46" t="s">
        <v>407</v>
      </c>
      <c r="K877" s="46"/>
      <c r="L877" s="46"/>
      <c r="M877" s="46">
        <v>49.9</v>
      </c>
      <c r="N877" s="46">
        <v>0</v>
      </c>
      <c r="O877" s="46">
        <v>-2</v>
      </c>
      <c r="P877" s="46">
        <v>0</v>
      </c>
      <c r="Q877" s="46">
        <v>47.9</v>
      </c>
      <c r="R877" s="46">
        <v>47.9</v>
      </c>
      <c r="S877" s="46" t="s">
        <v>1400</v>
      </c>
      <c r="T877" s="46" t="s">
        <v>4849</v>
      </c>
      <c r="U877" s="46">
        <v>1</v>
      </c>
      <c r="V877" s="46" t="s">
        <v>1364</v>
      </c>
      <c r="W877" s="46"/>
      <c r="X877" s="46" t="s">
        <v>629</v>
      </c>
      <c r="Y877" s="46" t="s">
        <v>2137</v>
      </c>
      <c r="Z877" s="46" t="s">
        <v>1513</v>
      </c>
      <c r="AA877" s="46" t="s">
        <v>2138</v>
      </c>
      <c r="AB877" s="46" t="s">
        <v>2139</v>
      </c>
      <c r="AC877" s="46" t="s">
        <v>2140</v>
      </c>
      <c r="AD877" s="46"/>
      <c r="AE877" s="46"/>
      <c r="AF877" s="46" t="s">
        <v>2141</v>
      </c>
      <c r="AG877" s="46" t="s">
        <v>1385</v>
      </c>
      <c r="AH877" s="46" t="s">
        <v>2137</v>
      </c>
      <c r="AI877" s="46"/>
      <c r="AJ877" s="46"/>
      <c r="AK877" s="46">
        <v>0</v>
      </c>
      <c r="AL877" s="46"/>
      <c r="AM877" s="46"/>
      <c r="AN877" s="46"/>
      <c r="AO877" s="46" t="s">
        <v>1372</v>
      </c>
      <c r="AP877" s="46" t="s">
        <v>1373</v>
      </c>
    </row>
    <row r="878" hidden="1" spans="1:42">
      <c r="A878" s="46" t="s">
        <v>4850</v>
      </c>
      <c r="B878" s="46" t="s">
        <v>1356</v>
      </c>
      <c r="C878" s="46" t="s">
        <v>1375</v>
      </c>
      <c r="D878" s="46" t="s">
        <v>1358</v>
      </c>
      <c r="E878" s="46"/>
      <c r="F878" s="46" t="s">
        <v>1377</v>
      </c>
      <c r="G878" s="47">
        <v>44817.8224421296</v>
      </c>
      <c r="H878" s="47">
        <v>44817.8226157407</v>
      </c>
      <c r="I878" s="46"/>
      <c r="J878" s="46" t="s">
        <v>407</v>
      </c>
      <c r="K878" s="46"/>
      <c r="L878" s="46"/>
      <c r="M878" s="46">
        <v>19.9</v>
      </c>
      <c r="N878" s="46">
        <v>0</v>
      </c>
      <c r="O878" s="46">
        <v>0</v>
      </c>
      <c r="P878" s="46">
        <v>0</v>
      </c>
      <c r="Q878" s="46">
        <v>19.9</v>
      </c>
      <c r="R878" s="46">
        <v>19.9</v>
      </c>
      <c r="S878" s="46"/>
      <c r="T878" s="46" t="s">
        <v>1484</v>
      </c>
      <c r="U878" s="46">
        <v>1</v>
      </c>
      <c r="V878" s="46" t="s">
        <v>1364</v>
      </c>
      <c r="W878" s="46"/>
      <c r="X878" s="46" t="s">
        <v>922</v>
      </c>
      <c r="Y878" s="46" t="s">
        <v>4851</v>
      </c>
      <c r="Z878" s="46" t="s">
        <v>1495</v>
      </c>
      <c r="AA878" s="46" t="s">
        <v>4852</v>
      </c>
      <c r="AB878" s="46" t="s">
        <v>4853</v>
      </c>
      <c r="AC878" s="46" t="s">
        <v>4854</v>
      </c>
      <c r="AD878" s="46"/>
      <c r="AE878" s="46"/>
      <c r="AF878" s="46" t="s">
        <v>4855</v>
      </c>
      <c r="AG878" s="46" t="s">
        <v>1372</v>
      </c>
      <c r="AH878" s="46" t="s">
        <v>4851</v>
      </c>
      <c r="AI878" s="46"/>
      <c r="AJ878" s="46"/>
      <c r="AK878" s="46">
        <v>0</v>
      </c>
      <c r="AL878" s="46"/>
      <c r="AM878" s="46"/>
      <c r="AN878" s="46"/>
      <c r="AO878" s="46" t="s">
        <v>1372</v>
      </c>
      <c r="AP878" s="46" t="s">
        <v>1373</v>
      </c>
    </row>
    <row r="879" hidden="1" spans="1:42">
      <c r="A879" s="48" t="s">
        <v>4856</v>
      </c>
      <c r="B879" s="48" t="s">
        <v>1356</v>
      </c>
      <c r="C879" s="48" t="s">
        <v>1375</v>
      </c>
      <c r="D879" s="48" t="s">
        <v>1358</v>
      </c>
      <c r="E879" s="48"/>
      <c r="F879" s="48" t="s">
        <v>1548</v>
      </c>
      <c r="G879" s="49">
        <v>44818.9972337963</v>
      </c>
      <c r="H879" s="49">
        <v>44818.997349537</v>
      </c>
      <c r="I879" s="48"/>
      <c r="J879" s="48" t="s">
        <v>407</v>
      </c>
      <c r="K879" s="48"/>
      <c r="L879" s="48"/>
      <c r="M879" s="48">
        <v>79</v>
      </c>
      <c r="N879" s="48">
        <v>10</v>
      </c>
      <c r="O879" s="48">
        <v>0</v>
      </c>
      <c r="P879" s="48">
        <v>0</v>
      </c>
      <c r="Q879" s="48">
        <v>89</v>
      </c>
      <c r="R879" s="48">
        <v>89</v>
      </c>
      <c r="S879" s="48"/>
      <c r="T879" s="48" t="s">
        <v>4857</v>
      </c>
      <c r="U879" s="48">
        <v>1</v>
      </c>
      <c r="V879" s="48" t="s">
        <v>1364</v>
      </c>
      <c r="W879" s="48"/>
      <c r="X879" s="48" t="s">
        <v>366</v>
      </c>
      <c r="Y879" s="48" t="s">
        <v>4662</v>
      </c>
      <c r="Z879" s="48" t="s">
        <v>2298</v>
      </c>
      <c r="AA879" s="48" t="s">
        <v>3568</v>
      </c>
      <c r="AB879" s="48" t="s">
        <v>4663</v>
      </c>
      <c r="AC879" s="48" t="s">
        <v>4664</v>
      </c>
      <c r="AD879" s="48"/>
      <c r="AE879" s="48"/>
      <c r="AF879" s="48" t="s">
        <v>4858</v>
      </c>
      <c r="AG879" s="48" t="s">
        <v>1372</v>
      </c>
      <c r="AH879" s="48" t="s">
        <v>4662</v>
      </c>
      <c r="AI879" s="48"/>
      <c r="AJ879" s="48"/>
      <c r="AK879" s="48">
        <v>0</v>
      </c>
      <c r="AL879" s="48"/>
      <c r="AM879" s="48"/>
      <c r="AN879" s="48"/>
      <c r="AO879" s="48" t="s">
        <v>1372</v>
      </c>
      <c r="AP879" s="48" t="s">
        <v>1373</v>
      </c>
    </row>
    <row r="880" hidden="1" spans="1:42">
      <c r="A880" s="48" t="s">
        <v>4859</v>
      </c>
      <c r="B880" s="48" t="s">
        <v>1356</v>
      </c>
      <c r="C880" s="48" t="s">
        <v>1375</v>
      </c>
      <c r="D880" s="48" t="s">
        <v>1358</v>
      </c>
      <c r="E880" s="48"/>
      <c r="F880" s="48" t="s">
        <v>1548</v>
      </c>
      <c r="G880" s="49">
        <v>44818.9793981481</v>
      </c>
      <c r="H880" s="49">
        <v>44818.9798958333</v>
      </c>
      <c r="I880" s="48"/>
      <c r="J880" s="48" t="s">
        <v>407</v>
      </c>
      <c r="K880" s="48"/>
      <c r="L880" s="48"/>
      <c r="M880" s="48">
        <v>39.9</v>
      </c>
      <c r="N880" s="48">
        <v>0</v>
      </c>
      <c r="O880" s="48">
        <v>-3</v>
      </c>
      <c r="P880" s="48">
        <v>0</v>
      </c>
      <c r="Q880" s="48">
        <v>36.9</v>
      </c>
      <c r="R880" s="48">
        <v>36.9</v>
      </c>
      <c r="S880" s="48" t="s">
        <v>1397</v>
      </c>
      <c r="T880" s="48" t="s">
        <v>4860</v>
      </c>
      <c r="U880" s="48">
        <v>1</v>
      </c>
      <c r="V880" s="48" t="s">
        <v>1364</v>
      </c>
      <c r="W880" s="48"/>
      <c r="X880" s="48" t="s">
        <v>707</v>
      </c>
      <c r="Y880" s="48" t="s">
        <v>3237</v>
      </c>
      <c r="Z880" s="48" t="s">
        <v>2509</v>
      </c>
      <c r="AA880" s="48" t="s">
        <v>3238</v>
      </c>
      <c r="AB880" s="48" t="s">
        <v>3239</v>
      </c>
      <c r="AC880" s="48" t="s">
        <v>3240</v>
      </c>
      <c r="AD880" s="48"/>
      <c r="AE880" s="48"/>
      <c r="AF880" s="48" t="s">
        <v>3241</v>
      </c>
      <c r="AG880" s="48" t="s">
        <v>1385</v>
      </c>
      <c r="AH880" s="48" t="s">
        <v>3237</v>
      </c>
      <c r="AI880" s="48"/>
      <c r="AJ880" s="48"/>
      <c r="AK880" s="48">
        <v>0</v>
      </c>
      <c r="AL880" s="48"/>
      <c r="AM880" s="48"/>
      <c r="AN880" s="48"/>
      <c r="AO880" s="48" t="s">
        <v>1372</v>
      </c>
      <c r="AP880" s="48" t="s">
        <v>1373</v>
      </c>
    </row>
    <row r="881" hidden="1" spans="1:42">
      <c r="A881" s="48" t="s">
        <v>4861</v>
      </c>
      <c r="B881" s="48" t="s">
        <v>1356</v>
      </c>
      <c r="C881" s="48" t="s">
        <v>1375</v>
      </c>
      <c r="D881" s="48" t="s">
        <v>1358</v>
      </c>
      <c r="E881" s="48"/>
      <c r="F881" s="48" t="s">
        <v>1359</v>
      </c>
      <c r="G881" s="49">
        <v>44818.9682986111</v>
      </c>
      <c r="H881" s="49">
        <v>44818.9684143519</v>
      </c>
      <c r="I881" s="48"/>
      <c r="J881" s="48" t="s">
        <v>1360</v>
      </c>
      <c r="K881" s="48" t="s">
        <v>4862</v>
      </c>
      <c r="L881" s="48" t="s">
        <v>4863</v>
      </c>
      <c r="M881" s="48">
        <v>75.05</v>
      </c>
      <c r="N881" s="48">
        <v>0</v>
      </c>
      <c r="O881" s="48">
        <v>-5</v>
      </c>
      <c r="P881" s="48">
        <v>0</v>
      </c>
      <c r="Q881" s="48">
        <v>70.05</v>
      </c>
      <c r="R881" s="48">
        <v>70.05</v>
      </c>
      <c r="S881" s="48" t="s">
        <v>1422</v>
      </c>
      <c r="T881" s="48" t="s">
        <v>4864</v>
      </c>
      <c r="U881" s="48">
        <v>1</v>
      </c>
      <c r="V881" s="48" t="s">
        <v>1364</v>
      </c>
      <c r="W881" s="48"/>
      <c r="X881" s="48" t="s">
        <v>4865</v>
      </c>
      <c r="Y881" s="48" t="s">
        <v>4866</v>
      </c>
      <c r="Z881" s="48" t="s">
        <v>1430</v>
      </c>
      <c r="AA881" s="48" t="s">
        <v>3042</v>
      </c>
      <c r="AB881" s="48" t="s">
        <v>4867</v>
      </c>
      <c r="AC881" s="48" t="s">
        <v>4868</v>
      </c>
      <c r="AD881" s="48"/>
      <c r="AE881" s="48"/>
      <c r="AF881" s="48" t="s">
        <v>4865</v>
      </c>
      <c r="AG881" s="48" t="s">
        <v>1385</v>
      </c>
      <c r="AH881" s="48" t="s">
        <v>4866</v>
      </c>
      <c r="AI881" s="48"/>
      <c r="AJ881" s="48"/>
      <c r="AK881" s="48">
        <v>0</v>
      </c>
      <c r="AL881" s="48"/>
      <c r="AM881" s="48"/>
      <c r="AN881" s="48"/>
      <c r="AO881" s="48" t="s">
        <v>1372</v>
      </c>
      <c r="AP881" s="48" t="s">
        <v>1373</v>
      </c>
    </row>
    <row r="882" hidden="1" spans="1:42">
      <c r="A882" s="48" t="s">
        <v>4869</v>
      </c>
      <c r="B882" s="48" t="s">
        <v>1356</v>
      </c>
      <c r="C882" s="48" t="s">
        <v>1375</v>
      </c>
      <c r="D882" s="48" t="s">
        <v>1358</v>
      </c>
      <c r="E882" s="48"/>
      <c r="F882" s="48" t="s">
        <v>1359</v>
      </c>
      <c r="G882" s="49">
        <v>44818.9667592593</v>
      </c>
      <c r="H882" s="49">
        <v>44818.9668865741</v>
      </c>
      <c r="I882" s="48"/>
      <c r="J882" s="48" t="s">
        <v>1360</v>
      </c>
      <c r="K882" s="48" t="s">
        <v>4870</v>
      </c>
      <c r="L882" s="48" t="s">
        <v>4871</v>
      </c>
      <c r="M882" s="48">
        <v>75.05</v>
      </c>
      <c r="N882" s="48">
        <v>0</v>
      </c>
      <c r="O882" s="48">
        <v>-7</v>
      </c>
      <c r="P882" s="48">
        <v>0</v>
      </c>
      <c r="Q882" s="48">
        <v>68.05</v>
      </c>
      <c r="R882" s="48">
        <v>68.05</v>
      </c>
      <c r="S882" s="48" t="s">
        <v>2550</v>
      </c>
      <c r="T882" s="48" t="s">
        <v>4872</v>
      </c>
      <c r="U882" s="48">
        <v>1</v>
      </c>
      <c r="V882" s="48" t="s">
        <v>1364</v>
      </c>
      <c r="W882" s="48"/>
      <c r="X882" s="48" t="s">
        <v>4865</v>
      </c>
      <c r="Y882" s="48" t="s">
        <v>4866</v>
      </c>
      <c r="Z882" s="48" t="s">
        <v>1430</v>
      </c>
      <c r="AA882" s="48" t="s">
        <v>3042</v>
      </c>
      <c r="AB882" s="48" t="s">
        <v>4867</v>
      </c>
      <c r="AC882" s="48" t="s">
        <v>4868</v>
      </c>
      <c r="AD882" s="48"/>
      <c r="AE882" s="48"/>
      <c r="AF882" s="48" t="s">
        <v>4865</v>
      </c>
      <c r="AG882" s="48" t="s">
        <v>1385</v>
      </c>
      <c r="AH882" s="48" t="s">
        <v>4866</v>
      </c>
      <c r="AI882" s="48"/>
      <c r="AJ882" s="48"/>
      <c r="AK882" s="48">
        <v>0</v>
      </c>
      <c r="AL882" s="48"/>
      <c r="AM882" s="48"/>
      <c r="AN882" s="48"/>
      <c r="AO882" s="48" t="s">
        <v>1372</v>
      </c>
      <c r="AP882" s="48" t="s">
        <v>1373</v>
      </c>
    </row>
    <row r="883" hidden="1" spans="1:42">
      <c r="A883" s="48" t="s">
        <v>4873</v>
      </c>
      <c r="B883" s="48" t="s">
        <v>1356</v>
      </c>
      <c r="C883" s="48" t="s">
        <v>1375</v>
      </c>
      <c r="D883" s="48" t="s">
        <v>1358</v>
      </c>
      <c r="E883" s="48"/>
      <c r="F883" s="48" t="s">
        <v>1359</v>
      </c>
      <c r="G883" s="49">
        <v>44818.9645717593</v>
      </c>
      <c r="H883" s="49">
        <v>44818.9647222222</v>
      </c>
      <c r="I883" s="48"/>
      <c r="J883" s="48" t="s">
        <v>1360</v>
      </c>
      <c r="K883" s="48" t="s">
        <v>4874</v>
      </c>
      <c r="L883" s="48" t="s">
        <v>4875</v>
      </c>
      <c r="M883" s="48">
        <v>64.6</v>
      </c>
      <c r="N883" s="48">
        <v>0</v>
      </c>
      <c r="O883" s="48">
        <v>-6</v>
      </c>
      <c r="P883" s="48">
        <v>0</v>
      </c>
      <c r="Q883" s="48">
        <v>58.6</v>
      </c>
      <c r="R883" s="48">
        <v>58.6</v>
      </c>
      <c r="S883" s="48" t="s">
        <v>1463</v>
      </c>
      <c r="T883" s="48" t="s">
        <v>4876</v>
      </c>
      <c r="U883" s="48">
        <v>1</v>
      </c>
      <c r="V883" s="48" t="s">
        <v>1364</v>
      </c>
      <c r="W883" s="48"/>
      <c r="X883" s="48" t="s">
        <v>4865</v>
      </c>
      <c r="Y883" s="48" t="s">
        <v>4866</v>
      </c>
      <c r="Z883" s="48" t="s">
        <v>1430</v>
      </c>
      <c r="AA883" s="48" t="s">
        <v>3042</v>
      </c>
      <c r="AB883" s="48" t="s">
        <v>4867</v>
      </c>
      <c r="AC883" s="48" t="s">
        <v>4868</v>
      </c>
      <c r="AD883" s="48"/>
      <c r="AE883" s="48"/>
      <c r="AF883" s="48" t="s">
        <v>4865</v>
      </c>
      <c r="AG883" s="48" t="s">
        <v>1385</v>
      </c>
      <c r="AH883" s="48" t="s">
        <v>4866</v>
      </c>
      <c r="AI883" s="48"/>
      <c r="AJ883" s="48"/>
      <c r="AK883" s="48">
        <v>0</v>
      </c>
      <c r="AL883" s="48"/>
      <c r="AM883" s="48"/>
      <c r="AN883" s="48"/>
      <c r="AO883" s="48" t="s">
        <v>1372</v>
      </c>
      <c r="AP883" s="48" t="s">
        <v>1373</v>
      </c>
    </row>
    <row r="884" hidden="1" spans="1:42">
      <c r="A884" s="48" t="s">
        <v>4877</v>
      </c>
      <c r="B884" s="48" t="s">
        <v>1356</v>
      </c>
      <c r="C884" s="48" t="s">
        <v>1375</v>
      </c>
      <c r="D884" s="48" t="s">
        <v>1358</v>
      </c>
      <c r="E884" s="48"/>
      <c r="F884" s="48" t="s">
        <v>1377</v>
      </c>
      <c r="G884" s="49">
        <v>44818.9531712963</v>
      </c>
      <c r="H884" s="49">
        <v>44818.9536805556</v>
      </c>
      <c r="I884" s="48"/>
      <c r="J884" s="48" t="s">
        <v>407</v>
      </c>
      <c r="K884" s="48"/>
      <c r="L884" s="48"/>
      <c r="M884" s="48">
        <v>39.9</v>
      </c>
      <c r="N884" s="48">
        <v>0</v>
      </c>
      <c r="O884" s="48">
        <v>0</v>
      </c>
      <c r="P884" s="48">
        <v>0</v>
      </c>
      <c r="Q884" s="48">
        <v>39.9</v>
      </c>
      <c r="R884" s="48">
        <v>39.9</v>
      </c>
      <c r="S884" s="48"/>
      <c r="T884" s="48" t="s">
        <v>4878</v>
      </c>
      <c r="U884" s="48">
        <v>1</v>
      </c>
      <c r="V884" s="48" t="s">
        <v>1364</v>
      </c>
      <c r="W884" s="48"/>
      <c r="X884" s="48" t="s">
        <v>1022</v>
      </c>
      <c r="Y884" s="48" t="s">
        <v>4879</v>
      </c>
      <c r="Z884" s="48" t="s">
        <v>1447</v>
      </c>
      <c r="AA884" s="48" t="s">
        <v>1543</v>
      </c>
      <c r="AB884" s="48" t="s">
        <v>1544</v>
      </c>
      <c r="AC884" s="48" t="s">
        <v>4880</v>
      </c>
      <c r="AD884" s="48"/>
      <c r="AE884" s="48"/>
      <c r="AF884" s="48" t="s">
        <v>4881</v>
      </c>
      <c r="AG884" s="48" t="s">
        <v>1372</v>
      </c>
      <c r="AH884" s="48"/>
      <c r="AI884" s="48"/>
      <c r="AJ884" s="48"/>
      <c r="AK884" s="48">
        <v>0</v>
      </c>
      <c r="AL884" s="48"/>
      <c r="AM884" s="48"/>
      <c r="AN884" s="48"/>
      <c r="AO884" s="48" t="s">
        <v>1372</v>
      </c>
      <c r="AP884" s="48" t="s">
        <v>1373</v>
      </c>
    </row>
    <row r="885" hidden="1" spans="1:42">
      <c r="A885" s="48" t="s">
        <v>4882</v>
      </c>
      <c r="B885" s="48" t="s">
        <v>1356</v>
      </c>
      <c r="C885" s="48" t="s">
        <v>1375</v>
      </c>
      <c r="D885" s="48" t="s">
        <v>1358</v>
      </c>
      <c r="E885" s="48"/>
      <c r="F885" s="48" t="s">
        <v>1377</v>
      </c>
      <c r="G885" s="49">
        <v>44818.9428240741</v>
      </c>
      <c r="H885" s="49">
        <v>44818.9430671296</v>
      </c>
      <c r="I885" s="48"/>
      <c r="J885" s="48" t="s">
        <v>407</v>
      </c>
      <c r="K885" s="48"/>
      <c r="L885" s="48"/>
      <c r="M885" s="48">
        <v>39.9</v>
      </c>
      <c r="N885" s="48">
        <v>0</v>
      </c>
      <c r="O885" s="48">
        <v>-3</v>
      </c>
      <c r="P885" s="48">
        <v>0</v>
      </c>
      <c r="Q885" s="48">
        <v>36.9</v>
      </c>
      <c r="R885" s="48">
        <v>36.9</v>
      </c>
      <c r="S885" s="48" t="s">
        <v>1397</v>
      </c>
      <c r="T885" s="48" t="s">
        <v>4883</v>
      </c>
      <c r="U885" s="48">
        <v>1</v>
      </c>
      <c r="V885" s="48" t="s">
        <v>1364</v>
      </c>
      <c r="W885" s="48"/>
      <c r="X885" s="48" t="s">
        <v>1052</v>
      </c>
      <c r="Y885" s="48" t="s">
        <v>4884</v>
      </c>
      <c r="Z885" s="48" t="s">
        <v>1466</v>
      </c>
      <c r="AA885" s="48" t="s">
        <v>1885</v>
      </c>
      <c r="AB885" s="48" t="s">
        <v>4885</v>
      </c>
      <c r="AC885" s="48" t="s">
        <v>4886</v>
      </c>
      <c r="AD885" s="48"/>
      <c r="AE885" s="48"/>
      <c r="AF885" s="48" t="s">
        <v>4887</v>
      </c>
      <c r="AG885" s="48" t="s">
        <v>1385</v>
      </c>
      <c r="AH885" s="48" t="s">
        <v>4888</v>
      </c>
      <c r="AI885" s="48"/>
      <c r="AJ885" s="48"/>
      <c r="AK885" s="48">
        <v>0</v>
      </c>
      <c r="AL885" s="48"/>
      <c r="AM885" s="48"/>
      <c r="AN885" s="48"/>
      <c r="AO885" s="48" t="s">
        <v>1372</v>
      </c>
      <c r="AP885" s="48" t="s">
        <v>1373</v>
      </c>
    </row>
    <row r="886" hidden="1" spans="1:42">
      <c r="A886" s="48" t="s">
        <v>4889</v>
      </c>
      <c r="B886" s="48" t="s">
        <v>1356</v>
      </c>
      <c r="C886" s="48" t="s">
        <v>1375</v>
      </c>
      <c r="D886" s="48" t="s">
        <v>1358</v>
      </c>
      <c r="E886" s="48"/>
      <c r="F886" s="48" t="s">
        <v>1377</v>
      </c>
      <c r="G886" s="49">
        <v>44818.9406018518</v>
      </c>
      <c r="H886" s="49">
        <v>44818.9407060185</v>
      </c>
      <c r="I886" s="48"/>
      <c r="J886" s="48" t="s">
        <v>407</v>
      </c>
      <c r="K886" s="48"/>
      <c r="L886" s="48"/>
      <c r="M886" s="48">
        <v>249</v>
      </c>
      <c r="N886" s="48">
        <v>0</v>
      </c>
      <c r="O886" s="48">
        <v>-5</v>
      </c>
      <c r="P886" s="48">
        <v>0</v>
      </c>
      <c r="Q886" s="48">
        <v>244</v>
      </c>
      <c r="R886" s="48">
        <v>244</v>
      </c>
      <c r="S886" s="48" t="s">
        <v>1422</v>
      </c>
      <c r="T886" s="48" t="s">
        <v>4890</v>
      </c>
      <c r="U886" s="48">
        <v>1</v>
      </c>
      <c r="V886" s="48" t="s">
        <v>1364</v>
      </c>
      <c r="W886" s="48"/>
      <c r="X886" s="48" t="s">
        <v>388</v>
      </c>
      <c r="Y886" s="48" t="s">
        <v>3903</v>
      </c>
      <c r="Z886" s="48" t="s">
        <v>1513</v>
      </c>
      <c r="AA886" s="48" t="s">
        <v>3904</v>
      </c>
      <c r="AB886" s="48" t="s">
        <v>3905</v>
      </c>
      <c r="AC886" s="48" t="s">
        <v>4266</v>
      </c>
      <c r="AD886" s="48"/>
      <c r="AE886" s="48"/>
      <c r="AF886" s="48" t="s">
        <v>388</v>
      </c>
      <c r="AG886" s="48" t="s">
        <v>1372</v>
      </c>
      <c r="AH886" s="48"/>
      <c r="AI886" s="48"/>
      <c r="AJ886" s="48"/>
      <c r="AK886" s="48">
        <v>0</v>
      </c>
      <c r="AL886" s="48" t="s">
        <v>4891</v>
      </c>
      <c r="AM886" s="48"/>
      <c r="AN886" s="48"/>
      <c r="AO886" s="48" t="s">
        <v>1372</v>
      </c>
      <c r="AP886" s="48" t="s">
        <v>1373</v>
      </c>
    </row>
    <row r="887" hidden="1" spans="1:42">
      <c r="A887" s="48" t="s">
        <v>4892</v>
      </c>
      <c r="B887" s="48" t="s">
        <v>1356</v>
      </c>
      <c r="C887" s="48" t="s">
        <v>1375</v>
      </c>
      <c r="D887" s="48" t="s">
        <v>1358</v>
      </c>
      <c r="E887" s="48"/>
      <c r="F887" s="48" t="s">
        <v>1359</v>
      </c>
      <c r="G887" s="49">
        <v>44818.936099537</v>
      </c>
      <c r="H887" s="49">
        <v>44818.9362152778</v>
      </c>
      <c r="I887" s="48"/>
      <c r="J887" s="48" t="s">
        <v>1360</v>
      </c>
      <c r="K887" s="48" t="s">
        <v>4893</v>
      </c>
      <c r="L887" s="48" t="s">
        <v>4894</v>
      </c>
      <c r="M887" s="48">
        <v>128</v>
      </c>
      <c r="N887" s="48">
        <v>0</v>
      </c>
      <c r="O887" s="48">
        <v>0</v>
      </c>
      <c r="P887" s="48">
        <v>0</v>
      </c>
      <c r="Q887" s="48">
        <v>128</v>
      </c>
      <c r="R887" s="48">
        <v>128</v>
      </c>
      <c r="S887" s="48"/>
      <c r="T887" s="48" t="s">
        <v>4895</v>
      </c>
      <c r="U887" s="48">
        <v>1</v>
      </c>
      <c r="V887" s="48" t="s">
        <v>1364</v>
      </c>
      <c r="W887" s="48"/>
      <c r="X887" s="48" t="s">
        <v>4865</v>
      </c>
      <c r="Y887" s="48" t="s">
        <v>4866</v>
      </c>
      <c r="Z887" s="48" t="s">
        <v>1430</v>
      </c>
      <c r="AA887" s="48" t="s">
        <v>3042</v>
      </c>
      <c r="AB887" s="48" t="s">
        <v>4867</v>
      </c>
      <c r="AC887" s="48" t="s">
        <v>4868</v>
      </c>
      <c r="AD887" s="48"/>
      <c r="AE887" s="48"/>
      <c r="AF887" s="48" t="s">
        <v>4865</v>
      </c>
      <c r="AG887" s="48" t="s">
        <v>1385</v>
      </c>
      <c r="AH887" s="48" t="s">
        <v>4866</v>
      </c>
      <c r="AI887" s="48"/>
      <c r="AJ887" s="48"/>
      <c r="AK887" s="48">
        <v>0</v>
      </c>
      <c r="AL887" s="48"/>
      <c r="AM887" s="48"/>
      <c r="AN887" s="48"/>
      <c r="AO887" s="48" t="s">
        <v>1372</v>
      </c>
      <c r="AP887" s="48" t="s">
        <v>1373</v>
      </c>
    </row>
    <row r="888" hidden="1" spans="1:42">
      <c r="A888" s="48" t="s">
        <v>4896</v>
      </c>
      <c r="B888" s="48" t="s">
        <v>1356</v>
      </c>
      <c r="C888" s="48" t="s">
        <v>1375</v>
      </c>
      <c r="D888" s="48" t="s">
        <v>1358</v>
      </c>
      <c r="E888" s="48"/>
      <c r="F888" s="48" t="s">
        <v>1377</v>
      </c>
      <c r="G888" s="49">
        <v>44818.9339467593</v>
      </c>
      <c r="H888" s="49">
        <v>44818.9340740741</v>
      </c>
      <c r="I888" s="48"/>
      <c r="J888" s="48" t="s">
        <v>407</v>
      </c>
      <c r="K888" s="48"/>
      <c r="L888" s="48"/>
      <c r="M888" s="48">
        <v>39.9</v>
      </c>
      <c r="N888" s="48">
        <v>0</v>
      </c>
      <c r="O888" s="48">
        <v>-3</v>
      </c>
      <c r="P888" s="48">
        <v>0</v>
      </c>
      <c r="Q888" s="48">
        <v>36.9</v>
      </c>
      <c r="R888" s="48">
        <v>36.9</v>
      </c>
      <c r="S888" s="48" t="s">
        <v>1397</v>
      </c>
      <c r="T888" s="48" t="s">
        <v>4897</v>
      </c>
      <c r="U888" s="48">
        <v>1</v>
      </c>
      <c r="V888" s="48" t="s">
        <v>1364</v>
      </c>
      <c r="W888" s="48"/>
      <c r="X888" s="48" t="s">
        <v>972</v>
      </c>
      <c r="Y888" s="48" t="s">
        <v>4630</v>
      </c>
      <c r="Z888" s="48" t="s">
        <v>1495</v>
      </c>
      <c r="AA888" s="48" t="s">
        <v>2877</v>
      </c>
      <c r="AB888" s="48" t="s">
        <v>2878</v>
      </c>
      <c r="AC888" s="48" t="s">
        <v>4631</v>
      </c>
      <c r="AD888" s="48"/>
      <c r="AE888" s="48"/>
      <c r="AF888" s="48" t="s">
        <v>4632</v>
      </c>
      <c r="AG888" s="48" t="s">
        <v>1372</v>
      </c>
      <c r="AH888" s="48"/>
      <c r="AI888" s="48"/>
      <c r="AJ888" s="48"/>
      <c r="AK888" s="48">
        <v>0</v>
      </c>
      <c r="AL888" s="48"/>
      <c r="AM888" s="48"/>
      <c r="AN888" s="48"/>
      <c r="AO888" s="48" t="s">
        <v>1372</v>
      </c>
      <c r="AP888" s="48" t="s">
        <v>1373</v>
      </c>
    </row>
    <row r="889" hidden="1" spans="1:42">
      <c r="A889" s="48" t="s">
        <v>4898</v>
      </c>
      <c r="B889" s="48" t="s">
        <v>1356</v>
      </c>
      <c r="C889" s="48" t="s">
        <v>1375</v>
      </c>
      <c r="D889" s="48" t="s">
        <v>1358</v>
      </c>
      <c r="E889" s="48"/>
      <c r="F889" s="48" t="s">
        <v>1377</v>
      </c>
      <c r="G889" s="49">
        <v>44818.9337615741</v>
      </c>
      <c r="H889" s="49">
        <v>44818.9338773148</v>
      </c>
      <c r="I889" s="48"/>
      <c r="J889" s="48" t="s">
        <v>407</v>
      </c>
      <c r="K889" s="48"/>
      <c r="L889" s="48"/>
      <c r="M889" s="48">
        <v>39.9</v>
      </c>
      <c r="N889" s="48">
        <v>0</v>
      </c>
      <c r="O889" s="48">
        <v>-3</v>
      </c>
      <c r="P889" s="48">
        <v>0</v>
      </c>
      <c r="Q889" s="48">
        <v>36.9</v>
      </c>
      <c r="R889" s="48">
        <v>36.9</v>
      </c>
      <c r="S889" s="48" t="s">
        <v>1397</v>
      </c>
      <c r="T889" s="48" t="s">
        <v>4897</v>
      </c>
      <c r="U889" s="48">
        <v>1</v>
      </c>
      <c r="V889" s="48" t="s">
        <v>1364</v>
      </c>
      <c r="W889" s="48"/>
      <c r="X889" s="48" t="s">
        <v>1056</v>
      </c>
      <c r="Y889" s="48" t="s">
        <v>4899</v>
      </c>
      <c r="Z889" s="48" t="s">
        <v>1380</v>
      </c>
      <c r="AA889" s="48" t="s">
        <v>1506</v>
      </c>
      <c r="AB889" s="48" t="s">
        <v>3422</v>
      </c>
      <c r="AC889" s="48" t="s">
        <v>4900</v>
      </c>
      <c r="AD889" s="48"/>
      <c r="AE889" s="48"/>
      <c r="AF889" s="48" t="s">
        <v>1056</v>
      </c>
      <c r="AG889" s="48" t="s">
        <v>1385</v>
      </c>
      <c r="AH889" s="48" t="s">
        <v>4899</v>
      </c>
      <c r="AI889" s="48"/>
      <c r="AJ889" s="48"/>
      <c r="AK889" s="48">
        <v>0</v>
      </c>
      <c r="AL889" s="48"/>
      <c r="AM889" s="48"/>
      <c r="AN889" s="48"/>
      <c r="AO889" s="48" t="s">
        <v>1372</v>
      </c>
      <c r="AP889" s="48" t="s">
        <v>1373</v>
      </c>
    </row>
    <row r="890" hidden="1" spans="1:42">
      <c r="A890" s="48" t="s">
        <v>4901</v>
      </c>
      <c r="B890" s="48" t="s">
        <v>1356</v>
      </c>
      <c r="C890" s="48" t="s">
        <v>1375</v>
      </c>
      <c r="D890" s="48" t="s">
        <v>1358</v>
      </c>
      <c r="E890" s="48"/>
      <c r="F890" s="48" t="s">
        <v>1377</v>
      </c>
      <c r="G890" s="49">
        <v>44818.9309143519</v>
      </c>
      <c r="H890" s="49">
        <v>44818.9311226852</v>
      </c>
      <c r="I890" s="48"/>
      <c r="J890" s="48" t="s">
        <v>407</v>
      </c>
      <c r="K890" s="48"/>
      <c r="L890" s="48"/>
      <c r="M890" s="48">
        <v>39.9</v>
      </c>
      <c r="N890" s="48">
        <v>0</v>
      </c>
      <c r="O890" s="48">
        <v>-3</v>
      </c>
      <c r="P890" s="48">
        <v>0</v>
      </c>
      <c r="Q890" s="48">
        <v>36.9</v>
      </c>
      <c r="R890" s="48">
        <v>36.9</v>
      </c>
      <c r="S890" s="48" t="s">
        <v>1397</v>
      </c>
      <c r="T890" s="48" t="s">
        <v>4902</v>
      </c>
      <c r="U890" s="48">
        <v>1</v>
      </c>
      <c r="V890" s="48" t="s">
        <v>1364</v>
      </c>
      <c r="W890" s="48"/>
      <c r="X890" s="48" t="s">
        <v>972</v>
      </c>
      <c r="Y890" s="48" t="s">
        <v>4630</v>
      </c>
      <c r="Z890" s="48" t="s">
        <v>1495</v>
      </c>
      <c r="AA890" s="48" t="s">
        <v>2877</v>
      </c>
      <c r="AB890" s="48" t="s">
        <v>2878</v>
      </c>
      <c r="AC890" s="48" t="s">
        <v>4631</v>
      </c>
      <c r="AD890" s="48"/>
      <c r="AE890" s="48"/>
      <c r="AF890" s="48" t="s">
        <v>4632</v>
      </c>
      <c r="AG890" s="48" t="s">
        <v>1372</v>
      </c>
      <c r="AH890" s="48"/>
      <c r="AI890" s="48"/>
      <c r="AJ890" s="48"/>
      <c r="AK890" s="48">
        <v>0</v>
      </c>
      <c r="AL890" s="48"/>
      <c r="AM890" s="48"/>
      <c r="AN890" s="48"/>
      <c r="AO890" s="48" t="s">
        <v>1372</v>
      </c>
      <c r="AP890" s="48" t="s">
        <v>1373</v>
      </c>
    </row>
    <row r="891" hidden="1" spans="1:42">
      <c r="A891" s="48" t="s">
        <v>4903</v>
      </c>
      <c r="B891" s="48" t="s">
        <v>1356</v>
      </c>
      <c r="C891" s="48" t="s">
        <v>1375</v>
      </c>
      <c r="D891" s="48" t="s">
        <v>1358</v>
      </c>
      <c r="E891" s="48"/>
      <c r="F891" s="48" t="s">
        <v>3560</v>
      </c>
      <c r="G891" s="49">
        <v>44818.9186458333</v>
      </c>
      <c r="H891" s="49">
        <v>44818.9187962963</v>
      </c>
      <c r="I891" s="48"/>
      <c r="J891" s="48" t="s">
        <v>407</v>
      </c>
      <c r="K891" s="48"/>
      <c r="L891" s="48"/>
      <c r="M891" s="48">
        <v>269</v>
      </c>
      <c r="N891" s="48">
        <v>0</v>
      </c>
      <c r="O891" s="48">
        <v>0</v>
      </c>
      <c r="P891" s="48">
        <v>0</v>
      </c>
      <c r="Q891" s="48">
        <v>269</v>
      </c>
      <c r="R891" s="48">
        <v>269</v>
      </c>
      <c r="S891" s="48"/>
      <c r="T891" s="48" t="s">
        <v>1867</v>
      </c>
      <c r="U891" s="48">
        <v>1</v>
      </c>
      <c r="V891" s="48" t="s">
        <v>1364</v>
      </c>
      <c r="W891" s="48"/>
      <c r="X891" s="48" t="s">
        <v>773</v>
      </c>
      <c r="Y891" s="48" t="s">
        <v>4904</v>
      </c>
      <c r="Z891" s="48" t="s">
        <v>1804</v>
      </c>
      <c r="AA891" s="48" t="s">
        <v>4905</v>
      </c>
      <c r="AB891" s="48" t="s">
        <v>4906</v>
      </c>
      <c r="AC891" s="48" t="s">
        <v>4907</v>
      </c>
      <c r="AD891" s="48"/>
      <c r="AE891" s="48"/>
      <c r="AF891" s="48" t="s">
        <v>4908</v>
      </c>
      <c r="AG891" s="48" t="s">
        <v>1372</v>
      </c>
      <c r="AH891" s="48"/>
      <c r="AI891" s="48"/>
      <c r="AJ891" s="48"/>
      <c r="AK891" s="48">
        <v>0</v>
      </c>
      <c r="AL891" s="48"/>
      <c r="AM891" s="48"/>
      <c r="AN891" s="48"/>
      <c r="AO891" s="48" t="s">
        <v>1372</v>
      </c>
      <c r="AP891" s="48" t="s">
        <v>1373</v>
      </c>
    </row>
    <row r="892" hidden="1" spans="1:42">
      <c r="A892" s="48" t="s">
        <v>4909</v>
      </c>
      <c r="B892" s="48" t="s">
        <v>1356</v>
      </c>
      <c r="C892" s="48" t="s">
        <v>1375</v>
      </c>
      <c r="D892" s="48" t="s">
        <v>1358</v>
      </c>
      <c r="E892" s="48"/>
      <c r="F892" s="48" t="s">
        <v>1359</v>
      </c>
      <c r="G892" s="49">
        <v>44818.9004398148</v>
      </c>
      <c r="H892" s="49">
        <v>44818.9005439815</v>
      </c>
      <c r="I892" s="48"/>
      <c r="J892" s="48" t="s">
        <v>1360</v>
      </c>
      <c r="K892" s="48" t="s">
        <v>4910</v>
      </c>
      <c r="L892" s="48" t="s">
        <v>4911</v>
      </c>
      <c r="M892" s="48">
        <v>88</v>
      </c>
      <c r="N892" s="48">
        <v>0</v>
      </c>
      <c r="O892" s="48">
        <v>0</v>
      </c>
      <c r="P892" s="48">
        <v>0</v>
      </c>
      <c r="Q892" s="48">
        <v>88</v>
      </c>
      <c r="R892" s="48">
        <v>88</v>
      </c>
      <c r="S892" s="48"/>
      <c r="T892" s="48" t="s">
        <v>4912</v>
      </c>
      <c r="U892" s="48">
        <v>1</v>
      </c>
      <c r="V892" s="48" t="s">
        <v>1364</v>
      </c>
      <c r="W892" s="48"/>
      <c r="X892" s="48" t="s">
        <v>4913</v>
      </c>
      <c r="Y892" s="48" t="s">
        <v>4914</v>
      </c>
      <c r="Z892" s="48" t="s">
        <v>1367</v>
      </c>
      <c r="AA892" s="48" t="s">
        <v>4406</v>
      </c>
      <c r="AB892" s="48" t="s">
        <v>4915</v>
      </c>
      <c r="AC892" s="48" t="s">
        <v>4916</v>
      </c>
      <c r="AD892" s="48"/>
      <c r="AE892" s="48"/>
      <c r="AF892" s="48" t="s">
        <v>4913</v>
      </c>
      <c r="AG892" s="48" t="s">
        <v>1372</v>
      </c>
      <c r="AH892" s="48" t="s">
        <v>4914</v>
      </c>
      <c r="AI892" s="48"/>
      <c r="AJ892" s="48"/>
      <c r="AK892" s="48">
        <v>0</v>
      </c>
      <c r="AL892" s="48"/>
      <c r="AM892" s="48"/>
      <c r="AN892" s="48"/>
      <c r="AO892" s="48" t="s">
        <v>1372</v>
      </c>
      <c r="AP892" s="48" t="s">
        <v>1373</v>
      </c>
    </row>
    <row r="893" hidden="1" spans="1:42">
      <c r="A893" s="48" t="s">
        <v>4917</v>
      </c>
      <c r="B893" s="48" t="s">
        <v>1356</v>
      </c>
      <c r="C893" s="48" t="s">
        <v>1375</v>
      </c>
      <c r="D893" s="48" t="s">
        <v>1358</v>
      </c>
      <c r="E893" s="48"/>
      <c r="F893" s="48" t="s">
        <v>1377</v>
      </c>
      <c r="G893" s="49">
        <v>44818.8992592593</v>
      </c>
      <c r="H893" s="49">
        <v>44818.8993981481</v>
      </c>
      <c r="I893" s="48"/>
      <c r="J893" s="48" t="s">
        <v>407</v>
      </c>
      <c r="K893" s="48"/>
      <c r="L893" s="48"/>
      <c r="M893" s="48">
        <v>39.9</v>
      </c>
      <c r="N893" s="48">
        <v>0</v>
      </c>
      <c r="O893" s="48">
        <v>0</v>
      </c>
      <c r="P893" s="48">
        <v>0</v>
      </c>
      <c r="Q893" s="48">
        <v>39.9</v>
      </c>
      <c r="R893" s="48">
        <v>39.9</v>
      </c>
      <c r="S893" s="48"/>
      <c r="T893" s="48" t="s">
        <v>4918</v>
      </c>
      <c r="U893" s="48">
        <v>1</v>
      </c>
      <c r="V893" s="48" t="s">
        <v>1364</v>
      </c>
      <c r="W893" s="48"/>
      <c r="X893" s="48" t="s">
        <v>507</v>
      </c>
      <c r="Y893" s="48" t="s">
        <v>4919</v>
      </c>
      <c r="Z893" s="48" t="s">
        <v>1678</v>
      </c>
      <c r="AA893" s="48" t="s">
        <v>1892</v>
      </c>
      <c r="AB893" s="48" t="s">
        <v>4920</v>
      </c>
      <c r="AC893" s="48" t="s">
        <v>4921</v>
      </c>
      <c r="AD893" s="48"/>
      <c r="AE893" s="48"/>
      <c r="AF893" s="48" t="s">
        <v>4922</v>
      </c>
      <c r="AG893" s="48" t="s">
        <v>1385</v>
      </c>
      <c r="AH893" s="48" t="s">
        <v>4923</v>
      </c>
      <c r="AI893" s="48"/>
      <c r="AJ893" s="48"/>
      <c r="AK893" s="48">
        <v>0</v>
      </c>
      <c r="AL893" s="48"/>
      <c r="AM893" s="48"/>
      <c r="AN893" s="48"/>
      <c r="AO893" s="48" t="s">
        <v>1372</v>
      </c>
      <c r="AP893" s="48" t="s">
        <v>1373</v>
      </c>
    </row>
    <row r="894" hidden="1" spans="1:42">
      <c r="A894" s="48" t="s">
        <v>4924</v>
      </c>
      <c r="B894" s="48" t="s">
        <v>1356</v>
      </c>
      <c r="C894" s="48" t="s">
        <v>1375</v>
      </c>
      <c r="D894" s="48" t="s">
        <v>1376</v>
      </c>
      <c r="E894" s="48"/>
      <c r="F894" s="48" t="s">
        <v>1377</v>
      </c>
      <c r="G894" s="49">
        <v>44818.8946875</v>
      </c>
      <c r="H894" s="48"/>
      <c r="I894" s="48"/>
      <c r="J894" s="48"/>
      <c r="K894" s="48"/>
      <c r="L894" s="48"/>
      <c r="M894" s="48">
        <v>249</v>
      </c>
      <c r="N894" s="48">
        <v>0</v>
      </c>
      <c r="O894" s="48">
        <v>-1</v>
      </c>
      <c r="P894" s="48">
        <v>0</v>
      </c>
      <c r="Q894" s="48">
        <v>248</v>
      </c>
      <c r="R894" s="48">
        <v>0</v>
      </c>
      <c r="S894" s="48" t="s">
        <v>1414</v>
      </c>
      <c r="T894" s="48" t="s">
        <v>4925</v>
      </c>
      <c r="U894" s="48">
        <v>1</v>
      </c>
      <c r="V894" s="48" t="s">
        <v>1364</v>
      </c>
      <c r="W894" s="48"/>
      <c r="X894" s="48" t="s">
        <v>919</v>
      </c>
      <c r="Y894" s="48" t="s">
        <v>3230</v>
      </c>
      <c r="Z894" s="48" t="s">
        <v>3108</v>
      </c>
      <c r="AA894" s="48" t="s">
        <v>3124</v>
      </c>
      <c r="AB894" s="48" t="s">
        <v>3231</v>
      </c>
      <c r="AC894" s="48" t="s">
        <v>3837</v>
      </c>
      <c r="AD894" s="48"/>
      <c r="AE894" s="48"/>
      <c r="AF894" s="48" t="s">
        <v>3233</v>
      </c>
      <c r="AG894" s="48" t="s">
        <v>1385</v>
      </c>
      <c r="AH894" s="48" t="s">
        <v>3230</v>
      </c>
      <c r="AI894" s="48"/>
      <c r="AJ894" s="48"/>
      <c r="AK894" s="48">
        <v>0</v>
      </c>
      <c r="AL894" s="48"/>
      <c r="AM894" s="48"/>
      <c r="AN894" s="48"/>
      <c r="AO894" s="48" t="s">
        <v>1372</v>
      </c>
      <c r="AP894" s="48" t="s">
        <v>1373</v>
      </c>
    </row>
    <row r="895" hidden="1" spans="1:42">
      <c r="A895" s="48" t="s">
        <v>4926</v>
      </c>
      <c r="B895" s="48" t="s">
        <v>1356</v>
      </c>
      <c r="C895" s="48" t="s">
        <v>1375</v>
      </c>
      <c r="D895" s="48" t="s">
        <v>1358</v>
      </c>
      <c r="E895" s="48"/>
      <c r="F895" s="48" t="s">
        <v>1377</v>
      </c>
      <c r="G895" s="49">
        <v>44818.8897106481</v>
      </c>
      <c r="H895" s="49">
        <v>44818.889837963</v>
      </c>
      <c r="I895" s="48"/>
      <c r="J895" s="48" t="s">
        <v>407</v>
      </c>
      <c r="K895" s="48"/>
      <c r="L895" s="48"/>
      <c r="M895" s="48">
        <v>39.9</v>
      </c>
      <c r="N895" s="48">
        <v>0</v>
      </c>
      <c r="O895" s="48">
        <v>0</v>
      </c>
      <c r="P895" s="48">
        <v>0</v>
      </c>
      <c r="Q895" s="48">
        <v>39.9</v>
      </c>
      <c r="R895" s="48">
        <v>39.9</v>
      </c>
      <c r="S895" s="48"/>
      <c r="T895" s="48" t="s">
        <v>4927</v>
      </c>
      <c r="U895" s="48">
        <v>1</v>
      </c>
      <c r="V895" s="48" t="s">
        <v>1364</v>
      </c>
      <c r="W895" s="48"/>
      <c r="X895" s="48" t="s">
        <v>456</v>
      </c>
      <c r="Y895" s="48" t="s">
        <v>2823</v>
      </c>
      <c r="Z895" s="48" t="s">
        <v>1478</v>
      </c>
      <c r="AA895" s="48" t="s">
        <v>2330</v>
      </c>
      <c r="AB895" s="48" t="s">
        <v>2331</v>
      </c>
      <c r="AC895" s="48" t="s">
        <v>2824</v>
      </c>
      <c r="AD895" s="48"/>
      <c r="AE895" s="48"/>
      <c r="AF895" s="48" t="s">
        <v>2825</v>
      </c>
      <c r="AG895" s="48" t="s">
        <v>1385</v>
      </c>
      <c r="AH895" s="48" t="s">
        <v>2826</v>
      </c>
      <c r="AI895" s="48"/>
      <c r="AJ895" s="48"/>
      <c r="AK895" s="48">
        <v>0</v>
      </c>
      <c r="AL895" s="48"/>
      <c r="AM895" s="48"/>
      <c r="AN895" s="48"/>
      <c r="AO895" s="48" t="s">
        <v>1372</v>
      </c>
      <c r="AP895" s="48" t="s">
        <v>1373</v>
      </c>
    </row>
    <row r="896" hidden="1" spans="1:42">
      <c r="A896" s="48" t="s">
        <v>4928</v>
      </c>
      <c r="B896" s="48" t="s">
        <v>1356</v>
      </c>
      <c r="C896" s="48" t="s">
        <v>1375</v>
      </c>
      <c r="D896" s="48" t="s">
        <v>1358</v>
      </c>
      <c r="E896" s="48"/>
      <c r="F896" s="48" t="s">
        <v>1377</v>
      </c>
      <c r="G896" s="49">
        <v>44818.8847569444</v>
      </c>
      <c r="H896" s="49">
        <v>44818.8849768518</v>
      </c>
      <c r="I896" s="48"/>
      <c r="J896" s="48" t="s">
        <v>407</v>
      </c>
      <c r="K896" s="48"/>
      <c r="L896" s="48"/>
      <c r="M896" s="48">
        <v>259</v>
      </c>
      <c r="N896" s="48">
        <v>0</v>
      </c>
      <c r="O896" s="48">
        <v>-4</v>
      </c>
      <c r="P896" s="48">
        <v>0</v>
      </c>
      <c r="Q896" s="48">
        <v>255</v>
      </c>
      <c r="R896" s="48">
        <v>255</v>
      </c>
      <c r="S896" s="48" t="s">
        <v>1388</v>
      </c>
      <c r="T896" s="48" t="s">
        <v>4784</v>
      </c>
      <c r="U896" s="48">
        <v>1</v>
      </c>
      <c r="V896" s="48" t="s">
        <v>1364</v>
      </c>
      <c r="W896" s="48"/>
      <c r="X896" s="48" t="s">
        <v>640</v>
      </c>
      <c r="Y896" s="48" t="s">
        <v>3555</v>
      </c>
      <c r="Z896" s="48" t="s">
        <v>1533</v>
      </c>
      <c r="AA896" s="48" t="s">
        <v>3067</v>
      </c>
      <c r="AB896" s="48" t="s">
        <v>3556</v>
      </c>
      <c r="AC896" s="48" t="s">
        <v>3557</v>
      </c>
      <c r="AD896" s="48"/>
      <c r="AE896" s="48"/>
      <c r="AF896" s="48" t="s">
        <v>3558</v>
      </c>
      <c r="AG896" s="48" t="s">
        <v>1385</v>
      </c>
      <c r="AH896" s="48" t="s">
        <v>3555</v>
      </c>
      <c r="AI896" s="48"/>
      <c r="AJ896" s="48"/>
      <c r="AK896" s="48">
        <v>0</v>
      </c>
      <c r="AL896" s="48"/>
      <c r="AM896" s="48"/>
      <c r="AN896" s="48"/>
      <c r="AO896" s="48" t="s">
        <v>1372</v>
      </c>
      <c r="AP896" s="48" t="s">
        <v>1373</v>
      </c>
    </row>
    <row r="897" hidden="1" spans="1:42">
      <c r="A897" s="48" t="s">
        <v>4929</v>
      </c>
      <c r="B897" s="48" t="s">
        <v>1356</v>
      </c>
      <c r="C897" s="48" t="s">
        <v>1375</v>
      </c>
      <c r="D897" s="48" t="s">
        <v>1358</v>
      </c>
      <c r="E897" s="48"/>
      <c r="F897" s="48" t="s">
        <v>1377</v>
      </c>
      <c r="G897" s="49">
        <v>44818.8843634259</v>
      </c>
      <c r="H897" s="49">
        <v>44818.8845601852</v>
      </c>
      <c r="I897" s="48"/>
      <c r="J897" s="48" t="s">
        <v>407</v>
      </c>
      <c r="K897" s="48"/>
      <c r="L897" s="48"/>
      <c r="M897" s="48">
        <v>259</v>
      </c>
      <c r="N897" s="48">
        <v>0</v>
      </c>
      <c r="O897" s="48">
        <v>-2</v>
      </c>
      <c r="P897" s="48">
        <v>0</v>
      </c>
      <c r="Q897" s="48">
        <v>257</v>
      </c>
      <c r="R897" s="48">
        <v>257</v>
      </c>
      <c r="S897" s="48" t="s">
        <v>1400</v>
      </c>
      <c r="T897" s="48" t="s">
        <v>4930</v>
      </c>
      <c r="U897" s="48">
        <v>1</v>
      </c>
      <c r="V897" s="48" t="s">
        <v>1364</v>
      </c>
      <c r="W897" s="48"/>
      <c r="X897" s="48" t="s">
        <v>375</v>
      </c>
      <c r="Y897" s="48" t="s">
        <v>2450</v>
      </c>
      <c r="Z897" s="48" t="s">
        <v>1678</v>
      </c>
      <c r="AA897" s="48" t="s">
        <v>2007</v>
      </c>
      <c r="AB897" s="48" t="s">
        <v>2451</v>
      </c>
      <c r="AC897" s="48" t="s">
        <v>2452</v>
      </c>
      <c r="AD897" s="48"/>
      <c r="AE897" s="48"/>
      <c r="AF897" s="48" t="s">
        <v>2453</v>
      </c>
      <c r="AG897" s="48" t="s">
        <v>1385</v>
      </c>
      <c r="AH897" s="48" t="s">
        <v>2450</v>
      </c>
      <c r="AI897" s="48"/>
      <c r="AJ897" s="48"/>
      <c r="AK897" s="48">
        <v>0</v>
      </c>
      <c r="AL897" s="48"/>
      <c r="AM897" s="48"/>
      <c r="AN897" s="48"/>
      <c r="AO897" s="48" t="s">
        <v>1372</v>
      </c>
      <c r="AP897" s="48" t="s">
        <v>1373</v>
      </c>
    </row>
    <row r="898" hidden="1" spans="1:42">
      <c r="A898" s="48" t="s">
        <v>4931</v>
      </c>
      <c r="B898" s="48" t="s">
        <v>1356</v>
      </c>
      <c r="C898" s="48" t="s">
        <v>1375</v>
      </c>
      <c r="D898" s="48" t="s">
        <v>1358</v>
      </c>
      <c r="E898" s="48"/>
      <c r="F898" s="48" t="s">
        <v>1377</v>
      </c>
      <c r="G898" s="49">
        <v>44818.8749652778</v>
      </c>
      <c r="H898" s="49">
        <v>44818.8751273148</v>
      </c>
      <c r="I898" s="48"/>
      <c r="J898" s="48" t="s">
        <v>407</v>
      </c>
      <c r="K898" s="48"/>
      <c r="L898" s="48"/>
      <c r="M898" s="48">
        <v>269</v>
      </c>
      <c r="N898" s="48">
        <v>0</v>
      </c>
      <c r="O898" s="48">
        <v>0</v>
      </c>
      <c r="P898" s="48">
        <v>0</v>
      </c>
      <c r="Q898" s="48">
        <v>269</v>
      </c>
      <c r="R898" s="48">
        <v>269</v>
      </c>
      <c r="S898" s="48"/>
      <c r="T898" s="48" t="s">
        <v>3483</v>
      </c>
      <c r="U898" s="48">
        <v>1</v>
      </c>
      <c r="V898" s="48" t="s">
        <v>1364</v>
      </c>
      <c r="W898" s="48"/>
      <c r="X898" s="48" t="s">
        <v>610</v>
      </c>
      <c r="Y898" s="48" t="s">
        <v>4932</v>
      </c>
      <c r="Z898" s="48" t="s">
        <v>1367</v>
      </c>
      <c r="AA898" s="48" t="s">
        <v>4406</v>
      </c>
      <c r="AB898" s="48" t="s">
        <v>4933</v>
      </c>
      <c r="AC898" s="48" t="s">
        <v>4934</v>
      </c>
      <c r="AD898" s="48" t="s">
        <v>4935</v>
      </c>
      <c r="AE898" s="48"/>
      <c r="AF898" s="48" t="s">
        <v>4936</v>
      </c>
      <c r="AG898" s="48" t="s">
        <v>1372</v>
      </c>
      <c r="AH898" s="48"/>
      <c r="AI898" s="48"/>
      <c r="AJ898" s="48"/>
      <c r="AK898" s="48">
        <v>0</v>
      </c>
      <c r="AL898" s="48"/>
      <c r="AM898" s="48"/>
      <c r="AN898" s="48"/>
      <c r="AO898" s="48" t="s">
        <v>1372</v>
      </c>
      <c r="AP898" s="48" t="s">
        <v>1373</v>
      </c>
    </row>
    <row r="899" hidden="1" spans="1:42">
      <c r="A899" s="48" t="s">
        <v>4937</v>
      </c>
      <c r="B899" s="48" t="s">
        <v>1356</v>
      </c>
      <c r="C899" s="48" t="s">
        <v>1375</v>
      </c>
      <c r="D899" s="48" t="s">
        <v>1358</v>
      </c>
      <c r="E899" s="48"/>
      <c r="F899" s="48" t="s">
        <v>3560</v>
      </c>
      <c r="G899" s="49">
        <v>44818.8597337963</v>
      </c>
      <c r="H899" s="49">
        <v>44818.8599189815</v>
      </c>
      <c r="I899" s="48"/>
      <c r="J899" s="48" t="s">
        <v>407</v>
      </c>
      <c r="K899" s="48"/>
      <c r="L899" s="48"/>
      <c r="M899" s="48">
        <v>39.9</v>
      </c>
      <c r="N899" s="48">
        <v>0</v>
      </c>
      <c r="O899" s="48">
        <v>-3</v>
      </c>
      <c r="P899" s="48">
        <v>0</v>
      </c>
      <c r="Q899" s="48">
        <v>36.9</v>
      </c>
      <c r="R899" s="48">
        <v>36.9</v>
      </c>
      <c r="S899" s="48" t="s">
        <v>1397</v>
      </c>
      <c r="T899" s="48" t="s">
        <v>4938</v>
      </c>
      <c r="U899" s="48">
        <v>1</v>
      </c>
      <c r="V899" s="48" t="s">
        <v>1364</v>
      </c>
      <c r="W899" s="48"/>
      <c r="X899" s="48" t="s">
        <v>675</v>
      </c>
      <c r="Y899" s="48" t="s">
        <v>3316</v>
      </c>
      <c r="Z899" s="48" t="s">
        <v>1466</v>
      </c>
      <c r="AA899" s="48" t="s">
        <v>1835</v>
      </c>
      <c r="AB899" s="48" t="s">
        <v>3317</v>
      </c>
      <c r="AC899" s="48" t="s">
        <v>3318</v>
      </c>
      <c r="AD899" s="48"/>
      <c r="AE899" s="48"/>
      <c r="AF899" s="48" t="s">
        <v>675</v>
      </c>
      <c r="AG899" s="48" t="s">
        <v>1385</v>
      </c>
      <c r="AH899" s="48" t="s">
        <v>3316</v>
      </c>
      <c r="AI899" s="48"/>
      <c r="AJ899" s="48"/>
      <c r="AK899" s="48">
        <v>0</v>
      </c>
      <c r="AL899" s="48"/>
      <c r="AM899" s="48"/>
      <c r="AN899" s="48"/>
      <c r="AO899" s="48" t="s">
        <v>1372</v>
      </c>
      <c r="AP899" s="48" t="s">
        <v>1373</v>
      </c>
    </row>
    <row r="900" hidden="1" spans="1:42">
      <c r="A900" s="48" t="s">
        <v>4939</v>
      </c>
      <c r="B900" s="48" t="s">
        <v>1356</v>
      </c>
      <c r="C900" s="48" t="s">
        <v>1375</v>
      </c>
      <c r="D900" s="48" t="s">
        <v>1358</v>
      </c>
      <c r="E900" s="48"/>
      <c r="F900" s="48" t="s">
        <v>1377</v>
      </c>
      <c r="G900" s="49">
        <v>44818.8596296296</v>
      </c>
      <c r="H900" s="49">
        <v>44818.8598148148</v>
      </c>
      <c r="I900" s="48"/>
      <c r="J900" s="48" t="s">
        <v>407</v>
      </c>
      <c r="K900" s="48"/>
      <c r="L900" s="48"/>
      <c r="M900" s="48">
        <v>39.9</v>
      </c>
      <c r="N900" s="48">
        <v>0</v>
      </c>
      <c r="O900" s="48">
        <v>0</v>
      </c>
      <c r="P900" s="48">
        <v>0</v>
      </c>
      <c r="Q900" s="48">
        <v>39.9</v>
      </c>
      <c r="R900" s="48">
        <v>39.9</v>
      </c>
      <c r="S900" s="48"/>
      <c r="T900" s="48" t="s">
        <v>4940</v>
      </c>
      <c r="U900" s="48">
        <v>1</v>
      </c>
      <c r="V900" s="48" t="s">
        <v>1364</v>
      </c>
      <c r="W900" s="48"/>
      <c r="X900" s="48" t="s">
        <v>536</v>
      </c>
      <c r="Y900" s="48" t="s">
        <v>4941</v>
      </c>
      <c r="Z900" s="48" t="s">
        <v>1626</v>
      </c>
      <c r="AA900" s="48" t="s">
        <v>4942</v>
      </c>
      <c r="AB900" s="48" t="s">
        <v>4943</v>
      </c>
      <c r="AC900" s="48" t="s">
        <v>4944</v>
      </c>
      <c r="AD900" s="48"/>
      <c r="AE900" s="48"/>
      <c r="AF900" s="48" t="s">
        <v>536</v>
      </c>
      <c r="AG900" s="48" t="s">
        <v>1385</v>
      </c>
      <c r="AH900" s="48" t="s">
        <v>4941</v>
      </c>
      <c r="AI900" s="48"/>
      <c r="AJ900" s="48"/>
      <c r="AK900" s="48">
        <v>0</v>
      </c>
      <c r="AL900" s="48"/>
      <c r="AM900" s="48"/>
      <c r="AN900" s="48"/>
      <c r="AO900" s="48" t="s">
        <v>1372</v>
      </c>
      <c r="AP900" s="48" t="s">
        <v>1373</v>
      </c>
    </row>
    <row r="901" hidden="1" spans="1:42">
      <c r="A901" s="48" t="s">
        <v>4945</v>
      </c>
      <c r="B901" s="48" t="s">
        <v>1356</v>
      </c>
      <c r="C901" s="48" t="s">
        <v>1375</v>
      </c>
      <c r="D901" s="48" t="s">
        <v>1358</v>
      </c>
      <c r="E901" s="48"/>
      <c r="F901" s="48" t="s">
        <v>1377</v>
      </c>
      <c r="G901" s="49">
        <v>44818.8592476852</v>
      </c>
      <c r="H901" s="49">
        <v>44818.8593981481</v>
      </c>
      <c r="I901" s="48"/>
      <c r="J901" s="48" t="s">
        <v>407</v>
      </c>
      <c r="K901" s="48"/>
      <c r="L901" s="48"/>
      <c r="M901" s="48">
        <v>39.9</v>
      </c>
      <c r="N901" s="48">
        <v>0</v>
      </c>
      <c r="O901" s="48">
        <v>-3</v>
      </c>
      <c r="P901" s="48">
        <v>0</v>
      </c>
      <c r="Q901" s="48">
        <v>36.9</v>
      </c>
      <c r="R901" s="48">
        <v>36.9</v>
      </c>
      <c r="S901" s="48" t="s">
        <v>1397</v>
      </c>
      <c r="T901" s="48" t="s">
        <v>4946</v>
      </c>
      <c r="U901" s="48">
        <v>1</v>
      </c>
      <c r="V901" s="48" t="s">
        <v>1364</v>
      </c>
      <c r="W901" s="48"/>
      <c r="X901" s="48" t="s">
        <v>375</v>
      </c>
      <c r="Y901" s="48" t="s">
        <v>2450</v>
      </c>
      <c r="Z901" s="48" t="s">
        <v>1678</v>
      </c>
      <c r="AA901" s="48" t="s">
        <v>2007</v>
      </c>
      <c r="AB901" s="48" t="s">
        <v>2451</v>
      </c>
      <c r="AC901" s="48" t="s">
        <v>2452</v>
      </c>
      <c r="AD901" s="48"/>
      <c r="AE901" s="48"/>
      <c r="AF901" s="48" t="s">
        <v>2453</v>
      </c>
      <c r="AG901" s="48" t="s">
        <v>1385</v>
      </c>
      <c r="AH901" s="48" t="s">
        <v>2450</v>
      </c>
      <c r="AI901" s="48"/>
      <c r="AJ901" s="48"/>
      <c r="AK901" s="48">
        <v>0</v>
      </c>
      <c r="AL901" s="48"/>
      <c r="AM901" s="48"/>
      <c r="AN901" s="48"/>
      <c r="AO901" s="48" t="s">
        <v>1372</v>
      </c>
      <c r="AP901" s="48" t="s">
        <v>1373</v>
      </c>
    </row>
    <row r="902" hidden="1" spans="1:42">
      <c r="A902" s="48" t="s">
        <v>4947</v>
      </c>
      <c r="B902" s="48" t="s">
        <v>1356</v>
      </c>
      <c r="C902" s="48" t="s">
        <v>1375</v>
      </c>
      <c r="D902" s="48" t="s">
        <v>1358</v>
      </c>
      <c r="E902" s="48"/>
      <c r="F902" s="48" t="s">
        <v>1377</v>
      </c>
      <c r="G902" s="49">
        <v>44818.8539467593</v>
      </c>
      <c r="H902" s="49">
        <v>44818.8540393518</v>
      </c>
      <c r="I902" s="48"/>
      <c r="J902" s="48" t="s">
        <v>407</v>
      </c>
      <c r="K902" s="48"/>
      <c r="L902" s="48"/>
      <c r="M902" s="48">
        <v>269</v>
      </c>
      <c r="N902" s="48">
        <v>0</v>
      </c>
      <c r="O902" s="48">
        <v>-1</v>
      </c>
      <c r="P902" s="48">
        <v>0</v>
      </c>
      <c r="Q902" s="48">
        <v>268</v>
      </c>
      <c r="R902" s="48">
        <v>268</v>
      </c>
      <c r="S902" s="48" t="s">
        <v>1414</v>
      </c>
      <c r="T902" s="48" t="s">
        <v>3261</v>
      </c>
      <c r="U902" s="48">
        <v>1</v>
      </c>
      <c r="V902" s="48" t="s">
        <v>1364</v>
      </c>
      <c r="W902" s="48"/>
      <c r="X902" s="48" t="s">
        <v>785</v>
      </c>
      <c r="Y902" s="48" t="s">
        <v>4948</v>
      </c>
      <c r="Z902" s="48" t="s">
        <v>1804</v>
      </c>
      <c r="AA902" s="48" t="s">
        <v>2585</v>
      </c>
      <c r="AB902" s="48" t="s">
        <v>2586</v>
      </c>
      <c r="AC902" s="48" t="s">
        <v>4949</v>
      </c>
      <c r="AD902" s="48"/>
      <c r="AE902" s="48"/>
      <c r="AF902" s="48" t="s">
        <v>4950</v>
      </c>
      <c r="AG902" s="48" t="s">
        <v>1372</v>
      </c>
      <c r="AH902" s="48" t="s">
        <v>4948</v>
      </c>
      <c r="AI902" s="48"/>
      <c r="AJ902" s="48"/>
      <c r="AK902" s="48">
        <v>0</v>
      </c>
      <c r="AL902" s="48"/>
      <c r="AM902" s="48"/>
      <c r="AN902" s="48"/>
      <c r="AO902" s="48" t="s">
        <v>1372</v>
      </c>
      <c r="AP902" s="48" t="s">
        <v>1373</v>
      </c>
    </row>
    <row r="903" hidden="1" spans="1:42">
      <c r="A903" s="48" t="s">
        <v>4951</v>
      </c>
      <c r="B903" s="48" t="s">
        <v>1356</v>
      </c>
      <c r="C903" s="48" t="s">
        <v>1375</v>
      </c>
      <c r="D903" s="48" t="s">
        <v>1358</v>
      </c>
      <c r="E903" s="48"/>
      <c r="F903" s="48" t="s">
        <v>1377</v>
      </c>
      <c r="G903" s="49">
        <v>44818.8527546296</v>
      </c>
      <c r="H903" s="49">
        <v>44818.8528587963</v>
      </c>
      <c r="I903" s="48"/>
      <c r="J903" s="48" t="s">
        <v>407</v>
      </c>
      <c r="K903" s="48"/>
      <c r="L903" s="48"/>
      <c r="M903" s="48">
        <v>269</v>
      </c>
      <c r="N903" s="48">
        <v>0</v>
      </c>
      <c r="O903" s="48">
        <v>0</v>
      </c>
      <c r="P903" s="48">
        <v>0</v>
      </c>
      <c r="Q903" s="48">
        <v>269</v>
      </c>
      <c r="R903" s="48">
        <v>269</v>
      </c>
      <c r="S903" s="48"/>
      <c r="T903" s="48" t="s">
        <v>4952</v>
      </c>
      <c r="U903" s="48">
        <v>1</v>
      </c>
      <c r="V903" s="48" t="s">
        <v>1364</v>
      </c>
      <c r="W903" s="48"/>
      <c r="X903" s="48" t="s">
        <v>775</v>
      </c>
      <c r="Y903" s="48" t="s">
        <v>4953</v>
      </c>
      <c r="Z903" s="48" t="s">
        <v>1824</v>
      </c>
      <c r="AA903" s="48" t="s">
        <v>3000</v>
      </c>
      <c r="AB903" s="48" t="s">
        <v>4954</v>
      </c>
      <c r="AC903" s="48" t="s">
        <v>4955</v>
      </c>
      <c r="AD903" s="48"/>
      <c r="AE903" s="48"/>
      <c r="AF903" s="48" t="s">
        <v>4956</v>
      </c>
      <c r="AG903" s="48" t="s">
        <v>1372</v>
      </c>
      <c r="AH903" s="48"/>
      <c r="AI903" s="48"/>
      <c r="AJ903" s="48" t="s">
        <v>1649</v>
      </c>
      <c r="AK903" s="48">
        <v>0</v>
      </c>
      <c r="AL903" s="48"/>
      <c r="AM903" s="48"/>
      <c r="AN903" s="48"/>
      <c r="AO903" s="48" t="s">
        <v>1372</v>
      </c>
      <c r="AP903" s="48" t="s">
        <v>1373</v>
      </c>
    </row>
    <row r="904" hidden="1" spans="1:42">
      <c r="A904" s="48" t="s">
        <v>4957</v>
      </c>
      <c r="B904" s="48" t="s">
        <v>1356</v>
      </c>
      <c r="C904" s="48" t="s">
        <v>1375</v>
      </c>
      <c r="D904" s="48" t="s">
        <v>1358</v>
      </c>
      <c r="E904" s="48"/>
      <c r="F904" s="48" t="s">
        <v>1359</v>
      </c>
      <c r="G904" s="49">
        <v>44818.81375</v>
      </c>
      <c r="H904" s="49">
        <v>44818.8138657407</v>
      </c>
      <c r="I904" s="48"/>
      <c r="J904" s="48" t="s">
        <v>1360</v>
      </c>
      <c r="K904" s="48" t="s">
        <v>4958</v>
      </c>
      <c r="L904" s="48" t="s">
        <v>4959</v>
      </c>
      <c r="M904" s="48">
        <v>472</v>
      </c>
      <c r="N904" s="48">
        <v>0</v>
      </c>
      <c r="O904" s="48">
        <v>0</v>
      </c>
      <c r="P904" s="48">
        <v>0</v>
      </c>
      <c r="Q904" s="48">
        <v>472</v>
      </c>
      <c r="R904" s="48">
        <v>472</v>
      </c>
      <c r="S904" s="48"/>
      <c r="T904" s="48" t="s">
        <v>4960</v>
      </c>
      <c r="U904" s="48">
        <v>3</v>
      </c>
      <c r="V904" s="48" t="s">
        <v>1364</v>
      </c>
      <c r="W904" s="48"/>
      <c r="X904" s="48" t="s">
        <v>4961</v>
      </c>
      <c r="Y904" s="48" t="s">
        <v>4962</v>
      </c>
      <c r="Z904" s="48" t="s">
        <v>1466</v>
      </c>
      <c r="AA904" s="48" t="s">
        <v>2481</v>
      </c>
      <c r="AB904" s="48" t="s">
        <v>2482</v>
      </c>
      <c r="AC904" s="48" t="s">
        <v>4963</v>
      </c>
      <c r="AD904" s="48"/>
      <c r="AE904" s="48"/>
      <c r="AF904" s="48" t="s">
        <v>4964</v>
      </c>
      <c r="AG904" s="48" t="s">
        <v>1372</v>
      </c>
      <c r="AH904" s="48" t="s">
        <v>4962</v>
      </c>
      <c r="AI904" s="48"/>
      <c r="AJ904" s="48"/>
      <c r="AK904" s="48">
        <v>0</v>
      </c>
      <c r="AL904" s="48"/>
      <c r="AM904" s="48"/>
      <c r="AN904" s="48"/>
      <c r="AO904" s="48" t="s">
        <v>1372</v>
      </c>
      <c r="AP904" s="48" t="s">
        <v>1373</v>
      </c>
    </row>
    <row r="905" hidden="1" spans="1:42">
      <c r="A905" s="48" t="s">
        <v>4965</v>
      </c>
      <c r="B905" s="48" t="s">
        <v>1356</v>
      </c>
      <c r="C905" s="48" t="s">
        <v>1375</v>
      </c>
      <c r="D905" s="48" t="s">
        <v>1376</v>
      </c>
      <c r="E905" s="48"/>
      <c r="F905" s="48" t="s">
        <v>1377</v>
      </c>
      <c r="G905" s="49">
        <v>44821.015775463</v>
      </c>
      <c r="H905" s="48"/>
      <c r="I905" s="48"/>
      <c r="J905" s="48"/>
      <c r="K905" s="48"/>
      <c r="L905" s="48"/>
      <c r="M905" s="48">
        <v>599</v>
      </c>
      <c r="N905" s="48">
        <v>0</v>
      </c>
      <c r="O905" s="48">
        <v>0</v>
      </c>
      <c r="P905" s="48">
        <v>0</v>
      </c>
      <c r="Q905" s="48">
        <v>599</v>
      </c>
      <c r="R905" s="48">
        <v>0</v>
      </c>
      <c r="S905" s="48"/>
      <c r="T905" s="48" t="s">
        <v>4966</v>
      </c>
      <c r="U905" s="48">
        <v>1</v>
      </c>
      <c r="V905" s="48" t="s">
        <v>1364</v>
      </c>
      <c r="W905" s="48"/>
      <c r="X905" s="48" t="s">
        <v>4967</v>
      </c>
      <c r="Y905" s="48" t="s">
        <v>4968</v>
      </c>
      <c r="Z905" s="48" t="s">
        <v>1748</v>
      </c>
      <c r="AA905" s="48" t="s">
        <v>3972</v>
      </c>
      <c r="AB905" s="48" t="s">
        <v>3973</v>
      </c>
      <c r="AC905" s="48" t="s">
        <v>4969</v>
      </c>
      <c r="AD905" s="48"/>
      <c r="AE905" s="48"/>
      <c r="AF905" s="48" t="s">
        <v>4970</v>
      </c>
      <c r="AG905" s="48" t="s">
        <v>1372</v>
      </c>
      <c r="AH905" s="48"/>
      <c r="AI905" s="48"/>
      <c r="AJ905" s="48"/>
      <c r="AK905" s="48">
        <v>0</v>
      </c>
      <c r="AL905" s="48"/>
      <c r="AM905" s="48"/>
      <c r="AN905" s="48"/>
      <c r="AO905" s="48" t="s">
        <v>1372</v>
      </c>
      <c r="AP905" s="48" t="s">
        <v>1373</v>
      </c>
    </row>
    <row r="906" hidden="1" spans="1:42">
      <c r="A906" s="48" t="s">
        <v>4971</v>
      </c>
      <c r="B906" s="48" t="s">
        <v>1356</v>
      </c>
      <c r="C906" s="48" t="s">
        <v>1375</v>
      </c>
      <c r="D906" s="48" t="s">
        <v>1358</v>
      </c>
      <c r="E906" s="48"/>
      <c r="F906" s="48" t="s">
        <v>1377</v>
      </c>
      <c r="G906" s="49">
        <v>44821.0140277778</v>
      </c>
      <c r="H906" s="49">
        <v>44821.0141203704</v>
      </c>
      <c r="I906" s="48"/>
      <c r="J906" s="48" t="s">
        <v>407</v>
      </c>
      <c r="K906" s="48"/>
      <c r="L906" s="48"/>
      <c r="M906" s="48">
        <v>599</v>
      </c>
      <c r="N906" s="48">
        <v>0</v>
      </c>
      <c r="O906" s="48">
        <v>0</v>
      </c>
      <c r="P906" s="48">
        <v>0</v>
      </c>
      <c r="Q906" s="48">
        <v>599</v>
      </c>
      <c r="R906" s="48">
        <v>599</v>
      </c>
      <c r="S906" s="48"/>
      <c r="T906" s="48" t="s">
        <v>4972</v>
      </c>
      <c r="U906" s="48">
        <v>1</v>
      </c>
      <c r="V906" s="48" t="s">
        <v>1364</v>
      </c>
      <c r="W906" s="48"/>
      <c r="X906" s="48" t="s">
        <v>4973</v>
      </c>
      <c r="Y906" s="48" t="s">
        <v>4974</v>
      </c>
      <c r="Z906" s="48" t="s">
        <v>1678</v>
      </c>
      <c r="AA906" s="48" t="s">
        <v>1979</v>
      </c>
      <c r="AB906" s="48" t="s">
        <v>1980</v>
      </c>
      <c r="AC906" s="48" t="s">
        <v>4975</v>
      </c>
      <c r="AD906" s="48"/>
      <c r="AE906" s="48"/>
      <c r="AF906" s="48" t="s">
        <v>4976</v>
      </c>
      <c r="AG906" s="48" t="s">
        <v>1372</v>
      </c>
      <c r="AH906" s="48"/>
      <c r="AI906" s="48"/>
      <c r="AJ906" s="48"/>
      <c r="AK906" s="48">
        <v>0</v>
      </c>
      <c r="AL906" s="48"/>
      <c r="AM906" s="48"/>
      <c r="AN906" s="48"/>
      <c r="AO906" s="48" t="s">
        <v>1372</v>
      </c>
      <c r="AP906" s="48" t="s">
        <v>1373</v>
      </c>
    </row>
    <row r="907" hidden="1" spans="1:42">
      <c r="A907" s="48" t="s">
        <v>4977</v>
      </c>
      <c r="B907" s="48" t="s">
        <v>1356</v>
      </c>
      <c r="C907" s="48" t="s">
        <v>1375</v>
      </c>
      <c r="D907" s="48" t="s">
        <v>1358</v>
      </c>
      <c r="E907" s="48"/>
      <c r="F907" s="48" t="s">
        <v>1377</v>
      </c>
      <c r="G907" s="49">
        <v>44820.9912152778</v>
      </c>
      <c r="H907" s="49">
        <v>44820.9912962963</v>
      </c>
      <c r="I907" s="48"/>
      <c r="J907" s="48" t="s">
        <v>407</v>
      </c>
      <c r="K907" s="48"/>
      <c r="L907" s="48"/>
      <c r="M907" s="48">
        <v>269</v>
      </c>
      <c r="N907" s="48">
        <v>0</v>
      </c>
      <c r="O907" s="48">
        <v>-6</v>
      </c>
      <c r="P907" s="48">
        <v>0</v>
      </c>
      <c r="Q907" s="48">
        <v>263</v>
      </c>
      <c r="R907" s="48">
        <v>263</v>
      </c>
      <c r="S907" s="48" t="s">
        <v>1463</v>
      </c>
      <c r="T907" s="48" t="s">
        <v>3259</v>
      </c>
      <c r="U907" s="48">
        <v>1</v>
      </c>
      <c r="V907" s="48" t="s">
        <v>1364</v>
      </c>
      <c r="W907" s="48"/>
      <c r="X907" s="48" t="s">
        <v>574</v>
      </c>
      <c r="Y907" s="48" t="s">
        <v>4978</v>
      </c>
      <c r="Z907" s="48" t="s">
        <v>1513</v>
      </c>
      <c r="AA907" s="48" t="s">
        <v>1596</v>
      </c>
      <c r="AB907" s="48" t="s">
        <v>4979</v>
      </c>
      <c r="AC907" s="48" t="s">
        <v>4980</v>
      </c>
      <c r="AD907" s="48" t="s">
        <v>4981</v>
      </c>
      <c r="AE907" s="48"/>
      <c r="AF907" s="48" t="s">
        <v>4982</v>
      </c>
      <c r="AG907" s="48" t="s">
        <v>1372</v>
      </c>
      <c r="AH907" s="48"/>
      <c r="AI907" s="48"/>
      <c r="AJ907" s="48"/>
      <c r="AK907" s="48">
        <v>0</v>
      </c>
      <c r="AL907" s="48"/>
      <c r="AM907" s="48"/>
      <c r="AN907" s="48"/>
      <c r="AO907" s="48" t="s">
        <v>1372</v>
      </c>
      <c r="AP907" s="48" t="s">
        <v>1373</v>
      </c>
    </row>
    <row r="908" hidden="1" spans="1:42">
      <c r="A908" s="48" t="s">
        <v>4983</v>
      </c>
      <c r="B908" s="48" t="s">
        <v>1356</v>
      </c>
      <c r="C908" s="48" t="s">
        <v>1375</v>
      </c>
      <c r="D908" s="48" t="s">
        <v>1358</v>
      </c>
      <c r="E908" s="48"/>
      <c r="F908" s="48" t="s">
        <v>1377</v>
      </c>
      <c r="G908" s="49">
        <v>44820.9877893518</v>
      </c>
      <c r="H908" s="49">
        <v>44820.9879166667</v>
      </c>
      <c r="I908" s="48"/>
      <c r="J908" s="48" t="s">
        <v>407</v>
      </c>
      <c r="K908" s="48"/>
      <c r="L908" s="48"/>
      <c r="M908" s="48">
        <v>269</v>
      </c>
      <c r="N908" s="48">
        <v>0</v>
      </c>
      <c r="O908" s="48">
        <v>0</v>
      </c>
      <c r="P908" s="48">
        <v>0</v>
      </c>
      <c r="Q908" s="48">
        <v>269</v>
      </c>
      <c r="R908" s="48">
        <v>269</v>
      </c>
      <c r="S908" s="48"/>
      <c r="T908" s="48" t="s">
        <v>3375</v>
      </c>
      <c r="U908" s="48">
        <v>1</v>
      </c>
      <c r="V908" s="48" t="s">
        <v>1364</v>
      </c>
      <c r="W908" s="48"/>
      <c r="X908" s="48" t="s">
        <v>768</v>
      </c>
      <c r="Y908" s="48" t="s">
        <v>4984</v>
      </c>
      <c r="Z908" s="48" t="s">
        <v>1367</v>
      </c>
      <c r="AA908" s="48" t="s">
        <v>1368</v>
      </c>
      <c r="AB908" s="48" t="s">
        <v>4985</v>
      </c>
      <c r="AC908" s="48" t="s">
        <v>4986</v>
      </c>
      <c r="AD908" s="48"/>
      <c r="AE908" s="48"/>
      <c r="AF908" s="48" t="s">
        <v>4987</v>
      </c>
      <c r="AG908" s="48" t="s">
        <v>1372</v>
      </c>
      <c r="AH908" s="48"/>
      <c r="AI908" s="48"/>
      <c r="AJ908" s="48"/>
      <c r="AK908" s="48">
        <v>0</v>
      </c>
      <c r="AL908" s="48"/>
      <c r="AM908" s="48"/>
      <c r="AN908" s="48"/>
      <c r="AO908" s="48" t="s">
        <v>1372</v>
      </c>
      <c r="AP908" s="48" t="s">
        <v>1373</v>
      </c>
    </row>
    <row r="909" hidden="1" spans="1:42">
      <c r="A909" s="48" t="s">
        <v>4988</v>
      </c>
      <c r="B909" s="48" t="s">
        <v>1356</v>
      </c>
      <c r="C909" s="48" t="s">
        <v>1375</v>
      </c>
      <c r="D909" s="48" t="s">
        <v>1358</v>
      </c>
      <c r="E909" s="48"/>
      <c r="F909" s="48" t="s">
        <v>1359</v>
      </c>
      <c r="G909" s="49">
        <v>44820.9873263889</v>
      </c>
      <c r="H909" s="49">
        <v>44820.9876967593</v>
      </c>
      <c r="I909" s="48"/>
      <c r="J909" s="48" t="s">
        <v>1360</v>
      </c>
      <c r="K909" s="48" t="s">
        <v>4989</v>
      </c>
      <c r="L909" s="48" t="s">
        <v>4990</v>
      </c>
      <c r="M909" s="48">
        <v>159</v>
      </c>
      <c r="N909" s="48">
        <v>0</v>
      </c>
      <c r="O909" s="48">
        <v>0</v>
      </c>
      <c r="P909" s="48">
        <v>0</v>
      </c>
      <c r="Q909" s="48">
        <v>159</v>
      </c>
      <c r="R909" s="48">
        <v>159</v>
      </c>
      <c r="S909" s="48"/>
      <c r="T909" s="48" t="s">
        <v>4991</v>
      </c>
      <c r="U909" s="48">
        <v>1</v>
      </c>
      <c r="V909" s="48" t="s">
        <v>1364</v>
      </c>
      <c r="W909" s="48"/>
      <c r="X909" s="48" t="s">
        <v>4992</v>
      </c>
      <c r="Y909" s="48" t="s">
        <v>4993</v>
      </c>
      <c r="Z909" s="48" t="s">
        <v>1367</v>
      </c>
      <c r="AA909" s="48" t="s">
        <v>3150</v>
      </c>
      <c r="AB909" s="48" t="s">
        <v>3263</v>
      </c>
      <c r="AC909" s="48" t="s">
        <v>4994</v>
      </c>
      <c r="AD909" s="48"/>
      <c r="AE909" s="48"/>
      <c r="AF909" s="48" t="s">
        <v>4995</v>
      </c>
      <c r="AG909" s="48" t="s">
        <v>1385</v>
      </c>
      <c r="AH909" s="48" t="s">
        <v>4993</v>
      </c>
      <c r="AI909" s="48"/>
      <c r="AJ909" s="48"/>
      <c r="AK909" s="48">
        <v>0</v>
      </c>
      <c r="AL909" s="48"/>
      <c r="AM909" s="48"/>
      <c r="AN909" s="48"/>
      <c r="AO909" s="48" t="s">
        <v>1372</v>
      </c>
      <c r="AP909" s="48" t="s">
        <v>1373</v>
      </c>
    </row>
    <row r="910" hidden="1" spans="1:42">
      <c r="A910" s="48" t="s">
        <v>4996</v>
      </c>
      <c r="B910" s="48" t="s">
        <v>1356</v>
      </c>
      <c r="C910" s="48" t="s">
        <v>1375</v>
      </c>
      <c r="D910" s="48" t="s">
        <v>1780</v>
      </c>
      <c r="E910" s="48"/>
      <c r="F910" s="48" t="s">
        <v>1359</v>
      </c>
      <c r="G910" s="49">
        <v>44820.986875</v>
      </c>
      <c r="H910" s="48"/>
      <c r="I910" s="48"/>
      <c r="J910" s="48"/>
      <c r="K910" s="48"/>
      <c r="L910" s="48"/>
      <c r="M910" s="48">
        <v>159</v>
      </c>
      <c r="N910" s="48">
        <v>0</v>
      </c>
      <c r="O910" s="48">
        <v>0</v>
      </c>
      <c r="P910" s="48">
        <v>0</v>
      </c>
      <c r="Q910" s="48">
        <v>159</v>
      </c>
      <c r="R910" s="48">
        <v>0</v>
      </c>
      <c r="S910" s="48"/>
      <c r="T910" s="48" t="s">
        <v>4991</v>
      </c>
      <c r="U910" s="48">
        <v>1</v>
      </c>
      <c r="V910" s="48" t="s">
        <v>1364</v>
      </c>
      <c r="W910" s="48"/>
      <c r="X910" s="48" t="s">
        <v>4992</v>
      </c>
      <c r="Y910" s="48" t="s">
        <v>4993</v>
      </c>
      <c r="Z910" s="48" t="s">
        <v>1367</v>
      </c>
      <c r="AA910" s="48" t="s">
        <v>3150</v>
      </c>
      <c r="AB910" s="48" t="s">
        <v>4997</v>
      </c>
      <c r="AC910" s="48" t="s">
        <v>4998</v>
      </c>
      <c r="AD910" s="48"/>
      <c r="AE910" s="48"/>
      <c r="AF910" s="48" t="s">
        <v>4995</v>
      </c>
      <c r="AG910" s="48" t="s">
        <v>1385</v>
      </c>
      <c r="AH910" s="48" t="s">
        <v>4993</v>
      </c>
      <c r="AI910" s="48"/>
      <c r="AJ910" s="48"/>
      <c r="AK910" s="48">
        <v>0</v>
      </c>
      <c r="AL910" s="48"/>
      <c r="AM910" s="48"/>
      <c r="AN910" s="48"/>
      <c r="AO910" s="48" t="s">
        <v>1372</v>
      </c>
      <c r="AP910" s="48" t="s">
        <v>1373</v>
      </c>
    </row>
    <row r="911" hidden="1" spans="1:42">
      <c r="A911" s="48" t="s">
        <v>4999</v>
      </c>
      <c r="B911" s="48" t="s">
        <v>1356</v>
      </c>
      <c r="C911" s="48" t="s">
        <v>1375</v>
      </c>
      <c r="D911" s="48" t="s">
        <v>1358</v>
      </c>
      <c r="E911" s="48"/>
      <c r="F911" s="48" t="s">
        <v>1359</v>
      </c>
      <c r="G911" s="49">
        <v>44820.9833680556</v>
      </c>
      <c r="H911" s="49">
        <v>44820.9835069444</v>
      </c>
      <c r="I911" s="48"/>
      <c r="J911" s="48" t="s">
        <v>1360</v>
      </c>
      <c r="K911" s="48" t="s">
        <v>5000</v>
      </c>
      <c r="L911" s="48" t="s">
        <v>5001</v>
      </c>
      <c r="M911" s="48">
        <v>176.22</v>
      </c>
      <c r="N911" s="48">
        <v>0</v>
      </c>
      <c r="O911" s="48">
        <v>-4</v>
      </c>
      <c r="P911" s="48">
        <v>0</v>
      </c>
      <c r="Q911" s="48">
        <v>172.22</v>
      </c>
      <c r="R911" s="48">
        <v>172.22</v>
      </c>
      <c r="S911" s="48" t="s">
        <v>1388</v>
      </c>
      <c r="T911" s="48" t="s">
        <v>5002</v>
      </c>
      <c r="U911" s="48">
        <v>1</v>
      </c>
      <c r="V911" s="48" t="s">
        <v>1364</v>
      </c>
      <c r="W911" s="48"/>
      <c r="X911" s="48" t="s">
        <v>831</v>
      </c>
      <c r="Y911" s="48" t="s">
        <v>4216</v>
      </c>
      <c r="Z911" s="48" t="s">
        <v>2336</v>
      </c>
      <c r="AA911" s="48" t="s">
        <v>2336</v>
      </c>
      <c r="AB911" s="48" t="s">
        <v>2337</v>
      </c>
      <c r="AC911" s="48" t="s">
        <v>5003</v>
      </c>
      <c r="AD911" s="48"/>
      <c r="AE911" s="48"/>
      <c r="AF911" s="48" t="s">
        <v>5004</v>
      </c>
      <c r="AG911" s="48" t="s">
        <v>1385</v>
      </c>
      <c r="AH911" s="48" t="s">
        <v>4216</v>
      </c>
      <c r="AI911" s="48"/>
      <c r="AJ911" s="48"/>
      <c r="AK911" s="48">
        <v>0</v>
      </c>
      <c r="AL911" s="48"/>
      <c r="AM911" s="48"/>
      <c r="AN911" s="48"/>
      <c r="AO911" s="48" t="s">
        <v>1372</v>
      </c>
      <c r="AP911" s="48" t="s">
        <v>1373</v>
      </c>
    </row>
    <row r="912" hidden="1" spans="1:42">
      <c r="A912" s="48" t="s">
        <v>5005</v>
      </c>
      <c r="B912" s="48" t="s">
        <v>1356</v>
      </c>
      <c r="C912" s="48" t="s">
        <v>1375</v>
      </c>
      <c r="D912" s="48" t="s">
        <v>1358</v>
      </c>
      <c r="E912" s="48"/>
      <c r="F912" s="48" t="s">
        <v>1377</v>
      </c>
      <c r="G912" s="49">
        <v>44820.9808680556</v>
      </c>
      <c r="H912" s="49">
        <v>44820.9809375</v>
      </c>
      <c r="I912" s="48"/>
      <c r="J912" s="48" t="s">
        <v>407</v>
      </c>
      <c r="K912" s="48"/>
      <c r="L912" s="48"/>
      <c r="M912" s="48">
        <v>269</v>
      </c>
      <c r="N912" s="48">
        <v>0</v>
      </c>
      <c r="O912" s="48">
        <v>0</v>
      </c>
      <c r="P912" s="48">
        <v>0</v>
      </c>
      <c r="Q912" s="48">
        <v>269</v>
      </c>
      <c r="R912" s="48">
        <v>269</v>
      </c>
      <c r="S912" s="48"/>
      <c r="T912" s="48" t="s">
        <v>3483</v>
      </c>
      <c r="U912" s="48">
        <v>1</v>
      </c>
      <c r="V912" s="48" t="s">
        <v>1364</v>
      </c>
      <c r="W912" s="48"/>
      <c r="X912" s="48" t="s">
        <v>574</v>
      </c>
      <c r="Y912" s="48" t="s">
        <v>4978</v>
      </c>
      <c r="Z912" s="48" t="s">
        <v>1513</v>
      </c>
      <c r="AA912" s="48" t="s">
        <v>1596</v>
      </c>
      <c r="AB912" s="48" t="s">
        <v>4979</v>
      </c>
      <c r="AC912" s="48" t="s">
        <v>4980</v>
      </c>
      <c r="AD912" s="48"/>
      <c r="AE912" s="48"/>
      <c r="AF912" s="48" t="s">
        <v>4982</v>
      </c>
      <c r="AG912" s="48" t="s">
        <v>1372</v>
      </c>
      <c r="AH912" s="48"/>
      <c r="AI912" s="48"/>
      <c r="AJ912" s="48" t="s">
        <v>1649</v>
      </c>
      <c r="AK912" s="48">
        <v>0</v>
      </c>
      <c r="AL912" s="48"/>
      <c r="AM912" s="48"/>
      <c r="AN912" s="48"/>
      <c r="AO912" s="48" t="s">
        <v>1372</v>
      </c>
      <c r="AP912" s="48" t="s">
        <v>1373</v>
      </c>
    </row>
    <row r="913" hidden="1" spans="1:42">
      <c r="A913" s="48" t="s">
        <v>5006</v>
      </c>
      <c r="B913" s="48" t="s">
        <v>1356</v>
      </c>
      <c r="C913" s="48" t="s">
        <v>1375</v>
      </c>
      <c r="D913" s="48" t="s">
        <v>1780</v>
      </c>
      <c r="E913" s="48"/>
      <c r="F913" s="48" t="s">
        <v>1377</v>
      </c>
      <c r="G913" s="49">
        <v>44820.9768171296</v>
      </c>
      <c r="H913" s="48"/>
      <c r="I913" s="48"/>
      <c r="J913" s="48"/>
      <c r="K913" s="48"/>
      <c r="L913" s="48"/>
      <c r="M913" s="48">
        <v>269</v>
      </c>
      <c r="N913" s="48">
        <v>0</v>
      </c>
      <c r="O913" s="48">
        <v>0</v>
      </c>
      <c r="P913" s="48">
        <v>0</v>
      </c>
      <c r="Q913" s="48">
        <v>269</v>
      </c>
      <c r="R913" s="48">
        <v>0</v>
      </c>
      <c r="S913" s="48"/>
      <c r="T913" s="48" t="s">
        <v>3483</v>
      </c>
      <c r="U913" s="48">
        <v>1</v>
      </c>
      <c r="V913" s="48" t="s">
        <v>1364</v>
      </c>
      <c r="W913" s="48"/>
      <c r="X913" s="48" t="s">
        <v>574</v>
      </c>
      <c r="Y913" s="48" t="s">
        <v>4978</v>
      </c>
      <c r="Z913" s="48" t="s">
        <v>1513</v>
      </c>
      <c r="AA913" s="48" t="s">
        <v>1596</v>
      </c>
      <c r="AB913" s="48" t="s">
        <v>4979</v>
      </c>
      <c r="AC913" s="48" t="s">
        <v>4980</v>
      </c>
      <c r="AD913" s="48" t="s">
        <v>5007</v>
      </c>
      <c r="AE913" s="48"/>
      <c r="AF913" s="48" t="s">
        <v>4982</v>
      </c>
      <c r="AG913" s="48" t="s">
        <v>1372</v>
      </c>
      <c r="AH913" s="48"/>
      <c r="AI913" s="48"/>
      <c r="AJ913" s="48"/>
      <c r="AK913" s="48">
        <v>0</v>
      </c>
      <c r="AL913" s="48"/>
      <c r="AM913" s="48"/>
      <c r="AN913" s="48"/>
      <c r="AO913" s="48" t="s">
        <v>1372</v>
      </c>
      <c r="AP913" s="48" t="s">
        <v>1373</v>
      </c>
    </row>
    <row r="914" hidden="1" spans="1:42">
      <c r="A914" s="48" t="s">
        <v>5008</v>
      </c>
      <c r="B914" s="48" t="s">
        <v>1356</v>
      </c>
      <c r="C914" s="48" t="s">
        <v>1375</v>
      </c>
      <c r="D914" s="48" t="s">
        <v>1358</v>
      </c>
      <c r="E914" s="48"/>
      <c r="F914" s="48" t="s">
        <v>1377</v>
      </c>
      <c r="G914" s="49">
        <v>44820.9733217593</v>
      </c>
      <c r="H914" s="49">
        <v>44820.9734606482</v>
      </c>
      <c r="I914" s="48"/>
      <c r="J914" s="48" t="s">
        <v>407</v>
      </c>
      <c r="K914" s="48"/>
      <c r="L914" s="48"/>
      <c r="M914" s="48">
        <v>269</v>
      </c>
      <c r="N914" s="48">
        <v>0</v>
      </c>
      <c r="O914" s="48">
        <v>0</v>
      </c>
      <c r="P914" s="48">
        <v>0</v>
      </c>
      <c r="Q914" s="48">
        <v>269</v>
      </c>
      <c r="R914" s="48">
        <v>269</v>
      </c>
      <c r="S914" s="48"/>
      <c r="T914" s="48" t="s">
        <v>3703</v>
      </c>
      <c r="U914" s="48">
        <v>1</v>
      </c>
      <c r="V914" s="48" t="s">
        <v>1364</v>
      </c>
      <c r="W914" s="48"/>
      <c r="X914" s="48" t="s">
        <v>770</v>
      </c>
      <c r="Y914" s="48" t="s">
        <v>5009</v>
      </c>
      <c r="Z914" s="48" t="s">
        <v>1495</v>
      </c>
      <c r="AA914" s="48" t="s">
        <v>2877</v>
      </c>
      <c r="AB914" s="48" t="s">
        <v>5010</v>
      </c>
      <c r="AC914" s="48" t="s">
        <v>5011</v>
      </c>
      <c r="AD914" s="48"/>
      <c r="AE914" s="48"/>
      <c r="AF914" s="48" t="s">
        <v>5012</v>
      </c>
      <c r="AG914" s="48" t="s">
        <v>1372</v>
      </c>
      <c r="AH914" s="48"/>
      <c r="AI914" s="48"/>
      <c r="AJ914" s="48"/>
      <c r="AK914" s="48">
        <v>0</v>
      </c>
      <c r="AL914" s="48"/>
      <c r="AM914" s="48"/>
      <c r="AN914" s="48"/>
      <c r="AO914" s="48" t="s">
        <v>1372</v>
      </c>
      <c r="AP914" s="48" t="s">
        <v>1373</v>
      </c>
    </row>
    <row r="915" hidden="1" spans="1:42">
      <c r="A915" s="48" t="s">
        <v>5013</v>
      </c>
      <c r="B915" s="48" t="s">
        <v>1356</v>
      </c>
      <c r="C915" s="48" t="s">
        <v>1375</v>
      </c>
      <c r="D915" s="48" t="s">
        <v>1358</v>
      </c>
      <c r="E915" s="48"/>
      <c r="F915" s="48" t="s">
        <v>1377</v>
      </c>
      <c r="G915" s="49">
        <v>44820.9702314815</v>
      </c>
      <c r="H915" s="49">
        <v>44820.9703472222</v>
      </c>
      <c r="I915" s="48"/>
      <c r="J915" s="48" t="s">
        <v>407</v>
      </c>
      <c r="K915" s="48"/>
      <c r="L915" s="48"/>
      <c r="M915" s="48">
        <v>49.9</v>
      </c>
      <c r="N915" s="48">
        <v>0</v>
      </c>
      <c r="O915" s="48">
        <v>-1</v>
      </c>
      <c r="P915" s="48">
        <v>0</v>
      </c>
      <c r="Q915" s="48">
        <v>48.9</v>
      </c>
      <c r="R915" s="48">
        <v>48.9</v>
      </c>
      <c r="S915" s="48" t="s">
        <v>1414</v>
      </c>
      <c r="T915" s="48" t="s">
        <v>5014</v>
      </c>
      <c r="U915" s="48">
        <v>1</v>
      </c>
      <c r="V915" s="48" t="s">
        <v>1364</v>
      </c>
      <c r="W915" s="48"/>
      <c r="X915" s="48" t="s">
        <v>643</v>
      </c>
      <c r="Y915" s="48" t="s">
        <v>5015</v>
      </c>
      <c r="Z915" s="48" t="s">
        <v>1804</v>
      </c>
      <c r="AA915" s="48" t="s">
        <v>2585</v>
      </c>
      <c r="AB915" s="48" t="s">
        <v>5016</v>
      </c>
      <c r="AC915" s="48" t="s">
        <v>5017</v>
      </c>
      <c r="AD915" s="48"/>
      <c r="AE915" s="48"/>
      <c r="AF915" s="48" t="s">
        <v>5018</v>
      </c>
      <c r="AG915" s="48" t="s">
        <v>1385</v>
      </c>
      <c r="AH915" s="48" t="s">
        <v>5015</v>
      </c>
      <c r="AI915" s="48"/>
      <c r="AJ915" s="48"/>
      <c r="AK915" s="48">
        <v>0</v>
      </c>
      <c r="AL915" s="48"/>
      <c r="AM915" s="48"/>
      <c r="AN915" s="48"/>
      <c r="AO915" s="48" t="s">
        <v>1372</v>
      </c>
      <c r="AP915" s="48" t="s">
        <v>1373</v>
      </c>
    </row>
    <row r="916" hidden="1" spans="1:42">
      <c r="A916" s="48" t="s">
        <v>5019</v>
      </c>
      <c r="B916" s="48" t="s">
        <v>1356</v>
      </c>
      <c r="C916" s="48" t="s">
        <v>1375</v>
      </c>
      <c r="D916" s="48" t="s">
        <v>1376</v>
      </c>
      <c r="E916" s="48"/>
      <c r="F916" s="48" t="s">
        <v>1377</v>
      </c>
      <c r="G916" s="49">
        <v>44820.9635763889</v>
      </c>
      <c r="H916" s="48"/>
      <c r="I916" s="48"/>
      <c r="J916" s="48"/>
      <c r="K916" s="48"/>
      <c r="L916" s="48"/>
      <c r="M916" s="48">
        <v>599</v>
      </c>
      <c r="N916" s="48">
        <v>0</v>
      </c>
      <c r="O916" s="48">
        <v>0</v>
      </c>
      <c r="P916" s="48">
        <v>0</v>
      </c>
      <c r="Q916" s="48">
        <v>599</v>
      </c>
      <c r="R916" s="48">
        <v>0</v>
      </c>
      <c r="S916" s="48"/>
      <c r="T916" s="48" t="s">
        <v>5020</v>
      </c>
      <c r="U916" s="48">
        <v>1</v>
      </c>
      <c r="V916" s="48" t="s">
        <v>1364</v>
      </c>
      <c r="W916" s="48"/>
      <c r="X916" s="48" t="s">
        <v>5021</v>
      </c>
      <c r="Y916" s="48" t="s">
        <v>5022</v>
      </c>
      <c r="Z916" s="48" t="s">
        <v>2651</v>
      </c>
      <c r="AA916" s="48" t="s">
        <v>2652</v>
      </c>
      <c r="AB916" s="48" t="s">
        <v>2653</v>
      </c>
      <c r="AC916" s="48" t="s">
        <v>5023</v>
      </c>
      <c r="AD916" s="48"/>
      <c r="AE916" s="48"/>
      <c r="AF916" s="48" t="s">
        <v>5024</v>
      </c>
      <c r="AG916" s="48" t="s">
        <v>1372</v>
      </c>
      <c r="AH916" s="48"/>
      <c r="AI916" s="48"/>
      <c r="AJ916" s="48"/>
      <c r="AK916" s="48">
        <v>0</v>
      </c>
      <c r="AL916" s="48"/>
      <c r="AM916" s="48"/>
      <c r="AN916" s="48"/>
      <c r="AO916" s="48" t="s">
        <v>1372</v>
      </c>
      <c r="AP916" s="48" t="s">
        <v>1373</v>
      </c>
    </row>
    <row r="917" hidden="1" spans="1:42">
      <c r="A917" s="48" t="s">
        <v>5025</v>
      </c>
      <c r="B917" s="48" t="s">
        <v>1356</v>
      </c>
      <c r="C917" s="48" t="s">
        <v>1375</v>
      </c>
      <c r="D917" s="48" t="s">
        <v>1358</v>
      </c>
      <c r="E917" s="48"/>
      <c r="F917" s="48" t="s">
        <v>1548</v>
      </c>
      <c r="G917" s="49">
        <v>44820.9623611111</v>
      </c>
      <c r="H917" s="49">
        <v>44820.9626157407</v>
      </c>
      <c r="I917" s="48"/>
      <c r="J917" s="48" t="s">
        <v>407</v>
      </c>
      <c r="K917" s="48"/>
      <c r="L917" s="48"/>
      <c r="M917" s="48">
        <v>102.08</v>
      </c>
      <c r="N917" s="48">
        <v>0</v>
      </c>
      <c r="O917" s="48">
        <v>-4</v>
      </c>
      <c r="P917" s="48">
        <v>0</v>
      </c>
      <c r="Q917" s="48">
        <v>98.08</v>
      </c>
      <c r="R917" s="48">
        <v>98.08</v>
      </c>
      <c r="S917" s="48" t="s">
        <v>1388</v>
      </c>
      <c r="T917" s="48" t="s">
        <v>5026</v>
      </c>
      <c r="U917" s="48">
        <v>1</v>
      </c>
      <c r="V917" s="48" t="s">
        <v>1364</v>
      </c>
      <c r="W917" s="48"/>
      <c r="X917" s="48" t="s">
        <v>375</v>
      </c>
      <c r="Y917" s="48" t="s">
        <v>2450</v>
      </c>
      <c r="Z917" s="48" t="s">
        <v>1678</v>
      </c>
      <c r="AA917" s="48" t="s">
        <v>2007</v>
      </c>
      <c r="AB917" s="48" t="s">
        <v>2451</v>
      </c>
      <c r="AC917" s="48" t="s">
        <v>2452</v>
      </c>
      <c r="AD917" s="48"/>
      <c r="AE917" s="48"/>
      <c r="AF917" s="48" t="s">
        <v>2453</v>
      </c>
      <c r="AG917" s="48" t="s">
        <v>1385</v>
      </c>
      <c r="AH917" s="48" t="s">
        <v>2450</v>
      </c>
      <c r="AI917" s="48"/>
      <c r="AJ917" s="48"/>
      <c r="AK917" s="48">
        <v>0</v>
      </c>
      <c r="AL917" s="48"/>
      <c r="AM917" s="48"/>
      <c r="AN917" s="48"/>
      <c r="AO917" s="48" t="s">
        <v>1372</v>
      </c>
      <c r="AP917" s="48" t="s">
        <v>1373</v>
      </c>
    </row>
    <row r="918" hidden="1" spans="1:42">
      <c r="A918" s="48" t="s">
        <v>5027</v>
      </c>
      <c r="B918" s="48" t="s">
        <v>1356</v>
      </c>
      <c r="C918" s="48" t="s">
        <v>1375</v>
      </c>
      <c r="D918" s="48" t="s">
        <v>1358</v>
      </c>
      <c r="E918" s="48"/>
      <c r="F918" s="48" t="s">
        <v>1377</v>
      </c>
      <c r="G918" s="49">
        <v>44820.9582175926</v>
      </c>
      <c r="H918" s="49">
        <v>44820.958287037</v>
      </c>
      <c r="I918" s="48"/>
      <c r="J918" s="48" t="s">
        <v>407</v>
      </c>
      <c r="K918" s="48"/>
      <c r="L918" s="48"/>
      <c r="M918" s="48">
        <v>39.9</v>
      </c>
      <c r="N918" s="48">
        <v>0</v>
      </c>
      <c r="O918" s="48">
        <v>0</v>
      </c>
      <c r="P918" s="48">
        <v>0</v>
      </c>
      <c r="Q918" s="48">
        <v>39.9</v>
      </c>
      <c r="R918" s="48">
        <v>39.9</v>
      </c>
      <c r="S918" s="48"/>
      <c r="T918" s="48" t="s">
        <v>4946</v>
      </c>
      <c r="U918" s="48">
        <v>1</v>
      </c>
      <c r="V918" s="48" t="s">
        <v>1364</v>
      </c>
      <c r="W918" s="48"/>
      <c r="X918" s="48" t="s">
        <v>574</v>
      </c>
      <c r="Y918" s="48" t="s">
        <v>4978</v>
      </c>
      <c r="Z918" s="48" t="s">
        <v>1513</v>
      </c>
      <c r="AA918" s="48" t="s">
        <v>1596</v>
      </c>
      <c r="AB918" s="48" t="s">
        <v>4979</v>
      </c>
      <c r="AC918" s="48" t="s">
        <v>4980</v>
      </c>
      <c r="AD918" s="48"/>
      <c r="AE918" s="48"/>
      <c r="AF918" s="48" t="s">
        <v>4982</v>
      </c>
      <c r="AG918" s="48" t="s">
        <v>1372</v>
      </c>
      <c r="AH918" s="48"/>
      <c r="AI918" s="48"/>
      <c r="AJ918" s="48"/>
      <c r="AK918" s="48">
        <v>0</v>
      </c>
      <c r="AL918" s="48"/>
      <c r="AM918" s="48"/>
      <c r="AN918" s="48"/>
      <c r="AO918" s="48" t="s">
        <v>1372</v>
      </c>
      <c r="AP918" s="48" t="s">
        <v>1373</v>
      </c>
    </row>
    <row r="919" hidden="1" spans="1:42">
      <c r="A919" s="48" t="s">
        <v>5028</v>
      </c>
      <c r="B919" s="48" t="s">
        <v>1356</v>
      </c>
      <c r="C919" s="48" t="s">
        <v>1375</v>
      </c>
      <c r="D919" s="48" t="s">
        <v>1358</v>
      </c>
      <c r="E919" s="48"/>
      <c r="F919" s="48" t="s">
        <v>1632</v>
      </c>
      <c r="G919" s="49">
        <v>44820.9528356481</v>
      </c>
      <c r="H919" s="49">
        <v>44820.9529398148</v>
      </c>
      <c r="I919" s="48"/>
      <c r="J919" s="48" t="s">
        <v>1360</v>
      </c>
      <c r="K919" s="48" t="s">
        <v>5029</v>
      </c>
      <c r="L919" s="48" t="s">
        <v>5030</v>
      </c>
      <c r="M919" s="48">
        <v>95</v>
      </c>
      <c r="N919" s="48">
        <v>0</v>
      </c>
      <c r="O919" s="48">
        <v>-1</v>
      </c>
      <c r="P919" s="48">
        <v>0</v>
      </c>
      <c r="Q919" s="48">
        <v>94</v>
      </c>
      <c r="R919" s="48">
        <v>94</v>
      </c>
      <c r="S919" s="48" t="s">
        <v>1414</v>
      </c>
      <c r="T919" s="48" t="s">
        <v>5031</v>
      </c>
      <c r="U919" s="48">
        <v>1</v>
      </c>
      <c r="V919" s="48" t="s">
        <v>1364</v>
      </c>
      <c r="W919" s="48"/>
      <c r="X919" s="48" t="s">
        <v>5032</v>
      </c>
      <c r="Y919" s="48" t="s">
        <v>5033</v>
      </c>
      <c r="Z919" s="48" t="s">
        <v>1466</v>
      </c>
      <c r="AA919" s="48" t="s">
        <v>5034</v>
      </c>
      <c r="AB919" s="48" t="s">
        <v>5035</v>
      </c>
      <c r="AC919" s="48" t="s">
        <v>5036</v>
      </c>
      <c r="AD919" s="48"/>
      <c r="AE919" s="48"/>
      <c r="AF919" s="48" t="s">
        <v>5037</v>
      </c>
      <c r="AG919" s="48" t="s">
        <v>1372</v>
      </c>
      <c r="AH919" s="48" t="s">
        <v>5033</v>
      </c>
      <c r="AI919" s="48"/>
      <c r="AJ919" s="48"/>
      <c r="AK919" s="48">
        <v>0</v>
      </c>
      <c r="AL919" s="48"/>
      <c r="AM919" s="48"/>
      <c r="AN919" s="48"/>
      <c r="AO919" s="48" t="s">
        <v>1372</v>
      </c>
      <c r="AP919" s="48" t="s">
        <v>1373</v>
      </c>
    </row>
    <row r="920" hidden="1" spans="1:42">
      <c r="A920" s="48" t="s">
        <v>5038</v>
      </c>
      <c r="B920" s="48" t="s">
        <v>1356</v>
      </c>
      <c r="C920" s="48" t="s">
        <v>1375</v>
      </c>
      <c r="D920" s="48" t="s">
        <v>1358</v>
      </c>
      <c r="E920" s="48"/>
      <c r="F920" s="48" t="s">
        <v>1377</v>
      </c>
      <c r="G920" s="49">
        <v>44820.9511226852</v>
      </c>
      <c r="H920" s="49">
        <v>44820.9512731481</v>
      </c>
      <c r="I920" s="48"/>
      <c r="J920" s="48" t="s">
        <v>407</v>
      </c>
      <c r="K920" s="48"/>
      <c r="L920" s="48"/>
      <c r="M920" s="48">
        <v>259</v>
      </c>
      <c r="N920" s="48">
        <v>0</v>
      </c>
      <c r="O920" s="48">
        <v>-36</v>
      </c>
      <c r="P920" s="48">
        <v>0</v>
      </c>
      <c r="Q920" s="48">
        <v>223</v>
      </c>
      <c r="R920" s="48">
        <v>223</v>
      </c>
      <c r="S920" s="48" t="s">
        <v>5039</v>
      </c>
      <c r="T920" s="48" t="s">
        <v>5040</v>
      </c>
      <c r="U920" s="48">
        <v>1</v>
      </c>
      <c r="V920" s="48" t="s">
        <v>1364</v>
      </c>
      <c r="W920" s="48"/>
      <c r="X920" s="48" t="s">
        <v>375</v>
      </c>
      <c r="Y920" s="48" t="s">
        <v>2450</v>
      </c>
      <c r="Z920" s="48" t="s">
        <v>1678</v>
      </c>
      <c r="AA920" s="48" t="s">
        <v>2007</v>
      </c>
      <c r="AB920" s="48" t="s">
        <v>2451</v>
      </c>
      <c r="AC920" s="48" t="s">
        <v>2452</v>
      </c>
      <c r="AD920" s="48" t="s">
        <v>5041</v>
      </c>
      <c r="AE920" s="48"/>
      <c r="AF920" s="48" t="s">
        <v>2453</v>
      </c>
      <c r="AG920" s="48" t="s">
        <v>1385</v>
      </c>
      <c r="AH920" s="48" t="s">
        <v>2450</v>
      </c>
      <c r="AI920" s="48"/>
      <c r="AJ920" s="48"/>
      <c r="AK920" s="48">
        <v>0</v>
      </c>
      <c r="AL920" s="48"/>
      <c r="AM920" s="48" t="s">
        <v>5042</v>
      </c>
      <c r="AN920" s="48"/>
      <c r="AO920" s="48" t="s">
        <v>1372</v>
      </c>
      <c r="AP920" s="48" t="s">
        <v>1373</v>
      </c>
    </row>
    <row r="921" hidden="1" spans="1:42">
      <c r="A921" s="48" t="s">
        <v>5043</v>
      </c>
      <c r="B921" s="48" t="s">
        <v>1356</v>
      </c>
      <c r="C921" s="48" t="s">
        <v>1375</v>
      </c>
      <c r="D921" s="48" t="s">
        <v>1358</v>
      </c>
      <c r="E921" s="48"/>
      <c r="F921" s="48" t="s">
        <v>1377</v>
      </c>
      <c r="G921" s="49">
        <v>44820.9471875</v>
      </c>
      <c r="H921" s="49">
        <v>44820.947337963</v>
      </c>
      <c r="I921" s="48"/>
      <c r="J921" s="48" t="s">
        <v>407</v>
      </c>
      <c r="K921" s="48"/>
      <c r="L921" s="48"/>
      <c r="M921" s="48">
        <v>269</v>
      </c>
      <c r="N921" s="48">
        <v>0</v>
      </c>
      <c r="O921" s="48">
        <v>0</v>
      </c>
      <c r="P921" s="48">
        <v>0</v>
      </c>
      <c r="Q921" s="48">
        <v>269</v>
      </c>
      <c r="R921" s="48">
        <v>269</v>
      </c>
      <c r="S921" s="48"/>
      <c r="T921" s="48" t="s">
        <v>3259</v>
      </c>
      <c r="U921" s="48">
        <v>1</v>
      </c>
      <c r="V921" s="48" t="s">
        <v>1364</v>
      </c>
      <c r="W921" s="48"/>
      <c r="X921" s="48" t="s">
        <v>771</v>
      </c>
      <c r="Y921" s="48" t="s">
        <v>3561</v>
      </c>
      <c r="Z921" s="48" t="s">
        <v>1478</v>
      </c>
      <c r="AA921" s="48" t="s">
        <v>3357</v>
      </c>
      <c r="AB921" s="48" t="s">
        <v>3358</v>
      </c>
      <c r="AC921" s="48" t="s">
        <v>3562</v>
      </c>
      <c r="AD921" s="48"/>
      <c r="AE921" s="48"/>
      <c r="AF921" s="48" t="s">
        <v>3563</v>
      </c>
      <c r="AG921" s="48" t="s">
        <v>1372</v>
      </c>
      <c r="AH921" s="48"/>
      <c r="AI921" s="48"/>
      <c r="AJ921" s="48"/>
      <c r="AK921" s="48">
        <v>0</v>
      </c>
      <c r="AL921" s="48"/>
      <c r="AM921" s="48"/>
      <c r="AN921" s="48"/>
      <c r="AO921" s="48" t="s">
        <v>1372</v>
      </c>
      <c r="AP921" s="48" t="s">
        <v>1373</v>
      </c>
    </row>
    <row r="922" hidden="1" spans="1:42">
      <c r="A922" s="48" t="s">
        <v>5044</v>
      </c>
      <c r="B922" s="48" t="s">
        <v>1356</v>
      </c>
      <c r="C922" s="48" t="s">
        <v>1375</v>
      </c>
      <c r="D922" s="48" t="s">
        <v>1358</v>
      </c>
      <c r="E922" s="48"/>
      <c r="F922" s="48" t="s">
        <v>1359</v>
      </c>
      <c r="G922" s="49">
        <v>44820.9326388889</v>
      </c>
      <c r="H922" s="49">
        <v>44820.9327314815</v>
      </c>
      <c r="I922" s="48"/>
      <c r="J922" s="48" t="s">
        <v>1360</v>
      </c>
      <c r="K922" s="48" t="s">
        <v>5045</v>
      </c>
      <c r="L922" s="48" t="s">
        <v>5046</v>
      </c>
      <c r="M922" s="48">
        <v>126.72</v>
      </c>
      <c r="N922" s="48">
        <v>0</v>
      </c>
      <c r="O922" s="48">
        <v>-2</v>
      </c>
      <c r="P922" s="48">
        <v>0</v>
      </c>
      <c r="Q922" s="48">
        <v>124.72</v>
      </c>
      <c r="R922" s="48">
        <v>124.72</v>
      </c>
      <c r="S922" s="48" t="s">
        <v>1400</v>
      </c>
      <c r="T922" s="48" t="s">
        <v>5047</v>
      </c>
      <c r="U922" s="48">
        <v>1</v>
      </c>
      <c r="V922" s="48" t="s">
        <v>1364</v>
      </c>
      <c r="W922" s="48"/>
      <c r="X922" s="48" t="s">
        <v>5048</v>
      </c>
      <c r="Y922" s="48" t="s">
        <v>5049</v>
      </c>
      <c r="Z922" s="48" t="s">
        <v>1430</v>
      </c>
      <c r="AA922" s="48" t="s">
        <v>2934</v>
      </c>
      <c r="AB922" s="48" t="s">
        <v>4053</v>
      </c>
      <c r="AC922" s="48" t="s">
        <v>5050</v>
      </c>
      <c r="AD922" s="48"/>
      <c r="AE922" s="48"/>
      <c r="AF922" s="48" t="s">
        <v>5051</v>
      </c>
      <c r="AG922" s="48" t="s">
        <v>1385</v>
      </c>
      <c r="AH922" s="48" t="s">
        <v>5049</v>
      </c>
      <c r="AI922" s="48"/>
      <c r="AJ922" s="48"/>
      <c r="AK922" s="48">
        <v>0</v>
      </c>
      <c r="AL922" s="48"/>
      <c r="AM922" s="48"/>
      <c r="AN922" s="48"/>
      <c r="AO922" s="48" t="s">
        <v>1372</v>
      </c>
      <c r="AP922" s="48" t="s">
        <v>1373</v>
      </c>
    </row>
    <row r="923" hidden="1" spans="1:42">
      <c r="A923" s="48" t="s">
        <v>5052</v>
      </c>
      <c r="B923" s="48" t="s">
        <v>1356</v>
      </c>
      <c r="C923" s="48" t="s">
        <v>1375</v>
      </c>
      <c r="D923" s="48" t="s">
        <v>1358</v>
      </c>
      <c r="E923" s="48"/>
      <c r="F923" s="48" t="s">
        <v>1359</v>
      </c>
      <c r="G923" s="49">
        <v>44820.9289236111</v>
      </c>
      <c r="H923" s="49">
        <v>44820.9290162037</v>
      </c>
      <c r="I923" s="48"/>
      <c r="J923" s="48" t="s">
        <v>1360</v>
      </c>
      <c r="K923" s="48" t="s">
        <v>5053</v>
      </c>
      <c r="L923" s="48" t="s">
        <v>5054</v>
      </c>
      <c r="M923" s="48">
        <v>57.42</v>
      </c>
      <c r="N923" s="48">
        <v>0</v>
      </c>
      <c r="O923" s="48">
        <v>-5</v>
      </c>
      <c r="P923" s="48">
        <v>0</v>
      </c>
      <c r="Q923" s="48">
        <v>52.42</v>
      </c>
      <c r="R923" s="48">
        <v>52.42</v>
      </c>
      <c r="S923" s="48" t="s">
        <v>1422</v>
      </c>
      <c r="T923" s="48" t="s">
        <v>5055</v>
      </c>
      <c r="U923" s="48">
        <v>1</v>
      </c>
      <c r="V923" s="48" t="s">
        <v>1364</v>
      </c>
      <c r="W923" s="48"/>
      <c r="X923" s="48" t="s">
        <v>5048</v>
      </c>
      <c r="Y923" s="48" t="s">
        <v>5049</v>
      </c>
      <c r="Z923" s="48" t="s">
        <v>1430</v>
      </c>
      <c r="AA923" s="48" t="s">
        <v>2934</v>
      </c>
      <c r="AB923" s="48" t="s">
        <v>4053</v>
      </c>
      <c r="AC923" s="48" t="s">
        <v>5050</v>
      </c>
      <c r="AD923" s="48"/>
      <c r="AE923" s="48"/>
      <c r="AF923" s="48" t="s">
        <v>5051</v>
      </c>
      <c r="AG923" s="48" t="s">
        <v>1385</v>
      </c>
      <c r="AH923" s="48" t="s">
        <v>5049</v>
      </c>
      <c r="AI923" s="48"/>
      <c r="AJ923" s="48"/>
      <c r="AK923" s="48">
        <v>0</v>
      </c>
      <c r="AL923" s="48"/>
      <c r="AM923" s="48"/>
      <c r="AN923" s="48"/>
      <c r="AO923" s="48" t="s">
        <v>1372</v>
      </c>
      <c r="AP923" s="48" t="s">
        <v>1373</v>
      </c>
    </row>
    <row r="924" hidden="1" spans="1:42">
      <c r="A924" s="48" t="s">
        <v>5056</v>
      </c>
      <c r="B924" s="48" t="s">
        <v>1356</v>
      </c>
      <c r="C924" s="48" t="s">
        <v>1375</v>
      </c>
      <c r="D924" s="48" t="s">
        <v>1358</v>
      </c>
      <c r="E924" s="48"/>
      <c r="F924" s="48" t="s">
        <v>1359</v>
      </c>
      <c r="G924" s="49">
        <v>44820.9251041667</v>
      </c>
      <c r="H924" s="49">
        <v>44820.9251967593</v>
      </c>
      <c r="I924" s="48"/>
      <c r="J924" s="48" t="s">
        <v>1360</v>
      </c>
      <c r="K924" s="48" t="s">
        <v>5057</v>
      </c>
      <c r="L924" s="48" t="s">
        <v>5058</v>
      </c>
      <c r="M924" s="48">
        <v>269</v>
      </c>
      <c r="N924" s="48">
        <v>0</v>
      </c>
      <c r="O924" s="48">
        <v>-5</v>
      </c>
      <c r="P924" s="48">
        <v>0</v>
      </c>
      <c r="Q924" s="48">
        <v>264</v>
      </c>
      <c r="R924" s="48">
        <v>264</v>
      </c>
      <c r="S924" s="48" t="s">
        <v>1422</v>
      </c>
      <c r="T924" s="48" t="s">
        <v>3548</v>
      </c>
      <c r="U924" s="48">
        <v>1</v>
      </c>
      <c r="V924" s="48" t="s">
        <v>1364</v>
      </c>
      <c r="W924" s="48"/>
      <c r="X924" s="48" t="s">
        <v>5048</v>
      </c>
      <c r="Y924" s="48" t="s">
        <v>5049</v>
      </c>
      <c r="Z924" s="48" t="s">
        <v>1430</v>
      </c>
      <c r="AA924" s="48" t="s">
        <v>2934</v>
      </c>
      <c r="AB924" s="48" t="s">
        <v>4053</v>
      </c>
      <c r="AC924" s="48" t="s">
        <v>5050</v>
      </c>
      <c r="AD924" s="48"/>
      <c r="AE924" s="48"/>
      <c r="AF924" s="48" t="s">
        <v>5051</v>
      </c>
      <c r="AG924" s="48" t="s">
        <v>1385</v>
      </c>
      <c r="AH924" s="48" t="s">
        <v>5049</v>
      </c>
      <c r="AI924" s="48"/>
      <c r="AJ924" s="48"/>
      <c r="AK924" s="48">
        <v>0</v>
      </c>
      <c r="AL924" s="48"/>
      <c r="AM924" s="48"/>
      <c r="AN924" s="48"/>
      <c r="AO924" s="48" t="s">
        <v>1372</v>
      </c>
      <c r="AP924" s="48" t="s">
        <v>1373</v>
      </c>
    </row>
    <row r="925" hidden="1" spans="1:42">
      <c r="A925" s="48" t="s">
        <v>5059</v>
      </c>
      <c r="B925" s="48" t="s">
        <v>1356</v>
      </c>
      <c r="C925" s="48" t="s">
        <v>1357</v>
      </c>
      <c r="D925" s="48" t="s">
        <v>1358</v>
      </c>
      <c r="E925" s="48"/>
      <c r="F925" s="48" t="s">
        <v>1359</v>
      </c>
      <c r="G925" s="49">
        <v>44820.924212963</v>
      </c>
      <c r="H925" s="49">
        <v>44820.9243171296</v>
      </c>
      <c r="I925" s="48"/>
      <c r="J925" s="48" t="s">
        <v>1360</v>
      </c>
      <c r="K925" s="48" t="s">
        <v>5060</v>
      </c>
      <c r="L925" s="48" t="s">
        <v>5061</v>
      </c>
      <c r="M925" s="48">
        <v>138</v>
      </c>
      <c r="N925" s="48">
        <v>0</v>
      </c>
      <c r="O925" s="48">
        <v>0</v>
      </c>
      <c r="P925" s="48">
        <v>0</v>
      </c>
      <c r="Q925" s="48">
        <v>138</v>
      </c>
      <c r="R925" s="48">
        <v>138</v>
      </c>
      <c r="S925" s="48"/>
      <c r="T925" s="48" t="s">
        <v>5062</v>
      </c>
      <c r="U925" s="48">
        <v>1</v>
      </c>
      <c r="V925" s="48" t="s">
        <v>1364</v>
      </c>
      <c r="W925" s="48"/>
      <c r="X925" s="48" t="s">
        <v>5048</v>
      </c>
      <c r="Y925" s="48" t="s">
        <v>5049</v>
      </c>
      <c r="Z925" s="48" t="s">
        <v>1430</v>
      </c>
      <c r="AA925" s="48" t="s">
        <v>2934</v>
      </c>
      <c r="AB925" s="48" t="s">
        <v>4053</v>
      </c>
      <c r="AC925" s="48" t="s">
        <v>5050</v>
      </c>
      <c r="AD925" s="48"/>
      <c r="AE925" s="48"/>
      <c r="AF925" s="48" t="s">
        <v>5051</v>
      </c>
      <c r="AG925" s="48" t="s">
        <v>1385</v>
      </c>
      <c r="AH925" s="48" t="s">
        <v>5049</v>
      </c>
      <c r="AI925" s="48"/>
      <c r="AJ925" s="48"/>
      <c r="AK925" s="48">
        <v>0</v>
      </c>
      <c r="AL925" s="48"/>
      <c r="AM925" s="48"/>
      <c r="AN925" s="48"/>
      <c r="AO925" s="48" t="s">
        <v>1372</v>
      </c>
      <c r="AP925" s="48" t="s">
        <v>1373</v>
      </c>
    </row>
    <row r="926" hidden="1" spans="1:42">
      <c r="A926" s="48" t="s">
        <v>5063</v>
      </c>
      <c r="B926" s="48" t="s">
        <v>1356</v>
      </c>
      <c r="C926" s="48" t="s">
        <v>1375</v>
      </c>
      <c r="D926" s="48" t="s">
        <v>1358</v>
      </c>
      <c r="E926" s="48"/>
      <c r="F926" s="48" t="s">
        <v>1377</v>
      </c>
      <c r="G926" s="49">
        <v>44820.9190740741</v>
      </c>
      <c r="H926" s="49">
        <v>44820.9192013889</v>
      </c>
      <c r="I926" s="48"/>
      <c r="J926" s="48" t="s">
        <v>407</v>
      </c>
      <c r="K926" s="48"/>
      <c r="L926" s="48"/>
      <c r="M926" s="48">
        <v>599</v>
      </c>
      <c r="N926" s="48">
        <v>0</v>
      </c>
      <c r="O926" s="48">
        <v>-11</v>
      </c>
      <c r="P926" s="48">
        <v>0</v>
      </c>
      <c r="Q926" s="48">
        <v>588</v>
      </c>
      <c r="R926" s="48">
        <v>588</v>
      </c>
      <c r="S926" s="48" t="s">
        <v>3720</v>
      </c>
      <c r="T926" s="48" t="s">
        <v>5064</v>
      </c>
      <c r="U926" s="48">
        <v>1</v>
      </c>
      <c r="V926" s="48" t="s">
        <v>1364</v>
      </c>
      <c r="W926" s="48"/>
      <c r="X926" s="48" t="s">
        <v>386</v>
      </c>
      <c r="Y926" s="48" t="s">
        <v>3711</v>
      </c>
      <c r="Z926" s="48" t="s">
        <v>1513</v>
      </c>
      <c r="AA926" s="48" t="s">
        <v>3428</v>
      </c>
      <c r="AB926" s="48" t="s">
        <v>3712</v>
      </c>
      <c r="AC926" s="48" t="s">
        <v>3713</v>
      </c>
      <c r="AD926" s="48"/>
      <c r="AE926" s="48"/>
      <c r="AF926" s="48" t="s">
        <v>3714</v>
      </c>
      <c r="AG926" s="48" t="s">
        <v>1385</v>
      </c>
      <c r="AH926" s="48" t="s">
        <v>3715</v>
      </c>
      <c r="AI926" s="48"/>
      <c r="AJ926" s="48"/>
      <c r="AK926" s="48">
        <v>0</v>
      </c>
      <c r="AL926" s="48"/>
      <c r="AM926" s="48"/>
      <c r="AN926" s="48"/>
      <c r="AO926" s="48" t="s">
        <v>1372</v>
      </c>
      <c r="AP926" s="48" t="s">
        <v>1373</v>
      </c>
    </row>
    <row r="927" hidden="1" spans="1:42">
      <c r="A927" s="48" t="s">
        <v>5065</v>
      </c>
      <c r="B927" s="48" t="s">
        <v>1356</v>
      </c>
      <c r="C927" s="48" t="s">
        <v>1375</v>
      </c>
      <c r="D927" s="48" t="s">
        <v>1358</v>
      </c>
      <c r="E927" s="48"/>
      <c r="F927" s="48" t="s">
        <v>1377</v>
      </c>
      <c r="G927" s="49">
        <v>44820.9184953704</v>
      </c>
      <c r="H927" s="49">
        <v>44820.918599537</v>
      </c>
      <c r="I927" s="48"/>
      <c r="J927" s="48" t="s">
        <v>407</v>
      </c>
      <c r="K927" s="48"/>
      <c r="L927" s="48"/>
      <c r="M927" s="48">
        <v>599</v>
      </c>
      <c r="N927" s="48">
        <v>0</v>
      </c>
      <c r="O927" s="48">
        <v>-5</v>
      </c>
      <c r="P927" s="48">
        <v>0</v>
      </c>
      <c r="Q927" s="48">
        <v>594</v>
      </c>
      <c r="R927" s="48">
        <v>594</v>
      </c>
      <c r="S927" s="48" t="s">
        <v>1422</v>
      </c>
      <c r="T927" s="48" t="s">
        <v>5066</v>
      </c>
      <c r="U927" s="48">
        <v>1</v>
      </c>
      <c r="V927" s="48" t="s">
        <v>1364</v>
      </c>
      <c r="W927" s="48"/>
      <c r="X927" s="48" t="s">
        <v>374</v>
      </c>
      <c r="Y927" s="48" t="s">
        <v>3220</v>
      </c>
      <c r="Z927" s="48" t="s">
        <v>1478</v>
      </c>
      <c r="AA927" s="48" t="s">
        <v>2994</v>
      </c>
      <c r="AB927" s="48" t="s">
        <v>3221</v>
      </c>
      <c r="AC927" s="48" t="s">
        <v>3222</v>
      </c>
      <c r="AD927" s="48"/>
      <c r="AE927" s="48"/>
      <c r="AF927" s="48" t="s">
        <v>3223</v>
      </c>
      <c r="AG927" s="48" t="s">
        <v>1372</v>
      </c>
      <c r="AH927" s="48" t="s">
        <v>3220</v>
      </c>
      <c r="AI927" s="48"/>
      <c r="AJ927" s="48"/>
      <c r="AK927" s="48">
        <v>0</v>
      </c>
      <c r="AL927" s="48" t="s">
        <v>5067</v>
      </c>
      <c r="AM927" s="48"/>
      <c r="AN927" s="48"/>
      <c r="AO927" s="48" t="s">
        <v>1372</v>
      </c>
      <c r="AP927" s="48" t="s">
        <v>1373</v>
      </c>
    </row>
    <row r="928" hidden="1" spans="1:42">
      <c r="A928" s="48" t="s">
        <v>5068</v>
      </c>
      <c r="B928" s="48" t="s">
        <v>1356</v>
      </c>
      <c r="C928" s="48" t="s">
        <v>1375</v>
      </c>
      <c r="D928" s="48" t="s">
        <v>1376</v>
      </c>
      <c r="E928" s="48"/>
      <c r="F928" s="48" t="s">
        <v>1377</v>
      </c>
      <c r="G928" s="49">
        <v>44820.9061921296</v>
      </c>
      <c r="H928" s="48"/>
      <c r="I928" s="48"/>
      <c r="J928" s="48"/>
      <c r="K928" s="48"/>
      <c r="L928" s="48"/>
      <c r="M928" s="48">
        <v>259</v>
      </c>
      <c r="N928" s="48">
        <v>0</v>
      </c>
      <c r="O928" s="48">
        <v>0</v>
      </c>
      <c r="P928" s="48">
        <v>0</v>
      </c>
      <c r="Q928" s="48">
        <v>259</v>
      </c>
      <c r="R928" s="48">
        <v>0</v>
      </c>
      <c r="S928" s="48"/>
      <c r="T928" s="48" t="s">
        <v>5069</v>
      </c>
      <c r="U928" s="48">
        <v>1</v>
      </c>
      <c r="V928" s="48" t="s">
        <v>1364</v>
      </c>
      <c r="W928" s="48"/>
      <c r="X928" s="48" t="s">
        <v>5070</v>
      </c>
      <c r="Y928" s="48" t="s">
        <v>5071</v>
      </c>
      <c r="Z928" s="48" t="s">
        <v>1478</v>
      </c>
      <c r="AA928" s="48" t="s">
        <v>1479</v>
      </c>
      <c r="AB928" s="48" t="s">
        <v>1480</v>
      </c>
      <c r="AC928" s="48" t="s">
        <v>5072</v>
      </c>
      <c r="AD928" s="48"/>
      <c r="AE928" s="48"/>
      <c r="AF928" s="48" t="s">
        <v>5073</v>
      </c>
      <c r="AG928" s="48" t="s">
        <v>1372</v>
      </c>
      <c r="AH928" s="48"/>
      <c r="AI928" s="48"/>
      <c r="AJ928" s="48"/>
      <c r="AK928" s="48">
        <v>0</v>
      </c>
      <c r="AL928" s="48"/>
      <c r="AM928" s="48"/>
      <c r="AN928" s="48"/>
      <c r="AO928" s="48" t="s">
        <v>1372</v>
      </c>
      <c r="AP928" s="48" t="s">
        <v>1373</v>
      </c>
    </row>
    <row r="929" hidden="1" spans="1:42">
      <c r="A929" s="48" t="s">
        <v>5074</v>
      </c>
      <c r="B929" s="48" t="s">
        <v>1356</v>
      </c>
      <c r="C929" s="48" t="s">
        <v>1375</v>
      </c>
      <c r="D929" s="48" t="s">
        <v>1376</v>
      </c>
      <c r="E929" s="48"/>
      <c r="F929" s="48" t="s">
        <v>1377</v>
      </c>
      <c r="G929" s="49">
        <v>44820.9055555556</v>
      </c>
      <c r="H929" s="48"/>
      <c r="I929" s="48"/>
      <c r="J929" s="48"/>
      <c r="K929" s="48"/>
      <c r="L929" s="48"/>
      <c r="M929" s="48">
        <v>259</v>
      </c>
      <c r="N929" s="48">
        <v>0</v>
      </c>
      <c r="O929" s="48">
        <v>0</v>
      </c>
      <c r="P929" s="48">
        <v>0</v>
      </c>
      <c r="Q929" s="48">
        <v>259</v>
      </c>
      <c r="R929" s="48">
        <v>0</v>
      </c>
      <c r="S929" s="48"/>
      <c r="T929" s="48" t="s">
        <v>5075</v>
      </c>
      <c r="U929" s="48">
        <v>1</v>
      </c>
      <c r="V929" s="48" t="s">
        <v>1364</v>
      </c>
      <c r="W929" s="48"/>
      <c r="X929" s="48" t="s">
        <v>5070</v>
      </c>
      <c r="Y929" s="48" t="s">
        <v>5071</v>
      </c>
      <c r="Z929" s="48" t="s">
        <v>1478</v>
      </c>
      <c r="AA929" s="48" t="s">
        <v>1479</v>
      </c>
      <c r="AB929" s="48" t="s">
        <v>1480</v>
      </c>
      <c r="AC929" s="48" t="s">
        <v>5072</v>
      </c>
      <c r="AD929" s="48"/>
      <c r="AE929" s="48"/>
      <c r="AF929" s="48" t="s">
        <v>5073</v>
      </c>
      <c r="AG929" s="48" t="s">
        <v>1372</v>
      </c>
      <c r="AH929" s="48"/>
      <c r="AI929" s="48"/>
      <c r="AJ929" s="48"/>
      <c r="AK929" s="48">
        <v>0</v>
      </c>
      <c r="AL929" s="48"/>
      <c r="AM929" s="48"/>
      <c r="AN929" s="48"/>
      <c r="AO929" s="48" t="s">
        <v>1372</v>
      </c>
      <c r="AP929" s="48" t="s">
        <v>1373</v>
      </c>
    </row>
    <row r="930" hidden="1" spans="1:42">
      <c r="A930" s="48" t="s">
        <v>5076</v>
      </c>
      <c r="B930" s="48" t="s">
        <v>1356</v>
      </c>
      <c r="C930" s="48" t="s">
        <v>1375</v>
      </c>
      <c r="D930" s="48" t="s">
        <v>1358</v>
      </c>
      <c r="E930" s="48"/>
      <c r="F930" s="48" t="s">
        <v>1377</v>
      </c>
      <c r="G930" s="49">
        <v>44820.8943171296</v>
      </c>
      <c r="H930" s="49">
        <v>44820.8944328704</v>
      </c>
      <c r="I930" s="48"/>
      <c r="J930" s="48" t="s">
        <v>407</v>
      </c>
      <c r="K930" s="48"/>
      <c r="L930" s="48"/>
      <c r="M930" s="48">
        <v>599</v>
      </c>
      <c r="N930" s="48">
        <v>0</v>
      </c>
      <c r="O930" s="48">
        <v>0</v>
      </c>
      <c r="P930" s="48">
        <v>0</v>
      </c>
      <c r="Q930" s="48">
        <v>599</v>
      </c>
      <c r="R930" s="48">
        <v>599</v>
      </c>
      <c r="S930" s="48"/>
      <c r="T930" s="48" t="s">
        <v>5077</v>
      </c>
      <c r="U930" s="48">
        <v>1</v>
      </c>
      <c r="V930" s="48" t="s">
        <v>1364</v>
      </c>
      <c r="W930" s="48"/>
      <c r="X930" s="48" t="s">
        <v>398</v>
      </c>
      <c r="Y930" s="48" t="s">
        <v>5078</v>
      </c>
      <c r="Z930" s="48" t="s">
        <v>1466</v>
      </c>
      <c r="AA930" s="48" t="s">
        <v>2266</v>
      </c>
      <c r="AB930" s="48" t="s">
        <v>2267</v>
      </c>
      <c r="AC930" s="48" t="s">
        <v>5079</v>
      </c>
      <c r="AD930" s="48"/>
      <c r="AE930" s="48"/>
      <c r="AF930" s="48" t="s">
        <v>5080</v>
      </c>
      <c r="AG930" s="48" t="s">
        <v>1385</v>
      </c>
      <c r="AH930" s="48" t="s">
        <v>5078</v>
      </c>
      <c r="AI930" s="48"/>
      <c r="AJ930" s="48"/>
      <c r="AK930" s="48">
        <v>0</v>
      </c>
      <c r="AL930" s="48"/>
      <c r="AM930" s="48"/>
      <c r="AN930" s="48"/>
      <c r="AO930" s="48" t="s">
        <v>1372</v>
      </c>
      <c r="AP930" s="48" t="s">
        <v>1373</v>
      </c>
    </row>
    <row r="931" hidden="1" spans="1:42">
      <c r="A931" s="48" t="s">
        <v>5081</v>
      </c>
      <c r="B931" s="48" t="s">
        <v>1356</v>
      </c>
      <c r="C931" s="48" t="s">
        <v>1375</v>
      </c>
      <c r="D931" s="48" t="s">
        <v>1376</v>
      </c>
      <c r="E931" s="48"/>
      <c r="F931" s="48" t="s">
        <v>1377</v>
      </c>
      <c r="G931" s="49">
        <v>44820.8916782407</v>
      </c>
      <c r="H931" s="48"/>
      <c r="I931" s="48"/>
      <c r="J931" s="48"/>
      <c r="K931" s="48"/>
      <c r="L931" s="48"/>
      <c r="M931" s="48">
        <v>599</v>
      </c>
      <c r="N931" s="48">
        <v>0</v>
      </c>
      <c r="O931" s="48">
        <v>0</v>
      </c>
      <c r="P931" s="48">
        <v>0</v>
      </c>
      <c r="Q931" s="48">
        <v>599</v>
      </c>
      <c r="R931" s="48">
        <v>0</v>
      </c>
      <c r="S931" s="48"/>
      <c r="T931" s="48" t="s">
        <v>5082</v>
      </c>
      <c r="U931" s="48">
        <v>1</v>
      </c>
      <c r="V931" s="48" t="s">
        <v>1364</v>
      </c>
      <c r="W931" s="48"/>
      <c r="X931" s="48" t="s">
        <v>592</v>
      </c>
      <c r="Y931" s="48" t="s">
        <v>3873</v>
      </c>
      <c r="Z931" s="48" t="s">
        <v>1678</v>
      </c>
      <c r="AA931" s="48" t="s">
        <v>2007</v>
      </c>
      <c r="AB931" s="48" t="s">
        <v>2451</v>
      </c>
      <c r="AC931" s="48" t="s">
        <v>3874</v>
      </c>
      <c r="AD931" s="48"/>
      <c r="AE931" s="48"/>
      <c r="AF931" s="48" t="s">
        <v>4389</v>
      </c>
      <c r="AG931" s="48" t="s">
        <v>1372</v>
      </c>
      <c r="AH931" s="48" t="s">
        <v>4390</v>
      </c>
      <c r="AI931" s="48"/>
      <c r="AJ931" s="48"/>
      <c r="AK931" s="48">
        <v>0</v>
      </c>
      <c r="AL931" s="48"/>
      <c r="AM931" s="48"/>
      <c r="AN931" s="48"/>
      <c r="AO931" s="48" t="s">
        <v>1372</v>
      </c>
      <c r="AP931" s="48" t="s">
        <v>1373</v>
      </c>
    </row>
    <row r="932" hidden="1" spans="1:42">
      <c r="A932" s="48" t="s">
        <v>5083</v>
      </c>
      <c r="B932" s="48" t="s">
        <v>1356</v>
      </c>
      <c r="C932" s="48" t="s">
        <v>1375</v>
      </c>
      <c r="D932" s="48" t="s">
        <v>1780</v>
      </c>
      <c r="E932" s="48"/>
      <c r="F932" s="48" t="s">
        <v>1377</v>
      </c>
      <c r="G932" s="49">
        <v>44820.8867824074</v>
      </c>
      <c r="H932" s="48"/>
      <c r="I932" s="48"/>
      <c r="J932" s="48"/>
      <c r="K932" s="48"/>
      <c r="L932" s="48"/>
      <c r="M932" s="48">
        <v>599</v>
      </c>
      <c r="N932" s="48">
        <v>0</v>
      </c>
      <c r="O932" s="48">
        <v>-2</v>
      </c>
      <c r="P932" s="48">
        <v>0</v>
      </c>
      <c r="Q932" s="48">
        <v>597</v>
      </c>
      <c r="R932" s="48">
        <v>0</v>
      </c>
      <c r="S932" s="48" t="s">
        <v>1400</v>
      </c>
      <c r="T932" s="48" t="s">
        <v>5084</v>
      </c>
      <c r="U932" s="48">
        <v>1</v>
      </c>
      <c r="V932" s="48" t="s">
        <v>1364</v>
      </c>
      <c r="W932" s="48"/>
      <c r="X932" s="48" t="s">
        <v>592</v>
      </c>
      <c r="Y932" s="48" t="s">
        <v>3873</v>
      </c>
      <c r="Z932" s="48" t="s">
        <v>1678</v>
      </c>
      <c r="AA932" s="48" t="s">
        <v>2007</v>
      </c>
      <c r="AB932" s="48" t="s">
        <v>2451</v>
      </c>
      <c r="AC932" s="48" t="s">
        <v>3874</v>
      </c>
      <c r="AD932" s="48" t="s">
        <v>5085</v>
      </c>
      <c r="AE932" s="48"/>
      <c r="AF932" s="48" t="s">
        <v>4389</v>
      </c>
      <c r="AG932" s="48" t="s">
        <v>1372</v>
      </c>
      <c r="AH932" s="48" t="s">
        <v>4390</v>
      </c>
      <c r="AI932" s="48"/>
      <c r="AJ932" s="48"/>
      <c r="AK932" s="48">
        <v>0</v>
      </c>
      <c r="AL932" s="48"/>
      <c r="AM932" s="48"/>
      <c r="AN932" s="48"/>
      <c r="AO932" s="48" t="s">
        <v>1372</v>
      </c>
      <c r="AP932" s="48" t="s">
        <v>1373</v>
      </c>
    </row>
    <row r="933" hidden="1" spans="1:42">
      <c r="A933" s="48" t="s">
        <v>5086</v>
      </c>
      <c r="B933" s="48" t="s">
        <v>1356</v>
      </c>
      <c r="C933" s="48" t="s">
        <v>1375</v>
      </c>
      <c r="D933" s="48" t="s">
        <v>1358</v>
      </c>
      <c r="E933" s="48"/>
      <c r="F933" s="48" t="s">
        <v>1632</v>
      </c>
      <c r="G933" s="49">
        <v>44820.8633217593</v>
      </c>
      <c r="H933" s="49">
        <v>44820.8636805556</v>
      </c>
      <c r="I933" s="48"/>
      <c r="J933" s="48" t="s">
        <v>1360</v>
      </c>
      <c r="K933" s="48" t="s">
        <v>5087</v>
      </c>
      <c r="L933" s="48" t="s">
        <v>5088</v>
      </c>
      <c r="M933" s="48">
        <v>118</v>
      </c>
      <c r="N933" s="48">
        <v>0</v>
      </c>
      <c r="O933" s="48">
        <v>0</v>
      </c>
      <c r="P933" s="48">
        <v>0</v>
      </c>
      <c r="Q933" s="48">
        <v>118</v>
      </c>
      <c r="R933" s="48">
        <v>118</v>
      </c>
      <c r="S933" s="48"/>
      <c r="T933" s="48" t="s">
        <v>5089</v>
      </c>
      <c r="U933" s="48">
        <v>1</v>
      </c>
      <c r="V933" s="48" t="s">
        <v>1364</v>
      </c>
      <c r="W933" s="48"/>
      <c r="X933" s="48" t="s">
        <v>5090</v>
      </c>
      <c r="Y933" s="48" t="s">
        <v>5091</v>
      </c>
      <c r="Z933" s="48" t="s">
        <v>1626</v>
      </c>
      <c r="AA933" s="48" t="s">
        <v>5092</v>
      </c>
      <c r="AB933" s="48" t="s">
        <v>5093</v>
      </c>
      <c r="AC933" s="48" t="s">
        <v>5094</v>
      </c>
      <c r="AD933" s="48"/>
      <c r="AE933" s="48"/>
      <c r="AF933" s="48" t="s">
        <v>5090</v>
      </c>
      <c r="AG933" s="48" t="s">
        <v>1372</v>
      </c>
      <c r="AH933" s="48" t="s">
        <v>5091</v>
      </c>
      <c r="AI933" s="48"/>
      <c r="AJ933" s="48"/>
      <c r="AK933" s="48">
        <v>0</v>
      </c>
      <c r="AL933" s="48"/>
      <c r="AM933" s="48"/>
      <c r="AN933" s="48"/>
      <c r="AO933" s="48" t="s">
        <v>1372</v>
      </c>
      <c r="AP933" s="48" t="s">
        <v>1373</v>
      </c>
    </row>
    <row r="934" hidden="1" spans="1:42">
      <c r="A934" s="48" t="s">
        <v>5095</v>
      </c>
      <c r="B934" s="48" t="s">
        <v>1356</v>
      </c>
      <c r="C934" s="48" t="s">
        <v>1375</v>
      </c>
      <c r="D934" s="48" t="s">
        <v>1376</v>
      </c>
      <c r="E934" s="48"/>
      <c r="F934" s="48" t="s">
        <v>1377</v>
      </c>
      <c r="G934" s="49">
        <v>44820.8553819444</v>
      </c>
      <c r="H934" s="48"/>
      <c r="I934" s="48"/>
      <c r="J934" s="48"/>
      <c r="K934" s="48"/>
      <c r="L934" s="48"/>
      <c r="M934" s="48">
        <v>259</v>
      </c>
      <c r="N934" s="48">
        <v>0</v>
      </c>
      <c r="O934" s="48">
        <v>-2</v>
      </c>
      <c r="P934" s="48">
        <v>0</v>
      </c>
      <c r="Q934" s="48">
        <v>257</v>
      </c>
      <c r="R934" s="48">
        <v>0</v>
      </c>
      <c r="S934" s="48" t="s">
        <v>1400</v>
      </c>
      <c r="T934" s="48" t="s">
        <v>5096</v>
      </c>
      <c r="U934" s="48">
        <v>1</v>
      </c>
      <c r="V934" s="48" t="s">
        <v>1364</v>
      </c>
      <c r="W934" s="48"/>
      <c r="X934" s="48" t="s">
        <v>512</v>
      </c>
      <c r="Y934" s="48" t="s">
        <v>3692</v>
      </c>
      <c r="Z934" s="48" t="s">
        <v>1367</v>
      </c>
      <c r="AA934" s="48" t="s">
        <v>1943</v>
      </c>
      <c r="AB934" s="48" t="s">
        <v>2039</v>
      </c>
      <c r="AC934" s="48" t="s">
        <v>3693</v>
      </c>
      <c r="AD934" s="48"/>
      <c r="AE934" s="48"/>
      <c r="AF934" s="48" t="s">
        <v>3694</v>
      </c>
      <c r="AG934" s="48" t="s">
        <v>1385</v>
      </c>
      <c r="AH934" s="48" t="s">
        <v>3692</v>
      </c>
      <c r="AI934" s="48"/>
      <c r="AJ934" s="48"/>
      <c r="AK934" s="48">
        <v>0</v>
      </c>
      <c r="AL934" s="48"/>
      <c r="AM934" s="48"/>
      <c r="AN934" s="48"/>
      <c r="AO934" s="48" t="s">
        <v>1372</v>
      </c>
      <c r="AP934" s="48" t="s">
        <v>1373</v>
      </c>
    </row>
    <row r="935" hidden="1" spans="1:42">
      <c r="A935" s="48" t="s">
        <v>5097</v>
      </c>
      <c r="B935" s="48" t="s">
        <v>1356</v>
      </c>
      <c r="C935" s="48" t="s">
        <v>1375</v>
      </c>
      <c r="D935" s="48" t="s">
        <v>1376</v>
      </c>
      <c r="E935" s="48"/>
      <c r="F935" s="48" t="s">
        <v>1377</v>
      </c>
      <c r="G935" s="49">
        <v>44820.8494444444</v>
      </c>
      <c r="H935" s="48"/>
      <c r="I935" s="48"/>
      <c r="J935" s="48"/>
      <c r="K935" s="48"/>
      <c r="L935" s="48"/>
      <c r="M935" s="48">
        <v>259</v>
      </c>
      <c r="N935" s="48">
        <v>0</v>
      </c>
      <c r="O935" s="48">
        <v>-7</v>
      </c>
      <c r="P935" s="48">
        <v>0</v>
      </c>
      <c r="Q935" s="48">
        <v>252</v>
      </c>
      <c r="R935" s="48">
        <v>0</v>
      </c>
      <c r="S935" s="48" t="s">
        <v>2550</v>
      </c>
      <c r="T935" s="48" t="s">
        <v>5098</v>
      </c>
      <c r="U935" s="48">
        <v>1</v>
      </c>
      <c r="V935" s="48" t="s">
        <v>1364</v>
      </c>
      <c r="W935" s="48"/>
      <c r="X935" s="48" t="s">
        <v>680</v>
      </c>
      <c r="Y935" s="48" t="s">
        <v>4040</v>
      </c>
      <c r="Z935" s="48" t="s">
        <v>1748</v>
      </c>
      <c r="AA935" s="48" t="s">
        <v>4041</v>
      </c>
      <c r="AB935" s="48" t="s">
        <v>4042</v>
      </c>
      <c r="AC935" s="48" t="s">
        <v>4043</v>
      </c>
      <c r="AD935" s="48"/>
      <c r="AE935" s="48"/>
      <c r="AF935" s="48" t="s">
        <v>4044</v>
      </c>
      <c r="AG935" s="48" t="s">
        <v>1372</v>
      </c>
      <c r="AH935" s="48"/>
      <c r="AI935" s="48"/>
      <c r="AJ935" s="48"/>
      <c r="AK935" s="48">
        <v>0</v>
      </c>
      <c r="AL935" s="48"/>
      <c r="AM935" s="48"/>
      <c r="AN935" s="48"/>
      <c r="AO935" s="48" t="s">
        <v>1372</v>
      </c>
      <c r="AP935" s="48" t="s">
        <v>1373</v>
      </c>
    </row>
    <row r="936" hidden="1" spans="1:42">
      <c r="A936" s="48" t="s">
        <v>5099</v>
      </c>
      <c r="B936" s="48" t="s">
        <v>1356</v>
      </c>
      <c r="C936" s="48" t="s">
        <v>1375</v>
      </c>
      <c r="D936" s="48" t="s">
        <v>1358</v>
      </c>
      <c r="E936" s="48"/>
      <c r="F936" s="48" t="s">
        <v>1548</v>
      </c>
      <c r="G936" s="49">
        <v>44820.8422222222</v>
      </c>
      <c r="H936" s="49">
        <v>44820.8423148148</v>
      </c>
      <c r="I936" s="48"/>
      <c r="J936" s="48" t="s">
        <v>407</v>
      </c>
      <c r="K936" s="48"/>
      <c r="L936" s="48"/>
      <c r="M936" s="48">
        <v>19.9</v>
      </c>
      <c r="N936" s="48">
        <v>0</v>
      </c>
      <c r="O936" s="48">
        <v>0</v>
      </c>
      <c r="P936" s="48">
        <v>0</v>
      </c>
      <c r="Q936" s="48">
        <v>19.9</v>
      </c>
      <c r="R936" s="48">
        <v>19.9</v>
      </c>
      <c r="S936" s="48"/>
      <c r="T936" s="48" t="s">
        <v>1484</v>
      </c>
      <c r="U936" s="48">
        <v>1</v>
      </c>
      <c r="V936" s="48" t="s">
        <v>1364</v>
      </c>
      <c r="W936" s="48"/>
      <c r="X936" s="48" t="s">
        <v>632</v>
      </c>
      <c r="Y936" s="48" t="s">
        <v>4120</v>
      </c>
      <c r="Z936" s="48" t="s">
        <v>2028</v>
      </c>
      <c r="AA936" s="48" t="s">
        <v>2237</v>
      </c>
      <c r="AB936" s="48" t="s">
        <v>3476</v>
      </c>
      <c r="AC936" s="48" t="s">
        <v>4121</v>
      </c>
      <c r="AD936" s="48"/>
      <c r="AE936" s="48"/>
      <c r="AF936" s="48" t="s">
        <v>4122</v>
      </c>
      <c r="AG936" s="48" t="s">
        <v>1372</v>
      </c>
      <c r="AH936" s="48" t="s">
        <v>4123</v>
      </c>
      <c r="AI936" s="48"/>
      <c r="AJ936" s="48"/>
      <c r="AK936" s="48">
        <v>0</v>
      </c>
      <c r="AL936" s="48"/>
      <c r="AM936" s="48"/>
      <c r="AN936" s="48"/>
      <c r="AO936" s="48" t="s">
        <v>1372</v>
      </c>
      <c r="AP936" s="48" t="s">
        <v>1373</v>
      </c>
    </row>
    <row r="937" hidden="1" spans="1:42">
      <c r="A937" s="48" t="s">
        <v>5100</v>
      </c>
      <c r="B937" s="48" t="s">
        <v>1356</v>
      </c>
      <c r="C937" s="48" t="s">
        <v>1375</v>
      </c>
      <c r="D937" s="48" t="s">
        <v>1358</v>
      </c>
      <c r="E937" s="48"/>
      <c r="F937" s="48" t="s">
        <v>1377</v>
      </c>
      <c r="G937" s="49">
        <v>44830.0192708333</v>
      </c>
      <c r="H937" s="49">
        <v>44830.0193981481</v>
      </c>
      <c r="I937" s="48"/>
      <c r="J937" s="48" t="s">
        <v>407</v>
      </c>
      <c r="K937" s="48"/>
      <c r="L937" s="48"/>
      <c r="M937" s="48">
        <v>269</v>
      </c>
      <c r="N937" s="48">
        <v>0</v>
      </c>
      <c r="O937" s="48">
        <v>0</v>
      </c>
      <c r="P937" s="48">
        <v>0</v>
      </c>
      <c r="Q937" s="48">
        <v>269</v>
      </c>
      <c r="R937" s="48">
        <v>269</v>
      </c>
      <c r="S937" s="48"/>
      <c r="T937" s="48" t="s">
        <v>5101</v>
      </c>
      <c r="U937" s="48">
        <v>1</v>
      </c>
      <c r="V937" s="48" t="s">
        <v>1364</v>
      </c>
      <c r="W937" s="48"/>
      <c r="X937" s="48" t="s">
        <v>403</v>
      </c>
      <c r="Y937" s="48" t="s">
        <v>2271</v>
      </c>
      <c r="Z937" s="48" t="s">
        <v>1430</v>
      </c>
      <c r="AA937" s="48" t="s">
        <v>1965</v>
      </c>
      <c r="AB937" s="48" t="s">
        <v>1966</v>
      </c>
      <c r="AC937" s="48" t="s">
        <v>2272</v>
      </c>
      <c r="AD937" s="48"/>
      <c r="AE937" s="48"/>
      <c r="AF937" s="48" t="s">
        <v>2273</v>
      </c>
      <c r="AG937" s="48" t="s">
        <v>1385</v>
      </c>
      <c r="AH937" s="48" t="s">
        <v>2271</v>
      </c>
      <c r="AI937" s="48"/>
      <c r="AJ937" s="48"/>
      <c r="AK937" s="48">
        <v>0</v>
      </c>
      <c r="AL937" s="48"/>
      <c r="AM937" s="48"/>
      <c r="AN937" s="48"/>
      <c r="AO937" s="48" t="s">
        <v>1372</v>
      </c>
      <c r="AP937" s="48" t="s">
        <v>1373</v>
      </c>
    </row>
    <row r="938" hidden="1" spans="1:42">
      <c r="A938" s="48" t="s">
        <v>5102</v>
      </c>
      <c r="B938" s="48" t="s">
        <v>1356</v>
      </c>
      <c r="C938" s="48" t="s">
        <v>1375</v>
      </c>
      <c r="D938" s="48" t="s">
        <v>1358</v>
      </c>
      <c r="E938" s="48"/>
      <c r="F938" s="48" t="s">
        <v>1377</v>
      </c>
      <c r="G938" s="49">
        <v>44830.017650463</v>
      </c>
      <c r="H938" s="49">
        <v>44830.0179050926</v>
      </c>
      <c r="I938" s="48"/>
      <c r="J938" s="48" t="s">
        <v>407</v>
      </c>
      <c r="K938" s="48"/>
      <c r="L938" s="48"/>
      <c r="M938" s="48">
        <v>599</v>
      </c>
      <c r="N938" s="48">
        <v>0</v>
      </c>
      <c r="O938" s="48">
        <v>0</v>
      </c>
      <c r="P938" s="48">
        <v>0</v>
      </c>
      <c r="Q938" s="48">
        <v>599</v>
      </c>
      <c r="R938" s="48">
        <v>599</v>
      </c>
      <c r="S938" s="48"/>
      <c r="T938" s="48" t="s">
        <v>5103</v>
      </c>
      <c r="U938" s="48">
        <v>1</v>
      </c>
      <c r="V938" s="48" t="s">
        <v>1364</v>
      </c>
      <c r="W938" s="48"/>
      <c r="X938" s="48" t="s">
        <v>548</v>
      </c>
      <c r="Y938" s="48" t="s">
        <v>5104</v>
      </c>
      <c r="Z938" s="48" t="s">
        <v>1513</v>
      </c>
      <c r="AA938" s="48" t="s">
        <v>1596</v>
      </c>
      <c r="AB938" s="48" t="s">
        <v>1597</v>
      </c>
      <c r="AC938" s="48" t="s">
        <v>5105</v>
      </c>
      <c r="AD938" s="48" t="s">
        <v>5106</v>
      </c>
      <c r="AE938" s="48"/>
      <c r="AF938" s="48" t="s">
        <v>5107</v>
      </c>
      <c r="AG938" s="48" t="s">
        <v>1372</v>
      </c>
      <c r="AH938" s="48" t="s">
        <v>5104</v>
      </c>
      <c r="AI938" s="48"/>
      <c r="AJ938" s="48"/>
      <c r="AK938" s="48">
        <v>0</v>
      </c>
      <c r="AL938" s="48"/>
      <c r="AM938" s="48"/>
      <c r="AN938" s="48"/>
      <c r="AO938" s="48" t="s">
        <v>1372</v>
      </c>
      <c r="AP938" s="48" t="s">
        <v>1373</v>
      </c>
    </row>
    <row r="939" hidden="1" spans="1:42">
      <c r="A939" s="48" t="s">
        <v>5108</v>
      </c>
      <c r="B939" s="48" t="s">
        <v>1356</v>
      </c>
      <c r="C939" s="48" t="s">
        <v>1375</v>
      </c>
      <c r="D939" s="48" t="s">
        <v>1358</v>
      </c>
      <c r="E939" s="48"/>
      <c r="F939" s="48" t="s">
        <v>1377</v>
      </c>
      <c r="G939" s="49">
        <v>44830.0159375</v>
      </c>
      <c r="H939" s="49">
        <v>44830.0164583333</v>
      </c>
      <c r="I939" s="48"/>
      <c r="J939" s="48" t="s">
        <v>407</v>
      </c>
      <c r="K939" s="48"/>
      <c r="L939" s="48"/>
      <c r="M939" s="48">
        <v>599</v>
      </c>
      <c r="N939" s="48">
        <v>0</v>
      </c>
      <c r="O939" s="48">
        <v>0</v>
      </c>
      <c r="P939" s="48">
        <v>0</v>
      </c>
      <c r="Q939" s="48">
        <v>599</v>
      </c>
      <c r="R939" s="48">
        <v>599</v>
      </c>
      <c r="S939" s="48"/>
      <c r="T939" s="48" t="s">
        <v>5109</v>
      </c>
      <c r="U939" s="48">
        <v>1</v>
      </c>
      <c r="V939" s="48" t="s">
        <v>1364</v>
      </c>
      <c r="W939" s="48"/>
      <c r="X939" s="48" t="s">
        <v>550</v>
      </c>
      <c r="Y939" s="48" t="s">
        <v>5110</v>
      </c>
      <c r="Z939" s="48" t="s">
        <v>1367</v>
      </c>
      <c r="AA939" s="48" t="s">
        <v>1368</v>
      </c>
      <c r="AB939" s="48" t="s">
        <v>1958</v>
      </c>
      <c r="AC939" s="48" t="s">
        <v>5111</v>
      </c>
      <c r="AD939" s="48"/>
      <c r="AE939" s="48"/>
      <c r="AF939" s="48" t="s">
        <v>5112</v>
      </c>
      <c r="AG939" s="48" t="s">
        <v>1372</v>
      </c>
      <c r="AH939" s="48"/>
      <c r="AI939" s="48"/>
      <c r="AJ939" s="48"/>
      <c r="AK939" s="48">
        <v>0</v>
      </c>
      <c r="AL939" s="48"/>
      <c r="AM939" s="48"/>
      <c r="AN939" s="48"/>
      <c r="AO939" s="48" t="s">
        <v>1372</v>
      </c>
      <c r="AP939" s="48" t="s">
        <v>1373</v>
      </c>
    </row>
    <row r="940" hidden="1" spans="1:42">
      <c r="A940" s="48" t="s">
        <v>5113</v>
      </c>
      <c r="B940" s="48" t="s">
        <v>1356</v>
      </c>
      <c r="C940" s="48" t="s">
        <v>1375</v>
      </c>
      <c r="D940" s="48" t="s">
        <v>1358</v>
      </c>
      <c r="E940" s="48"/>
      <c r="F940" s="48" t="s">
        <v>1377</v>
      </c>
      <c r="G940" s="49">
        <v>44830.0159143519</v>
      </c>
      <c r="H940" s="49">
        <v>44830.0160416667</v>
      </c>
      <c r="I940" s="48"/>
      <c r="J940" s="48" t="s">
        <v>407</v>
      </c>
      <c r="K940" s="48"/>
      <c r="L940" s="48"/>
      <c r="M940" s="48">
        <v>299</v>
      </c>
      <c r="N940" s="48">
        <v>0</v>
      </c>
      <c r="O940" s="48">
        <v>0</v>
      </c>
      <c r="P940" s="48">
        <v>0</v>
      </c>
      <c r="Q940" s="48">
        <v>299</v>
      </c>
      <c r="R940" s="48">
        <v>299</v>
      </c>
      <c r="S940" s="48"/>
      <c r="T940" s="48" t="s">
        <v>1890</v>
      </c>
      <c r="U940" s="48">
        <v>1</v>
      </c>
      <c r="V940" s="48" t="s">
        <v>1364</v>
      </c>
      <c r="W940" s="48"/>
      <c r="X940" s="48" t="s">
        <v>735</v>
      </c>
      <c r="Y940" s="48" t="s">
        <v>5114</v>
      </c>
      <c r="Z940" s="48" t="s">
        <v>1678</v>
      </c>
      <c r="AA940" s="48" t="s">
        <v>3768</v>
      </c>
      <c r="AB940" s="48" t="s">
        <v>5115</v>
      </c>
      <c r="AC940" s="48" t="s">
        <v>5116</v>
      </c>
      <c r="AD940" s="48"/>
      <c r="AE940" s="48"/>
      <c r="AF940" s="48" t="s">
        <v>5117</v>
      </c>
      <c r="AG940" s="48" t="s">
        <v>1372</v>
      </c>
      <c r="AH940" s="48"/>
      <c r="AI940" s="48"/>
      <c r="AJ940" s="48"/>
      <c r="AK940" s="48">
        <v>0</v>
      </c>
      <c r="AL940" s="48"/>
      <c r="AM940" s="48"/>
      <c r="AN940" s="48"/>
      <c r="AO940" s="48" t="s">
        <v>1372</v>
      </c>
      <c r="AP940" s="48" t="s">
        <v>1373</v>
      </c>
    </row>
    <row r="941" hidden="1" spans="1:42">
      <c r="A941" s="48" t="s">
        <v>5118</v>
      </c>
      <c r="B941" s="48" t="s">
        <v>1356</v>
      </c>
      <c r="C941" s="48" t="s">
        <v>1375</v>
      </c>
      <c r="D941" s="48" t="s">
        <v>1358</v>
      </c>
      <c r="E941" s="48"/>
      <c r="F941" s="48" t="s">
        <v>1359</v>
      </c>
      <c r="G941" s="49">
        <v>44830.0146990741</v>
      </c>
      <c r="H941" s="49">
        <v>44830.0149421296</v>
      </c>
      <c r="I941" s="48"/>
      <c r="J941" s="48" t="s">
        <v>1360</v>
      </c>
      <c r="K941" s="48" t="s">
        <v>5119</v>
      </c>
      <c r="L941" s="48" t="s">
        <v>5120</v>
      </c>
      <c r="M941" s="48">
        <v>85</v>
      </c>
      <c r="N941" s="48">
        <v>0</v>
      </c>
      <c r="O941" s="48">
        <v>-4</v>
      </c>
      <c r="P941" s="48">
        <v>0</v>
      </c>
      <c r="Q941" s="48">
        <v>81</v>
      </c>
      <c r="R941" s="48">
        <v>81</v>
      </c>
      <c r="S941" s="48" t="s">
        <v>1388</v>
      </c>
      <c r="T941" s="48" t="s">
        <v>5121</v>
      </c>
      <c r="U941" s="48">
        <v>1</v>
      </c>
      <c r="V941" s="48" t="s">
        <v>1364</v>
      </c>
      <c r="W941" s="48"/>
      <c r="X941" s="48" t="s">
        <v>710</v>
      </c>
      <c r="Y941" s="48" t="s">
        <v>5122</v>
      </c>
      <c r="Z941" s="48" t="s">
        <v>1380</v>
      </c>
      <c r="AA941" s="48" t="s">
        <v>1638</v>
      </c>
      <c r="AB941" s="48" t="s">
        <v>5123</v>
      </c>
      <c r="AC941" s="48" t="s">
        <v>5124</v>
      </c>
      <c r="AD941" s="48"/>
      <c r="AE941" s="48"/>
      <c r="AF941" s="48" t="s">
        <v>5125</v>
      </c>
      <c r="AG941" s="48" t="s">
        <v>1372</v>
      </c>
      <c r="AH941" s="48" t="s">
        <v>5122</v>
      </c>
      <c r="AI941" s="48"/>
      <c r="AJ941" s="48"/>
      <c r="AK941" s="48">
        <v>0</v>
      </c>
      <c r="AL941" s="48"/>
      <c r="AM941" s="48"/>
      <c r="AN941" s="48"/>
      <c r="AO941" s="48" t="s">
        <v>1372</v>
      </c>
      <c r="AP941" s="48" t="s">
        <v>1373</v>
      </c>
    </row>
    <row r="942" hidden="1" spans="1:42">
      <c r="A942" s="48" t="s">
        <v>5126</v>
      </c>
      <c r="B942" s="48" t="s">
        <v>1356</v>
      </c>
      <c r="C942" s="48" t="s">
        <v>1375</v>
      </c>
      <c r="D942" s="48" t="s">
        <v>1358</v>
      </c>
      <c r="E942" s="48"/>
      <c r="F942" s="48" t="s">
        <v>1377</v>
      </c>
      <c r="G942" s="49">
        <v>44830.0146759259</v>
      </c>
      <c r="H942" s="49">
        <v>44830.0147800926</v>
      </c>
      <c r="I942" s="48"/>
      <c r="J942" s="48" t="s">
        <v>407</v>
      </c>
      <c r="K942" s="48"/>
      <c r="L942" s="48"/>
      <c r="M942" s="48">
        <v>269</v>
      </c>
      <c r="N942" s="48">
        <v>0</v>
      </c>
      <c r="O942" s="48">
        <v>0</v>
      </c>
      <c r="P942" s="48">
        <v>0</v>
      </c>
      <c r="Q942" s="48">
        <v>269</v>
      </c>
      <c r="R942" s="48">
        <v>269</v>
      </c>
      <c r="S942" s="48"/>
      <c r="T942" s="48" t="s">
        <v>5127</v>
      </c>
      <c r="U942" s="48">
        <v>1</v>
      </c>
      <c r="V942" s="48" t="s">
        <v>1364</v>
      </c>
      <c r="W942" s="48"/>
      <c r="X942" s="48" t="s">
        <v>765</v>
      </c>
      <c r="Y942" s="48" t="s">
        <v>5128</v>
      </c>
      <c r="Z942" s="48" t="s">
        <v>1678</v>
      </c>
      <c r="AA942" s="48" t="s">
        <v>1892</v>
      </c>
      <c r="AB942" s="48" t="s">
        <v>2306</v>
      </c>
      <c r="AC942" s="48" t="s">
        <v>5129</v>
      </c>
      <c r="AD942" s="48" t="s">
        <v>5130</v>
      </c>
      <c r="AE942" s="48"/>
      <c r="AF942" s="48" t="s">
        <v>5131</v>
      </c>
      <c r="AG942" s="48" t="s">
        <v>1372</v>
      </c>
      <c r="AH942" s="48"/>
      <c r="AI942" s="48"/>
      <c r="AJ942" s="48"/>
      <c r="AK942" s="48">
        <v>0</v>
      </c>
      <c r="AL942" s="48"/>
      <c r="AM942" s="48"/>
      <c r="AN942" s="48"/>
      <c r="AO942" s="48" t="s">
        <v>1372</v>
      </c>
      <c r="AP942" s="48" t="s">
        <v>1373</v>
      </c>
    </row>
    <row r="943" hidden="1" spans="1:42">
      <c r="A943" s="48" t="s">
        <v>5132</v>
      </c>
      <c r="B943" s="48" t="s">
        <v>1356</v>
      </c>
      <c r="C943" s="48" t="s">
        <v>1357</v>
      </c>
      <c r="D943" s="48" t="s">
        <v>1358</v>
      </c>
      <c r="E943" s="48"/>
      <c r="F943" s="48" t="s">
        <v>1359</v>
      </c>
      <c r="G943" s="49">
        <v>44830.0137384259</v>
      </c>
      <c r="H943" s="49">
        <v>44830.0139351852</v>
      </c>
      <c r="I943" s="48"/>
      <c r="J943" s="48" t="s">
        <v>1360</v>
      </c>
      <c r="K943" s="48" t="s">
        <v>5133</v>
      </c>
      <c r="L943" s="48" t="s">
        <v>5134</v>
      </c>
      <c r="M943" s="48">
        <v>69</v>
      </c>
      <c r="N943" s="48">
        <v>0</v>
      </c>
      <c r="O943" s="48">
        <v>0</v>
      </c>
      <c r="P943" s="48">
        <v>0</v>
      </c>
      <c r="Q943" s="48">
        <v>69</v>
      </c>
      <c r="R943" s="48">
        <v>69</v>
      </c>
      <c r="S943" s="48"/>
      <c r="T943" s="48" t="s">
        <v>1669</v>
      </c>
      <c r="U943" s="48">
        <v>1</v>
      </c>
      <c r="V943" s="48" t="s">
        <v>1364</v>
      </c>
      <c r="W943" s="48"/>
      <c r="X943" s="48" t="s">
        <v>710</v>
      </c>
      <c r="Y943" s="48" t="s">
        <v>5122</v>
      </c>
      <c r="Z943" s="48" t="s">
        <v>1380</v>
      </c>
      <c r="AA943" s="48" t="s">
        <v>1638</v>
      </c>
      <c r="AB943" s="48" t="s">
        <v>5123</v>
      </c>
      <c r="AC943" s="48" t="s">
        <v>5124</v>
      </c>
      <c r="AD943" s="48"/>
      <c r="AE943" s="48"/>
      <c r="AF943" s="48" t="s">
        <v>5125</v>
      </c>
      <c r="AG943" s="48" t="s">
        <v>1372</v>
      </c>
      <c r="AH943" s="48" t="s">
        <v>5122</v>
      </c>
      <c r="AI943" s="48"/>
      <c r="AJ943" s="48"/>
      <c r="AK943" s="48">
        <v>0</v>
      </c>
      <c r="AL943" s="48"/>
      <c r="AM943" s="48"/>
      <c r="AN943" s="48"/>
      <c r="AO943" s="48" t="s">
        <v>1372</v>
      </c>
      <c r="AP943" s="48" t="s">
        <v>1373</v>
      </c>
    </row>
    <row r="944" hidden="1" spans="1:42">
      <c r="A944" s="48" t="s">
        <v>5135</v>
      </c>
      <c r="B944" s="48" t="s">
        <v>1356</v>
      </c>
      <c r="C944" s="48" t="s">
        <v>1375</v>
      </c>
      <c r="D944" s="48" t="s">
        <v>1376</v>
      </c>
      <c r="E944" s="48"/>
      <c r="F944" s="48" t="s">
        <v>1377</v>
      </c>
      <c r="G944" s="49">
        <v>44830.0115046296</v>
      </c>
      <c r="H944" s="48"/>
      <c r="I944" s="48"/>
      <c r="J944" s="48"/>
      <c r="K944" s="48"/>
      <c r="L944" s="48"/>
      <c r="M944" s="48">
        <v>599</v>
      </c>
      <c r="N944" s="48">
        <v>0</v>
      </c>
      <c r="O944" s="48">
        <v>0</v>
      </c>
      <c r="P944" s="48">
        <v>0</v>
      </c>
      <c r="Q944" s="48">
        <v>599</v>
      </c>
      <c r="R944" s="48">
        <v>0</v>
      </c>
      <c r="S944" s="48"/>
      <c r="T944" s="48" t="s">
        <v>5103</v>
      </c>
      <c r="U944" s="48">
        <v>1</v>
      </c>
      <c r="V944" s="48" t="s">
        <v>1364</v>
      </c>
      <c r="W944" s="48"/>
      <c r="X944" s="48" t="s">
        <v>548</v>
      </c>
      <c r="Y944" s="48" t="s">
        <v>5104</v>
      </c>
      <c r="Z944" s="48" t="s">
        <v>1513</v>
      </c>
      <c r="AA944" s="48" t="s">
        <v>1596</v>
      </c>
      <c r="AB944" s="48" t="s">
        <v>1597</v>
      </c>
      <c r="AC944" s="48" t="s">
        <v>5105</v>
      </c>
      <c r="AD944" s="48"/>
      <c r="AE944" s="48"/>
      <c r="AF944" s="48" t="s">
        <v>5107</v>
      </c>
      <c r="AG944" s="48" t="s">
        <v>1372</v>
      </c>
      <c r="AH944" s="48" t="s">
        <v>5104</v>
      </c>
      <c r="AI944" s="48"/>
      <c r="AJ944" s="48"/>
      <c r="AK944" s="48">
        <v>0</v>
      </c>
      <c r="AL944" s="48"/>
      <c r="AM944" s="48"/>
      <c r="AN944" s="48"/>
      <c r="AO944" s="48" t="s">
        <v>1372</v>
      </c>
      <c r="AP944" s="48" t="s">
        <v>1373</v>
      </c>
    </row>
    <row r="945" hidden="1" spans="1:42">
      <c r="A945" s="48" t="s">
        <v>5136</v>
      </c>
      <c r="B945" s="48" t="s">
        <v>1356</v>
      </c>
      <c r="C945" s="48" t="s">
        <v>1375</v>
      </c>
      <c r="D945" s="48" t="s">
        <v>1358</v>
      </c>
      <c r="E945" s="48"/>
      <c r="F945" s="48" t="s">
        <v>1359</v>
      </c>
      <c r="G945" s="49">
        <v>44830.0103125</v>
      </c>
      <c r="H945" s="49">
        <v>44830.0104398148</v>
      </c>
      <c r="I945" s="48"/>
      <c r="J945" s="48" t="s">
        <v>1360</v>
      </c>
      <c r="K945" s="48" t="s">
        <v>5137</v>
      </c>
      <c r="L945" s="48" t="s">
        <v>5138</v>
      </c>
      <c r="M945" s="48">
        <v>49.9</v>
      </c>
      <c r="N945" s="48">
        <v>0</v>
      </c>
      <c r="O945" s="48">
        <v>0</v>
      </c>
      <c r="P945" s="48">
        <v>0</v>
      </c>
      <c r="Q945" s="48">
        <v>49.9</v>
      </c>
      <c r="R945" s="48">
        <v>49.9</v>
      </c>
      <c r="S945" s="48"/>
      <c r="T945" s="48" t="s">
        <v>5139</v>
      </c>
      <c r="U945" s="48">
        <v>1</v>
      </c>
      <c r="V945" s="48" t="s">
        <v>1364</v>
      </c>
      <c r="W945" s="48"/>
      <c r="X945" s="48" t="s">
        <v>4199</v>
      </c>
      <c r="Y945" s="48" t="s">
        <v>4200</v>
      </c>
      <c r="Z945" s="48" t="s">
        <v>1367</v>
      </c>
      <c r="AA945" s="48" t="s">
        <v>1368</v>
      </c>
      <c r="AB945" s="48" t="s">
        <v>1369</v>
      </c>
      <c r="AC945" s="48" t="s">
        <v>5140</v>
      </c>
      <c r="AD945" s="48"/>
      <c r="AE945" s="48"/>
      <c r="AF945" s="48" t="s">
        <v>5141</v>
      </c>
      <c r="AG945" s="48" t="s">
        <v>1372</v>
      </c>
      <c r="AH945" s="48" t="s">
        <v>5141</v>
      </c>
      <c r="AI945" s="48"/>
      <c r="AJ945" s="48"/>
      <c r="AK945" s="48">
        <v>0</v>
      </c>
      <c r="AL945" s="48" t="s">
        <v>5142</v>
      </c>
      <c r="AM945" s="48"/>
      <c r="AN945" s="48"/>
      <c r="AO945" s="48" t="s">
        <v>1372</v>
      </c>
      <c r="AP945" s="48" t="s">
        <v>1373</v>
      </c>
    </row>
    <row r="946" hidden="1" spans="1:42">
      <c r="A946" s="48" t="s">
        <v>5143</v>
      </c>
      <c r="B946" s="48" t="s">
        <v>1356</v>
      </c>
      <c r="C946" s="48" t="s">
        <v>1375</v>
      </c>
      <c r="D946" s="48" t="s">
        <v>1376</v>
      </c>
      <c r="E946" s="48"/>
      <c r="F946" s="48" t="s">
        <v>1377</v>
      </c>
      <c r="G946" s="49">
        <v>44830.0090277778</v>
      </c>
      <c r="H946" s="48"/>
      <c r="I946" s="48"/>
      <c r="J946" s="48"/>
      <c r="K946" s="48"/>
      <c r="L946" s="48"/>
      <c r="M946" s="48">
        <v>599</v>
      </c>
      <c r="N946" s="48">
        <v>0</v>
      </c>
      <c r="O946" s="48">
        <v>0</v>
      </c>
      <c r="P946" s="48">
        <v>0</v>
      </c>
      <c r="Q946" s="48">
        <v>599</v>
      </c>
      <c r="R946" s="48">
        <v>0</v>
      </c>
      <c r="S946" s="48"/>
      <c r="T946" s="48" t="s">
        <v>5103</v>
      </c>
      <c r="U946" s="48">
        <v>1</v>
      </c>
      <c r="V946" s="48" t="s">
        <v>1364</v>
      </c>
      <c r="W946" s="48"/>
      <c r="X946" s="48" t="s">
        <v>548</v>
      </c>
      <c r="Y946" s="48" t="s">
        <v>5104</v>
      </c>
      <c r="Z946" s="48" t="s">
        <v>1513</v>
      </c>
      <c r="AA946" s="48" t="s">
        <v>1596</v>
      </c>
      <c r="AB946" s="48" t="s">
        <v>1597</v>
      </c>
      <c r="AC946" s="48" t="s">
        <v>5105</v>
      </c>
      <c r="AD946" s="48" t="s">
        <v>5144</v>
      </c>
      <c r="AE946" s="48"/>
      <c r="AF946" s="48" t="s">
        <v>5107</v>
      </c>
      <c r="AG946" s="48" t="s">
        <v>1372</v>
      </c>
      <c r="AH946" s="48" t="s">
        <v>5104</v>
      </c>
      <c r="AI946" s="48"/>
      <c r="AJ946" s="48"/>
      <c r="AK946" s="48">
        <v>0</v>
      </c>
      <c r="AL946" s="48"/>
      <c r="AM946" s="48"/>
      <c r="AN946" s="48"/>
      <c r="AO946" s="48" t="s">
        <v>1372</v>
      </c>
      <c r="AP946" s="48" t="s">
        <v>1373</v>
      </c>
    </row>
    <row r="947" hidden="1" spans="1:42">
      <c r="A947" s="48" t="s">
        <v>5145</v>
      </c>
      <c r="B947" s="48" t="s">
        <v>1356</v>
      </c>
      <c r="C947" s="48" t="s">
        <v>1375</v>
      </c>
      <c r="D947" s="48" t="s">
        <v>1376</v>
      </c>
      <c r="E947" s="48"/>
      <c r="F947" s="48" t="s">
        <v>1377</v>
      </c>
      <c r="G947" s="49">
        <v>44829.9955092593</v>
      </c>
      <c r="H947" s="48"/>
      <c r="I947" s="48"/>
      <c r="J947" s="48"/>
      <c r="K947" s="48"/>
      <c r="L947" s="48"/>
      <c r="M947" s="48">
        <v>299</v>
      </c>
      <c r="N947" s="48">
        <v>0</v>
      </c>
      <c r="O947" s="48">
        <v>-6</v>
      </c>
      <c r="P947" s="48">
        <v>0</v>
      </c>
      <c r="Q947" s="48">
        <v>293</v>
      </c>
      <c r="R947" s="48">
        <v>0</v>
      </c>
      <c r="S947" s="48" t="s">
        <v>1463</v>
      </c>
      <c r="T947" s="48" t="s">
        <v>5146</v>
      </c>
      <c r="U947" s="48">
        <v>1</v>
      </c>
      <c r="V947" s="48" t="s">
        <v>1364</v>
      </c>
      <c r="W947" s="48"/>
      <c r="X947" s="48" t="s">
        <v>444</v>
      </c>
      <c r="Y947" s="48" t="s">
        <v>1709</v>
      </c>
      <c r="Z947" s="48" t="s">
        <v>1710</v>
      </c>
      <c r="AA947" s="48" t="s">
        <v>1711</v>
      </c>
      <c r="AB947" s="48" t="s">
        <v>1712</v>
      </c>
      <c r="AC947" s="48" t="s">
        <v>1713</v>
      </c>
      <c r="AD947" s="48"/>
      <c r="AE947" s="48"/>
      <c r="AF947" s="48" t="s">
        <v>1714</v>
      </c>
      <c r="AG947" s="48" t="s">
        <v>1385</v>
      </c>
      <c r="AH947" s="48" t="s">
        <v>1709</v>
      </c>
      <c r="AI947" s="48"/>
      <c r="AJ947" s="48"/>
      <c r="AK947" s="48">
        <v>0</v>
      </c>
      <c r="AL947" s="48"/>
      <c r="AM947" s="48"/>
      <c r="AN947" s="48"/>
      <c r="AO947" s="48" t="s">
        <v>1372</v>
      </c>
      <c r="AP947" s="48" t="s">
        <v>1373</v>
      </c>
    </row>
    <row r="948" hidden="1" spans="1:42">
      <c r="A948" s="48" t="s">
        <v>5147</v>
      </c>
      <c r="B948" s="48" t="s">
        <v>1356</v>
      </c>
      <c r="C948" s="48" t="s">
        <v>1375</v>
      </c>
      <c r="D948" s="48" t="s">
        <v>1358</v>
      </c>
      <c r="E948" s="48"/>
      <c r="F948" s="48" t="s">
        <v>1377</v>
      </c>
      <c r="G948" s="49">
        <v>44829.9946296296</v>
      </c>
      <c r="H948" s="49">
        <v>44829.9949421296</v>
      </c>
      <c r="I948" s="48"/>
      <c r="J948" s="48" t="s">
        <v>407</v>
      </c>
      <c r="K948" s="48"/>
      <c r="L948" s="48"/>
      <c r="M948" s="48">
        <v>339</v>
      </c>
      <c r="N948" s="48">
        <v>0</v>
      </c>
      <c r="O948" s="48">
        <v>-5</v>
      </c>
      <c r="P948" s="48">
        <v>0</v>
      </c>
      <c r="Q948" s="48">
        <v>334</v>
      </c>
      <c r="R948" s="48">
        <v>334</v>
      </c>
      <c r="S948" s="48" t="s">
        <v>1422</v>
      </c>
      <c r="T948" s="48" t="s">
        <v>5148</v>
      </c>
      <c r="U948" s="48">
        <v>1</v>
      </c>
      <c r="V948" s="48" t="s">
        <v>1364</v>
      </c>
      <c r="W948" s="48"/>
      <c r="X948" s="48" t="s">
        <v>710</v>
      </c>
      <c r="Y948" s="48" t="s">
        <v>5122</v>
      </c>
      <c r="Z948" s="48" t="s">
        <v>1380</v>
      </c>
      <c r="AA948" s="48" t="s">
        <v>1638</v>
      </c>
      <c r="AB948" s="48" t="s">
        <v>5123</v>
      </c>
      <c r="AC948" s="48" t="s">
        <v>5124</v>
      </c>
      <c r="AD948" s="48"/>
      <c r="AE948" s="48"/>
      <c r="AF948" s="48" t="s">
        <v>5125</v>
      </c>
      <c r="AG948" s="48" t="s">
        <v>1372</v>
      </c>
      <c r="AH948" s="48" t="s">
        <v>5122</v>
      </c>
      <c r="AI948" s="48"/>
      <c r="AJ948" s="48"/>
      <c r="AK948" s="48">
        <v>0</v>
      </c>
      <c r="AL948" s="48"/>
      <c r="AM948" s="48"/>
      <c r="AN948" s="48"/>
      <c r="AO948" s="48" t="s">
        <v>1372</v>
      </c>
      <c r="AP948" s="48" t="s">
        <v>1373</v>
      </c>
    </row>
    <row r="949" hidden="1" spans="1:42">
      <c r="A949" s="48" t="s">
        <v>5149</v>
      </c>
      <c r="B949" s="48" t="s">
        <v>1356</v>
      </c>
      <c r="C949" s="48" t="s">
        <v>1375</v>
      </c>
      <c r="D949" s="48" t="s">
        <v>1358</v>
      </c>
      <c r="E949" s="48"/>
      <c r="F949" s="48" t="s">
        <v>1359</v>
      </c>
      <c r="G949" s="49">
        <v>44829.9845717593</v>
      </c>
      <c r="H949" s="49">
        <v>44829.984837963</v>
      </c>
      <c r="I949" s="48"/>
      <c r="J949" s="48" t="s">
        <v>1360</v>
      </c>
      <c r="K949" s="48" t="s">
        <v>5150</v>
      </c>
      <c r="L949" s="48" t="s">
        <v>5151</v>
      </c>
      <c r="M949" s="48">
        <v>256</v>
      </c>
      <c r="N949" s="48">
        <v>0</v>
      </c>
      <c r="O949" s="48">
        <v>0</v>
      </c>
      <c r="P949" s="48">
        <v>0</v>
      </c>
      <c r="Q949" s="48">
        <v>256</v>
      </c>
      <c r="R949" s="48">
        <v>256</v>
      </c>
      <c r="S949" s="48"/>
      <c r="T949" s="48" t="s">
        <v>5152</v>
      </c>
      <c r="U949" s="48">
        <v>1</v>
      </c>
      <c r="V949" s="48" t="s">
        <v>1364</v>
      </c>
      <c r="W949" s="48"/>
      <c r="X949" s="48" t="s">
        <v>710</v>
      </c>
      <c r="Y949" s="48" t="s">
        <v>5122</v>
      </c>
      <c r="Z949" s="48" t="s">
        <v>1380</v>
      </c>
      <c r="AA949" s="48" t="s">
        <v>1638</v>
      </c>
      <c r="AB949" s="48" t="s">
        <v>5123</v>
      </c>
      <c r="AC949" s="48" t="s">
        <v>5124</v>
      </c>
      <c r="AD949" s="48"/>
      <c r="AE949" s="48"/>
      <c r="AF949" s="48" t="s">
        <v>5125</v>
      </c>
      <c r="AG949" s="48" t="s">
        <v>1372</v>
      </c>
      <c r="AH949" s="48" t="s">
        <v>5122</v>
      </c>
      <c r="AI949" s="48"/>
      <c r="AJ949" s="48"/>
      <c r="AK949" s="48">
        <v>0</v>
      </c>
      <c r="AL949" s="48"/>
      <c r="AM949" s="48"/>
      <c r="AN949" s="48"/>
      <c r="AO949" s="48" t="s">
        <v>1372</v>
      </c>
      <c r="AP949" s="48" t="s">
        <v>1373</v>
      </c>
    </row>
    <row r="950" hidden="1" spans="1:42">
      <c r="A950" s="48" t="s">
        <v>5153</v>
      </c>
      <c r="B950" s="48" t="s">
        <v>1356</v>
      </c>
      <c r="C950" s="48" t="s">
        <v>1375</v>
      </c>
      <c r="D950" s="48" t="s">
        <v>1358</v>
      </c>
      <c r="E950" s="48"/>
      <c r="F950" s="48" t="s">
        <v>1377</v>
      </c>
      <c r="G950" s="49">
        <v>44829.9837268519</v>
      </c>
      <c r="H950" s="49">
        <v>44829.9840046296</v>
      </c>
      <c r="I950" s="48"/>
      <c r="J950" s="48" t="s">
        <v>407</v>
      </c>
      <c r="K950" s="48"/>
      <c r="L950" s="48"/>
      <c r="M950" s="48">
        <v>299</v>
      </c>
      <c r="N950" s="48">
        <v>0</v>
      </c>
      <c r="O950" s="48">
        <v>0</v>
      </c>
      <c r="P950" s="48">
        <v>0</v>
      </c>
      <c r="Q950" s="48">
        <v>299</v>
      </c>
      <c r="R950" s="48">
        <v>299</v>
      </c>
      <c r="S950" s="48"/>
      <c r="T950" s="48" t="s">
        <v>5154</v>
      </c>
      <c r="U950" s="48">
        <v>1</v>
      </c>
      <c r="V950" s="48" t="s">
        <v>1364</v>
      </c>
      <c r="W950" s="48"/>
      <c r="X950" s="48" t="s">
        <v>736</v>
      </c>
      <c r="Y950" s="48" t="s">
        <v>5155</v>
      </c>
      <c r="Z950" s="48" t="s">
        <v>1626</v>
      </c>
      <c r="AA950" s="48" t="s">
        <v>2741</v>
      </c>
      <c r="AB950" s="48" t="s">
        <v>2742</v>
      </c>
      <c r="AC950" s="48" t="s">
        <v>5156</v>
      </c>
      <c r="AD950" s="48"/>
      <c r="AE950" s="48"/>
      <c r="AF950" s="48" t="s">
        <v>5157</v>
      </c>
      <c r="AG950" s="48" t="s">
        <v>1372</v>
      </c>
      <c r="AH950" s="48"/>
      <c r="AI950" s="48"/>
      <c r="AJ950" s="48"/>
      <c r="AK950" s="48">
        <v>0</v>
      </c>
      <c r="AL950" s="48"/>
      <c r="AM950" s="48"/>
      <c r="AN950" s="48"/>
      <c r="AO950" s="48" t="s">
        <v>1372</v>
      </c>
      <c r="AP950" s="48" t="s">
        <v>1373</v>
      </c>
    </row>
    <row r="951" hidden="1" spans="1:42">
      <c r="A951" s="48" t="s">
        <v>5158</v>
      </c>
      <c r="B951" s="48" t="s">
        <v>1356</v>
      </c>
      <c r="C951" s="48" t="s">
        <v>1375</v>
      </c>
      <c r="D951" s="48" t="s">
        <v>1358</v>
      </c>
      <c r="E951" s="48"/>
      <c r="F951" s="48" t="s">
        <v>1377</v>
      </c>
      <c r="G951" s="49">
        <v>44829.9819097222</v>
      </c>
      <c r="H951" s="49">
        <v>44829.982037037</v>
      </c>
      <c r="I951" s="48"/>
      <c r="J951" s="48" t="s">
        <v>407</v>
      </c>
      <c r="K951" s="48"/>
      <c r="L951" s="48"/>
      <c r="M951" s="48">
        <v>299</v>
      </c>
      <c r="N951" s="48">
        <v>0</v>
      </c>
      <c r="O951" s="48">
        <v>0</v>
      </c>
      <c r="P951" s="48">
        <v>0</v>
      </c>
      <c r="Q951" s="48">
        <v>299</v>
      </c>
      <c r="R951" s="48">
        <v>299</v>
      </c>
      <c r="S951" s="48"/>
      <c r="T951" s="48" t="s">
        <v>5159</v>
      </c>
      <c r="U951" s="48">
        <v>1</v>
      </c>
      <c r="V951" s="48" t="s">
        <v>1364</v>
      </c>
      <c r="W951" s="48"/>
      <c r="X951" s="48" t="s">
        <v>738</v>
      </c>
      <c r="Y951" s="48" t="s">
        <v>5160</v>
      </c>
      <c r="Z951" s="48" t="s">
        <v>1367</v>
      </c>
      <c r="AA951" s="48" t="s">
        <v>1368</v>
      </c>
      <c r="AB951" s="48" t="s">
        <v>1369</v>
      </c>
      <c r="AC951" s="48" t="s">
        <v>5161</v>
      </c>
      <c r="AD951" s="48"/>
      <c r="AE951" s="48"/>
      <c r="AF951" s="48" t="s">
        <v>738</v>
      </c>
      <c r="AG951" s="48" t="s">
        <v>1372</v>
      </c>
      <c r="AH951" s="48"/>
      <c r="AI951" s="48"/>
      <c r="AJ951" s="48"/>
      <c r="AK951" s="48">
        <v>0</v>
      </c>
      <c r="AL951" s="48"/>
      <c r="AM951" s="48"/>
      <c r="AN951" s="48"/>
      <c r="AO951" s="48" t="s">
        <v>1372</v>
      </c>
      <c r="AP951" s="48" t="s">
        <v>1373</v>
      </c>
    </row>
    <row r="952" hidden="1" spans="1:42">
      <c r="A952" s="48" t="s">
        <v>5162</v>
      </c>
      <c r="B952" s="48" t="s">
        <v>1356</v>
      </c>
      <c r="C952" s="48" t="s">
        <v>1357</v>
      </c>
      <c r="D952" s="48" t="s">
        <v>1358</v>
      </c>
      <c r="E952" s="48"/>
      <c r="F952" s="48" t="s">
        <v>1359</v>
      </c>
      <c r="G952" s="49">
        <v>44829.9790625</v>
      </c>
      <c r="H952" s="49">
        <v>44829.9793171296</v>
      </c>
      <c r="I952" s="48"/>
      <c r="J952" s="48" t="s">
        <v>1360</v>
      </c>
      <c r="K952" s="48" t="s">
        <v>5163</v>
      </c>
      <c r="L952" s="48" t="s">
        <v>5164</v>
      </c>
      <c r="M952" s="48">
        <v>59</v>
      </c>
      <c r="N952" s="48">
        <v>0</v>
      </c>
      <c r="O952" s="48">
        <v>0</v>
      </c>
      <c r="P952" s="48">
        <v>0</v>
      </c>
      <c r="Q952" s="48">
        <v>59</v>
      </c>
      <c r="R952" s="48">
        <v>59</v>
      </c>
      <c r="S952" s="48"/>
      <c r="T952" s="48" t="s">
        <v>5165</v>
      </c>
      <c r="U952" s="48">
        <v>1</v>
      </c>
      <c r="V952" s="48" t="s">
        <v>1364</v>
      </c>
      <c r="W952" s="48"/>
      <c r="X952" s="48" t="s">
        <v>5166</v>
      </c>
      <c r="Y952" s="48" t="s">
        <v>5167</v>
      </c>
      <c r="Z952" s="48" t="s">
        <v>2336</v>
      </c>
      <c r="AA952" s="48" t="s">
        <v>2336</v>
      </c>
      <c r="AB952" s="48" t="s">
        <v>5168</v>
      </c>
      <c r="AC952" s="48" t="s">
        <v>5169</v>
      </c>
      <c r="AD952" s="48"/>
      <c r="AE952" s="48"/>
      <c r="AF952" s="48" t="s">
        <v>5166</v>
      </c>
      <c r="AG952" s="48" t="s">
        <v>1372</v>
      </c>
      <c r="AH952" s="48" t="s">
        <v>5167</v>
      </c>
      <c r="AI952" s="48"/>
      <c r="AJ952" s="48"/>
      <c r="AK952" s="48">
        <v>0</v>
      </c>
      <c r="AL952" s="48"/>
      <c r="AM952" s="48"/>
      <c r="AN952" s="48"/>
      <c r="AO952" s="48" t="s">
        <v>1372</v>
      </c>
      <c r="AP952" s="48" t="s">
        <v>1373</v>
      </c>
    </row>
    <row r="953" hidden="1" spans="1:42">
      <c r="A953" s="48" t="s">
        <v>5170</v>
      </c>
      <c r="B953" s="48" t="s">
        <v>1356</v>
      </c>
      <c r="C953" s="48" t="s">
        <v>1357</v>
      </c>
      <c r="D953" s="48" t="s">
        <v>1358</v>
      </c>
      <c r="E953" s="48"/>
      <c r="F953" s="48" t="s">
        <v>1359</v>
      </c>
      <c r="G953" s="49">
        <v>44829.9763541667</v>
      </c>
      <c r="H953" s="49">
        <v>44829.9764699074</v>
      </c>
      <c r="I953" s="48"/>
      <c r="J953" s="48" t="s">
        <v>1360</v>
      </c>
      <c r="K953" s="48" t="s">
        <v>5171</v>
      </c>
      <c r="L953" s="48" t="s">
        <v>5172</v>
      </c>
      <c r="M953" s="48">
        <v>59</v>
      </c>
      <c r="N953" s="48">
        <v>0</v>
      </c>
      <c r="O953" s="48">
        <v>0</v>
      </c>
      <c r="P953" s="48">
        <v>0</v>
      </c>
      <c r="Q953" s="48">
        <v>59</v>
      </c>
      <c r="R953" s="48">
        <v>59</v>
      </c>
      <c r="S953" s="48"/>
      <c r="T953" s="48" t="s">
        <v>5173</v>
      </c>
      <c r="U953" s="48">
        <v>1</v>
      </c>
      <c r="V953" s="48" t="s">
        <v>1364</v>
      </c>
      <c r="W953" s="48"/>
      <c r="X953" s="48" t="s">
        <v>5174</v>
      </c>
      <c r="Y953" s="48" t="s">
        <v>5175</v>
      </c>
      <c r="Z953" s="48" t="s">
        <v>1495</v>
      </c>
      <c r="AA953" s="48" t="s">
        <v>2355</v>
      </c>
      <c r="AB953" s="48" t="s">
        <v>5176</v>
      </c>
      <c r="AC953" s="48" t="s">
        <v>5177</v>
      </c>
      <c r="AD953" s="48"/>
      <c r="AE953" s="48"/>
      <c r="AF953" s="48" t="s">
        <v>5178</v>
      </c>
      <c r="AG953" s="48" t="s">
        <v>1385</v>
      </c>
      <c r="AH953" s="48" t="s">
        <v>5175</v>
      </c>
      <c r="AI953" s="48"/>
      <c r="AJ953" s="48"/>
      <c r="AK953" s="48">
        <v>0</v>
      </c>
      <c r="AL953" s="48"/>
      <c r="AM953" s="48"/>
      <c r="AN953" s="48"/>
      <c r="AO953" s="48" t="s">
        <v>1372</v>
      </c>
      <c r="AP953" s="48" t="s">
        <v>1373</v>
      </c>
    </row>
    <row r="954" hidden="1" spans="1:42">
      <c r="A954" s="48" t="s">
        <v>5179</v>
      </c>
      <c r="B954" s="48" t="s">
        <v>1356</v>
      </c>
      <c r="C954" s="48" t="s">
        <v>1375</v>
      </c>
      <c r="D954" s="48" t="s">
        <v>1358</v>
      </c>
      <c r="E954" s="48"/>
      <c r="F954" s="48" t="s">
        <v>1377</v>
      </c>
      <c r="G954" s="49">
        <v>44829.9759490741</v>
      </c>
      <c r="H954" s="49">
        <v>44829.9760648148</v>
      </c>
      <c r="I954" s="48"/>
      <c r="J954" s="48" t="s">
        <v>407</v>
      </c>
      <c r="K954" s="48"/>
      <c r="L954" s="48"/>
      <c r="M954" s="48">
        <v>269</v>
      </c>
      <c r="N954" s="48">
        <v>0</v>
      </c>
      <c r="O954" s="48">
        <v>0</v>
      </c>
      <c r="P954" s="48">
        <v>0</v>
      </c>
      <c r="Q954" s="48">
        <v>269</v>
      </c>
      <c r="R954" s="48">
        <v>269</v>
      </c>
      <c r="S954" s="48"/>
      <c r="T954" s="48" t="s">
        <v>5180</v>
      </c>
      <c r="U954" s="48">
        <v>1</v>
      </c>
      <c r="V954" s="48" t="s">
        <v>1364</v>
      </c>
      <c r="W954" s="48"/>
      <c r="X954" s="48" t="s">
        <v>767</v>
      </c>
      <c r="Y954" s="48" t="s">
        <v>5181</v>
      </c>
      <c r="Z954" s="48" t="s">
        <v>1678</v>
      </c>
      <c r="AA954" s="48" t="s">
        <v>3436</v>
      </c>
      <c r="AB954" s="48" t="s">
        <v>5182</v>
      </c>
      <c r="AC954" s="48" t="s">
        <v>5183</v>
      </c>
      <c r="AD954" s="48"/>
      <c r="AE954" s="48"/>
      <c r="AF954" s="48" t="s">
        <v>5184</v>
      </c>
      <c r="AG954" s="48" t="s">
        <v>1372</v>
      </c>
      <c r="AH954" s="48" t="s">
        <v>5181</v>
      </c>
      <c r="AI954" s="48"/>
      <c r="AJ954" s="48"/>
      <c r="AK954" s="48">
        <v>0</v>
      </c>
      <c r="AL954" s="48"/>
      <c r="AM954" s="48"/>
      <c r="AN954" s="48"/>
      <c r="AO954" s="48" t="s">
        <v>1372</v>
      </c>
      <c r="AP954" s="48" t="s">
        <v>1373</v>
      </c>
    </row>
    <row r="955" hidden="1" spans="1:42">
      <c r="A955" s="48" t="s">
        <v>5185</v>
      </c>
      <c r="B955" s="48" t="s">
        <v>1356</v>
      </c>
      <c r="C955" s="48" t="s">
        <v>1375</v>
      </c>
      <c r="D955" s="48" t="s">
        <v>1358</v>
      </c>
      <c r="E955" s="48"/>
      <c r="F955" s="48" t="s">
        <v>1359</v>
      </c>
      <c r="G955" s="49">
        <v>44829.9757060185</v>
      </c>
      <c r="H955" s="49">
        <v>44829.9758680556</v>
      </c>
      <c r="I955" s="48"/>
      <c r="J955" s="48" t="s">
        <v>1360</v>
      </c>
      <c r="K955" s="48" t="s">
        <v>5186</v>
      </c>
      <c r="L955" s="48" t="s">
        <v>5187</v>
      </c>
      <c r="M955" s="48">
        <v>128</v>
      </c>
      <c r="N955" s="48">
        <v>0</v>
      </c>
      <c r="O955" s="48">
        <v>-2</v>
      </c>
      <c r="P955" s="48">
        <v>0</v>
      </c>
      <c r="Q955" s="48">
        <v>126</v>
      </c>
      <c r="R955" s="48">
        <v>126</v>
      </c>
      <c r="S955" s="48" t="s">
        <v>1400</v>
      </c>
      <c r="T955" s="48" t="s">
        <v>5188</v>
      </c>
      <c r="U955" s="48">
        <v>1</v>
      </c>
      <c r="V955" s="48" t="s">
        <v>1364</v>
      </c>
      <c r="W955" s="48"/>
      <c r="X955" s="48" t="s">
        <v>5189</v>
      </c>
      <c r="Y955" s="48" t="s">
        <v>5190</v>
      </c>
      <c r="Z955" s="48" t="s">
        <v>1391</v>
      </c>
      <c r="AA955" s="48" t="s">
        <v>5191</v>
      </c>
      <c r="AB955" s="48" t="s">
        <v>5192</v>
      </c>
      <c r="AC955" s="48" t="s">
        <v>5193</v>
      </c>
      <c r="AD955" s="48"/>
      <c r="AE955" s="48"/>
      <c r="AF955" s="48" t="s">
        <v>5194</v>
      </c>
      <c r="AG955" s="48" t="s">
        <v>1372</v>
      </c>
      <c r="AH955" s="48" t="s">
        <v>5190</v>
      </c>
      <c r="AI955" s="48"/>
      <c r="AJ955" s="48"/>
      <c r="AK955" s="48">
        <v>0</v>
      </c>
      <c r="AL955" s="48" t="s">
        <v>5142</v>
      </c>
      <c r="AM955" s="48"/>
      <c r="AN955" s="48"/>
      <c r="AO955" s="48" t="s">
        <v>1372</v>
      </c>
      <c r="AP955" s="48" t="s">
        <v>1373</v>
      </c>
    </row>
    <row r="956" hidden="1" spans="1:42">
      <c r="A956" s="48" t="s">
        <v>5195</v>
      </c>
      <c r="B956" s="48" t="s">
        <v>1356</v>
      </c>
      <c r="C956" s="48" t="s">
        <v>1375</v>
      </c>
      <c r="D956" s="48" t="s">
        <v>1376</v>
      </c>
      <c r="E956" s="48"/>
      <c r="F956" s="48" t="s">
        <v>1377</v>
      </c>
      <c r="G956" s="49">
        <v>44829.9693402778</v>
      </c>
      <c r="H956" s="48"/>
      <c r="I956" s="48"/>
      <c r="J956" s="48"/>
      <c r="K956" s="48"/>
      <c r="L956" s="48"/>
      <c r="M956" s="48">
        <v>599</v>
      </c>
      <c r="N956" s="48">
        <v>0</v>
      </c>
      <c r="O956" s="48">
        <v>0</v>
      </c>
      <c r="P956" s="48">
        <v>0</v>
      </c>
      <c r="Q956" s="48">
        <v>599</v>
      </c>
      <c r="R956" s="48">
        <v>0</v>
      </c>
      <c r="S956" s="48"/>
      <c r="T956" s="48" t="s">
        <v>5196</v>
      </c>
      <c r="U956" s="48">
        <v>1</v>
      </c>
      <c r="V956" s="48" t="s">
        <v>1364</v>
      </c>
      <c r="W956" s="48"/>
      <c r="X956" s="48" t="s">
        <v>5197</v>
      </c>
      <c r="Y956" s="48" t="s">
        <v>5198</v>
      </c>
      <c r="Z956" s="48" t="s">
        <v>1367</v>
      </c>
      <c r="AA956" s="48" t="s">
        <v>1486</v>
      </c>
      <c r="AB956" s="48" t="s">
        <v>2487</v>
      </c>
      <c r="AC956" s="48" t="s">
        <v>5199</v>
      </c>
      <c r="AD956" s="48"/>
      <c r="AE956" s="48"/>
      <c r="AF956" s="48" t="s">
        <v>5200</v>
      </c>
      <c r="AG956" s="48" t="s">
        <v>1372</v>
      </c>
      <c r="AH956" s="48"/>
      <c r="AI956" s="48"/>
      <c r="AJ956" s="48"/>
      <c r="AK956" s="48">
        <v>0</v>
      </c>
      <c r="AL956" s="48"/>
      <c r="AM956" s="48"/>
      <c r="AN956" s="48"/>
      <c r="AO956" s="48" t="s">
        <v>1372</v>
      </c>
      <c r="AP956" s="48" t="s">
        <v>1373</v>
      </c>
    </row>
    <row r="957" hidden="1" spans="1:42">
      <c r="A957" s="48" t="s">
        <v>5201</v>
      </c>
      <c r="B957" s="48" t="s">
        <v>1356</v>
      </c>
      <c r="C957" s="48" t="s">
        <v>1375</v>
      </c>
      <c r="D957" s="48" t="s">
        <v>1358</v>
      </c>
      <c r="E957" s="48"/>
      <c r="F957" s="48" t="s">
        <v>1377</v>
      </c>
      <c r="G957" s="49">
        <v>44829.9667708333</v>
      </c>
      <c r="H957" s="49">
        <v>44829.9668518519</v>
      </c>
      <c r="I957" s="48"/>
      <c r="J957" s="48" t="s">
        <v>407</v>
      </c>
      <c r="K957" s="48"/>
      <c r="L957" s="48"/>
      <c r="M957" s="48">
        <v>599</v>
      </c>
      <c r="N957" s="48">
        <v>0</v>
      </c>
      <c r="O957" s="48">
        <v>-6</v>
      </c>
      <c r="P957" s="48">
        <v>0</v>
      </c>
      <c r="Q957" s="48">
        <v>593</v>
      </c>
      <c r="R957" s="48">
        <v>593</v>
      </c>
      <c r="S957" s="48" t="s">
        <v>1463</v>
      </c>
      <c r="T957" s="48" t="s">
        <v>5196</v>
      </c>
      <c r="U957" s="48">
        <v>1</v>
      </c>
      <c r="V957" s="48" t="s">
        <v>1364</v>
      </c>
      <c r="W957" s="48"/>
      <c r="X957" s="48" t="s">
        <v>562</v>
      </c>
      <c r="Y957" s="48" t="s">
        <v>5202</v>
      </c>
      <c r="Z957" s="48" t="s">
        <v>1804</v>
      </c>
      <c r="AA957" s="48" t="s">
        <v>2585</v>
      </c>
      <c r="AB957" s="48" t="s">
        <v>5203</v>
      </c>
      <c r="AC957" s="48" t="s">
        <v>5204</v>
      </c>
      <c r="AD957" s="48"/>
      <c r="AE957" s="48"/>
      <c r="AF957" s="48" t="s">
        <v>5205</v>
      </c>
      <c r="AG957" s="48" t="s">
        <v>1372</v>
      </c>
      <c r="AH957" s="48"/>
      <c r="AI957" s="48"/>
      <c r="AJ957" s="48"/>
      <c r="AK957" s="48">
        <v>0</v>
      </c>
      <c r="AL957" s="48"/>
      <c r="AM957" s="48"/>
      <c r="AN957" s="48"/>
      <c r="AO957" s="48" t="s">
        <v>1372</v>
      </c>
      <c r="AP957" s="48" t="s">
        <v>1373</v>
      </c>
    </row>
    <row r="958" hidden="1" spans="1:42">
      <c r="A958" s="48" t="s">
        <v>5206</v>
      </c>
      <c r="B958" s="48" t="s">
        <v>1356</v>
      </c>
      <c r="C958" s="48" t="s">
        <v>1357</v>
      </c>
      <c r="D958" s="48" t="s">
        <v>1358</v>
      </c>
      <c r="E958" s="48"/>
      <c r="F958" s="48" t="s">
        <v>1359</v>
      </c>
      <c r="G958" s="49">
        <v>44829.9630787037</v>
      </c>
      <c r="H958" s="49">
        <v>44829.9631712963</v>
      </c>
      <c r="I958" s="48"/>
      <c r="J958" s="48" t="s">
        <v>1360</v>
      </c>
      <c r="K958" s="48" t="s">
        <v>5207</v>
      </c>
      <c r="L958" s="48" t="s">
        <v>5208</v>
      </c>
      <c r="M958" s="48">
        <v>69</v>
      </c>
      <c r="N958" s="48">
        <v>0</v>
      </c>
      <c r="O958" s="48">
        <v>0</v>
      </c>
      <c r="P958" s="48">
        <v>0</v>
      </c>
      <c r="Q958" s="48">
        <v>69</v>
      </c>
      <c r="R958" s="48">
        <v>69</v>
      </c>
      <c r="S958" s="48"/>
      <c r="T958" s="48" t="s">
        <v>1669</v>
      </c>
      <c r="U958" s="48">
        <v>1</v>
      </c>
      <c r="V958" s="48" t="s">
        <v>1364</v>
      </c>
      <c r="W958" s="48"/>
      <c r="X958" s="48" t="s">
        <v>5209</v>
      </c>
      <c r="Y958" s="48" t="s">
        <v>5210</v>
      </c>
      <c r="Z958" s="48" t="s">
        <v>1466</v>
      </c>
      <c r="AA958" s="48" t="s">
        <v>1835</v>
      </c>
      <c r="AB958" s="48" t="s">
        <v>5211</v>
      </c>
      <c r="AC958" s="48" t="s">
        <v>5212</v>
      </c>
      <c r="AD958" s="48"/>
      <c r="AE958" s="48"/>
      <c r="AF958" s="48" t="s">
        <v>5210</v>
      </c>
      <c r="AG958" s="48" t="s">
        <v>1372</v>
      </c>
      <c r="AH958" s="48" t="s">
        <v>5210</v>
      </c>
      <c r="AI958" s="48"/>
      <c r="AJ958" s="48"/>
      <c r="AK958" s="48">
        <v>0</v>
      </c>
      <c r="AL958" s="48"/>
      <c r="AM958" s="48"/>
      <c r="AN958" s="48"/>
      <c r="AO958" s="48" t="s">
        <v>1372</v>
      </c>
      <c r="AP958" s="48" t="s">
        <v>1373</v>
      </c>
    </row>
    <row r="959" hidden="1" spans="1:42">
      <c r="A959" s="48" t="s">
        <v>5213</v>
      </c>
      <c r="B959" s="48" t="s">
        <v>1356</v>
      </c>
      <c r="C959" s="48" t="s">
        <v>1357</v>
      </c>
      <c r="D959" s="48" t="s">
        <v>1358</v>
      </c>
      <c r="E959" s="48"/>
      <c r="F959" s="48" t="s">
        <v>1359</v>
      </c>
      <c r="G959" s="49">
        <v>44829.9620833333</v>
      </c>
      <c r="H959" s="49">
        <v>44829.9621875</v>
      </c>
      <c r="I959" s="48"/>
      <c r="J959" s="48" t="s">
        <v>1360</v>
      </c>
      <c r="K959" s="48" t="s">
        <v>5214</v>
      </c>
      <c r="L959" s="48" t="s">
        <v>5215</v>
      </c>
      <c r="M959" s="48">
        <v>118</v>
      </c>
      <c r="N959" s="48">
        <v>0</v>
      </c>
      <c r="O959" s="48">
        <v>0</v>
      </c>
      <c r="P959" s="48">
        <v>0</v>
      </c>
      <c r="Q959" s="48">
        <v>118</v>
      </c>
      <c r="R959" s="48">
        <v>118</v>
      </c>
      <c r="S959" s="48"/>
      <c r="T959" s="48" t="s">
        <v>5216</v>
      </c>
      <c r="U959" s="48">
        <v>1</v>
      </c>
      <c r="V959" s="48" t="s">
        <v>1364</v>
      </c>
      <c r="W959" s="48"/>
      <c r="X959" s="48" t="s">
        <v>5217</v>
      </c>
      <c r="Y959" s="48" t="s">
        <v>5218</v>
      </c>
      <c r="Z959" s="48" t="s">
        <v>1804</v>
      </c>
      <c r="AA959" s="48" t="s">
        <v>3880</v>
      </c>
      <c r="AB959" s="48" t="s">
        <v>3932</v>
      </c>
      <c r="AC959" s="48" t="s">
        <v>5219</v>
      </c>
      <c r="AD959" s="48" t="s">
        <v>5220</v>
      </c>
      <c r="AE959" s="48"/>
      <c r="AF959" s="48" t="s">
        <v>5221</v>
      </c>
      <c r="AG959" s="48" t="s">
        <v>1385</v>
      </c>
      <c r="AH959" s="48" t="s">
        <v>5218</v>
      </c>
      <c r="AI959" s="48"/>
      <c r="AJ959" s="48"/>
      <c r="AK959" s="48">
        <v>0</v>
      </c>
      <c r="AL959" s="48"/>
      <c r="AM959" s="48"/>
      <c r="AN959" s="48"/>
      <c r="AO959" s="48" t="s">
        <v>1372</v>
      </c>
      <c r="AP959" s="48" t="s">
        <v>1373</v>
      </c>
    </row>
    <row r="960" hidden="1" spans="1:42">
      <c r="A960" s="48" t="s">
        <v>5222</v>
      </c>
      <c r="B960" s="48" t="s">
        <v>1356</v>
      </c>
      <c r="C960" s="48" t="s">
        <v>1375</v>
      </c>
      <c r="D960" s="48" t="s">
        <v>1358</v>
      </c>
      <c r="E960" s="48"/>
      <c r="F960" s="48" t="s">
        <v>1359</v>
      </c>
      <c r="G960" s="49">
        <v>44829.9606481481</v>
      </c>
      <c r="H960" s="49">
        <v>44829.960775463</v>
      </c>
      <c r="I960" s="48"/>
      <c r="J960" s="48" t="s">
        <v>1360</v>
      </c>
      <c r="K960" s="48" t="s">
        <v>5223</v>
      </c>
      <c r="L960" s="48" t="s">
        <v>5224</v>
      </c>
      <c r="M960" s="48">
        <v>145</v>
      </c>
      <c r="N960" s="48">
        <v>0</v>
      </c>
      <c r="O960" s="48">
        <v>0</v>
      </c>
      <c r="P960" s="48">
        <v>0</v>
      </c>
      <c r="Q960" s="48">
        <v>145</v>
      </c>
      <c r="R960" s="48">
        <v>145</v>
      </c>
      <c r="S960" s="48"/>
      <c r="T960" s="48" t="s">
        <v>5225</v>
      </c>
      <c r="U960" s="48">
        <v>1</v>
      </c>
      <c r="V960" s="48" t="s">
        <v>1364</v>
      </c>
      <c r="W960" s="48"/>
      <c r="X960" s="48" t="s">
        <v>5189</v>
      </c>
      <c r="Y960" s="48" t="s">
        <v>5190</v>
      </c>
      <c r="Z960" s="48" t="s">
        <v>1391</v>
      </c>
      <c r="AA960" s="48" t="s">
        <v>5191</v>
      </c>
      <c r="AB960" s="48" t="s">
        <v>5192</v>
      </c>
      <c r="AC960" s="48" t="s">
        <v>5193</v>
      </c>
      <c r="AD960" s="48"/>
      <c r="AE960" s="48"/>
      <c r="AF960" s="48" t="s">
        <v>5194</v>
      </c>
      <c r="AG960" s="48" t="s">
        <v>1372</v>
      </c>
      <c r="AH960" s="48" t="s">
        <v>5190</v>
      </c>
      <c r="AI960" s="48"/>
      <c r="AJ960" s="48"/>
      <c r="AK960" s="48">
        <v>0</v>
      </c>
      <c r="AL960" s="48"/>
      <c r="AM960" s="48"/>
      <c r="AN960" s="48"/>
      <c r="AO960" s="48" t="s">
        <v>1372</v>
      </c>
      <c r="AP960" s="48" t="s">
        <v>1373</v>
      </c>
    </row>
    <row r="961" hidden="1" spans="1:42">
      <c r="A961" s="48" t="s">
        <v>5226</v>
      </c>
      <c r="B961" s="48" t="s">
        <v>1356</v>
      </c>
      <c r="C961" s="48" t="s">
        <v>1357</v>
      </c>
      <c r="D961" s="48" t="s">
        <v>1358</v>
      </c>
      <c r="E961" s="48"/>
      <c r="F961" s="48" t="s">
        <v>1359</v>
      </c>
      <c r="G961" s="49">
        <v>44829.9586458333</v>
      </c>
      <c r="H961" s="49">
        <v>44829.9587615741</v>
      </c>
      <c r="I961" s="48"/>
      <c r="J961" s="48" t="s">
        <v>1360</v>
      </c>
      <c r="K961" s="48" t="s">
        <v>5227</v>
      </c>
      <c r="L961" s="48" t="s">
        <v>5228</v>
      </c>
      <c r="M961" s="48">
        <v>59</v>
      </c>
      <c r="N961" s="48">
        <v>0</v>
      </c>
      <c r="O961" s="48">
        <v>0</v>
      </c>
      <c r="P961" s="48">
        <v>0</v>
      </c>
      <c r="Q961" s="48">
        <v>59</v>
      </c>
      <c r="R961" s="48">
        <v>59</v>
      </c>
      <c r="S961" s="48"/>
      <c r="T961" s="48" t="s">
        <v>5229</v>
      </c>
      <c r="U961" s="48">
        <v>1</v>
      </c>
      <c r="V961" s="48" t="s">
        <v>1364</v>
      </c>
      <c r="W961" s="48"/>
      <c r="X961" s="48" t="s">
        <v>5230</v>
      </c>
      <c r="Y961" s="48" t="s">
        <v>5231</v>
      </c>
      <c r="Z961" s="48" t="s">
        <v>1495</v>
      </c>
      <c r="AA961" s="48" t="s">
        <v>2734</v>
      </c>
      <c r="AB961" s="48" t="s">
        <v>5232</v>
      </c>
      <c r="AC961" s="48" t="s">
        <v>5233</v>
      </c>
      <c r="AD961" s="48"/>
      <c r="AE961" s="48"/>
      <c r="AF961" s="48" t="s">
        <v>5234</v>
      </c>
      <c r="AG961" s="48" t="s">
        <v>1372</v>
      </c>
      <c r="AH961" s="48" t="s">
        <v>5231</v>
      </c>
      <c r="AI961" s="48"/>
      <c r="AJ961" s="48"/>
      <c r="AK961" s="48">
        <v>0</v>
      </c>
      <c r="AL961" s="48"/>
      <c r="AM961" s="48"/>
      <c r="AN961" s="48"/>
      <c r="AO961" s="48" t="s">
        <v>1372</v>
      </c>
      <c r="AP961" s="48" t="s">
        <v>1373</v>
      </c>
    </row>
    <row r="962" hidden="1" spans="1:42">
      <c r="A962" s="48" t="s">
        <v>5235</v>
      </c>
      <c r="B962" s="48" t="s">
        <v>1356</v>
      </c>
      <c r="C962" s="48" t="s">
        <v>1375</v>
      </c>
      <c r="D962" s="48" t="s">
        <v>1358</v>
      </c>
      <c r="E962" s="48"/>
      <c r="F962" s="48" t="s">
        <v>3775</v>
      </c>
      <c r="G962" s="49">
        <v>44829.9527777778</v>
      </c>
      <c r="H962" s="49">
        <v>44829.9528935185</v>
      </c>
      <c r="I962" s="48"/>
      <c r="J962" s="48" t="s">
        <v>1360</v>
      </c>
      <c r="K962" s="48" t="s">
        <v>5236</v>
      </c>
      <c r="L962" s="48" t="s">
        <v>5237</v>
      </c>
      <c r="M962" s="48">
        <v>49</v>
      </c>
      <c r="N962" s="48">
        <v>0</v>
      </c>
      <c r="O962" s="48">
        <v>0</v>
      </c>
      <c r="P962" s="48">
        <v>0</v>
      </c>
      <c r="Q962" s="48">
        <v>49</v>
      </c>
      <c r="R962" s="48">
        <v>49</v>
      </c>
      <c r="S962" s="48"/>
      <c r="T962" s="48" t="s">
        <v>5238</v>
      </c>
      <c r="U962" s="48">
        <v>1</v>
      </c>
      <c r="V962" s="48" t="s">
        <v>1364</v>
      </c>
      <c r="W962" s="48"/>
      <c r="X962" s="48" t="s">
        <v>5239</v>
      </c>
      <c r="Y962" s="48" t="s">
        <v>5240</v>
      </c>
      <c r="Z962" s="48" t="s">
        <v>2386</v>
      </c>
      <c r="AA962" s="48" t="s">
        <v>2386</v>
      </c>
      <c r="AB962" s="48" t="s">
        <v>2387</v>
      </c>
      <c r="AC962" s="48" t="s">
        <v>5241</v>
      </c>
      <c r="AD962" s="48"/>
      <c r="AE962" s="48"/>
      <c r="AF962" s="48" t="s">
        <v>5242</v>
      </c>
      <c r="AG962" s="48" t="s">
        <v>1372</v>
      </c>
      <c r="AH962" s="48" t="s">
        <v>5240</v>
      </c>
      <c r="AI962" s="48"/>
      <c r="AJ962" s="48"/>
      <c r="AK962" s="48">
        <v>0</v>
      </c>
      <c r="AL962" s="48" t="s">
        <v>5142</v>
      </c>
      <c r="AM962" s="48"/>
      <c r="AN962" s="48"/>
      <c r="AO962" s="48" t="s">
        <v>1372</v>
      </c>
      <c r="AP962" s="48" t="s">
        <v>1373</v>
      </c>
    </row>
    <row r="963" hidden="1" spans="1:42">
      <c r="A963" s="48" t="s">
        <v>5243</v>
      </c>
      <c r="B963" s="48" t="s">
        <v>1356</v>
      </c>
      <c r="C963" s="48" t="s">
        <v>1375</v>
      </c>
      <c r="D963" s="48" t="s">
        <v>1358</v>
      </c>
      <c r="E963" s="48"/>
      <c r="F963" s="48" t="s">
        <v>1377</v>
      </c>
      <c r="G963" s="49">
        <v>44829.9526041667</v>
      </c>
      <c r="H963" s="49">
        <v>44829.9529513889</v>
      </c>
      <c r="I963" s="48"/>
      <c r="J963" s="48" t="s">
        <v>407</v>
      </c>
      <c r="K963" s="48"/>
      <c r="L963" s="48"/>
      <c r="M963" s="48">
        <v>339</v>
      </c>
      <c r="N963" s="48">
        <v>0</v>
      </c>
      <c r="O963" s="48">
        <v>0</v>
      </c>
      <c r="P963" s="48">
        <v>0</v>
      </c>
      <c r="Q963" s="48">
        <v>339</v>
      </c>
      <c r="R963" s="48">
        <v>339</v>
      </c>
      <c r="S963" s="48"/>
      <c r="T963" s="48" t="s">
        <v>5244</v>
      </c>
      <c r="U963" s="48">
        <v>1</v>
      </c>
      <c r="V963" s="48" t="s">
        <v>1364</v>
      </c>
      <c r="W963" s="48"/>
      <c r="X963" s="48" t="s">
        <v>699</v>
      </c>
      <c r="Y963" s="48" t="s">
        <v>5245</v>
      </c>
      <c r="Z963" s="48" t="s">
        <v>1804</v>
      </c>
      <c r="AA963" s="48" t="s">
        <v>3880</v>
      </c>
      <c r="AB963" s="48" t="s">
        <v>5246</v>
      </c>
      <c r="AC963" s="48" t="s">
        <v>5247</v>
      </c>
      <c r="AD963" s="48"/>
      <c r="AE963" s="48"/>
      <c r="AF963" s="48" t="s">
        <v>5248</v>
      </c>
      <c r="AG963" s="48" t="s">
        <v>1372</v>
      </c>
      <c r="AH963" s="48"/>
      <c r="AI963" s="48"/>
      <c r="AJ963" s="48"/>
      <c r="AK963" s="48">
        <v>0</v>
      </c>
      <c r="AL963" s="48"/>
      <c r="AM963" s="48"/>
      <c r="AN963" s="48"/>
      <c r="AO963" s="48" t="s">
        <v>1372</v>
      </c>
      <c r="AP963" s="48" t="s">
        <v>1373</v>
      </c>
    </row>
    <row r="964" hidden="1" spans="1:42">
      <c r="A964" s="48" t="s">
        <v>5249</v>
      </c>
      <c r="B964" s="48" t="s">
        <v>1356</v>
      </c>
      <c r="C964" s="48" t="s">
        <v>1375</v>
      </c>
      <c r="D964" s="48" t="s">
        <v>1376</v>
      </c>
      <c r="E964" s="48"/>
      <c r="F964" s="48" t="s">
        <v>1377</v>
      </c>
      <c r="G964" s="49">
        <v>44829.9523032407</v>
      </c>
      <c r="H964" s="48"/>
      <c r="I964" s="48"/>
      <c r="J964" s="48"/>
      <c r="K964" s="48"/>
      <c r="L964" s="48"/>
      <c r="M964" s="48">
        <v>329</v>
      </c>
      <c r="N964" s="48">
        <v>0</v>
      </c>
      <c r="O964" s="48">
        <v>0</v>
      </c>
      <c r="P964" s="48">
        <v>0</v>
      </c>
      <c r="Q964" s="48">
        <v>329</v>
      </c>
      <c r="R964" s="48">
        <v>0</v>
      </c>
      <c r="S964" s="48"/>
      <c r="T964" s="48" t="s">
        <v>5250</v>
      </c>
      <c r="U964" s="48">
        <v>1</v>
      </c>
      <c r="V964" s="48" t="s">
        <v>1364</v>
      </c>
      <c r="W964" s="48"/>
      <c r="X964" s="48" t="s">
        <v>5251</v>
      </c>
      <c r="Y964" s="48" t="s">
        <v>5252</v>
      </c>
      <c r="Z964" s="48" t="s">
        <v>1804</v>
      </c>
      <c r="AA964" s="48" t="s">
        <v>4286</v>
      </c>
      <c r="AB964" s="48" t="s">
        <v>5253</v>
      </c>
      <c r="AC964" s="48" t="s">
        <v>5254</v>
      </c>
      <c r="AD964" s="48"/>
      <c r="AE964" s="48"/>
      <c r="AF964" s="48" t="s">
        <v>5255</v>
      </c>
      <c r="AG964" s="48" t="s">
        <v>1372</v>
      </c>
      <c r="AH964" s="48"/>
      <c r="AI964" s="48"/>
      <c r="AJ964" s="48"/>
      <c r="AK964" s="48">
        <v>0</v>
      </c>
      <c r="AL964" s="48"/>
      <c r="AM964" s="48"/>
      <c r="AN964" s="48"/>
      <c r="AO964" s="48" t="s">
        <v>1372</v>
      </c>
      <c r="AP964" s="48" t="s">
        <v>1373</v>
      </c>
    </row>
    <row r="965" hidden="1" spans="1:42">
      <c r="A965" s="48" t="s">
        <v>5256</v>
      </c>
      <c r="B965" s="48" t="s">
        <v>1356</v>
      </c>
      <c r="C965" s="48" t="s">
        <v>1375</v>
      </c>
      <c r="D965" s="48" t="s">
        <v>1358</v>
      </c>
      <c r="E965" s="48"/>
      <c r="F965" s="48" t="s">
        <v>1377</v>
      </c>
      <c r="G965" s="49">
        <v>44829.9501388889</v>
      </c>
      <c r="H965" s="49">
        <v>44829.9503703704</v>
      </c>
      <c r="I965" s="48"/>
      <c r="J965" s="48" t="s">
        <v>407</v>
      </c>
      <c r="K965" s="48"/>
      <c r="L965" s="48"/>
      <c r="M965" s="48">
        <v>299</v>
      </c>
      <c r="N965" s="48">
        <v>0</v>
      </c>
      <c r="O965" s="48">
        <v>0</v>
      </c>
      <c r="P965" s="48">
        <v>0</v>
      </c>
      <c r="Q965" s="48">
        <v>299</v>
      </c>
      <c r="R965" s="48">
        <v>299</v>
      </c>
      <c r="S965" s="48"/>
      <c r="T965" s="48" t="s">
        <v>5257</v>
      </c>
      <c r="U965" s="48">
        <v>1</v>
      </c>
      <c r="V965" s="48" t="s">
        <v>1364</v>
      </c>
      <c r="W965" s="48"/>
      <c r="X965" s="48" t="s">
        <v>734</v>
      </c>
      <c r="Y965" s="48" t="s">
        <v>4524</v>
      </c>
      <c r="Z965" s="48" t="s">
        <v>1794</v>
      </c>
      <c r="AA965" s="48" t="s">
        <v>3507</v>
      </c>
      <c r="AB965" s="48" t="s">
        <v>4525</v>
      </c>
      <c r="AC965" s="48" t="s">
        <v>4526</v>
      </c>
      <c r="AD965" s="48"/>
      <c r="AE965" s="48"/>
      <c r="AF965" s="48" t="s">
        <v>4527</v>
      </c>
      <c r="AG965" s="48" t="s">
        <v>1372</v>
      </c>
      <c r="AH965" s="48"/>
      <c r="AI965" s="48"/>
      <c r="AJ965" s="48"/>
      <c r="AK965" s="48">
        <v>0</v>
      </c>
      <c r="AL965" s="48" t="s">
        <v>5258</v>
      </c>
      <c r="AM965" s="48"/>
      <c r="AN965" s="48"/>
      <c r="AO965" s="48" t="s">
        <v>1372</v>
      </c>
      <c r="AP965" s="48" t="s">
        <v>1373</v>
      </c>
    </row>
    <row r="966" hidden="1" spans="1:42">
      <c r="A966" s="48" t="s">
        <v>5259</v>
      </c>
      <c r="B966" s="48" t="s">
        <v>1356</v>
      </c>
      <c r="C966" s="48" t="s">
        <v>1375</v>
      </c>
      <c r="D966" s="48" t="s">
        <v>1358</v>
      </c>
      <c r="E966" s="48"/>
      <c r="F966" s="48" t="s">
        <v>1377</v>
      </c>
      <c r="G966" s="49">
        <v>44829.9439699074</v>
      </c>
      <c r="H966" s="49">
        <v>44829.9442939815</v>
      </c>
      <c r="I966" s="48"/>
      <c r="J966" s="48" t="s">
        <v>407</v>
      </c>
      <c r="K966" s="48"/>
      <c r="L966" s="48"/>
      <c r="M966" s="48">
        <v>329</v>
      </c>
      <c r="N966" s="48">
        <v>0</v>
      </c>
      <c r="O966" s="48">
        <v>-8</v>
      </c>
      <c r="P966" s="48">
        <v>0</v>
      </c>
      <c r="Q966" s="48">
        <v>321</v>
      </c>
      <c r="R966" s="48">
        <v>321</v>
      </c>
      <c r="S966" s="48" t="s">
        <v>2959</v>
      </c>
      <c r="T966" s="48" t="s">
        <v>4772</v>
      </c>
      <c r="U966" s="48">
        <v>1</v>
      </c>
      <c r="V966" s="48" t="s">
        <v>1364</v>
      </c>
      <c r="W966" s="48"/>
      <c r="X966" s="48" t="s">
        <v>444</v>
      </c>
      <c r="Y966" s="48" t="s">
        <v>1709</v>
      </c>
      <c r="Z966" s="48" t="s">
        <v>1710</v>
      </c>
      <c r="AA966" s="48" t="s">
        <v>1711</v>
      </c>
      <c r="AB966" s="48" t="s">
        <v>1712</v>
      </c>
      <c r="AC966" s="48" t="s">
        <v>1713</v>
      </c>
      <c r="AD966" s="48"/>
      <c r="AE966" s="48"/>
      <c r="AF966" s="48" t="s">
        <v>1714</v>
      </c>
      <c r="AG966" s="48" t="s">
        <v>1385</v>
      </c>
      <c r="AH966" s="48" t="s">
        <v>1709</v>
      </c>
      <c r="AI966" s="48"/>
      <c r="AJ966" s="48"/>
      <c r="AK966" s="48">
        <v>0</v>
      </c>
      <c r="AL966" s="48"/>
      <c r="AM966" s="48"/>
      <c r="AN966" s="48"/>
      <c r="AO966" s="48" t="s">
        <v>1372</v>
      </c>
      <c r="AP966" s="48" t="s">
        <v>1373</v>
      </c>
    </row>
    <row r="967" hidden="1" spans="1:42">
      <c r="A967" s="48" t="s">
        <v>5260</v>
      </c>
      <c r="B967" s="48" t="s">
        <v>1356</v>
      </c>
      <c r="C967" s="48" t="s">
        <v>1375</v>
      </c>
      <c r="D967" s="48" t="s">
        <v>1358</v>
      </c>
      <c r="E967" s="48"/>
      <c r="F967" s="48" t="s">
        <v>1377</v>
      </c>
      <c r="G967" s="49">
        <v>44829.9432175926</v>
      </c>
      <c r="H967" s="49">
        <v>44829.9434259259</v>
      </c>
      <c r="I967" s="48"/>
      <c r="J967" s="48" t="s">
        <v>407</v>
      </c>
      <c r="K967" s="48"/>
      <c r="L967" s="48"/>
      <c r="M967" s="48">
        <v>169</v>
      </c>
      <c r="N967" s="48">
        <v>0</v>
      </c>
      <c r="O967" s="48">
        <v>0</v>
      </c>
      <c r="P967" s="48">
        <v>0</v>
      </c>
      <c r="Q967" s="48">
        <v>169</v>
      </c>
      <c r="R967" s="48">
        <v>169</v>
      </c>
      <c r="S967" s="48"/>
      <c r="T967" s="48" t="s">
        <v>5261</v>
      </c>
      <c r="U967" s="48">
        <v>1</v>
      </c>
      <c r="V967" s="48" t="s">
        <v>1364</v>
      </c>
      <c r="W967" s="48"/>
      <c r="X967" s="48" t="s">
        <v>899</v>
      </c>
      <c r="Y967" s="48" t="s">
        <v>5262</v>
      </c>
      <c r="Z967" s="48" t="s">
        <v>1560</v>
      </c>
      <c r="AA967" s="48" t="s">
        <v>1560</v>
      </c>
      <c r="AB967" s="48" t="s">
        <v>3538</v>
      </c>
      <c r="AC967" s="48" t="s">
        <v>5263</v>
      </c>
      <c r="AD967" s="48" t="s">
        <v>5264</v>
      </c>
      <c r="AE967" s="48"/>
      <c r="AF967" s="48" t="s">
        <v>5265</v>
      </c>
      <c r="AG967" s="48" t="s">
        <v>1372</v>
      </c>
      <c r="AH967" s="48"/>
      <c r="AI967" s="48"/>
      <c r="AJ967" s="48"/>
      <c r="AK967" s="48">
        <v>0</v>
      </c>
      <c r="AL967" s="48" t="s">
        <v>5266</v>
      </c>
      <c r="AM967" s="48"/>
      <c r="AN967" s="48"/>
      <c r="AO967" s="48" t="s">
        <v>1372</v>
      </c>
      <c r="AP967" s="48" t="s">
        <v>1373</v>
      </c>
    </row>
    <row r="968" hidden="1" spans="1:42">
      <c r="A968" s="48" t="s">
        <v>5267</v>
      </c>
      <c r="B968" s="48" t="s">
        <v>1356</v>
      </c>
      <c r="C968" s="48" t="s">
        <v>1375</v>
      </c>
      <c r="D968" s="48" t="s">
        <v>1358</v>
      </c>
      <c r="E968" s="48"/>
      <c r="F968" s="48" t="s">
        <v>1377</v>
      </c>
      <c r="G968" s="49">
        <v>44829.9383101852</v>
      </c>
      <c r="H968" s="49">
        <v>44829.9385300926</v>
      </c>
      <c r="I968" s="48"/>
      <c r="J968" s="48" t="s">
        <v>407</v>
      </c>
      <c r="K968" s="48"/>
      <c r="L968" s="48"/>
      <c r="M968" s="48">
        <v>359</v>
      </c>
      <c r="N968" s="48">
        <v>0</v>
      </c>
      <c r="O968" s="48">
        <v>0</v>
      </c>
      <c r="P968" s="48">
        <v>0</v>
      </c>
      <c r="Q968" s="48">
        <v>359</v>
      </c>
      <c r="R968" s="48">
        <v>359</v>
      </c>
      <c r="S968" s="48"/>
      <c r="T968" s="48" t="s">
        <v>4629</v>
      </c>
      <c r="U968" s="48">
        <v>1</v>
      </c>
      <c r="V968" s="48" t="s">
        <v>1364</v>
      </c>
      <c r="W968" s="48"/>
      <c r="X968" s="48" t="s">
        <v>444</v>
      </c>
      <c r="Y968" s="48" t="s">
        <v>1709</v>
      </c>
      <c r="Z968" s="48" t="s">
        <v>1710</v>
      </c>
      <c r="AA968" s="48" t="s">
        <v>1711</v>
      </c>
      <c r="AB968" s="48" t="s">
        <v>1712</v>
      </c>
      <c r="AC968" s="48" t="s">
        <v>1713</v>
      </c>
      <c r="AD968" s="48"/>
      <c r="AE968" s="48"/>
      <c r="AF968" s="48" t="s">
        <v>1714</v>
      </c>
      <c r="AG968" s="48" t="s">
        <v>1385</v>
      </c>
      <c r="AH968" s="48" t="s">
        <v>1709</v>
      </c>
      <c r="AI968" s="48"/>
      <c r="AJ968" s="48"/>
      <c r="AK968" s="48">
        <v>0</v>
      </c>
      <c r="AL968" s="48"/>
      <c r="AM968" s="48"/>
      <c r="AN968" s="48"/>
      <c r="AO968" s="48" t="s">
        <v>1372</v>
      </c>
      <c r="AP968" s="48" t="s">
        <v>1373</v>
      </c>
    </row>
    <row r="969" hidden="1" spans="1:42">
      <c r="A969" s="48" t="s">
        <v>5268</v>
      </c>
      <c r="B969" s="48" t="s">
        <v>1356</v>
      </c>
      <c r="C969" s="48" t="s">
        <v>1375</v>
      </c>
      <c r="D969" s="48" t="s">
        <v>1376</v>
      </c>
      <c r="E969" s="48"/>
      <c r="F969" s="48" t="s">
        <v>1377</v>
      </c>
      <c r="G969" s="49">
        <v>44829.9358912037</v>
      </c>
      <c r="H969" s="48"/>
      <c r="I969" s="48"/>
      <c r="J969" s="48"/>
      <c r="K969" s="48"/>
      <c r="L969" s="48"/>
      <c r="M969" s="48">
        <v>299</v>
      </c>
      <c r="N969" s="48">
        <v>0</v>
      </c>
      <c r="O969" s="48">
        <v>0</v>
      </c>
      <c r="P969" s="48">
        <v>0</v>
      </c>
      <c r="Q969" s="48">
        <v>299</v>
      </c>
      <c r="R969" s="48">
        <v>0</v>
      </c>
      <c r="S969" s="48"/>
      <c r="T969" s="48" t="s">
        <v>5257</v>
      </c>
      <c r="U969" s="48">
        <v>1</v>
      </c>
      <c r="V969" s="48" t="s">
        <v>1364</v>
      </c>
      <c r="W969" s="48"/>
      <c r="X969" s="48" t="s">
        <v>734</v>
      </c>
      <c r="Y969" s="48" t="s">
        <v>4524</v>
      </c>
      <c r="Z969" s="48" t="s">
        <v>1794</v>
      </c>
      <c r="AA969" s="48" t="s">
        <v>3507</v>
      </c>
      <c r="AB969" s="48" t="s">
        <v>4525</v>
      </c>
      <c r="AC969" s="48" t="s">
        <v>4526</v>
      </c>
      <c r="AD969" s="48"/>
      <c r="AE969" s="48"/>
      <c r="AF969" s="48" t="s">
        <v>4527</v>
      </c>
      <c r="AG969" s="48" t="s">
        <v>1372</v>
      </c>
      <c r="AH969" s="48"/>
      <c r="AI969" s="48"/>
      <c r="AJ969" s="48"/>
      <c r="AK969" s="48">
        <v>0</v>
      </c>
      <c r="AL969" s="48"/>
      <c r="AM969" s="48"/>
      <c r="AN969" s="48"/>
      <c r="AO969" s="48" t="s">
        <v>1372</v>
      </c>
      <c r="AP969" s="48" t="s">
        <v>1373</v>
      </c>
    </row>
    <row r="970" hidden="1" spans="1:42">
      <c r="A970" s="48" t="s">
        <v>5269</v>
      </c>
      <c r="B970" s="48" t="s">
        <v>1356</v>
      </c>
      <c r="C970" s="48" t="s">
        <v>1375</v>
      </c>
      <c r="D970" s="48" t="s">
        <v>1358</v>
      </c>
      <c r="E970" s="48"/>
      <c r="F970" s="48" t="s">
        <v>3560</v>
      </c>
      <c r="G970" s="49">
        <v>44829.934375</v>
      </c>
      <c r="H970" s="49">
        <v>44829.9346180556</v>
      </c>
      <c r="I970" s="48"/>
      <c r="J970" s="48" t="s">
        <v>407</v>
      </c>
      <c r="K970" s="48"/>
      <c r="L970" s="48"/>
      <c r="M970" s="48">
        <v>167.31</v>
      </c>
      <c r="N970" s="48">
        <v>0</v>
      </c>
      <c r="O970" s="48">
        <v>-2</v>
      </c>
      <c r="P970" s="48">
        <v>0</v>
      </c>
      <c r="Q970" s="48">
        <v>165.31</v>
      </c>
      <c r="R970" s="48">
        <v>165.31</v>
      </c>
      <c r="S970" s="48" t="s">
        <v>1400</v>
      </c>
      <c r="T970" s="48" t="s">
        <v>5270</v>
      </c>
      <c r="U970" s="48">
        <v>1</v>
      </c>
      <c r="V970" s="48" t="s">
        <v>1364</v>
      </c>
      <c r="W970" s="48"/>
      <c r="X970" s="48" t="s">
        <v>753</v>
      </c>
      <c r="Y970" s="48" t="s">
        <v>5271</v>
      </c>
      <c r="Z970" s="48" t="s">
        <v>1804</v>
      </c>
      <c r="AA970" s="48" t="s">
        <v>3880</v>
      </c>
      <c r="AB970" s="48" t="s">
        <v>5272</v>
      </c>
      <c r="AC970" s="48" t="s">
        <v>5273</v>
      </c>
      <c r="AD970" s="48" t="s">
        <v>5274</v>
      </c>
      <c r="AE970" s="48"/>
      <c r="AF970" s="48" t="s">
        <v>753</v>
      </c>
      <c r="AG970" s="48" t="s">
        <v>1385</v>
      </c>
      <c r="AH970" s="48" t="s">
        <v>5275</v>
      </c>
      <c r="AI970" s="48"/>
      <c r="AJ970" s="48"/>
      <c r="AK970" s="48">
        <v>0</v>
      </c>
      <c r="AL970" s="48"/>
      <c r="AM970" s="48"/>
      <c r="AN970" s="48"/>
      <c r="AO970" s="48" t="s">
        <v>1372</v>
      </c>
      <c r="AP970" s="48" t="s">
        <v>1373</v>
      </c>
    </row>
    <row r="971" hidden="1" spans="1:42">
      <c r="A971" s="48" t="s">
        <v>5276</v>
      </c>
      <c r="B971" s="48" t="s">
        <v>1356</v>
      </c>
      <c r="C971" s="48" t="s">
        <v>1375</v>
      </c>
      <c r="D971" s="48" t="s">
        <v>1358</v>
      </c>
      <c r="E971" s="48"/>
      <c r="F971" s="48" t="s">
        <v>1377</v>
      </c>
      <c r="G971" s="49">
        <v>44829.9342824074</v>
      </c>
      <c r="H971" s="49">
        <v>44829.9344097222</v>
      </c>
      <c r="I971" s="48"/>
      <c r="J971" s="48" t="s">
        <v>407</v>
      </c>
      <c r="K971" s="48"/>
      <c r="L971" s="48"/>
      <c r="M971" s="48">
        <v>169</v>
      </c>
      <c r="N971" s="48">
        <v>0</v>
      </c>
      <c r="O971" s="48">
        <v>0</v>
      </c>
      <c r="P971" s="48">
        <v>0</v>
      </c>
      <c r="Q971" s="48">
        <v>169</v>
      </c>
      <c r="R971" s="48">
        <v>169</v>
      </c>
      <c r="S971" s="48"/>
      <c r="T971" s="48" t="s">
        <v>5277</v>
      </c>
      <c r="U971" s="48">
        <v>1</v>
      </c>
      <c r="V971" s="48" t="s">
        <v>1364</v>
      </c>
      <c r="W971" s="48"/>
      <c r="X971" s="48" t="s">
        <v>405</v>
      </c>
      <c r="Y971" s="48" t="s">
        <v>5278</v>
      </c>
      <c r="Z971" s="48" t="s">
        <v>1560</v>
      </c>
      <c r="AA971" s="48" t="s">
        <v>1560</v>
      </c>
      <c r="AB971" s="48" t="s">
        <v>3538</v>
      </c>
      <c r="AC971" s="48" t="s">
        <v>5279</v>
      </c>
      <c r="AD971" s="48" t="s">
        <v>5280</v>
      </c>
      <c r="AE971" s="48"/>
      <c r="AF971" s="48" t="s">
        <v>5281</v>
      </c>
      <c r="AG971" s="48" t="s">
        <v>1372</v>
      </c>
      <c r="AH971" s="48"/>
      <c r="AI971" s="48"/>
      <c r="AJ971" s="48"/>
      <c r="AK971" s="48">
        <v>0</v>
      </c>
      <c r="AL971" s="48"/>
      <c r="AM971" s="48"/>
      <c r="AN971" s="48"/>
      <c r="AO971" s="48" t="s">
        <v>1372</v>
      </c>
      <c r="AP971" s="48" t="s">
        <v>1373</v>
      </c>
    </row>
    <row r="972" hidden="1" spans="1:42">
      <c r="A972" s="48" t="s">
        <v>5282</v>
      </c>
      <c r="B972" s="48" t="s">
        <v>1356</v>
      </c>
      <c r="C972" s="48" t="s">
        <v>1375</v>
      </c>
      <c r="D972" s="48" t="s">
        <v>1358</v>
      </c>
      <c r="E972" s="48"/>
      <c r="F972" s="48" t="s">
        <v>1377</v>
      </c>
      <c r="G972" s="49">
        <v>44829.9340625</v>
      </c>
      <c r="H972" s="49">
        <v>44829.9346064815</v>
      </c>
      <c r="I972" s="48"/>
      <c r="J972" s="48" t="s">
        <v>407</v>
      </c>
      <c r="K972" s="48"/>
      <c r="L972" s="48"/>
      <c r="M972" s="48">
        <v>169</v>
      </c>
      <c r="N972" s="48">
        <v>0</v>
      </c>
      <c r="O972" s="48">
        <v>0</v>
      </c>
      <c r="P972" s="48">
        <v>0</v>
      </c>
      <c r="Q972" s="48">
        <v>169</v>
      </c>
      <c r="R972" s="48">
        <v>169</v>
      </c>
      <c r="S972" s="48"/>
      <c r="T972" s="48" t="s">
        <v>5270</v>
      </c>
      <c r="U972" s="48">
        <v>1</v>
      </c>
      <c r="V972" s="48" t="s">
        <v>1364</v>
      </c>
      <c r="W972" s="48"/>
      <c r="X972" s="48" t="s">
        <v>901</v>
      </c>
      <c r="Y972" s="48" t="s">
        <v>5283</v>
      </c>
      <c r="Z972" s="48" t="s">
        <v>2336</v>
      </c>
      <c r="AA972" s="48" t="s">
        <v>2336</v>
      </c>
      <c r="AB972" s="48" t="s">
        <v>5284</v>
      </c>
      <c r="AC972" s="48" t="s">
        <v>5285</v>
      </c>
      <c r="AD972" s="48" t="s">
        <v>5286</v>
      </c>
      <c r="AE972" s="48"/>
      <c r="AF972" s="48" t="s">
        <v>5287</v>
      </c>
      <c r="AG972" s="48" t="s">
        <v>1372</v>
      </c>
      <c r="AH972" s="48" t="s">
        <v>5283</v>
      </c>
      <c r="AI972" s="48"/>
      <c r="AJ972" s="48"/>
      <c r="AK972" s="48">
        <v>0</v>
      </c>
      <c r="AL972" s="48"/>
      <c r="AM972" s="48"/>
      <c r="AN972" s="48"/>
      <c r="AO972" s="48" t="s">
        <v>1372</v>
      </c>
      <c r="AP972" s="48" t="s">
        <v>1373</v>
      </c>
    </row>
    <row r="973" hidden="1" spans="1:42">
      <c r="A973" s="48" t="s">
        <v>5288</v>
      </c>
      <c r="B973" s="48" t="s">
        <v>1356</v>
      </c>
      <c r="C973" s="48" t="s">
        <v>1357</v>
      </c>
      <c r="D973" s="48" t="s">
        <v>1358</v>
      </c>
      <c r="E973" s="48"/>
      <c r="F973" s="48" t="s">
        <v>1359</v>
      </c>
      <c r="G973" s="49">
        <v>44829.9320138889</v>
      </c>
      <c r="H973" s="49">
        <v>44829.9321875</v>
      </c>
      <c r="I973" s="48"/>
      <c r="J973" s="48" t="s">
        <v>1360</v>
      </c>
      <c r="K973" s="48" t="s">
        <v>5289</v>
      </c>
      <c r="L973" s="48" t="s">
        <v>5290</v>
      </c>
      <c r="M973" s="48">
        <v>59</v>
      </c>
      <c r="N973" s="48">
        <v>0</v>
      </c>
      <c r="O973" s="48">
        <v>0</v>
      </c>
      <c r="P973" s="48">
        <v>0</v>
      </c>
      <c r="Q973" s="48">
        <v>59</v>
      </c>
      <c r="R973" s="48">
        <v>59</v>
      </c>
      <c r="S973" s="48"/>
      <c r="T973" s="48" t="s">
        <v>5165</v>
      </c>
      <c r="U973" s="48">
        <v>1</v>
      </c>
      <c r="V973" s="48" t="s">
        <v>1364</v>
      </c>
      <c r="W973" s="48"/>
      <c r="X973" s="48" t="s">
        <v>5291</v>
      </c>
      <c r="Y973" s="48" t="s">
        <v>5292</v>
      </c>
      <c r="Z973" s="48" t="s">
        <v>1606</v>
      </c>
      <c r="AA973" s="48" t="s">
        <v>5293</v>
      </c>
      <c r="AB973" s="48" t="s">
        <v>5294</v>
      </c>
      <c r="AC973" s="48" t="s">
        <v>5295</v>
      </c>
      <c r="AD973" s="48"/>
      <c r="AE973" s="48"/>
      <c r="AF973" s="48" t="s">
        <v>5291</v>
      </c>
      <c r="AG973" s="48" t="s">
        <v>1372</v>
      </c>
      <c r="AH973" s="48" t="s">
        <v>5292</v>
      </c>
      <c r="AI973" s="48"/>
      <c r="AJ973" s="48"/>
      <c r="AK973" s="48">
        <v>0</v>
      </c>
      <c r="AL973" s="48"/>
      <c r="AM973" s="48"/>
      <c r="AN973" s="48"/>
      <c r="AO973" s="48" t="s">
        <v>1372</v>
      </c>
      <c r="AP973" s="48" t="s">
        <v>1373</v>
      </c>
    </row>
    <row r="974" hidden="1" spans="1:42">
      <c r="A974" s="48" t="s">
        <v>5296</v>
      </c>
      <c r="B974" s="48" t="s">
        <v>1356</v>
      </c>
      <c r="C974" s="48" t="s">
        <v>1357</v>
      </c>
      <c r="D974" s="48" t="s">
        <v>1358</v>
      </c>
      <c r="E974" s="48"/>
      <c r="F974" s="48" t="s">
        <v>1359</v>
      </c>
      <c r="G974" s="49">
        <v>44829.9313310185</v>
      </c>
      <c r="H974" s="49">
        <v>44829.9314467593</v>
      </c>
      <c r="I974" s="48"/>
      <c r="J974" s="48" t="s">
        <v>1360</v>
      </c>
      <c r="K974" s="48" t="s">
        <v>5297</v>
      </c>
      <c r="L974" s="48" t="s">
        <v>5298</v>
      </c>
      <c r="M974" s="48">
        <v>59</v>
      </c>
      <c r="N974" s="48">
        <v>0</v>
      </c>
      <c r="O974" s="48">
        <v>0</v>
      </c>
      <c r="P974" s="48">
        <v>0</v>
      </c>
      <c r="Q974" s="48">
        <v>59</v>
      </c>
      <c r="R974" s="48">
        <v>59</v>
      </c>
      <c r="S974" s="48"/>
      <c r="T974" s="48" t="s">
        <v>5299</v>
      </c>
      <c r="U974" s="48">
        <v>1</v>
      </c>
      <c r="V974" s="48" t="s">
        <v>1364</v>
      </c>
      <c r="W974" s="48"/>
      <c r="X974" s="48" t="s">
        <v>5300</v>
      </c>
      <c r="Y974" s="48" t="s">
        <v>5301</v>
      </c>
      <c r="Z974" s="48" t="s">
        <v>1367</v>
      </c>
      <c r="AA974" s="48" t="s">
        <v>1943</v>
      </c>
      <c r="AB974" s="48" t="s">
        <v>2608</v>
      </c>
      <c r="AC974" s="48" t="s">
        <v>5302</v>
      </c>
      <c r="AD974" s="48"/>
      <c r="AE974" s="48"/>
      <c r="AF974" s="48" t="s">
        <v>5303</v>
      </c>
      <c r="AG974" s="48" t="s">
        <v>1372</v>
      </c>
      <c r="AH974" s="48" t="s">
        <v>5301</v>
      </c>
      <c r="AI974" s="48"/>
      <c r="AJ974" s="48"/>
      <c r="AK974" s="48">
        <v>0</v>
      </c>
      <c r="AL974" s="48"/>
      <c r="AM974" s="48"/>
      <c r="AN974" s="48"/>
      <c r="AO974" s="48" t="s">
        <v>1372</v>
      </c>
      <c r="AP974" s="48" t="s">
        <v>1373</v>
      </c>
    </row>
    <row r="975" hidden="1" spans="1:42">
      <c r="A975" s="48" t="s">
        <v>5304</v>
      </c>
      <c r="B975" s="48" t="s">
        <v>1356</v>
      </c>
      <c r="C975" s="48" t="s">
        <v>1375</v>
      </c>
      <c r="D975" s="48" t="s">
        <v>1780</v>
      </c>
      <c r="E975" s="48"/>
      <c r="F975" s="48" t="s">
        <v>1377</v>
      </c>
      <c r="G975" s="49">
        <v>44829.9309259259</v>
      </c>
      <c r="H975" s="49">
        <v>44829.9310069444</v>
      </c>
      <c r="I975" s="48"/>
      <c r="J975" s="48" t="s">
        <v>407</v>
      </c>
      <c r="K975" s="48"/>
      <c r="L975" s="48"/>
      <c r="M975" s="48">
        <v>299</v>
      </c>
      <c r="N975" s="48">
        <v>0</v>
      </c>
      <c r="O975" s="48">
        <v>-5</v>
      </c>
      <c r="P975" s="48">
        <v>0</v>
      </c>
      <c r="Q975" s="48">
        <v>294</v>
      </c>
      <c r="R975" s="48">
        <v>294</v>
      </c>
      <c r="S975" s="48" t="s">
        <v>1422</v>
      </c>
      <c r="T975" s="48" t="s">
        <v>5305</v>
      </c>
      <c r="U975" s="48">
        <v>1</v>
      </c>
      <c r="V975" s="48" t="s">
        <v>1364</v>
      </c>
      <c r="W975" s="48"/>
      <c r="X975" s="48" t="s">
        <v>562</v>
      </c>
      <c r="Y975" s="48" t="s">
        <v>5202</v>
      </c>
      <c r="Z975" s="48" t="s">
        <v>1804</v>
      </c>
      <c r="AA975" s="48" t="s">
        <v>2585</v>
      </c>
      <c r="AB975" s="48" t="s">
        <v>5203</v>
      </c>
      <c r="AC975" s="48" t="s">
        <v>5204</v>
      </c>
      <c r="AD975" s="48"/>
      <c r="AE975" s="48"/>
      <c r="AF975" s="48" t="s">
        <v>5205</v>
      </c>
      <c r="AG975" s="48" t="s">
        <v>1372</v>
      </c>
      <c r="AH975" s="48"/>
      <c r="AI975" s="48"/>
      <c r="AJ975" s="48" t="s">
        <v>2945</v>
      </c>
      <c r="AK975" s="48">
        <v>294</v>
      </c>
      <c r="AL975" s="48"/>
      <c r="AM975" s="48"/>
      <c r="AN975" s="48"/>
      <c r="AO975" s="48" t="s">
        <v>1372</v>
      </c>
      <c r="AP975" s="48" t="s">
        <v>1373</v>
      </c>
    </row>
    <row r="976" hidden="1" spans="1:42">
      <c r="A976" s="48" t="s">
        <v>5306</v>
      </c>
      <c r="B976" s="48" t="s">
        <v>1356</v>
      </c>
      <c r="C976" s="48" t="s">
        <v>1375</v>
      </c>
      <c r="D976" s="48" t="s">
        <v>1376</v>
      </c>
      <c r="E976" s="48"/>
      <c r="F976" s="48" t="s">
        <v>1377</v>
      </c>
      <c r="G976" s="49">
        <v>44829.9301736111</v>
      </c>
      <c r="H976" s="48"/>
      <c r="I976" s="48"/>
      <c r="J976" s="48"/>
      <c r="K976" s="48"/>
      <c r="L976" s="48"/>
      <c r="M976" s="48">
        <v>299</v>
      </c>
      <c r="N976" s="48">
        <v>0</v>
      </c>
      <c r="O976" s="48">
        <v>0</v>
      </c>
      <c r="P976" s="48">
        <v>0</v>
      </c>
      <c r="Q976" s="48">
        <v>299</v>
      </c>
      <c r="R976" s="48">
        <v>0</v>
      </c>
      <c r="S976" s="48"/>
      <c r="T976" s="48" t="s">
        <v>5257</v>
      </c>
      <c r="U976" s="48">
        <v>1</v>
      </c>
      <c r="V976" s="48" t="s">
        <v>1364</v>
      </c>
      <c r="W976" s="48"/>
      <c r="X976" s="48" t="s">
        <v>734</v>
      </c>
      <c r="Y976" s="48" t="s">
        <v>4524</v>
      </c>
      <c r="Z976" s="48" t="s">
        <v>1794</v>
      </c>
      <c r="AA976" s="48" t="s">
        <v>3507</v>
      </c>
      <c r="AB976" s="48" t="s">
        <v>4525</v>
      </c>
      <c r="AC976" s="48" t="s">
        <v>4526</v>
      </c>
      <c r="AD976" s="48"/>
      <c r="AE976" s="48"/>
      <c r="AF976" s="48" t="s">
        <v>4527</v>
      </c>
      <c r="AG976" s="48" t="s">
        <v>1372</v>
      </c>
      <c r="AH976" s="48"/>
      <c r="AI976" s="48"/>
      <c r="AJ976" s="48"/>
      <c r="AK976" s="48">
        <v>0</v>
      </c>
      <c r="AL976" s="48"/>
      <c r="AM976" s="48"/>
      <c r="AN976" s="48"/>
      <c r="AO976" s="48" t="s">
        <v>1372</v>
      </c>
      <c r="AP976" s="48" t="s">
        <v>1373</v>
      </c>
    </row>
    <row r="977" hidden="1" spans="1:42">
      <c r="A977" s="48" t="s">
        <v>5307</v>
      </c>
      <c r="B977" s="48" t="s">
        <v>1356</v>
      </c>
      <c r="C977" s="48" t="s">
        <v>1375</v>
      </c>
      <c r="D977" s="48" t="s">
        <v>1376</v>
      </c>
      <c r="E977" s="48"/>
      <c r="F977" s="48" t="s">
        <v>1377</v>
      </c>
      <c r="G977" s="49">
        <v>44829.9298726852</v>
      </c>
      <c r="H977" s="48"/>
      <c r="I977" s="48"/>
      <c r="J977" s="48"/>
      <c r="K977" s="48"/>
      <c r="L977" s="48"/>
      <c r="M977" s="48">
        <v>299</v>
      </c>
      <c r="N977" s="48">
        <v>0</v>
      </c>
      <c r="O977" s="48">
        <v>0</v>
      </c>
      <c r="P977" s="48">
        <v>0</v>
      </c>
      <c r="Q977" s="48">
        <v>299</v>
      </c>
      <c r="R977" s="48">
        <v>0</v>
      </c>
      <c r="S977" s="48"/>
      <c r="T977" s="48" t="s">
        <v>5308</v>
      </c>
      <c r="U977" s="48">
        <v>1</v>
      </c>
      <c r="V977" s="48" t="s">
        <v>1364</v>
      </c>
      <c r="W977" s="48"/>
      <c r="X977" s="48" t="s">
        <v>5309</v>
      </c>
      <c r="Y977" s="48" t="s">
        <v>5310</v>
      </c>
      <c r="Z977" s="48" t="s">
        <v>1748</v>
      </c>
      <c r="AA977" s="48" t="s">
        <v>5311</v>
      </c>
      <c r="AB977" s="48" t="s">
        <v>5312</v>
      </c>
      <c r="AC977" s="48" t="s">
        <v>5313</v>
      </c>
      <c r="AD977" s="48"/>
      <c r="AE977" s="48"/>
      <c r="AF977" s="48" t="s">
        <v>5314</v>
      </c>
      <c r="AG977" s="48" t="s">
        <v>1372</v>
      </c>
      <c r="AH977" s="48"/>
      <c r="AI977" s="48"/>
      <c r="AJ977" s="48"/>
      <c r="AK977" s="48">
        <v>0</v>
      </c>
      <c r="AL977" s="48"/>
      <c r="AM977" s="48"/>
      <c r="AN977" s="48"/>
      <c r="AO977" s="48" t="s">
        <v>1372</v>
      </c>
      <c r="AP977" s="48" t="s">
        <v>1373</v>
      </c>
    </row>
    <row r="978" hidden="1" spans="1:42">
      <c r="A978" s="48" t="s">
        <v>5315</v>
      </c>
      <c r="B978" s="48" t="s">
        <v>1356</v>
      </c>
      <c r="C978" s="48" t="s">
        <v>1375</v>
      </c>
      <c r="D978" s="48" t="s">
        <v>1358</v>
      </c>
      <c r="E978" s="48"/>
      <c r="F978" s="48" t="s">
        <v>3775</v>
      </c>
      <c r="G978" s="49">
        <v>44829.9284490741</v>
      </c>
      <c r="H978" s="49">
        <v>44829.9285648148</v>
      </c>
      <c r="I978" s="48"/>
      <c r="J978" s="48" t="s">
        <v>1360</v>
      </c>
      <c r="K978" s="48" t="s">
        <v>5316</v>
      </c>
      <c r="L978" s="48" t="s">
        <v>5317</v>
      </c>
      <c r="M978" s="48">
        <v>128</v>
      </c>
      <c r="N978" s="48">
        <v>0</v>
      </c>
      <c r="O978" s="48">
        <v>0</v>
      </c>
      <c r="P978" s="48">
        <v>0</v>
      </c>
      <c r="Q978" s="48">
        <v>128</v>
      </c>
      <c r="R978" s="48">
        <v>128</v>
      </c>
      <c r="S978" s="48"/>
      <c r="T978" s="48" t="s">
        <v>5318</v>
      </c>
      <c r="U978" s="48">
        <v>1</v>
      </c>
      <c r="V978" s="48" t="s">
        <v>1364</v>
      </c>
      <c r="W978" s="48"/>
      <c r="X978" s="48" t="s">
        <v>5319</v>
      </c>
      <c r="Y978" s="48" t="s">
        <v>5320</v>
      </c>
      <c r="Z978" s="48" t="s">
        <v>1678</v>
      </c>
      <c r="AA978" s="48" t="s">
        <v>1979</v>
      </c>
      <c r="AB978" s="48" t="s">
        <v>5321</v>
      </c>
      <c r="AC978" s="48" t="s">
        <v>5322</v>
      </c>
      <c r="AD978" s="48"/>
      <c r="AE978" s="48"/>
      <c r="AF978" s="48" t="s">
        <v>5323</v>
      </c>
      <c r="AG978" s="48" t="s">
        <v>1372</v>
      </c>
      <c r="AH978" s="48" t="s">
        <v>5320</v>
      </c>
      <c r="AI978" s="48"/>
      <c r="AJ978" s="48"/>
      <c r="AK978" s="48">
        <v>0</v>
      </c>
      <c r="AL978" s="48"/>
      <c r="AM978" s="48"/>
      <c r="AN978" s="48"/>
      <c r="AO978" s="48" t="s">
        <v>1372</v>
      </c>
      <c r="AP978" s="48" t="s">
        <v>1373</v>
      </c>
    </row>
    <row r="979" hidden="1" spans="1:42">
      <c r="A979" s="48" t="s">
        <v>5324</v>
      </c>
      <c r="B979" s="48" t="s">
        <v>1356</v>
      </c>
      <c r="C979" s="48" t="s">
        <v>1357</v>
      </c>
      <c r="D979" s="48" t="s">
        <v>1358</v>
      </c>
      <c r="E979" s="48"/>
      <c r="F979" s="48" t="s">
        <v>1359</v>
      </c>
      <c r="G979" s="49">
        <v>44829.9235532407</v>
      </c>
      <c r="H979" s="49">
        <v>44829.9237847222</v>
      </c>
      <c r="I979" s="48"/>
      <c r="J979" s="48" t="s">
        <v>1360</v>
      </c>
      <c r="K979" s="48" t="s">
        <v>5325</v>
      </c>
      <c r="L979" s="48" t="s">
        <v>5326</v>
      </c>
      <c r="M979" s="48">
        <v>69</v>
      </c>
      <c r="N979" s="48">
        <v>0</v>
      </c>
      <c r="O979" s="48">
        <v>0</v>
      </c>
      <c r="P979" s="48">
        <v>0</v>
      </c>
      <c r="Q979" s="48">
        <v>69</v>
      </c>
      <c r="R979" s="48">
        <v>69</v>
      </c>
      <c r="S979" s="48"/>
      <c r="T979" s="48" t="s">
        <v>1669</v>
      </c>
      <c r="U979" s="48">
        <v>1</v>
      </c>
      <c r="V979" s="48" t="s">
        <v>1364</v>
      </c>
      <c r="W979" s="48"/>
      <c r="X979" s="48" t="s">
        <v>929</v>
      </c>
      <c r="Y979" s="48" t="s">
        <v>5327</v>
      </c>
      <c r="Z979" s="48" t="s">
        <v>1824</v>
      </c>
      <c r="AA979" s="48" t="s">
        <v>5328</v>
      </c>
      <c r="AB979" s="48" t="s">
        <v>5329</v>
      </c>
      <c r="AC979" s="48" t="s">
        <v>5330</v>
      </c>
      <c r="AD979" s="48"/>
      <c r="AE979" s="48"/>
      <c r="AF979" s="48" t="s">
        <v>5331</v>
      </c>
      <c r="AG979" s="48" t="s">
        <v>1385</v>
      </c>
      <c r="AH979" s="48" t="s">
        <v>5327</v>
      </c>
      <c r="AI979" s="48"/>
      <c r="AJ979" s="48"/>
      <c r="AK979" s="48">
        <v>0</v>
      </c>
      <c r="AL979" s="48"/>
      <c r="AM979" s="48"/>
      <c r="AN979" s="48"/>
      <c r="AO979" s="48" t="s">
        <v>1372</v>
      </c>
      <c r="AP979" s="48" t="s">
        <v>1373</v>
      </c>
    </row>
    <row r="980" hidden="1" spans="1:42">
      <c r="A980" s="48" t="s">
        <v>5332</v>
      </c>
      <c r="B980" s="48" t="s">
        <v>1356</v>
      </c>
      <c r="C980" s="48" t="s">
        <v>1375</v>
      </c>
      <c r="D980" s="48" t="s">
        <v>1376</v>
      </c>
      <c r="E980" s="48"/>
      <c r="F980" s="48" t="s">
        <v>1377</v>
      </c>
      <c r="G980" s="49">
        <v>44829.9223842593</v>
      </c>
      <c r="H980" s="48"/>
      <c r="I980" s="48"/>
      <c r="J980" s="48"/>
      <c r="K980" s="48"/>
      <c r="L980" s="48"/>
      <c r="M980" s="48">
        <v>299</v>
      </c>
      <c r="N980" s="48">
        <v>0</v>
      </c>
      <c r="O980" s="48">
        <v>0</v>
      </c>
      <c r="P980" s="48">
        <v>0</v>
      </c>
      <c r="Q980" s="48">
        <v>299</v>
      </c>
      <c r="R980" s="48">
        <v>0</v>
      </c>
      <c r="S980" s="48"/>
      <c r="T980" s="48" t="s">
        <v>5333</v>
      </c>
      <c r="U980" s="48">
        <v>1</v>
      </c>
      <c r="V980" s="48" t="s">
        <v>1364</v>
      </c>
      <c r="W980" s="48"/>
      <c r="X980" s="48" t="s">
        <v>734</v>
      </c>
      <c r="Y980" s="48" t="s">
        <v>4524</v>
      </c>
      <c r="Z980" s="48" t="s">
        <v>1794</v>
      </c>
      <c r="AA980" s="48" t="s">
        <v>3507</v>
      </c>
      <c r="AB980" s="48" t="s">
        <v>4525</v>
      </c>
      <c r="AC980" s="48" t="s">
        <v>4526</v>
      </c>
      <c r="AD980" s="48"/>
      <c r="AE980" s="48"/>
      <c r="AF980" s="48" t="s">
        <v>4527</v>
      </c>
      <c r="AG980" s="48" t="s">
        <v>1372</v>
      </c>
      <c r="AH980" s="48"/>
      <c r="AI980" s="48"/>
      <c r="AJ980" s="48"/>
      <c r="AK980" s="48">
        <v>0</v>
      </c>
      <c r="AL980" s="48"/>
      <c r="AM980" s="48"/>
      <c r="AN980" s="48"/>
      <c r="AO980" s="48" t="s">
        <v>1372</v>
      </c>
      <c r="AP980" s="48" t="s">
        <v>1373</v>
      </c>
    </row>
    <row r="981" hidden="1" spans="1:42">
      <c r="A981" s="48" t="s">
        <v>5334</v>
      </c>
      <c r="B981" s="48" t="s">
        <v>1356</v>
      </c>
      <c r="C981" s="48" t="s">
        <v>1375</v>
      </c>
      <c r="D981" s="48" t="s">
        <v>1376</v>
      </c>
      <c r="E981" s="48"/>
      <c r="F981" s="48" t="s">
        <v>1377</v>
      </c>
      <c r="G981" s="49">
        <v>44829.9210069444</v>
      </c>
      <c r="H981" s="48"/>
      <c r="I981" s="48"/>
      <c r="J981" s="48"/>
      <c r="K981" s="48"/>
      <c r="L981" s="48"/>
      <c r="M981" s="48">
        <v>269</v>
      </c>
      <c r="N981" s="48">
        <v>0</v>
      </c>
      <c r="O981" s="48">
        <v>-2</v>
      </c>
      <c r="P981" s="48">
        <v>0</v>
      </c>
      <c r="Q981" s="48">
        <v>267</v>
      </c>
      <c r="R981" s="48">
        <v>0</v>
      </c>
      <c r="S981" s="48" t="s">
        <v>1400</v>
      </c>
      <c r="T981" s="48" t="s">
        <v>5335</v>
      </c>
      <c r="U981" s="48">
        <v>1</v>
      </c>
      <c r="V981" s="48" t="s">
        <v>1364</v>
      </c>
      <c r="W981" s="48"/>
      <c r="X981" s="48" t="s">
        <v>444</v>
      </c>
      <c r="Y981" s="48" t="s">
        <v>1709</v>
      </c>
      <c r="Z981" s="48" t="s">
        <v>1710</v>
      </c>
      <c r="AA981" s="48" t="s">
        <v>1711</v>
      </c>
      <c r="AB981" s="48" t="s">
        <v>1712</v>
      </c>
      <c r="AC981" s="48" t="s">
        <v>1713</v>
      </c>
      <c r="AD981" s="48"/>
      <c r="AE981" s="48"/>
      <c r="AF981" s="48" t="s">
        <v>1714</v>
      </c>
      <c r="AG981" s="48" t="s">
        <v>1385</v>
      </c>
      <c r="AH981" s="48" t="s">
        <v>1709</v>
      </c>
      <c r="AI981" s="48"/>
      <c r="AJ981" s="48"/>
      <c r="AK981" s="48">
        <v>0</v>
      </c>
      <c r="AL981" s="48"/>
      <c r="AM981" s="48"/>
      <c r="AN981" s="48"/>
      <c r="AO981" s="48" t="s">
        <v>1372</v>
      </c>
      <c r="AP981" s="48" t="s">
        <v>1373</v>
      </c>
    </row>
    <row r="982" hidden="1" spans="1:42">
      <c r="A982" s="48" t="s">
        <v>5336</v>
      </c>
      <c r="B982" s="48" t="s">
        <v>1356</v>
      </c>
      <c r="C982" s="48" t="s">
        <v>1357</v>
      </c>
      <c r="D982" s="48" t="s">
        <v>1358</v>
      </c>
      <c r="E982" s="48"/>
      <c r="F982" s="48" t="s">
        <v>1359</v>
      </c>
      <c r="G982" s="49">
        <v>44829.9127546296</v>
      </c>
      <c r="H982" s="49">
        <v>44829.9129976852</v>
      </c>
      <c r="I982" s="48"/>
      <c r="J982" s="48" t="s">
        <v>1360</v>
      </c>
      <c r="K982" s="48" t="s">
        <v>5337</v>
      </c>
      <c r="L982" s="48" t="s">
        <v>5338</v>
      </c>
      <c r="M982" s="48">
        <v>69</v>
      </c>
      <c r="N982" s="48">
        <v>0</v>
      </c>
      <c r="O982" s="48">
        <v>0</v>
      </c>
      <c r="P982" s="48">
        <v>0</v>
      </c>
      <c r="Q982" s="48">
        <v>69</v>
      </c>
      <c r="R982" s="48">
        <v>69</v>
      </c>
      <c r="S982" s="48"/>
      <c r="T982" s="48" t="s">
        <v>1669</v>
      </c>
      <c r="U982" s="48">
        <v>1</v>
      </c>
      <c r="V982" s="48" t="s">
        <v>1364</v>
      </c>
      <c r="W982" s="48"/>
      <c r="X982" s="48" t="s">
        <v>5339</v>
      </c>
      <c r="Y982" s="48" t="s">
        <v>5340</v>
      </c>
      <c r="Z982" s="48" t="s">
        <v>1533</v>
      </c>
      <c r="AA982" s="48" t="s">
        <v>2503</v>
      </c>
      <c r="AB982" s="48" t="s">
        <v>2504</v>
      </c>
      <c r="AC982" s="48" t="s">
        <v>5341</v>
      </c>
      <c r="AD982" s="48"/>
      <c r="AE982" s="48"/>
      <c r="AF982" s="48" t="s">
        <v>5342</v>
      </c>
      <c r="AG982" s="48" t="s">
        <v>1372</v>
      </c>
      <c r="AH982" s="48" t="s">
        <v>5342</v>
      </c>
      <c r="AI982" s="48"/>
      <c r="AJ982" s="48"/>
      <c r="AK982" s="48">
        <v>0</v>
      </c>
      <c r="AL982" s="48"/>
      <c r="AM982" s="48"/>
      <c r="AN982" s="48"/>
      <c r="AO982" s="48" t="s">
        <v>1372</v>
      </c>
      <c r="AP982" s="48" t="s">
        <v>1373</v>
      </c>
    </row>
    <row r="983" hidden="1" spans="1:42">
      <c r="A983" s="48" t="s">
        <v>5343</v>
      </c>
      <c r="B983" s="48" t="s">
        <v>1356</v>
      </c>
      <c r="C983" s="48" t="s">
        <v>1375</v>
      </c>
      <c r="D983" s="48" t="s">
        <v>1358</v>
      </c>
      <c r="E983" s="48"/>
      <c r="F983" s="48" t="s">
        <v>1359</v>
      </c>
      <c r="G983" s="49">
        <v>44829.9072800926</v>
      </c>
      <c r="H983" s="49">
        <v>44829.9074074074</v>
      </c>
      <c r="I983" s="48"/>
      <c r="J983" s="48" t="s">
        <v>1360</v>
      </c>
      <c r="K983" s="48" t="s">
        <v>5344</v>
      </c>
      <c r="L983" s="48" t="s">
        <v>5345</v>
      </c>
      <c r="M983" s="48">
        <v>99</v>
      </c>
      <c r="N983" s="48">
        <v>0</v>
      </c>
      <c r="O983" s="48">
        <v>0</v>
      </c>
      <c r="P983" s="48">
        <v>0</v>
      </c>
      <c r="Q983" s="48">
        <v>99</v>
      </c>
      <c r="R983" s="48">
        <v>99</v>
      </c>
      <c r="S983" s="48"/>
      <c r="T983" s="48" t="s">
        <v>5346</v>
      </c>
      <c r="U983" s="48">
        <v>1</v>
      </c>
      <c r="V983" s="48" t="s">
        <v>1364</v>
      </c>
      <c r="W983" s="48"/>
      <c r="X983" s="48" t="s">
        <v>5347</v>
      </c>
      <c r="Y983" s="48" t="s">
        <v>5348</v>
      </c>
      <c r="Z983" s="48" t="s">
        <v>1466</v>
      </c>
      <c r="AA983" s="48" t="s">
        <v>5034</v>
      </c>
      <c r="AB983" s="48" t="s">
        <v>5349</v>
      </c>
      <c r="AC983" s="48" t="s">
        <v>5350</v>
      </c>
      <c r="AD983" s="48"/>
      <c r="AE983" s="48"/>
      <c r="AF983" s="48" t="s">
        <v>5351</v>
      </c>
      <c r="AG983" s="48" t="s">
        <v>1372</v>
      </c>
      <c r="AH983" s="48" t="s">
        <v>5348</v>
      </c>
      <c r="AI983" s="48"/>
      <c r="AJ983" s="48"/>
      <c r="AK983" s="48">
        <v>0</v>
      </c>
      <c r="AL983" s="48"/>
      <c r="AM983" s="48"/>
      <c r="AN983" s="48"/>
      <c r="AO983" s="48" t="s">
        <v>1372</v>
      </c>
      <c r="AP983" s="48" t="s">
        <v>1373</v>
      </c>
    </row>
    <row r="984" hidden="1" spans="1:42">
      <c r="A984" s="48" t="s">
        <v>5352</v>
      </c>
      <c r="B984" s="48" t="s">
        <v>1356</v>
      </c>
      <c r="C984" s="48" t="s">
        <v>1375</v>
      </c>
      <c r="D984" s="48" t="s">
        <v>1376</v>
      </c>
      <c r="E984" s="48"/>
      <c r="F984" s="48" t="s">
        <v>1377</v>
      </c>
      <c r="G984" s="49">
        <v>44829.9025578704</v>
      </c>
      <c r="H984" s="48"/>
      <c r="I984" s="48"/>
      <c r="J984" s="48"/>
      <c r="K984" s="48"/>
      <c r="L984" s="48"/>
      <c r="M984" s="48">
        <v>339</v>
      </c>
      <c r="N984" s="48">
        <v>0</v>
      </c>
      <c r="O984" s="48">
        <v>0</v>
      </c>
      <c r="P984" s="48">
        <v>0</v>
      </c>
      <c r="Q984" s="48">
        <v>339</v>
      </c>
      <c r="R984" s="48">
        <v>0</v>
      </c>
      <c r="S984" s="48"/>
      <c r="T984" s="48" t="s">
        <v>5353</v>
      </c>
      <c r="U984" s="48">
        <v>1</v>
      </c>
      <c r="V984" s="48" t="s">
        <v>1364</v>
      </c>
      <c r="W984" s="48"/>
      <c r="X984" s="48" t="s">
        <v>372</v>
      </c>
      <c r="Y984" s="48" t="s">
        <v>3832</v>
      </c>
      <c r="Z984" s="48" t="s">
        <v>1495</v>
      </c>
      <c r="AA984" s="48" t="s">
        <v>1757</v>
      </c>
      <c r="AB984" s="48" t="s">
        <v>1783</v>
      </c>
      <c r="AC984" s="48" t="s">
        <v>3833</v>
      </c>
      <c r="AD984" s="48" t="s">
        <v>5354</v>
      </c>
      <c r="AE984" s="48"/>
      <c r="AF984" s="48" t="s">
        <v>4791</v>
      </c>
      <c r="AG984" s="48" t="s">
        <v>1372</v>
      </c>
      <c r="AH984" s="48" t="s">
        <v>3832</v>
      </c>
      <c r="AI984" s="48"/>
      <c r="AJ984" s="48"/>
      <c r="AK984" s="48">
        <v>0</v>
      </c>
      <c r="AL984" s="48"/>
      <c r="AM984" s="48"/>
      <c r="AN984" s="48"/>
      <c r="AO984" s="48" t="s">
        <v>1372</v>
      </c>
      <c r="AP984" s="48" t="s">
        <v>1373</v>
      </c>
    </row>
    <row r="985" hidden="1" spans="1:42">
      <c r="A985" s="48" t="s">
        <v>5355</v>
      </c>
      <c r="B985" s="48" t="s">
        <v>1356</v>
      </c>
      <c r="C985" s="48" t="s">
        <v>1375</v>
      </c>
      <c r="D985" s="48" t="s">
        <v>1358</v>
      </c>
      <c r="E985" s="48"/>
      <c r="F985" s="48" t="s">
        <v>1377</v>
      </c>
      <c r="G985" s="49">
        <v>44829.9014351852</v>
      </c>
      <c r="H985" s="49">
        <v>44829.9016319444</v>
      </c>
      <c r="I985" s="48"/>
      <c r="J985" s="48" t="s">
        <v>407</v>
      </c>
      <c r="K985" s="48"/>
      <c r="L985" s="48"/>
      <c r="M985" s="48">
        <v>259</v>
      </c>
      <c r="N985" s="48">
        <v>0</v>
      </c>
      <c r="O985" s="48">
        <v>-1</v>
      </c>
      <c r="P985" s="48">
        <v>0</v>
      </c>
      <c r="Q985" s="48">
        <v>258</v>
      </c>
      <c r="R985" s="48">
        <v>258</v>
      </c>
      <c r="S985" s="48" t="s">
        <v>1414</v>
      </c>
      <c r="T985" s="48" t="s">
        <v>5356</v>
      </c>
      <c r="U985" s="48">
        <v>1</v>
      </c>
      <c r="V985" s="48" t="s">
        <v>1364</v>
      </c>
      <c r="W985" s="48"/>
      <c r="X985" s="48" t="s">
        <v>742</v>
      </c>
      <c r="Y985" s="48" t="s">
        <v>5357</v>
      </c>
      <c r="Z985" s="48" t="s">
        <v>1430</v>
      </c>
      <c r="AA985" s="48" t="s">
        <v>3042</v>
      </c>
      <c r="AB985" s="48" t="s">
        <v>5358</v>
      </c>
      <c r="AC985" s="48" t="s">
        <v>5359</v>
      </c>
      <c r="AD985" s="48"/>
      <c r="AE985" s="48"/>
      <c r="AF985" s="48" t="s">
        <v>5360</v>
      </c>
      <c r="AG985" s="48" t="s">
        <v>1385</v>
      </c>
      <c r="AH985" s="48" t="s">
        <v>5357</v>
      </c>
      <c r="AI985" s="48"/>
      <c r="AJ985" s="48"/>
      <c r="AK985" s="48">
        <v>0</v>
      </c>
      <c r="AL985" s="48"/>
      <c r="AM985" s="48"/>
      <c r="AN985" s="48"/>
      <c r="AO985" s="48" t="s">
        <v>1372</v>
      </c>
      <c r="AP985" s="48" t="s">
        <v>1373</v>
      </c>
    </row>
    <row r="986" hidden="1" spans="1:42">
      <c r="A986" s="48" t="s">
        <v>5361</v>
      </c>
      <c r="B986" s="48" t="s">
        <v>1356</v>
      </c>
      <c r="C986" s="48" t="s">
        <v>1375</v>
      </c>
      <c r="D986" s="48" t="s">
        <v>1780</v>
      </c>
      <c r="E986" s="48"/>
      <c r="F986" s="48" t="s">
        <v>1377</v>
      </c>
      <c r="G986" s="49">
        <v>44829.9010069444</v>
      </c>
      <c r="H986" s="49">
        <v>44829.901087963</v>
      </c>
      <c r="I986" s="48"/>
      <c r="J986" s="48" t="s">
        <v>407</v>
      </c>
      <c r="K986" s="48"/>
      <c r="L986" s="48"/>
      <c r="M986" s="48">
        <v>259</v>
      </c>
      <c r="N986" s="48">
        <v>0</v>
      </c>
      <c r="O986" s="48">
        <v>0</v>
      </c>
      <c r="P986" s="48">
        <v>0</v>
      </c>
      <c r="Q986" s="48">
        <v>259</v>
      </c>
      <c r="R986" s="48">
        <v>259</v>
      </c>
      <c r="S986" s="48"/>
      <c r="T986" s="48" t="s">
        <v>5362</v>
      </c>
      <c r="U986" s="48">
        <v>1</v>
      </c>
      <c r="V986" s="48" t="s">
        <v>1364</v>
      </c>
      <c r="W986" s="48"/>
      <c r="X986" s="48" t="s">
        <v>562</v>
      </c>
      <c r="Y986" s="48" t="s">
        <v>5202</v>
      </c>
      <c r="Z986" s="48" t="s">
        <v>1804</v>
      </c>
      <c r="AA986" s="48" t="s">
        <v>2585</v>
      </c>
      <c r="AB986" s="48" t="s">
        <v>5203</v>
      </c>
      <c r="AC986" s="48" t="s">
        <v>5204</v>
      </c>
      <c r="AD986" s="48"/>
      <c r="AE986" s="48"/>
      <c r="AF986" s="48" t="s">
        <v>5205</v>
      </c>
      <c r="AG986" s="48" t="s">
        <v>1372</v>
      </c>
      <c r="AH986" s="48"/>
      <c r="AI986" s="48"/>
      <c r="AJ986" s="48" t="s">
        <v>2945</v>
      </c>
      <c r="AK986" s="48">
        <v>259</v>
      </c>
      <c r="AL986" s="48"/>
      <c r="AM986" s="48"/>
      <c r="AN986" s="48"/>
      <c r="AO986" s="48" t="s">
        <v>1372</v>
      </c>
      <c r="AP986" s="48" t="s">
        <v>1373</v>
      </c>
    </row>
    <row r="987" hidden="1" spans="1:42">
      <c r="A987" s="48" t="s">
        <v>5363</v>
      </c>
      <c r="B987" s="48" t="s">
        <v>1356</v>
      </c>
      <c r="C987" s="48" t="s">
        <v>1375</v>
      </c>
      <c r="D987" s="48" t="s">
        <v>1358</v>
      </c>
      <c r="E987" s="48"/>
      <c r="F987" s="48" t="s">
        <v>1377</v>
      </c>
      <c r="G987" s="49">
        <v>44829.9007986111</v>
      </c>
      <c r="H987" s="49">
        <v>44829.9008680556</v>
      </c>
      <c r="I987" s="48"/>
      <c r="J987" s="48" t="s">
        <v>407</v>
      </c>
      <c r="K987" s="48"/>
      <c r="L987" s="48"/>
      <c r="M987" s="48">
        <v>259</v>
      </c>
      <c r="N987" s="48">
        <v>0</v>
      </c>
      <c r="O987" s="48">
        <v>0</v>
      </c>
      <c r="P987" s="48">
        <v>0</v>
      </c>
      <c r="Q987" s="48">
        <v>259</v>
      </c>
      <c r="R987" s="48">
        <v>259</v>
      </c>
      <c r="S987" s="48"/>
      <c r="T987" s="48" t="s">
        <v>5364</v>
      </c>
      <c r="U987" s="48">
        <v>1</v>
      </c>
      <c r="V987" s="48" t="s">
        <v>1364</v>
      </c>
      <c r="W987" s="48"/>
      <c r="X987" s="48" t="s">
        <v>803</v>
      </c>
      <c r="Y987" s="48" t="s">
        <v>5365</v>
      </c>
      <c r="Z987" s="48" t="s">
        <v>1678</v>
      </c>
      <c r="AA987" s="48" t="s">
        <v>2675</v>
      </c>
      <c r="AB987" s="48" t="s">
        <v>5366</v>
      </c>
      <c r="AC987" s="48" t="s">
        <v>5367</v>
      </c>
      <c r="AD987" s="48"/>
      <c r="AE987" s="48"/>
      <c r="AF987" s="48" t="s">
        <v>5368</v>
      </c>
      <c r="AG987" s="48" t="s">
        <v>1372</v>
      </c>
      <c r="AH987" s="48"/>
      <c r="AI987" s="48"/>
      <c r="AJ987" s="48"/>
      <c r="AK987" s="48">
        <v>0</v>
      </c>
      <c r="AL987" s="48"/>
      <c r="AM987" s="48"/>
      <c r="AN987" s="48"/>
      <c r="AO987" s="48" t="s">
        <v>1372</v>
      </c>
      <c r="AP987" s="48" t="s">
        <v>1373</v>
      </c>
    </row>
    <row r="988" hidden="1" spans="1:42">
      <c r="A988" s="48" t="s">
        <v>5369</v>
      </c>
      <c r="B988" s="48" t="s">
        <v>1356</v>
      </c>
      <c r="C988" s="48" t="s">
        <v>1375</v>
      </c>
      <c r="D988" s="48" t="s">
        <v>1358</v>
      </c>
      <c r="E988" s="48"/>
      <c r="F988" s="48" t="s">
        <v>1377</v>
      </c>
      <c r="G988" s="49">
        <v>44829.8979282407</v>
      </c>
      <c r="H988" s="49">
        <v>44829.8980902778</v>
      </c>
      <c r="I988" s="48"/>
      <c r="J988" s="48" t="s">
        <v>407</v>
      </c>
      <c r="K988" s="48"/>
      <c r="L988" s="48"/>
      <c r="M988" s="48">
        <v>339</v>
      </c>
      <c r="N988" s="48">
        <v>0</v>
      </c>
      <c r="O988" s="48">
        <v>0</v>
      </c>
      <c r="P988" s="48">
        <v>0</v>
      </c>
      <c r="Q988" s="48">
        <v>339</v>
      </c>
      <c r="R988" s="48">
        <v>339</v>
      </c>
      <c r="S988" s="48"/>
      <c r="T988" s="48" t="s">
        <v>5370</v>
      </c>
      <c r="U988" s="48">
        <v>1</v>
      </c>
      <c r="V988" s="48" t="s">
        <v>1364</v>
      </c>
      <c r="W988" s="48"/>
      <c r="X988" s="48" t="s">
        <v>701</v>
      </c>
      <c r="Y988" s="48" t="s">
        <v>5371</v>
      </c>
      <c r="Z988" s="48" t="s">
        <v>1367</v>
      </c>
      <c r="AA988" s="48" t="s">
        <v>5372</v>
      </c>
      <c r="AB988" s="48" t="s">
        <v>5373</v>
      </c>
      <c r="AC988" s="48" t="s">
        <v>5374</v>
      </c>
      <c r="AD988" s="48"/>
      <c r="AE988" s="48"/>
      <c r="AF988" s="48" t="s">
        <v>5375</v>
      </c>
      <c r="AG988" s="48" t="s">
        <v>1372</v>
      </c>
      <c r="AH988" s="48"/>
      <c r="AI988" s="48"/>
      <c r="AJ988" s="48"/>
      <c r="AK988" s="48">
        <v>0</v>
      </c>
      <c r="AL988" s="48"/>
      <c r="AM988" s="48"/>
      <c r="AN988" s="48"/>
      <c r="AO988" s="48" t="s">
        <v>1372</v>
      </c>
      <c r="AP988" s="48" t="s">
        <v>1373</v>
      </c>
    </row>
    <row r="989" hidden="1" spans="1:42">
      <c r="A989" s="48" t="s">
        <v>5376</v>
      </c>
      <c r="B989" s="48" t="s">
        <v>1356</v>
      </c>
      <c r="C989" s="48" t="s">
        <v>1357</v>
      </c>
      <c r="D989" s="48" t="s">
        <v>1358</v>
      </c>
      <c r="E989" s="48"/>
      <c r="F989" s="48" t="s">
        <v>1359</v>
      </c>
      <c r="G989" s="49">
        <v>44829.8974421296</v>
      </c>
      <c r="H989" s="49">
        <v>44829.8975347222</v>
      </c>
      <c r="I989" s="48"/>
      <c r="J989" s="48" t="s">
        <v>1360</v>
      </c>
      <c r="K989" s="48" t="s">
        <v>5377</v>
      </c>
      <c r="L989" s="48" t="s">
        <v>5378</v>
      </c>
      <c r="M989" s="48">
        <v>139.8</v>
      </c>
      <c r="N989" s="48">
        <v>0</v>
      </c>
      <c r="O989" s="48">
        <v>0</v>
      </c>
      <c r="P989" s="48">
        <v>0</v>
      </c>
      <c r="Q989" s="48">
        <v>139.8</v>
      </c>
      <c r="R989" s="48">
        <v>139.8</v>
      </c>
      <c r="S989" s="48"/>
      <c r="T989" s="48" t="s">
        <v>5379</v>
      </c>
      <c r="U989" s="48">
        <v>2</v>
      </c>
      <c r="V989" s="48" t="s">
        <v>1364</v>
      </c>
      <c r="W989" s="48"/>
      <c r="X989" s="48" t="s">
        <v>5380</v>
      </c>
      <c r="Y989" s="48" t="s">
        <v>5381</v>
      </c>
      <c r="Z989" s="48" t="s">
        <v>1367</v>
      </c>
      <c r="AA989" s="48" t="s">
        <v>1368</v>
      </c>
      <c r="AB989" s="48" t="s">
        <v>1369</v>
      </c>
      <c r="AC989" s="48" t="s">
        <v>5382</v>
      </c>
      <c r="AD989" s="48"/>
      <c r="AE989" s="48"/>
      <c r="AF989" s="48" t="s">
        <v>5383</v>
      </c>
      <c r="AG989" s="48" t="s">
        <v>1372</v>
      </c>
      <c r="AH989" s="48" t="s">
        <v>5381</v>
      </c>
      <c r="AI989" s="48"/>
      <c r="AJ989" s="48"/>
      <c r="AK989" s="48">
        <v>0</v>
      </c>
      <c r="AL989" s="48"/>
      <c r="AM989" s="48"/>
      <c r="AN989" s="48"/>
      <c r="AO989" s="48" t="s">
        <v>1372</v>
      </c>
      <c r="AP989" s="48" t="s">
        <v>1373</v>
      </c>
    </row>
    <row r="990" hidden="1" spans="1:42">
      <c r="A990" s="48" t="s">
        <v>5384</v>
      </c>
      <c r="B990" s="48" t="s">
        <v>1356</v>
      </c>
      <c r="C990" s="48" t="s">
        <v>1375</v>
      </c>
      <c r="D990" s="48" t="s">
        <v>1358</v>
      </c>
      <c r="E990" s="48"/>
      <c r="F990" s="48" t="s">
        <v>1359</v>
      </c>
      <c r="G990" s="49">
        <v>44829.8971412037</v>
      </c>
      <c r="H990" s="49">
        <v>44829.8972222222</v>
      </c>
      <c r="I990" s="48"/>
      <c r="J990" s="48" t="s">
        <v>1360</v>
      </c>
      <c r="K990" s="48" t="s">
        <v>5385</v>
      </c>
      <c r="L990" s="48" t="s">
        <v>5386</v>
      </c>
      <c r="M990" s="48">
        <v>369</v>
      </c>
      <c r="N990" s="48">
        <v>0</v>
      </c>
      <c r="O990" s="48">
        <v>0</v>
      </c>
      <c r="P990" s="48">
        <v>0</v>
      </c>
      <c r="Q990" s="48">
        <v>369</v>
      </c>
      <c r="R990" s="48">
        <v>369</v>
      </c>
      <c r="S990" s="48"/>
      <c r="T990" s="48" t="s">
        <v>5387</v>
      </c>
      <c r="U990" s="48">
        <v>1</v>
      </c>
      <c r="V990" s="48" t="s">
        <v>1364</v>
      </c>
      <c r="W990" s="48"/>
      <c r="X990" s="48" t="s">
        <v>1245</v>
      </c>
      <c r="Y990" s="48" t="s">
        <v>5388</v>
      </c>
      <c r="Z990" s="48" t="s">
        <v>1678</v>
      </c>
      <c r="AA990" s="48" t="s">
        <v>3768</v>
      </c>
      <c r="AB990" s="48" t="s">
        <v>5389</v>
      </c>
      <c r="AC990" s="48" t="s">
        <v>5390</v>
      </c>
      <c r="AD990" s="48"/>
      <c r="AE990" s="48"/>
      <c r="AF990" s="48" t="s">
        <v>5391</v>
      </c>
      <c r="AG990" s="48" t="s">
        <v>1372</v>
      </c>
      <c r="AH990" s="48" t="s">
        <v>5388</v>
      </c>
      <c r="AI990" s="48"/>
      <c r="AJ990" s="48"/>
      <c r="AK990" s="48">
        <v>0</v>
      </c>
      <c r="AL990" s="48"/>
      <c r="AM990" s="48"/>
      <c r="AN990" s="48"/>
      <c r="AO990" s="48" t="s">
        <v>1372</v>
      </c>
      <c r="AP990" s="48" t="s">
        <v>1373</v>
      </c>
    </row>
    <row r="991" hidden="1" spans="1:42">
      <c r="A991" s="48" t="s">
        <v>5392</v>
      </c>
      <c r="B991" s="48" t="s">
        <v>1356</v>
      </c>
      <c r="C991" s="48" t="s">
        <v>1375</v>
      </c>
      <c r="D991" s="48" t="s">
        <v>1358</v>
      </c>
      <c r="E991" s="48"/>
      <c r="F991" s="48" t="s">
        <v>1377</v>
      </c>
      <c r="G991" s="49">
        <v>44829.8957060185</v>
      </c>
      <c r="H991" s="49">
        <v>44829.8958796296</v>
      </c>
      <c r="I991" s="48"/>
      <c r="J991" s="48" t="s">
        <v>407</v>
      </c>
      <c r="K991" s="48"/>
      <c r="L991" s="48"/>
      <c r="M991" s="48">
        <v>339</v>
      </c>
      <c r="N991" s="48">
        <v>0</v>
      </c>
      <c r="O991" s="48">
        <v>-10</v>
      </c>
      <c r="P991" s="48">
        <v>0</v>
      </c>
      <c r="Q991" s="48">
        <v>329</v>
      </c>
      <c r="R991" s="48">
        <v>329</v>
      </c>
      <c r="S991" s="48" t="s">
        <v>2860</v>
      </c>
      <c r="T991" s="48" t="s">
        <v>5393</v>
      </c>
      <c r="U991" s="48">
        <v>1</v>
      </c>
      <c r="V991" s="48" t="s">
        <v>1364</v>
      </c>
      <c r="W991" s="48"/>
      <c r="X991" s="48" t="s">
        <v>714</v>
      </c>
      <c r="Y991" s="48" t="s">
        <v>5394</v>
      </c>
      <c r="Z991" s="48" t="s">
        <v>2336</v>
      </c>
      <c r="AA991" s="48" t="s">
        <v>5395</v>
      </c>
      <c r="AB991" s="48" t="s">
        <v>5396</v>
      </c>
      <c r="AC991" s="48" t="s">
        <v>5397</v>
      </c>
      <c r="AD991" s="48"/>
      <c r="AE991" s="48"/>
      <c r="AF991" s="48" t="s">
        <v>5398</v>
      </c>
      <c r="AG991" s="48" t="s">
        <v>1385</v>
      </c>
      <c r="AH991" s="48" t="s">
        <v>5394</v>
      </c>
      <c r="AI991" s="48"/>
      <c r="AJ991" s="48" t="s">
        <v>1649</v>
      </c>
      <c r="AK991" s="48">
        <v>0</v>
      </c>
      <c r="AL991" s="48" t="s">
        <v>5399</v>
      </c>
      <c r="AM991" s="48"/>
      <c r="AN991" s="48"/>
      <c r="AO991" s="48" t="s">
        <v>1372</v>
      </c>
      <c r="AP991" s="48" t="s">
        <v>1373</v>
      </c>
    </row>
    <row r="992" hidden="1" spans="1:42">
      <c r="A992" s="48" t="s">
        <v>5400</v>
      </c>
      <c r="B992" s="48" t="s">
        <v>1356</v>
      </c>
      <c r="C992" s="48" t="s">
        <v>1375</v>
      </c>
      <c r="D992" s="48" t="s">
        <v>1358</v>
      </c>
      <c r="E992" s="48"/>
      <c r="F992" s="48" t="s">
        <v>1377</v>
      </c>
      <c r="G992" s="49">
        <v>44829.8911921296</v>
      </c>
      <c r="H992" s="49">
        <v>44829.8915740741</v>
      </c>
      <c r="I992" s="48"/>
      <c r="J992" s="48" t="s">
        <v>407</v>
      </c>
      <c r="K992" s="48"/>
      <c r="L992" s="48"/>
      <c r="M992" s="48">
        <v>339</v>
      </c>
      <c r="N992" s="48">
        <v>0</v>
      </c>
      <c r="O992" s="48">
        <v>0</v>
      </c>
      <c r="P992" s="48">
        <v>0</v>
      </c>
      <c r="Q992" s="48">
        <v>339</v>
      </c>
      <c r="R992" s="48">
        <v>339</v>
      </c>
      <c r="S992" s="48"/>
      <c r="T992" s="48" t="s">
        <v>5353</v>
      </c>
      <c r="U992" s="48">
        <v>1</v>
      </c>
      <c r="V992" s="48" t="s">
        <v>1364</v>
      </c>
      <c r="W992" s="48"/>
      <c r="X992" s="48" t="s">
        <v>388</v>
      </c>
      <c r="Y992" s="48" t="s">
        <v>3903</v>
      </c>
      <c r="Z992" s="48" t="s">
        <v>1513</v>
      </c>
      <c r="AA992" s="48" t="s">
        <v>3904</v>
      </c>
      <c r="AB992" s="48" t="s">
        <v>3905</v>
      </c>
      <c r="AC992" s="48" t="s">
        <v>3906</v>
      </c>
      <c r="AD992" s="48"/>
      <c r="AE992" s="48"/>
      <c r="AF992" s="48" t="s">
        <v>388</v>
      </c>
      <c r="AG992" s="48" t="s">
        <v>1372</v>
      </c>
      <c r="AH992" s="48"/>
      <c r="AI992" s="48"/>
      <c r="AJ992" s="48"/>
      <c r="AK992" s="48">
        <v>0</v>
      </c>
      <c r="AL992" s="48"/>
      <c r="AM992" s="48"/>
      <c r="AN992" s="48"/>
      <c r="AO992" s="48" t="s">
        <v>1372</v>
      </c>
      <c r="AP992" s="48" t="s">
        <v>1373</v>
      </c>
    </row>
    <row r="993" hidden="1" spans="1:42">
      <c r="A993" s="48" t="s">
        <v>5401</v>
      </c>
      <c r="B993" s="48" t="s">
        <v>1356</v>
      </c>
      <c r="C993" s="48" t="s">
        <v>1375</v>
      </c>
      <c r="D993" s="48" t="s">
        <v>1358</v>
      </c>
      <c r="E993" s="48"/>
      <c r="F993" s="48" t="s">
        <v>1359</v>
      </c>
      <c r="G993" s="49">
        <v>44829.8905787037</v>
      </c>
      <c r="H993" s="49">
        <v>44829.8907175926</v>
      </c>
      <c r="I993" s="48"/>
      <c r="J993" s="48" t="s">
        <v>1360</v>
      </c>
      <c r="K993" s="48" t="s">
        <v>5402</v>
      </c>
      <c r="L993" s="48" t="s">
        <v>5403</v>
      </c>
      <c r="M993" s="48">
        <v>98</v>
      </c>
      <c r="N993" s="48">
        <v>0</v>
      </c>
      <c r="O993" s="48">
        <v>0</v>
      </c>
      <c r="P993" s="48">
        <v>0</v>
      </c>
      <c r="Q993" s="48">
        <v>98</v>
      </c>
      <c r="R993" s="48">
        <v>98</v>
      </c>
      <c r="S993" s="48"/>
      <c r="T993" s="48" t="s">
        <v>5404</v>
      </c>
      <c r="U993" s="48">
        <v>1</v>
      </c>
      <c r="V993" s="48" t="s">
        <v>1364</v>
      </c>
      <c r="W993" s="48"/>
      <c r="X993" s="48" t="s">
        <v>390</v>
      </c>
      <c r="Y993" s="48" t="s">
        <v>5405</v>
      </c>
      <c r="Z993" s="48" t="s">
        <v>1466</v>
      </c>
      <c r="AA993" s="48" t="s">
        <v>2681</v>
      </c>
      <c r="AB993" s="48" t="s">
        <v>5406</v>
      </c>
      <c r="AC993" s="48" t="s">
        <v>5407</v>
      </c>
      <c r="AD993" s="48"/>
      <c r="AE993" s="48"/>
      <c r="AF993" s="48" t="s">
        <v>5408</v>
      </c>
      <c r="AG993" s="48" t="s">
        <v>1385</v>
      </c>
      <c r="AH993" s="48" t="s">
        <v>5405</v>
      </c>
      <c r="AI993" s="48"/>
      <c r="AJ993" s="48"/>
      <c r="AK993" s="48">
        <v>0</v>
      </c>
      <c r="AL993" s="48"/>
      <c r="AM993" s="48"/>
      <c r="AN993" s="48"/>
      <c r="AO993" s="48" t="s">
        <v>1372</v>
      </c>
      <c r="AP993" s="48" t="s">
        <v>1373</v>
      </c>
    </row>
    <row r="994" hidden="1" spans="1:42">
      <c r="A994" s="48" t="s">
        <v>5409</v>
      </c>
      <c r="B994" s="48" t="s">
        <v>1356</v>
      </c>
      <c r="C994" s="48" t="s">
        <v>1357</v>
      </c>
      <c r="D994" s="48" t="s">
        <v>1358</v>
      </c>
      <c r="E994" s="48"/>
      <c r="F994" s="48" t="s">
        <v>1359</v>
      </c>
      <c r="G994" s="49">
        <v>44829.8894212963</v>
      </c>
      <c r="H994" s="49">
        <v>44829.8895949074</v>
      </c>
      <c r="I994" s="48"/>
      <c r="J994" s="48" t="s">
        <v>1360</v>
      </c>
      <c r="K994" s="48" t="s">
        <v>5410</v>
      </c>
      <c r="L994" s="48" t="s">
        <v>5411</v>
      </c>
      <c r="M994" s="48">
        <v>118</v>
      </c>
      <c r="N994" s="48">
        <v>0</v>
      </c>
      <c r="O994" s="48">
        <v>0</v>
      </c>
      <c r="P994" s="48">
        <v>0</v>
      </c>
      <c r="Q994" s="48">
        <v>118</v>
      </c>
      <c r="R994" s="48">
        <v>118</v>
      </c>
      <c r="S994" s="48"/>
      <c r="T994" s="48" t="s">
        <v>5412</v>
      </c>
      <c r="U994" s="48">
        <v>1</v>
      </c>
      <c r="V994" s="48" t="s">
        <v>1364</v>
      </c>
      <c r="W994" s="48"/>
      <c r="X994" s="48" t="s">
        <v>5413</v>
      </c>
      <c r="Y994" s="48" t="s">
        <v>5414</v>
      </c>
      <c r="Z994" s="48" t="s">
        <v>1367</v>
      </c>
      <c r="AA994" s="48" t="s">
        <v>1439</v>
      </c>
      <c r="AB994" s="48" t="s">
        <v>4263</v>
      </c>
      <c r="AC994" s="48" t="s">
        <v>5415</v>
      </c>
      <c r="AD994" s="48"/>
      <c r="AE994" s="48"/>
      <c r="AF994" s="48" t="s">
        <v>437</v>
      </c>
      <c r="AG994" s="48" t="s">
        <v>1372</v>
      </c>
      <c r="AH994" s="48" t="s">
        <v>5414</v>
      </c>
      <c r="AI994" s="48"/>
      <c r="AJ994" s="48"/>
      <c r="AK994" s="48">
        <v>0</v>
      </c>
      <c r="AL994" s="48"/>
      <c r="AM994" s="48"/>
      <c r="AN994" s="48"/>
      <c r="AO994" s="48" t="s">
        <v>1372</v>
      </c>
      <c r="AP994" s="48" t="s">
        <v>1373</v>
      </c>
    </row>
    <row r="995" hidden="1" spans="1:42">
      <c r="A995" s="48" t="s">
        <v>5416</v>
      </c>
      <c r="B995" s="48" t="s">
        <v>1356</v>
      </c>
      <c r="C995" s="48" t="s">
        <v>1357</v>
      </c>
      <c r="D995" s="48" t="s">
        <v>1358</v>
      </c>
      <c r="E995" s="48"/>
      <c r="F995" s="48" t="s">
        <v>1359</v>
      </c>
      <c r="G995" s="49">
        <v>44829.8890625</v>
      </c>
      <c r="H995" s="49">
        <v>44829.889224537</v>
      </c>
      <c r="I995" s="48"/>
      <c r="J995" s="48" t="s">
        <v>1360</v>
      </c>
      <c r="K995" s="48" t="s">
        <v>5417</v>
      </c>
      <c r="L995" s="48" t="s">
        <v>5418</v>
      </c>
      <c r="M995" s="48">
        <v>69</v>
      </c>
      <c r="N995" s="48">
        <v>0</v>
      </c>
      <c r="O995" s="48">
        <v>0</v>
      </c>
      <c r="P995" s="48">
        <v>0</v>
      </c>
      <c r="Q995" s="48">
        <v>69</v>
      </c>
      <c r="R995" s="48">
        <v>69</v>
      </c>
      <c r="S995" s="48"/>
      <c r="T995" s="48" t="s">
        <v>1669</v>
      </c>
      <c r="U995" s="48">
        <v>1</v>
      </c>
      <c r="V995" s="48" t="s">
        <v>1364</v>
      </c>
      <c r="W995" s="48"/>
      <c r="X995" s="48" t="s">
        <v>5419</v>
      </c>
      <c r="Y995" s="48" t="s">
        <v>5420</v>
      </c>
      <c r="Z995" s="48" t="s">
        <v>1367</v>
      </c>
      <c r="AA995" s="48" t="s">
        <v>1368</v>
      </c>
      <c r="AB995" s="48" t="s">
        <v>2223</v>
      </c>
      <c r="AC995" s="48" t="s">
        <v>5421</v>
      </c>
      <c r="AD995" s="48"/>
      <c r="AE995" s="48"/>
      <c r="AF995" s="48" t="s">
        <v>5422</v>
      </c>
      <c r="AG995" s="48" t="s">
        <v>1372</v>
      </c>
      <c r="AH995" s="48" t="s">
        <v>5420</v>
      </c>
      <c r="AI995" s="48"/>
      <c r="AJ995" s="48"/>
      <c r="AK995" s="48">
        <v>0</v>
      </c>
      <c r="AL995" s="48"/>
      <c r="AM995" s="48"/>
      <c r="AN995" s="48"/>
      <c r="AO995" s="48" t="s">
        <v>1372</v>
      </c>
      <c r="AP995" s="48" t="s">
        <v>1373</v>
      </c>
    </row>
    <row r="996" hidden="1" spans="1:42">
      <c r="A996" s="48" t="s">
        <v>5423</v>
      </c>
      <c r="B996" s="48" t="s">
        <v>1356</v>
      </c>
      <c r="C996" s="48" t="s">
        <v>1357</v>
      </c>
      <c r="D996" s="48" t="s">
        <v>1358</v>
      </c>
      <c r="E996" s="48"/>
      <c r="F996" s="48" t="s">
        <v>1359</v>
      </c>
      <c r="G996" s="49">
        <v>44829.8881018519</v>
      </c>
      <c r="H996" s="49">
        <v>44829.8883796296</v>
      </c>
      <c r="I996" s="48"/>
      <c r="J996" s="48" t="s">
        <v>1360</v>
      </c>
      <c r="K996" s="48" t="s">
        <v>5424</v>
      </c>
      <c r="L996" s="48" t="s">
        <v>5425</v>
      </c>
      <c r="M996" s="48">
        <v>59</v>
      </c>
      <c r="N996" s="48">
        <v>0</v>
      </c>
      <c r="O996" s="48">
        <v>0</v>
      </c>
      <c r="P996" s="48">
        <v>0</v>
      </c>
      <c r="Q996" s="48">
        <v>59</v>
      </c>
      <c r="R996" s="48">
        <v>59</v>
      </c>
      <c r="S996" s="48"/>
      <c r="T996" s="48" t="s">
        <v>5229</v>
      </c>
      <c r="U996" s="48">
        <v>1</v>
      </c>
      <c r="V996" s="48" t="s">
        <v>1364</v>
      </c>
      <c r="W996" s="48"/>
      <c r="X996" s="48" t="s">
        <v>2312</v>
      </c>
      <c r="Y996" s="48" t="s">
        <v>2313</v>
      </c>
      <c r="Z996" s="48" t="s">
        <v>1678</v>
      </c>
      <c r="AA996" s="48" t="s">
        <v>1979</v>
      </c>
      <c r="AB996" s="48" t="s">
        <v>2314</v>
      </c>
      <c r="AC996" s="48" t="s">
        <v>2315</v>
      </c>
      <c r="AD996" s="48"/>
      <c r="AE996" s="48"/>
      <c r="AF996" s="48" t="s">
        <v>2316</v>
      </c>
      <c r="AG996" s="48" t="s">
        <v>1385</v>
      </c>
      <c r="AH996" s="48" t="s">
        <v>2313</v>
      </c>
      <c r="AI996" s="48"/>
      <c r="AJ996" s="48"/>
      <c r="AK996" s="48">
        <v>0</v>
      </c>
      <c r="AL996" s="48"/>
      <c r="AM996" s="48"/>
      <c r="AN996" s="48"/>
      <c r="AO996" s="48" t="s">
        <v>1372</v>
      </c>
      <c r="AP996" s="48" t="s">
        <v>1373</v>
      </c>
    </row>
    <row r="997" hidden="1" spans="1:42">
      <c r="A997" s="48" t="s">
        <v>5426</v>
      </c>
      <c r="B997" s="48" t="s">
        <v>1356</v>
      </c>
      <c r="C997" s="48" t="s">
        <v>1357</v>
      </c>
      <c r="D997" s="48" t="s">
        <v>1358</v>
      </c>
      <c r="E997" s="48"/>
      <c r="F997" s="48" t="s">
        <v>1359</v>
      </c>
      <c r="G997" s="49">
        <v>44829.8827314815</v>
      </c>
      <c r="H997" s="49">
        <v>44829.8828819444</v>
      </c>
      <c r="I997" s="48"/>
      <c r="J997" s="48" t="s">
        <v>1360</v>
      </c>
      <c r="K997" s="48" t="s">
        <v>5427</v>
      </c>
      <c r="L997" s="48" t="s">
        <v>5428</v>
      </c>
      <c r="M997" s="48">
        <v>59</v>
      </c>
      <c r="N997" s="48">
        <v>0</v>
      </c>
      <c r="O997" s="48">
        <v>0</v>
      </c>
      <c r="P997" s="48">
        <v>0</v>
      </c>
      <c r="Q997" s="48">
        <v>59</v>
      </c>
      <c r="R997" s="48">
        <v>59</v>
      </c>
      <c r="S997" s="48"/>
      <c r="T997" s="48" t="s">
        <v>5229</v>
      </c>
      <c r="U997" s="48">
        <v>1</v>
      </c>
      <c r="V997" s="48" t="s">
        <v>1364</v>
      </c>
      <c r="W997" s="48"/>
      <c r="X997" s="48" t="s">
        <v>5429</v>
      </c>
      <c r="Y997" s="48" t="s">
        <v>5430</v>
      </c>
      <c r="Z997" s="48" t="s">
        <v>1466</v>
      </c>
      <c r="AA997" s="48" t="s">
        <v>5431</v>
      </c>
      <c r="AB997" s="48" t="s">
        <v>5432</v>
      </c>
      <c r="AC997" s="48" t="s">
        <v>5433</v>
      </c>
      <c r="AD997" s="48"/>
      <c r="AE997" s="48"/>
      <c r="AF997" s="48" t="s">
        <v>5434</v>
      </c>
      <c r="AG997" s="48" t="s">
        <v>1372</v>
      </c>
      <c r="AH997" s="48" t="s">
        <v>5430</v>
      </c>
      <c r="AI997" s="48"/>
      <c r="AJ997" s="48"/>
      <c r="AK997" s="48">
        <v>0</v>
      </c>
      <c r="AL997" s="48"/>
      <c r="AM997" s="48"/>
      <c r="AN997" s="48"/>
      <c r="AO997" s="48" t="s">
        <v>1372</v>
      </c>
      <c r="AP997" s="48" t="s">
        <v>1373</v>
      </c>
    </row>
    <row r="998" hidden="1" spans="1:42">
      <c r="A998" s="48" t="s">
        <v>5435</v>
      </c>
      <c r="B998" s="48" t="s">
        <v>1356</v>
      </c>
      <c r="C998" s="48" t="s">
        <v>1375</v>
      </c>
      <c r="D998" s="48" t="s">
        <v>1358</v>
      </c>
      <c r="E998" s="48"/>
      <c r="F998" s="48" t="s">
        <v>1377</v>
      </c>
      <c r="G998" s="49">
        <v>44829.8798842593</v>
      </c>
      <c r="H998" s="49">
        <v>44829.8802546296</v>
      </c>
      <c r="I998" s="48"/>
      <c r="J998" s="48" t="s">
        <v>407</v>
      </c>
      <c r="K998" s="48"/>
      <c r="L998" s="48"/>
      <c r="M998" s="48">
        <v>169</v>
      </c>
      <c r="N998" s="48">
        <v>0</v>
      </c>
      <c r="O998" s="48">
        <v>-7</v>
      </c>
      <c r="P998" s="48">
        <v>0</v>
      </c>
      <c r="Q998" s="48">
        <v>162</v>
      </c>
      <c r="R998" s="48">
        <v>162</v>
      </c>
      <c r="S998" s="48" t="s">
        <v>2550</v>
      </c>
      <c r="T998" s="48" t="s">
        <v>5436</v>
      </c>
      <c r="U998" s="48">
        <v>1</v>
      </c>
      <c r="V998" s="48" t="s">
        <v>1364</v>
      </c>
      <c r="W998" s="48"/>
      <c r="X998" s="48" t="s">
        <v>383</v>
      </c>
      <c r="Y998" s="48" t="s">
        <v>2422</v>
      </c>
      <c r="Z998" s="48" t="s">
        <v>1367</v>
      </c>
      <c r="AA998" s="48" t="s">
        <v>1615</v>
      </c>
      <c r="AB998" s="48" t="s">
        <v>2423</v>
      </c>
      <c r="AC998" s="48" t="s">
        <v>2424</v>
      </c>
      <c r="AD998" s="48" t="s">
        <v>5437</v>
      </c>
      <c r="AE998" s="48"/>
      <c r="AF998" s="48" t="s">
        <v>4782</v>
      </c>
      <c r="AG998" s="48" t="s">
        <v>1372</v>
      </c>
      <c r="AH998" s="48" t="s">
        <v>2422</v>
      </c>
      <c r="AI998" s="48"/>
      <c r="AJ998" s="48"/>
      <c r="AK998" s="48">
        <v>0</v>
      </c>
      <c r="AL998" s="48"/>
      <c r="AM998" s="48"/>
      <c r="AN998" s="48"/>
      <c r="AO998" s="48" t="s">
        <v>1372</v>
      </c>
      <c r="AP998" s="48" t="s">
        <v>1373</v>
      </c>
    </row>
    <row r="999" hidden="1" spans="1:42">
      <c r="A999" s="48" t="s">
        <v>5438</v>
      </c>
      <c r="B999" s="48" t="s">
        <v>1356</v>
      </c>
      <c r="C999" s="48" t="s">
        <v>1375</v>
      </c>
      <c r="D999" s="48" t="s">
        <v>1358</v>
      </c>
      <c r="E999" s="48"/>
      <c r="F999" s="48" t="s">
        <v>1377</v>
      </c>
      <c r="G999" s="49">
        <v>44829.8798032407</v>
      </c>
      <c r="H999" s="49">
        <v>44829.8799884259</v>
      </c>
      <c r="I999" s="48"/>
      <c r="J999" s="48" t="s">
        <v>407</v>
      </c>
      <c r="K999" s="48"/>
      <c r="L999" s="48"/>
      <c r="M999" s="48">
        <v>165.62</v>
      </c>
      <c r="N999" s="48">
        <v>0</v>
      </c>
      <c r="O999" s="48">
        <v>-6</v>
      </c>
      <c r="P999" s="48">
        <v>0</v>
      </c>
      <c r="Q999" s="48">
        <v>159.62</v>
      </c>
      <c r="R999" s="48">
        <v>159.62</v>
      </c>
      <c r="S999" s="48" t="s">
        <v>1463</v>
      </c>
      <c r="T999" s="48" t="s">
        <v>5439</v>
      </c>
      <c r="U999" s="48">
        <v>1</v>
      </c>
      <c r="V999" s="48" t="s">
        <v>1364</v>
      </c>
      <c r="W999" s="48"/>
      <c r="X999" s="48" t="s">
        <v>390</v>
      </c>
      <c r="Y999" s="48" t="s">
        <v>5405</v>
      </c>
      <c r="Z999" s="48" t="s">
        <v>1466</v>
      </c>
      <c r="AA999" s="48" t="s">
        <v>2681</v>
      </c>
      <c r="AB999" s="48" t="s">
        <v>5406</v>
      </c>
      <c r="AC999" s="48" t="s">
        <v>5407</v>
      </c>
      <c r="AD999" s="48" t="s">
        <v>5440</v>
      </c>
      <c r="AE999" s="48"/>
      <c r="AF999" s="48" t="s">
        <v>5408</v>
      </c>
      <c r="AG999" s="48" t="s">
        <v>1385</v>
      </c>
      <c r="AH999" s="48" t="s">
        <v>5405</v>
      </c>
      <c r="AI999" s="48"/>
      <c r="AJ999" s="48"/>
      <c r="AK999" s="48">
        <v>0</v>
      </c>
      <c r="AL999" s="48"/>
      <c r="AM999" s="48"/>
      <c r="AN999" s="48"/>
      <c r="AO999" s="48" t="s">
        <v>1372</v>
      </c>
      <c r="AP999" s="48" t="s">
        <v>1373</v>
      </c>
    </row>
    <row r="1000" hidden="1" spans="1:42">
      <c r="A1000" s="48" t="s">
        <v>5441</v>
      </c>
      <c r="B1000" s="48" t="s">
        <v>1356</v>
      </c>
      <c r="C1000" s="48" t="s">
        <v>1357</v>
      </c>
      <c r="D1000" s="48" t="s">
        <v>1358</v>
      </c>
      <c r="E1000" s="48"/>
      <c r="F1000" s="48" t="s">
        <v>1359</v>
      </c>
      <c r="G1000" s="49">
        <v>44829.8791435185</v>
      </c>
      <c r="H1000" s="49">
        <v>44829.8793402778</v>
      </c>
      <c r="I1000" s="48"/>
      <c r="J1000" s="48" t="s">
        <v>1360</v>
      </c>
      <c r="K1000" s="48" t="s">
        <v>5442</v>
      </c>
      <c r="L1000" s="48" t="s">
        <v>5443</v>
      </c>
      <c r="M1000" s="48">
        <v>59</v>
      </c>
      <c r="N1000" s="48">
        <v>10</v>
      </c>
      <c r="O1000" s="48">
        <v>0</v>
      </c>
      <c r="P1000" s="48">
        <v>0</v>
      </c>
      <c r="Q1000" s="48">
        <v>69</v>
      </c>
      <c r="R1000" s="48">
        <v>69</v>
      </c>
      <c r="S1000" s="48"/>
      <c r="T1000" s="48" t="s">
        <v>5444</v>
      </c>
      <c r="U1000" s="48">
        <v>1</v>
      </c>
      <c r="V1000" s="48" t="s">
        <v>1364</v>
      </c>
      <c r="W1000" s="48"/>
      <c r="X1000" s="48" t="s">
        <v>1190</v>
      </c>
      <c r="Y1000" s="48" t="s">
        <v>5445</v>
      </c>
      <c r="Z1000" s="48" t="s">
        <v>1447</v>
      </c>
      <c r="AA1000" s="48" t="s">
        <v>1543</v>
      </c>
      <c r="AB1000" s="48" t="s">
        <v>1544</v>
      </c>
      <c r="AC1000" s="48" t="s">
        <v>5446</v>
      </c>
      <c r="AD1000" s="48"/>
      <c r="AE1000" s="48"/>
      <c r="AF1000" s="48" t="s">
        <v>1190</v>
      </c>
      <c r="AG1000" s="48" t="s">
        <v>1372</v>
      </c>
      <c r="AH1000" s="48" t="s">
        <v>5445</v>
      </c>
      <c r="AI1000" s="48"/>
      <c r="AJ1000" s="48"/>
      <c r="AK1000" s="48">
        <v>0</v>
      </c>
      <c r="AL1000" s="48"/>
      <c r="AM1000" s="48"/>
      <c r="AN1000" s="48"/>
      <c r="AO1000" s="48" t="s">
        <v>1372</v>
      </c>
      <c r="AP1000" s="48" t="s">
        <v>1373</v>
      </c>
    </row>
    <row r="1001" hidden="1" spans="1:42">
      <c r="A1001" s="48" t="s">
        <v>5447</v>
      </c>
      <c r="B1001" s="48" t="s">
        <v>1356</v>
      </c>
      <c r="C1001" s="48" t="s">
        <v>1375</v>
      </c>
      <c r="D1001" s="48" t="s">
        <v>1358</v>
      </c>
      <c r="E1001" s="48"/>
      <c r="F1001" s="48" t="s">
        <v>1377</v>
      </c>
      <c r="G1001" s="49">
        <v>44829.8782638889</v>
      </c>
      <c r="H1001" s="49">
        <v>44829.8784490741</v>
      </c>
      <c r="I1001" s="48"/>
      <c r="J1001" s="48" t="s">
        <v>407</v>
      </c>
      <c r="K1001" s="48"/>
      <c r="L1001" s="48"/>
      <c r="M1001" s="48">
        <v>167.31</v>
      </c>
      <c r="N1001" s="48">
        <v>0</v>
      </c>
      <c r="O1001" s="48">
        <v>0</v>
      </c>
      <c r="P1001" s="48">
        <v>0</v>
      </c>
      <c r="Q1001" s="48">
        <v>167.31</v>
      </c>
      <c r="R1001" s="48">
        <v>167.31</v>
      </c>
      <c r="S1001" s="48"/>
      <c r="T1001" s="48" t="s">
        <v>5436</v>
      </c>
      <c r="U1001" s="48">
        <v>1</v>
      </c>
      <c r="V1001" s="48" t="s">
        <v>1364</v>
      </c>
      <c r="W1001" s="48"/>
      <c r="X1001" s="48" t="s">
        <v>464</v>
      </c>
      <c r="Y1001" s="48" t="s">
        <v>5448</v>
      </c>
      <c r="Z1001" s="48" t="s">
        <v>1695</v>
      </c>
      <c r="AA1001" s="48" t="s">
        <v>2369</v>
      </c>
      <c r="AB1001" s="48" t="s">
        <v>5449</v>
      </c>
      <c r="AC1001" s="48" t="s">
        <v>5450</v>
      </c>
      <c r="AD1001" s="48"/>
      <c r="AE1001" s="48"/>
      <c r="AF1001" s="48" t="s">
        <v>5451</v>
      </c>
      <c r="AG1001" s="48" t="s">
        <v>1385</v>
      </c>
      <c r="AH1001" s="48" t="s">
        <v>5448</v>
      </c>
      <c r="AI1001" s="48"/>
      <c r="AJ1001" s="48"/>
      <c r="AK1001" s="48">
        <v>0</v>
      </c>
      <c r="AL1001" s="48" t="s">
        <v>5452</v>
      </c>
      <c r="AM1001" s="48"/>
      <c r="AN1001" s="48"/>
      <c r="AO1001" s="48" t="s">
        <v>1372</v>
      </c>
      <c r="AP1001" s="48" t="s">
        <v>1373</v>
      </c>
    </row>
    <row r="1002" hidden="1" spans="1:42">
      <c r="A1002" s="48" t="s">
        <v>5453</v>
      </c>
      <c r="B1002" s="48" t="s">
        <v>1356</v>
      </c>
      <c r="C1002" s="48" t="s">
        <v>1375</v>
      </c>
      <c r="D1002" s="48" t="s">
        <v>1376</v>
      </c>
      <c r="E1002" s="48"/>
      <c r="F1002" s="48" t="s">
        <v>1377</v>
      </c>
      <c r="G1002" s="49">
        <v>44829.8775231481</v>
      </c>
      <c r="H1002" s="48"/>
      <c r="I1002" s="48"/>
      <c r="J1002" s="48"/>
      <c r="K1002" s="48"/>
      <c r="L1002" s="48"/>
      <c r="M1002" s="48">
        <v>39.9</v>
      </c>
      <c r="N1002" s="48">
        <v>0</v>
      </c>
      <c r="O1002" s="48">
        <v>-1</v>
      </c>
      <c r="P1002" s="48">
        <v>0</v>
      </c>
      <c r="Q1002" s="48">
        <v>38.9</v>
      </c>
      <c r="R1002" s="48">
        <v>0</v>
      </c>
      <c r="S1002" s="48" t="s">
        <v>1414</v>
      </c>
      <c r="T1002" s="48" t="s">
        <v>5454</v>
      </c>
      <c r="U1002" s="48">
        <v>1</v>
      </c>
      <c r="V1002" s="48" t="s">
        <v>1364</v>
      </c>
      <c r="W1002" s="48"/>
      <c r="X1002" s="48" t="s">
        <v>5455</v>
      </c>
      <c r="Y1002" s="48" t="s">
        <v>5456</v>
      </c>
      <c r="Z1002" s="48" t="s">
        <v>1495</v>
      </c>
      <c r="AA1002" s="48" t="s">
        <v>5457</v>
      </c>
      <c r="AB1002" s="48" t="s">
        <v>5458</v>
      </c>
      <c r="AC1002" s="48" t="s">
        <v>5459</v>
      </c>
      <c r="AD1002" s="48"/>
      <c r="AE1002" s="48"/>
      <c r="AF1002" s="48" t="s">
        <v>5460</v>
      </c>
      <c r="AG1002" s="48" t="s">
        <v>1385</v>
      </c>
      <c r="AH1002" s="48" t="s">
        <v>5456</v>
      </c>
      <c r="AI1002" s="48"/>
      <c r="AJ1002" s="48"/>
      <c r="AK1002" s="48">
        <v>0</v>
      </c>
      <c r="AL1002" s="48"/>
      <c r="AM1002" s="48"/>
      <c r="AN1002" s="48"/>
      <c r="AO1002" s="48" t="s">
        <v>1372</v>
      </c>
      <c r="AP1002" s="48" t="s">
        <v>1373</v>
      </c>
    </row>
    <row r="1003" hidden="1" spans="1:42">
      <c r="A1003" s="48" t="s">
        <v>5461</v>
      </c>
      <c r="B1003" s="48" t="s">
        <v>1356</v>
      </c>
      <c r="C1003" s="48" t="s">
        <v>1375</v>
      </c>
      <c r="D1003" s="48" t="s">
        <v>1376</v>
      </c>
      <c r="E1003" s="48"/>
      <c r="F1003" s="48" t="s">
        <v>1377</v>
      </c>
      <c r="G1003" s="49">
        <v>44829.8736805556</v>
      </c>
      <c r="H1003" s="48"/>
      <c r="I1003" s="48"/>
      <c r="J1003" s="48"/>
      <c r="K1003" s="48"/>
      <c r="L1003" s="48"/>
      <c r="M1003" s="48">
        <v>239</v>
      </c>
      <c r="N1003" s="48">
        <v>0</v>
      </c>
      <c r="O1003" s="48">
        <v>0</v>
      </c>
      <c r="P1003" s="48">
        <v>0</v>
      </c>
      <c r="Q1003" s="48">
        <v>239</v>
      </c>
      <c r="R1003" s="48">
        <v>0</v>
      </c>
      <c r="S1003" s="48"/>
      <c r="T1003" s="48" t="s">
        <v>5462</v>
      </c>
      <c r="U1003" s="48">
        <v>1</v>
      </c>
      <c r="V1003" s="48" t="s">
        <v>1364</v>
      </c>
      <c r="W1003" s="48"/>
      <c r="X1003" s="48" t="s">
        <v>388</v>
      </c>
      <c r="Y1003" s="48" t="s">
        <v>3903</v>
      </c>
      <c r="Z1003" s="48" t="s">
        <v>1513</v>
      </c>
      <c r="AA1003" s="48" t="s">
        <v>3904</v>
      </c>
      <c r="AB1003" s="48" t="s">
        <v>3905</v>
      </c>
      <c r="AC1003" s="48" t="s">
        <v>3906</v>
      </c>
      <c r="AD1003" s="48"/>
      <c r="AE1003" s="48"/>
      <c r="AF1003" s="48" t="s">
        <v>388</v>
      </c>
      <c r="AG1003" s="48" t="s">
        <v>1372</v>
      </c>
      <c r="AH1003" s="48"/>
      <c r="AI1003" s="48"/>
      <c r="AJ1003" s="48"/>
      <c r="AK1003" s="48">
        <v>0</v>
      </c>
      <c r="AL1003" s="48"/>
      <c r="AM1003" s="48"/>
      <c r="AN1003" s="48"/>
      <c r="AO1003" s="48" t="s">
        <v>1372</v>
      </c>
      <c r="AP1003" s="48" t="s">
        <v>1373</v>
      </c>
    </row>
    <row r="1004" hidden="1" spans="1:42">
      <c r="A1004" s="48" t="s">
        <v>5463</v>
      </c>
      <c r="B1004" s="48" t="s">
        <v>1356</v>
      </c>
      <c r="C1004" s="48" t="s">
        <v>1375</v>
      </c>
      <c r="D1004" s="48" t="s">
        <v>1376</v>
      </c>
      <c r="E1004" s="48"/>
      <c r="F1004" s="48" t="s">
        <v>1377</v>
      </c>
      <c r="G1004" s="49">
        <v>44829.8734606481</v>
      </c>
      <c r="H1004" s="48"/>
      <c r="I1004" s="48"/>
      <c r="J1004" s="48"/>
      <c r="K1004" s="48"/>
      <c r="L1004" s="48"/>
      <c r="M1004" s="48">
        <v>239</v>
      </c>
      <c r="N1004" s="48">
        <v>0</v>
      </c>
      <c r="O1004" s="48">
        <v>0</v>
      </c>
      <c r="P1004" s="48">
        <v>0</v>
      </c>
      <c r="Q1004" s="48">
        <v>239</v>
      </c>
      <c r="R1004" s="48">
        <v>0</v>
      </c>
      <c r="S1004" s="48"/>
      <c r="T1004" s="48" t="s">
        <v>5464</v>
      </c>
      <c r="U1004" s="48">
        <v>1</v>
      </c>
      <c r="V1004" s="48" t="s">
        <v>1364</v>
      </c>
      <c r="W1004" s="48"/>
      <c r="X1004" s="48" t="s">
        <v>502</v>
      </c>
      <c r="Y1004" s="48" t="s">
        <v>1416</v>
      </c>
      <c r="Z1004" s="48" t="s">
        <v>1367</v>
      </c>
      <c r="AA1004" s="48" t="s">
        <v>1417</v>
      </c>
      <c r="AB1004" s="48" t="s">
        <v>1418</v>
      </c>
      <c r="AC1004" s="48" t="s">
        <v>1419</v>
      </c>
      <c r="AD1004" s="48"/>
      <c r="AE1004" s="48"/>
      <c r="AF1004" s="48" t="s">
        <v>1420</v>
      </c>
      <c r="AG1004" s="48" t="s">
        <v>1372</v>
      </c>
      <c r="AH1004" s="48" t="s">
        <v>1416</v>
      </c>
      <c r="AI1004" s="48"/>
      <c r="AJ1004" s="48"/>
      <c r="AK1004" s="48">
        <v>0</v>
      </c>
      <c r="AL1004" s="48"/>
      <c r="AM1004" s="48"/>
      <c r="AN1004" s="48"/>
      <c r="AO1004" s="48" t="s">
        <v>1372</v>
      </c>
      <c r="AP1004" s="48" t="s">
        <v>1373</v>
      </c>
    </row>
    <row r="1005" hidden="1" spans="1:42">
      <c r="A1005" s="48" t="s">
        <v>5465</v>
      </c>
      <c r="B1005" s="48" t="s">
        <v>1356</v>
      </c>
      <c r="C1005" s="48" t="s">
        <v>1375</v>
      </c>
      <c r="D1005" s="48" t="s">
        <v>1780</v>
      </c>
      <c r="E1005" s="48"/>
      <c r="F1005" s="48" t="s">
        <v>1377</v>
      </c>
      <c r="G1005" s="49">
        <v>44829.8730439815</v>
      </c>
      <c r="H1005" s="49">
        <v>44829.8732986111</v>
      </c>
      <c r="I1005" s="48"/>
      <c r="J1005" s="48" t="s">
        <v>407</v>
      </c>
      <c r="K1005" s="48"/>
      <c r="L1005" s="48"/>
      <c r="M1005" s="48">
        <v>239</v>
      </c>
      <c r="N1005" s="48">
        <v>0</v>
      </c>
      <c r="O1005" s="48">
        <v>-6</v>
      </c>
      <c r="P1005" s="48">
        <v>0</v>
      </c>
      <c r="Q1005" s="48">
        <v>233</v>
      </c>
      <c r="R1005" s="48">
        <v>233</v>
      </c>
      <c r="S1005" s="48" t="s">
        <v>1463</v>
      </c>
      <c r="T1005" s="48" t="s">
        <v>5466</v>
      </c>
      <c r="U1005" s="48">
        <v>1</v>
      </c>
      <c r="V1005" s="48" t="s">
        <v>1364</v>
      </c>
      <c r="W1005" s="48"/>
      <c r="X1005" s="48" t="s">
        <v>815</v>
      </c>
      <c r="Y1005" s="48" t="s">
        <v>3803</v>
      </c>
      <c r="Z1005" s="48" t="s">
        <v>1710</v>
      </c>
      <c r="AA1005" s="48" t="s">
        <v>3751</v>
      </c>
      <c r="AB1005" s="48" t="s">
        <v>3752</v>
      </c>
      <c r="AC1005" s="48" t="s">
        <v>3804</v>
      </c>
      <c r="AD1005" s="48"/>
      <c r="AE1005" s="48"/>
      <c r="AF1005" s="48" t="s">
        <v>3805</v>
      </c>
      <c r="AG1005" s="48" t="s">
        <v>1385</v>
      </c>
      <c r="AH1005" s="48" t="s">
        <v>3803</v>
      </c>
      <c r="AI1005" s="48"/>
      <c r="AJ1005" s="48" t="s">
        <v>2945</v>
      </c>
      <c r="AK1005" s="48">
        <v>233</v>
      </c>
      <c r="AL1005" s="48" t="s">
        <v>5467</v>
      </c>
      <c r="AM1005" s="48"/>
      <c r="AN1005" s="48"/>
      <c r="AO1005" s="48" t="s">
        <v>1372</v>
      </c>
      <c r="AP1005" s="48" t="s">
        <v>1373</v>
      </c>
    </row>
    <row r="1006" hidden="1" spans="1:42">
      <c r="A1006" s="48" t="s">
        <v>5468</v>
      </c>
      <c r="B1006" s="48" t="s">
        <v>1356</v>
      </c>
      <c r="C1006" s="48" t="s">
        <v>1375</v>
      </c>
      <c r="D1006" s="48" t="s">
        <v>1358</v>
      </c>
      <c r="E1006" s="48"/>
      <c r="F1006" s="48" t="s">
        <v>3560</v>
      </c>
      <c r="G1006" s="49">
        <v>44829.865474537</v>
      </c>
      <c r="H1006" s="49">
        <v>44829.8657291667</v>
      </c>
      <c r="I1006" s="48"/>
      <c r="J1006" s="48" t="s">
        <v>407</v>
      </c>
      <c r="K1006" s="48"/>
      <c r="L1006" s="48"/>
      <c r="M1006" s="48">
        <v>299</v>
      </c>
      <c r="N1006" s="48">
        <v>0</v>
      </c>
      <c r="O1006" s="48">
        <v>0</v>
      </c>
      <c r="P1006" s="48">
        <v>0</v>
      </c>
      <c r="Q1006" s="48">
        <v>299</v>
      </c>
      <c r="R1006" s="48">
        <v>299</v>
      </c>
      <c r="S1006" s="48"/>
      <c r="T1006" s="48" t="s">
        <v>3920</v>
      </c>
      <c r="U1006" s="48">
        <v>1</v>
      </c>
      <c r="V1006" s="48" t="s">
        <v>1364</v>
      </c>
      <c r="W1006" s="48"/>
      <c r="X1006" s="48" t="s">
        <v>740</v>
      </c>
      <c r="Y1006" s="48" t="s">
        <v>5469</v>
      </c>
      <c r="Z1006" s="48" t="s">
        <v>1495</v>
      </c>
      <c r="AA1006" s="48" t="s">
        <v>2197</v>
      </c>
      <c r="AB1006" s="48" t="s">
        <v>2776</v>
      </c>
      <c r="AC1006" s="48" t="s">
        <v>5470</v>
      </c>
      <c r="AD1006" s="48"/>
      <c r="AE1006" s="48"/>
      <c r="AF1006" s="48" t="s">
        <v>5471</v>
      </c>
      <c r="AG1006" s="48" t="s">
        <v>1372</v>
      </c>
      <c r="AH1006" s="48"/>
      <c r="AI1006" s="48"/>
      <c r="AJ1006" s="48"/>
      <c r="AK1006" s="48">
        <v>0</v>
      </c>
      <c r="AL1006" s="48"/>
      <c r="AM1006" s="48"/>
      <c r="AN1006" s="48"/>
      <c r="AO1006" s="48" t="s">
        <v>1372</v>
      </c>
      <c r="AP1006" s="48" t="s">
        <v>1373</v>
      </c>
    </row>
    <row r="1007" hidden="1" spans="1:42">
      <c r="A1007" s="48" t="s">
        <v>5472</v>
      </c>
      <c r="B1007" s="48" t="s">
        <v>1356</v>
      </c>
      <c r="C1007" s="48" t="s">
        <v>1375</v>
      </c>
      <c r="D1007" s="48" t="s">
        <v>1376</v>
      </c>
      <c r="E1007" s="48"/>
      <c r="F1007" s="48" t="s">
        <v>1377</v>
      </c>
      <c r="G1007" s="49">
        <v>44829.8640509259</v>
      </c>
      <c r="H1007" s="48"/>
      <c r="I1007" s="48"/>
      <c r="J1007" s="48"/>
      <c r="K1007" s="48"/>
      <c r="L1007" s="48"/>
      <c r="M1007" s="48">
        <v>299</v>
      </c>
      <c r="N1007" s="48">
        <v>0</v>
      </c>
      <c r="O1007" s="48">
        <v>0</v>
      </c>
      <c r="P1007" s="48">
        <v>0</v>
      </c>
      <c r="Q1007" s="48">
        <v>299</v>
      </c>
      <c r="R1007" s="48">
        <v>0</v>
      </c>
      <c r="S1007" s="48"/>
      <c r="T1007" s="48" t="s">
        <v>3259</v>
      </c>
      <c r="U1007" s="48">
        <v>1</v>
      </c>
      <c r="V1007" s="48" t="s">
        <v>1364</v>
      </c>
      <c r="W1007" s="48"/>
      <c r="X1007" s="48" t="s">
        <v>5473</v>
      </c>
      <c r="Y1007" s="48" t="s">
        <v>5474</v>
      </c>
      <c r="Z1007" s="48" t="s">
        <v>2336</v>
      </c>
      <c r="AA1007" s="48" t="s">
        <v>2336</v>
      </c>
      <c r="AB1007" s="48" t="s">
        <v>2337</v>
      </c>
      <c r="AC1007" s="48" t="s">
        <v>5475</v>
      </c>
      <c r="AD1007" s="48"/>
      <c r="AE1007" s="48"/>
      <c r="AF1007" s="48" t="s">
        <v>5476</v>
      </c>
      <c r="AG1007" s="48" t="s">
        <v>1372</v>
      </c>
      <c r="AH1007" s="48" t="s">
        <v>5477</v>
      </c>
      <c r="AI1007" s="48"/>
      <c r="AJ1007" s="48"/>
      <c r="AK1007" s="48">
        <v>0</v>
      </c>
      <c r="AL1007" s="48"/>
      <c r="AM1007" s="48"/>
      <c r="AN1007" s="48"/>
      <c r="AO1007" s="48" t="s">
        <v>1372</v>
      </c>
      <c r="AP1007" s="48" t="s">
        <v>1373</v>
      </c>
    </row>
    <row r="1008" hidden="1" spans="1:42">
      <c r="A1008" s="48" t="s">
        <v>5478</v>
      </c>
      <c r="B1008" s="48" t="s">
        <v>1356</v>
      </c>
      <c r="C1008" s="48" t="s">
        <v>1357</v>
      </c>
      <c r="D1008" s="48" t="s">
        <v>1358</v>
      </c>
      <c r="E1008" s="48"/>
      <c r="F1008" s="48" t="s">
        <v>1359</v>
      </c>
      <c r="G1008" s="49">
        <v>44829.8634027778</v>
      </c>
      <c r="H1008" s="49">
        <v>44829.8635069444</v>
      </c>
      <c r="I1008" s="48"/>
      <c r="J1008" s="48" t="s">
        <v>1360</v>
      </c>
      <c r="K1008" s="48" t="s">
        <v>5479</v>
      </c>
      <c r="L1008" s="48" t="s">
        <v>5480</v>
      </c>
      <c r="M1008" s="48">
        <v>49</v>
      </c>
      <c r="N1008" s="48">
        <v>0</v>
      </c>
      <c r="O1008" s="48">
        <v>0</v>
      </c>
      <c r="P1008" s="48">
        <v>0</v>
      </c>
      <c r="Q1008" s="48">
        <v>49</v>
      </c>
      <c r="R1008" s="48">
        <v>49</v>
      </c>
      <c r="S1008" s="48"/>
      <c r="T1008" s="48" t="s">
        <v>5481</v>
      </c>
      <c r="U1008" s="48">
        <v>1</v>
      </c>
      <c r="V1008" s="48" t="s">
        <v>1364</v>
      </c>
      <c r="W1008" s="48"/>
      <c r="X1008" s="48" t="s">
        <v>5482</v>
      </c>
      <c r="Y1008" s="48" t="s">
        <v>5483</v>
      </c>
      <c r="Z1008" s="48" t="s">
        <v>1367</v>
      </c>
      <c r="AA1008" s="48" t="s">
        <v>1615</v>
      </c>
      <c r="AB1008" s="48" t="s">
        <v>1616</v>
      </c>
      <c r="AC1008" s="48" t="s">
        <v>5484</v>
      </c>
      <c r="AD1008" s="48"/>
      <c r="AE1008" s="48"/>
      <c r="AF1008" s="48" t="s">
        <v>5485</v>
      </c>
      <c r="AG1008" s="48" t="s">
        <v>1372</v>
      </c>
      <c r="AH1008" s="48" t="s">
        <v>5483</v>
      </c>
      <c r="AI1008" s="48"/>
      <c r="AJ1008" s="48"/>
      <c r="AK1008" s="48">
        <v>0</v>
      </c>
      <c r="AL1008" s="48"/>
      <c r="AM1008" s="48"/>
      <c r="AN1008" s="48"/>
      <c r="AO1008" s="48" t="s">
        <v>1372</v>
      </c>
      <c r="AP1008" s="48" t="s">
        <v>1373</v>
      </c>
    </row>
    <row r="1009" hidden="1" spans="1:42">
      <c r="A1009" s="48" t="s">
        <v>5486</v>
      </c>
      <c r="B1009" s="48" t="s">
        <v>1356</v>
      </c>
      <c r="C1009" s="48" t="s">
        <v>1375</v>
      </c>
      <c r="D1009" s="48" t="s">
        <v>1358</v>
      </c>
      <c r="E1009" s="48"/>
      <c r="F1009" s="48" t="s">
        <v>1377</v>
      </c>
      <c r="G1009" s="49">
        <v>44829.8625925926</v>
      </c>
      <c r="H1009" s="49">
        <v>44829.8628240741</v>
      </c>
      <c r="I1009" s="48"/>
      <c r="J1009" s="48" t="s">
        <v>407</v>
      </c>
      <c r="K1009" s="48"/>
      <c r="L1009" s="48"/>
      <c r="M1009" s="48">
        <v>299</v>
      </c>
      <c r="N1009" s="48">
        <v>0</v>
      </c>
      <c r="O1009" s="48">
        <v>-1</v>
      </c>
      <c r="P1009" s="48">
        <v>0</v>
      </c>
      <c r="Q1009" s="48">
        <v>298</v>
      </c>
      <c r="R1009" s="48">
        <v>298</v>
      </c>
      <c r="S1009" s="48" t="s">
        <v>1414</v>
      </c>
      <c r="T1009" s="48" t="s">
        <v>3384</v>
      </c>
      <c r="U1009" s="48">
        <v>1</v>
      </c>
      <c r="V1009" s="48" t="s">
        <v>1364</v>
      </c>
      <c r="W1009" s="48"/>
      <c r="X1009" s="48" t="s">
        <v>390</v>
      </c>
      <c r="Y1009" s="48" t="s">
        <v>5405</v>
      </c>
      <c r="Z1009" s="48" t="s">
        <v>1466</v>
      </c>
      <c r="AA1009" s="48" t="s">
        <v>2681</v>
      </c>
      <c r="AB1009" s="48" t="s">
        <v>5406</v>
      </c>
      <c r="AC1009" s="48" t="s">
        <v>5407</v>
      </c>
      <c r="AD1009" s="48"/>
      <c r="AE1009" s="48"/>
      <c r="AF1009" s="48" t="s">
        <v>5408</v>
      </c>
      <c r="AG1009" s="48" t="s">
        <v>1385</v>
      </c>
      <c r="AH1009" s="48" t="s">
        <v>5405</v>
      </c>
      <c r="AI1009" s="48"/>
      <c r="AJ1009" s="48"/>
      <c r="AK1009" s="48">
        <v>0</v>
      </c>
      <c r="AL1009" s="48"/>
      <c r="AM1009" s="48"/>
      <c r="AN1009" s="48"/>
      <c r="AO1009" s="48" t="s">
        <v>1372</v>
      </c>
      <c r="AP1009" s="48" t="s">
        <v>1373</v>
      </c>
    </row>
    <row r="1010" hidden="1" spans="1:42">
      <c r="A1010" s="48" t="s">
        <v>5487</v>
      </c>
      <c r="B1010" s="48" t="s">
        <v>1356</v>
      </c>
      <c r="C1010" s="48" t="s">
        <v>1357</v>
      </c>
      <c r="D1010" s="48" t="s">
        <v>1376</v>
      </c>
      <c r="E1010" s="48"/>
      <c r="F1010" s="48" t="s">
        <v>1359</v>
      </c>
      <c r="G1010" s="49">
        <v>44829.8594097222</v>
      </c>
      <c r="H1010" s="48"/>
      <c r="I1010" s="48"/>
      <c r="J1010" s="48"/>
      <c r="K1010" s="48"/>
      <c r="L1010" s="48"/>
      <c r="M1010" s="48">
        <v>59</v>
      </c>
      <c r="N1010" s="48">
        <v>0</v>
      </c>
      <c r="O1010" s="48">
        <v>0</v>
      </c>
      <c r="P1010" s="48">
        <v>0</v>
      </c>
      <c r="Q1010" s="48">
        <v>59</v>
      </c>
      <c r="R1010" s="48">
        <v>0</v>
      </c>
      <c r="S1010" s="48"/>
      <c r="T1010" s="48" t="s">
        <v>5488</v>
      </c>
      <c r="U1010" s="48">
        <v>1</v>
      </c>
      <c r="V1010" s="48" t="s">
        <v>1364</v>
      </c>
      <c r="W1010" s="48"/>
      <c r="X1010" s="48" t="s">
        <v>5489</v>
      </c>
      <c r="Y1010" s="48" t="s">
        <v>5490</v>
      </c>
      <c r="Z1010" s="48" t="s">
        <v>1678</v>
      </c>
      <c r="AA1010" s="48" t="s">
        <v>3333</v>
      </c>
      <c r="AB1010" s="48" t="s">
        <v>4136</v>
      </c>
      <c r="AC1010" s="48" t="s">
        <v>5491</v>
      </c>
      <c r="AD1010" s="48"/>
      <c r="AE1010" s="48"/>
      <c r="AF1010" s="48" t="s">
        <v>5492</v>
      </c>
      <c r="AG1010" s="48" t="s">
        <v>1385</v>
      </c>
      <c r="AH1010" s="48" t="s">
        <v>5490</v>
      </c>
      <c r="AI1010" s="48"/>
      <c r="AJ1010" s="48"/>
      <c r="AK1010" s="48">
        <v>0</v>
      </c>
      <c r="AL1010" s="48"/>
      <c r="AM1010" s="48"/>
      <c r="AN1010" s="48"/>
      <c r="AO1010" s="48" t="s">
        <v>1372</v>
      </c>
      <c r="AP1010" s="48" t="s">
        <v>1373</v>
      </c>
    </row>
    <row r="1011" hidden="1" spans="1:42">
      <c r="A1011" s="48" t="s">
        <v>5493</v>
      </c>
      <c r="B1011" s="48" t="s">
        <v>1356</v>
      </c>
      <c r="C1011" s="48" t="s">
        <v>1357</v>
      </c>
      <c r="D1011" s="48" t="s">
        <v>1358</v>
      </c>
      <c r="E1011" s="48"/>
      <c r="F1011" s="48" t="s">
        <v>1359</v>
      </c>
      <c r="G1011" s="49">
        <v>44829.8583912037</v>
      </c>
      <c r="H1011" s="49">
        <v>44829.8587384259</v>
      </c>
      <c r="I1011" s="48"/>
      <c r="J1011" s="48" t="s">
        <v>1360</v>
      </c>
      <c r="K1011" s="48" t="s">
        <v>5494</v>
      </c>
      <c r="L1011" s="48" t="s">
        <v>5495</v>
      </c>
      <c r="M1011" s="48">
        <v>69</v>
      </c>
      <c r="N1011" s="48">
        <v>0</v>
      </c>
      <c r="O1011" s="48">
        <v>0</v>
      </c>
      <c r="P1011" s="48">
        <v>0</v>
      </c>
      <c r="Q1011" s="48">
        <v>69</v>
      </c>
      <c r="R1011" s="48">
        <v>69</v>
      </c>
      <c r="S1011" s="48"/>
      <c r="T1011" s="48" t="s">
        <v>1669</v>
      </c>
      <c r="U1011" s="48">
        <v>1</v>
      </c>
      <c r="V1011" s="48" t="s">
        <v>1364</v>
      </c>
      <c r="W1011" s="48"/>
      <c r="X1011" s="48" t="s">
        <v>1190</v>
      </c>
      <c r="Y1011" s="48" t="s">
        <v>5445</v>
      </c>
      <c r="Z1011" s="48" t="s">
        <v>1447</v>
      </c>
      <c r="AA1011" s="48" t="s">
        <v>1543</v>
      </c>
      <c r="AB1011" s="48" t="s">
        <v>1544</v>
      </c>
      <c r="AC1011" s="48" t="s">
        <v>5446</v>
      </c>
      <c r="AD1011" s="48"/>
      <c r="AE1011" s="48"/>
      <c r="AF1011" s="48" t="s">
        <v>1190</v>
      </c>
      <c r="AG1011" s="48" t="s">
        <v>1372</v>
      </c>
      <c r="AH1011" s="48" t="s">
        <v>5445</v>
      </c>
      <c r="AI1011" s="48"/>
      <c r="AJ1011" s="48"/>
      <c r="AK1011" s="48">
        <v>0</v>
      </c>
      <c r="AL1011" s="48"/>
      <c r="AM1011" s="48"/>
      <c r="AN1011" s="48"/>
      <c r="AO1011" s="48" t="s">
        <v>1372</v>
      </c>
      <c r="AP1011" s="48" t="s">
        <v>1373</v>
      </c>
    </row>
    <row r="1012" hidden="1" spans="1:42">
      <c r="A1012" s="48" t="s">
        <v>5496</v>
      </c>
      <c r="B1012" s="48" t="s">
        <v>1356</v>
      </c>
      <c r="C1012" s="48" t="s">
        <v>1357</v>
      </c>
      <c r="D1012" s="48" t="s">
        <v>1358</v>
      </c>
      <c r="E1012" s="48"/>
      <c r="F1012" s="48" t="s">
        <v>1359</v>
      </c>
      <c r="G1012" s="49">
        <v>44829.856712963</v>
      </c>
      <c r="H1012" s="49">
        <v>44829.8569907407</v>
      </c>
      <c r="I1012" s="48"/>
      <c r="J1012" s="48" t="s">
        <v>1360</v>
      </c>
      <c r="K1012" s="48" t="s">
        <v>5497</v>
      </c>
      <c r="L1012" s="48" t="s">
        <v>5498</v>
      </c>
      <c r="M1012" s="48">
        <v>69</v>
      </c>
      <c r="N1012" s="48">
        <v>0</v>
      </c>
      <c r="O1012" s="48">
        <v>0</v>
      </c>
      <c r="P1012" s="48">
        <v>0</v>
      </c>
      <c r="Q1012" s="48">
        <v>69</v>
      </c>
      <c r="R1012" s="48">
        <v>69</v>
      </c>
      <c r="S1012" s="48"/>
      <c r="T1012" s="48" t="s">
        <v>1669</v>
      </c>
      <c r="U1012" s="48">
        <v>1</v>
      </c>
      <c r="V1012" s="48" t="s">
        <v>1364</v>
      </c>
      <c r="W1012" s="48"/>
      <c r="X1012" s="48" t="s">
        <v>5499</v>
      </c>
      <c r="Y1012" s="48" t="s">
        <v>5500</v>
      </c>
      <c r="Z1012" s="48" t="s">
        <v>1391</v>
      </c>
      <c r="AA1012" s="48" t="s">
        <v>2061</v>
      </c>
      <c r="AB1012" s="48" t="s">
        <v>5501</v>
      </c>
      <c r="AC1012" s="48" t="s">
        <v>5502</v>
      </c>
      <c r="AD1012" s="48"/>
      <c r="AE1012" s="48"/>
      <c r="AF1012" s="48" t="s">
        <v>5503</v>
      </c>
      <c r="AG1012" s="48" t="s">
        <v>1372</v>
      </c>
      <c r="AH1012" s="48" t="s">
        <v>5500</v>
      </c>
      <c r="AI1012" s="48"/>
      <c r="AJ1012" s="48"/>
      <c r="AK1012" s="48">
        <v>0</v>
      </c>
      <c r="AL1012" s="48"/>
      <c r="AM1012" s="48"/>
      <c r="AN1012" s="48"/>
      <c r="AO1012" s="48" t="s">
        <v>1372</v>
      </c>
      <c r="AP1012" s="48" t="s">
        <v>1373</v>
      </c>
    </row>
    <row r="1013" hidden="1" spans="1:42">
      <c r="A1013" s="48" t="s">
        <v>5504</v>
      </c>
      <c r="B1013" s="48" t="s">
        <v>1356</v>
      </c>
      <c r="C1013" s="48" t="s">
        <v>1357</v>
      </c>
      <c r="D1013" s="48" t="s">
        <v>1358</v>
      </c>
      <c r="E1013" s="48"/>
      <c r="F1013" s="48" t="s">
        <v>1359</v>
      </c>
      <c r="G1013" s="49">
        <v>44829.8559722222</v>
      </c>
      <c r="H1013" s="49">
        <v>44829.8561689815</v>
      </c>
      <c r="I1013" s="48"/>
      <c r="J1013" s="48" t="s">
        <v>1360</v>
      </c>
      <c r="K1013" s="48" t="s">
        <v>5505</v>
      </c>
      <c r="L1013" s="48" t="s">
        <v>5506</v>
      </c>
      <c r="M1013" s="48">
        <v>39</v>
      </c>
      <c r="N1013" s="48">
        <v>0</v>
      </c>
      <c r="O1013" s="48">
        <v>0</v>
      </c>
      <c r="P1013" s="48">
        <v>0</v>
      </c>
      <c r="Q1013" s="48">
        <v>39</v>
      </c>
      <c r="R1013" s="48">
        <v>39</v>
      </c>
      <c r="S1013" s="48"/>
      <c r="T1013" s="48" t="s">
        <v>5507</v>
      </c>
      <c r="U1013" s="48">
        <v>1</v>
      </c>
      <c r="V1013" s="48" t="s">
        <v>1364</v>
      </c>
      <c r="W1013" s="48"/>
      <c r="X1013" s="48" t="s">
        <v>4178</v>
      </c>
      <c r="Y1013" s="48" t="s">
        <v>4179</v>
      </c>
      <c r="Z1013" s="48" t="s">
        <v>1533</v>
      </c>
      <c r="AA1013" s="48" t="s">
        <v>2987</v>
      </c>
      <c r="AB1013" s="48" t="s">
        <v>4180</v>
      </c>
      <c r="AC1013" s="48" t="s">
        <v>4181</v>
      </c>
      <c r="AD1013" s="48"/>
      <c r="AE1013" s="48"/>
      <c r="AF1013" s="48" t="s">
        <v>4178</v>
      </c>
      <c r="AG1013" s="48" t="s">
        <v>1372</v>
      </c>
      <c r="AH1013" s="48" t="s">
        <v>4179</v>
      </c>
      <c r="AI1013" s="48"/>
      <c r="AJ1013" s="48"/>
      <c r="AK1013" s="48">
        <v>0</v>
      </c>
      <c r="AL1013" s="48"/>
      <c r="AM1013" s="48"/>
      <c r="AN1013" s="48"/>
      <c r="AO1013" s="48" t="s">
        <v>1372</v>
      </c>
      <c r="AP1013" s="48" t="s">
        <v>1373</v>
      </c>
    </row>
    <row r="1014" hidden="1" spans="1:42">
      <c r="A1014" s="48" t="s">
        <v>5508</v>
      </c>
      <c r="B1014" s="48" t="s">
        <v>1356</v>
      </c>
      <c r="C1014" s="48" t="s">
        <v>1357</v>
      </c>
      <c r="D1014" s="48" t="s">
        <v>1376</v>
      </c>
      <c r="E1014" s="48"/>
      <c r="F1014" s="48" t="s">
        <v>1359</v>
      </c>
      <c r="G1014" s="49">
        <v>44829.8557523148</v>
      </c>
      <c r="H1014" s="48"/>
      <c r="I1014" s="48"/>
      <c r="J1014" s="48"/>
      <c r="K1014" s="48"/>
      <c r="L1014" s="48"/>
      <c r="M1014" s="48">
        <v>69</v>
      </c>
      <c r="N1014" s="48">
        <v>0</v>
      </c>
      <c r="O1014" s="48">
        <v>0</v>
      </c>
      <c r="P1014" s="48">
        <v>0</v>
      </c>
      <c r="Q1014" s="48">
        <v>69</v>
      </c>
      <c r="R1014" s="48">
        <v>0</v>
      </c>
      <c r="S1014" s="48"/>
      <c r="T1014" s="48" t="s">
        <v>1669</v>
      </c>
      <c r="U1014" s="48">
        <v>1</v>
      </c>
      <c r="V1014" s="48" t="s">
        <v>1364</v>
      </c>
      <c r="W1014" s="48"/>
      <c r="X1014" s="48" t="s">
        <v>5499</v>
      </c>
      <c r="Y1014" s="48" t="s">
        <v>5500</v>
      </c>
      <c r="Z1014" s="48" t="s">
        <v>1391</v>
      </c>
      <c r="AA1014" s="48" t="s">
        <v>2061</v>
      </c>
      <c r="AB1014" s="48" t="s">
        <v>5501</v>
      </c>
      <c r="AC1014" s="48" t="s">
        <v>5502</v>
      </c>
      <c r="AD1014" s="48"/>
      <c r="AE1014" s="48"/>
      <c r="AF1014" s="48" t="s">
        <v>5503</v>
      </c>
      <c r="AG1014" s="48" t="s">
        <v>1372</v>
      </c>
      <c r="AH1014" s="48" t="s">
        <v>5500</v>
      </c>
      <c r="AI1014" s="48"/>
      <c r="AJ1014" s="48"/>
      <c r="AK1014" s="48">
        <v>0</v>
      </c>
      <c r="AL1014" s="48"/>
      <c r="AM1014" s="48"/>
      <c r="AN1014" s="48"/>
      <c r="AO1014" s="48" t="s">
        <v>1372</v>
      </c>
      <c r="AP1014" s="48" t="s">
        <v>1373</v>
      </c>
    </row>
    <row r="1015" hidden="1" spans="1:42">
      <c r="A1015" s="48" t="s">
        <v>5509</v>
      </c>
      <c r="B1015" s="48" t="s">
        <v>1356</v>
      </c>
      <c r="C1015" s="48" t="s">
        <v>1375</v>
      </c>
      <c r="D1015" s="48" t="s">
        <v>1376</v>
      </c>
      <c r="E1015" s="48"/>
      <c r="F1015" s="48" t="s">
        <v>1359</v>
      </c>
      <c r="G1015" s="49">
        <v>44829.8477546296</v>
      </c>
      <c r="H1015" s="48"/>
      <c r="I1015" s="48"/>
      <c r="J1015" s="48"/>
      <c r="K1015" s="48"/>
      <c r="L1015" s="48"/>
      <c r="M1015" s="48">
        <v>145.04</v>
      </c>
      <c r="N1015" s="48">
        <v>0</v>
      </c>
      <c r="O1015" s="48">
        <v>-2</v>
      </c>
      <c r="P1015" s="48">
        <v>0</v>
      </c>
      <c r="Q1015" s="48">
        <v>143.04</v>
      </c>
      <c r="R1015" s="48">
        <v>0</v>
      </c>
      <c r="S1015" s="48" t="s">
        <v>1400</v>
      </c>
      <c r="T1015" s="48" t="s">
        <v>5510</v>
      </c>
      <c r="U1015" s="48">
        <v>1</v>
      </c>
      <c r="V1015" s="48" t="s">
        <v>1364</v>
      </c>
      <c r="W1015" s="48"/>
      <c r="X1015" s="48" t="s">
        <v>5511</v>
      </c>
      <c r="Y1015" s="48" t="s">
        <v>5512</v>
      </c>
      <c r="Z1015" s="48" t="s">
        <v>1380</v>
      </c>
      <c r="AA1015" s="48" t="s">
        <v>5513</v>
      </c>
      <c r="AB1015" s="48" t="s">
        <v>5514</v>
      </c>
      <c r="AC1015" s="48" t="s">
        <v>5515</v>
      </c>
      <c r="AD1015" s="48"/>
      <c r="AE1015" s="48"/>
      <c r="AF1015" s="48" t="s">
        <v>5516</v>
      </c>
      <c r="AG1015" s="48" t="s">
        <v>1385</v>
      </c>
      <c r="AH1015" s="48" t="s">
        <v>5512</v>
      </c>
      <c r="AI1015" s="48"/>
      <c r="AJ1015" s="48"/>
      <c r="AK1015" s="48">
        <v>0</v>
      </c>
      <c r="AL1015" s="48"/>
      <c r="AM1015" s="48"/>
      <c r="AN1015" s="48"/>
      <c r="AO1015" s="48" t="s">
        <v>1372</v>
      </c>
      <c r="AP1015" s="48" t="s">
        <v>1373</v>
      </c>
    </row>
    <row r="1016" hidden="1" spans="1:42">
      <c r="A1016" s="48" t="s">
        <v>5517</v>
      </c>
      <c r="B1016" s="48" t="s">
        <v>1356</v>
      </c>
      <c r="C1016" s="48" t="s">
        <v>1357</v>
      </c>
      <c r="D1016" s="48" t="s">
        <v>1358</v>
      </c>
      <c r="E1016" s="48"/>
      <c r="F1016" s="48" t="s">
        <v>1359</v>
      </c>
      <c r="G1016" s="49">
        <v>44829.8456712963</v>
      </c>
      <c r="H1016" s="49">
        <v>44829.845787037</v>
      </c>
      <c r="I1016" s="48"/>
      <c r="J1016" s="48" t="s">
        <v>1360</v>
      </c>
      <c r="K1016" s="48" t="s">
        <v>5518</v>
      </c>
      <c r="L1016" s="48" t="s">
        <v>5519</v>
      </c>
      <c r="M1016" s="48">
        <v>59</v>
      </c>
      <c r="N1016" s="48">
        <v>0</v>
      </c>
      <c r="O1016" s="48">
        <v>0</v>
      </c>
      <c r="P1016" s="48">
        <v>0</v>
      </c>
      <c r="Q1016" s="48">
        <v>59</v>
      </c>
      <c r="R1016" s="48">
        <v>59</v>
      </c>
      <c r="S1016" s="48"/>
      <c r="T1016" s="48" t="s">
        <v>5229</v>
      </c>
      <c r="U1016" s="48">
        <v>1</v>
      </c>
      <c r="V1016" s="48" t="s">
        <v>1364</v>
      </c>
      <c r="W1016" s="48"/>
      <c r="X1016" s="48" t="s">
        <v>5520</v>
      </c>
      <c r="Y1016" s="48" t="s">
        <v>5521</v>
      </c>
      <c r="Z1016" s="48" t="s">
        <v>2336</v>
      </c>
      <c r="AA1016" s="48" t="s">
        <v>2336</v>
      </c>
      <c r="AB1016" s="48" t="s">
        <v>5522</v>
      </c>
      <c r="AC1016" s="48" t="s">
        <v>5523</v>
      </c>
      <c r="AD1016" s="48"/>
      <c r="AE1016" s="48"/>
      <c r="AF1016" s="48" t="s">
        <v>5524</v>
      </c>
      <c r="AG1016" s="48" t="s">
        <v>1385</v>
      </c>
      <c r="AH1016" s="48" t="s">
        <v>5521</v>
      </c>
      <c r="AI1016" s="48"/>
      <c r="AJ1016" s="48"/>
      <c r="AK1016" s="48">
        <v>0</v>
      </c>
      <c r="AL1016" s="48"/>
      <c r="AM1016" s="48"/>
      <c r="AN1016" s="48"/>
      <c r="AO1016" s="48" t="s">
        <v>1372</v>
      </c>
      <c r="AP1016" s="48" t="s">
        <v>1373</v>
      </c>
    </row>
    <row r="1017" hidden="1" spans="1:42">
      <c r="A1017" s="48" t="s">
        <v>5525</v>
      </c>
      <c r="B1017" s="48" t="s">
        <v>1356</v>
      </c>
      <c r="C1017" s="48" t="s">
        <v>1375</v>
      </c>
      <c r="D1017" s="48" t="s">
        <v>1358</v>
      </c>
      <c r="E1017" s="48"/>
      <c r="F1017" s="48" t="s">
        <v>1377</v>
      </c>
      <c r="G1017" s="49">
        <v>44829.8409837963</v>
      </c>
      <c r="H1017" s="49">
        <v>44829.8412847222</v>
      </c>
      <c r="I1017" s="48"/>
      <c r="J1017" s="48" t="s">
        <v>407</v>
      </c>
      <c r="K1017" s="48"/>
      <c r="L1017" s="48"/>
      <c r="M1017" s="48">
        <v>339</v>
      </c>
      <c r="N1017" s="48">
        <v>0</v>
      </c>
      <c r="O1017" s="48">
        <v>0</v>
      </c>
      <c r="P1017" s="48">
        <v>0</v>
      </c>
      <c r="Q1017" s="48">
        <v>339</v>
      </c>
      <c r="R1017" s="48">
        <v>339</v>
      </c>
      <c r="S1017" s="48"/>
      <c r="T1017" s="48" t="s">
        <v>5244</v>
      </c>
      <c r="U1017" s="48">
        <v>1</v>
      </c>
      <c r="V1017" s="48" t="s">
        <v>1364</v>
      </c>
      <c r="W1017" s="48"/>
      <c r="X1017" s="48" t="s">
        <v>703</v>
      </c>
      <c r="Y1017" s="48" t="s">
        <v>5526</v>
      </c>
      <c r="Z1017" s="48" t="s">
        <v>2651</v>
      </c>
      <c r="AA1017" s="48" t="s">
        <v>2652</v>
      </c>
      <c r="AB1017" s="48" t="s">
        <v>5527</v>
      </c>
      <c r="AC1017" s="48" t="s">
        <v>5528</v>
      </c>
      <c r="AD1017" s="48"/>
      <c r="AE1017" s="48"/>
      <c r="AF1017" s="48" t="s">
        <v>5529</v>
      </c>
      <c r="AG1017" s="48" t="s">
        <v>1372</v>
      </c>
      <c r="AH1017" s="48"/>
      <c r="AI1017" s="48"/>
      <c r="AJ1017" s="48"/>
      <c r="AK1017" s="48">
        <v>0</v>
      </c>
      <c r="AL1017" s="48"/>
      <c r="AM1017" s="48"/>
      <c r="AN1017" s="48"/>
      <c r="AO1017" s="48" t="s">
        <v>1372</v>
      </c>
      <c r="AP1017" s="48" t="s">
        <v>1373</v>
      </c>
    </row>
    <row r="1018" hidden="1" spans="1:42">
      <c r="A1018" s="48" t="s">
        <v>5530</v>
      </c>
      <c r="B1018" s="48" t="s">
        <v>1356</v>
      </c>
      <c r="C1018" s="48" t="s">
        <v>1357</v>
      </c>
      <c r="D1018" s="48" t="s">
        <v>1358</v>
      </c>
      <c r="E1018" s="48"/>
      <c r="F1018" s="48" t="s">
        <v>1359</v>
      </c>
      <c r="G1018" s="49">
        <v>44829.8386921296</v>
      </c>
      <c r="H1018" s="49">
        <v>44829.8388425926</v>
      </c>
      <c r="I1018" s="48"/>
      <c r="J1018" s="48" t="s">
        <v>1360</v>
      </c>
      <c r="K1018" s="48" t="s">
        <v>5531</v>
      </c>
      <c r="L1018" s="48" t="s">
        <v>5532</v>
      </c>
      <c r="M1018" s="48">
        <v>69</v>
      </c>
      <c r="N1018" s="48">
        <v>0</v>
      </c>
      <c r="O1018" s="48">
        <v>0</v>
      </c>
      <c r="P1018" s="48">
        <v>0</v>
      </c>
      <c r="Q1018" s="48">
        <v>69</v>
      </c>
      <c r="R1018" s="48">
        <v>69</v>
      </c>
      <c r="S1018" s="48"/>
      <c r="T1018" s="48" t="s">
        <v>1669</v>
      </c>
      <c r="U1018" s="48">
        <v>1</v>
      </c>
      <c r="V1018" s="48" t="s">
        <v>1364</v>
      </c>
      <c r="W1018" s="48"/>
      <c r="X1018" s="48" t="s">
        <v>5533</v>
      </c>
      <c r="Y1018" s="48" t="s">
        <v>5534</v>
      </c>
      <c r="Z1018" s="48" t="s">
        <v>2336</v>
      </c>
      <c r="AA1018" s="48" t="s">
        <v>2336</v>
      </c>
      <c r="AB1018" s="48" t="s">
        <v>2337</v>
      </c>
      <c r="AC1018" s="48" t="s">
        <v>5535</v>
      </c>
      <c r="AD1018" s="48"/>
      <c r="AE1018" s="48"/>
      <c r="AF1018" s="48" t="s">
        <v>5533</v>
      </c>
      <c r="AG1018" s="48" t="s">
        <v>1372</v>
      </c>
      <c r="AH1018" s="48" t="s">
        <v>5534</v>
      </c>
      <c r="AI1018" s="48"/>
      <c r="AJ1018" s="48"/>
      <c r="AK1018" s="48">
        <v>0</v>
      </c>
      <c r="AL1018" s="48"/>
      <c r="AM1018" s="48"/>
      <c r="AN1018" s="48"/>
      <c r="AO1018" s="48" t="s">
        <v>1372</v>
      </c>
      <c r="AP1018" s="48" t="s">
        <v>1373</v>
      </c>
    </row>
    <row r="1019" hidden="1" spans="1:42">
      <c r="A1019" s="48" t="s">
        <v>5536</v>
      </c>
      <c r="B1019" s="48" t="s">
        <v>1356</v>
      </c>
      <c r="C1019" s="48" t="s">
        <v>1375</v>
      </c>
      <c r="D1019" s="48" t="s">
        <v>1376</v>
      </c>
      <c r="E1019" s="48"/>
      <c r="F1019" s="48" t="s">
        <v>1377</v>
      </c>
      <c r="G1019" s="49">
        <v>44829.8380439815</v>
      </c>
      <c r="H1019" s="48"/>
      <c r="I1019" s="48"/>
      <c r="J1019" s="48"/>
      <c r="K1019" s="48"/>
      <c r="L1019" s="48"/>
      <c r="M1019" s="48">
        <v>339</v>
      </c>
      <c r="N1019" s="48">
        <v>0</v>
      </c>
      <c r="O1019" s="48">
        <v>-2</v>
      </c>
      <c r="P1019" s="48">
        <v>0</v>
      </c>
      <c r="Q1019" s="48">
        <v>337</v>
      </c>
      <c r="R1019" s="48">
        <v>0</v>
      </c>
      <c r="S1019" s="48" t="s">
        <v>1400</v>
      </c>
      <c r="T1019" s="48" t="s">
        <v>5537</v>
      </c>
      <c r="U1019" s="48">
        <v>1</v>
      </c>
      <c r="V1019" s="48" t="s">
        <v>1364</v>
      </c>
      <c r="W1019" s="48"/>
      <c r="X1019" s="48" t="s">
        <v>5538</v>
      </c>
      <c r="Y1019" s="48" t="s">
        <v>5539</v>
      </c>
      <c r="Z1019" s="48" t="s">
        <v>1794</v>
      </c>
      <c r="AA1019" s="48" t="s">
        <v>2251</v>
      </c>
      <c r="AB1019" s="48" t="s">
        <v>4586</v>
      </c>
      <c r="AC1019" s="48" t="s">
        <v>5540</v>
      </c>
      <c r="AD1019" s="48"/>
      <c r="AE1019" s="48"/>
      <c r="AF1019" s="48" t="s">
        <v>5541</v>
      </c>
      <c r="AG1019" s="48" t="s">
        <v>1385</v>
      </c>
      <c r="AH1019" s="48" t="s">
        <v>5539</v>
      </c>
      <c r="AI1019" s="48"/>
      <c r="AJ1019" s="48"/>
      <c r="AK1019" s="48">
        <v>0</v>
      </c>
      <c r="AL1019" s="48"/>
      <c r="AM1019" s="48"/>
      <c r="AN1019" s="48"/>
      <c r="AO1019" s="48" t="s">
        <v>1372</v>
      </c>
      <c r="AP1019" s="48" t="s">
        <v>1373</v>
      </c>
    </row>
    <row r="1020" hidden="1" spans="1:42">
      <c r="A1020" s="48" t="s">
        <v>5542</v>
      </c>
      <c r="B1020" s="48" t="s">
        <v>1356</v>
      </c>
      <c r="C1020" s="48" t="s">
        <v>1375</v>
      </c>
      <c r="D1020" s="48" t="s">
        <v>1358</v>
      </c>
      <c r="E1020" s="48"/>
      <c r="F1020" s="48" t="s">
        <v>1359</v>
      </c>
      <c r="G1020" s="49">
        <v>44829.8378703704</v>
      </c>
      <c r="H1020" s="49">
        <v>44829.8379976852</v>
      </c>
      <c r="I1020" s="48"/>
      <c r="J1020" s="48" t="s">
        <v>1360</v>
      </c>
      <c r="K1020" s="48" t="s">
        <v>5543</v>
      </c>
      <c r="L1020" s="48" t="s">
        <v>5544</v>
      </c>
      <c r="M1020" s="48">
        <v>65.55</v>
      </c>
      <c r="N1020" s="48">
        <v>0</v>
      </c>
      <c r="O1020" s="48">
        <v>-3</v>
      </c>
      <c r="P1020" s="48">
        <v>0</v>
      </c>
      <c r="Q1020" s="48">
        <v>62.55</v>
      </c>
      <c r="R1020" s="48">
        <v>62.55</v>
      </c>
      <c r="S1020" s="48" t="s">
        <v>1397</v>
      </c>
      <c r="T1020" s="48" t="s">
        <v>5545</v>
      </c>
      <c r="U1020" s="48">
        <v>1</v>
      </c>
      <c r="V1020" s="48" t="s">
        <v>1364</v>
      </c>
      <c r="W1020" s="48"/>
      <c r="X1020" s="48" t="s">
        <v>5546</v>
      </c>
      <c r="Y1020" s="48" t="s">
        <v>5547</v>
      </c>
      <c r="Z1020" s="48" t="s">
        <v>1430</v>
      </c>
      <c r="AA1020" s="48" t="s">
        <v>1965</v>
      </c>
      <c r="AB1020" s="48" t="s">
        <v>5548</v>
      </c>
      <c r="AC1020" s="48" t="s">
        <v>5549</v>
      </c>
      <c r="AD1020" s="48"/>
      <c r="AE1020" s="48"/>
      <c r="AF1020" s="48" t="s">
        <v>5550</v>
      </c>
      <c r="AG1020" s="48" t="s">
        <v>1385</v>
      </c>
      <c r="AH1020" s="48" t="s">
        <v>5547</v>
      </c>
      <c r="AI1020" s="48"/>
      <c r="AJ1020" s="48"/>
      <c r="AK1020" s="48">
        <v>0</v>
      </c>
      <c r="AL1020" s="48"/>
      <c r="AM1020" s="48"/>
      <c r="AN1020" s="48"/>
      <c r="AO1020" s="48" t="s">
        <v>1372</v>
      </c>
      <c r="AP1020" s="48" t="s">
        <v>1373</v>
      </c>
    </row>
    <row r="1021" hidden="1" spans="1:42">
      <c r="A1021" s="48" t="s">
        <v>5551</v>
      </c>
      <c r="B1021" s="48" t="s">
        <v>1356</v>
      </c>
      <c r="C1021" s="48" t="s">
        <v>1357</v>
      </c>
      <c r="D1021" s="48" t="s">
        <v>1358</v>
      </c>
      <c r="E1021" s="48"/>
      <c r="F1021" s="48" t="s">
        <v>1359</v>
      </c>
      <c r="G1021" s="49">
        <v>44829.8376388889</v>
      </c>
      <c r="H1021" s="49">
        <v>44829.8377662037</v>
      </c>
      <c r="I1021" s="48"/>
      <c r="J1021" s="48" t="s">
        <v>1360</v>
      </c>
      <c r="K1021" s="48" t="s">
        <v>5552</v>
      </c>
      <c r="L1021" s="48" t="s">
        <v>5553</v>
      </c>
      <c r="M1021" s="48">
        <v>59</v>
      </c>
      <c r="N1021" s="48">
        <v>0</v>
      </c>
      <c r="O1021" s="48">
        <v>0</v>
      </c>
      <c r="P1021" s="48">
        <v>0</v>
      </c>
      <c r="Q1021" s="48">
        <v>59</v>
      </c>
      <c r="R1021" s="48">
        <v>59</v>
      </c>
      <c r="S1021" s="48"/>
      <c r="T1021" s="48" t="s">
        <v>5554</v>
      </c>
      <c r="U1021" s="48">
        <v>1</v>
      </c>
      <c r="V1021" s="48" t="s">
        <v>1364</v>
      </c>
      <c r="W1021" s="48"/>
      <c r="X1021" s="48" t="s">
        <v>5555</v>
      </c>
      <c r="Y1021" s="48" t="s">
        <v>5556</v>
      </c>
      <c r="Z1021" s="48" t="s">
        <v>1794</v>
      </c>
      <c r="AA1021" s="48" t="s">
        <v>2276</v>
      </c>
      <c r="AB1021" s="48" t="s">
        <v>5557</v>
      </c>
      <c r="AC1021" s="48" t="s">
        <v>5558</v>
      </c>
      <c r="AD1021" s="48"/>
      <c r="AE1021" s="48"/>
      <c r="AF1021" s="48" t="s">
        <v>5559</v>
      </c>
      <c r="AG1021" s="48" t="s">
        <v>1372</v>
      </c>
      <c r="AH1021" s="48" t="s">
        <v>5556</v>
      </c>
      <c r="AI1021" s="48"/>
      <c r="AJ1021" s="48"/>
      <c r="AK1021" s="48">
        <v>0</v>
      </c>
      <c r="AL1021" s="48"/>
      <c r="AM1021" s="48"/>
      <c r="AN1021" s="48"/>
      <c r="AO1021" s="48" t="s">
        <v>1372</v>
      </c>
      <c r="AP1021" s="48" t="s">
        <v>1373</v>
      </c>
    </row>
    <row r="1022" hidden="1" spans="1:42">
      <c r="A1022" s="48" t="s">
        <v>5560</v>
      </c>
      <c r="B1022" s="48" t="s">
        <v>1356</v>
      </c>
      <c r="C1022" s="48" t="s">
        <v>1375</v>
      </c>
      <c r="D1022" s="48" t="s">
        <v>1358</v>
      </c>
      <c r="E1022" s="48"/>
      <c r="F1022" s="48" t="s">
        <v>1377</v>
      </c>
      <c r="G1022" s="49">
        <v>44829.8373148148</v>
      </c>
      <c r="H1022" s="49">
        <v>44829.8374189815</v>
      </c>
      <c r="I1022" s="48"/>
      <c r="J1022" s="48" t="s">
        <v>407</v>
      </c>
      <c r="K1022" s="48"/>
      <c r="L1022" s="48"/>
      <c r="M1022" s="48">
        <v>339</v>
      </c>
      <c r="N1022" s="48">
        <v>0</v>
      </c>
      <c r="O1022" s="48">
        <v>0</v>
      </c>
      <c r="P1022" s="48">
        <v>0</v>
      </c>
      <c r="Q1022" s="48">
        <v>339</v>
      </c>
      <c r="R1022" s="48">
        <v>339</v>
      </c>
      <c r="S1022" s="48"/>
      <c r="T1022" s="48" t="s">
        <v>5244</v>
      </c>
      <c r="U1022" s="48">
        <v>1</v>
      </c>
      <c r="V1022" s="48" t="s">
        <v>1364</v>
      </c>
      <c r="W1022" s="48"/>
      <c r="X1022" s="48" t="s">
        <v>374</v>
      </c>
      <c r="Y1022" s="48" t="s">
        <v>3220</v>
      </c>
      <c r="Z1022" s="48" t="s">
        <v>1478</v>
      </c>
      <c r="AA1022" s="48" t="s">
        <v>2994</v>
      </c>
      <c r="AB1022" s="48" t="s">
        <v>3221</v>
      </c>
      <c r="AC1022" s="48" t="s">
        <v>3222</v>
      </c>
      <c r="AD1022" s="48" t="s">
        <v>5561</v>
      </c>
      <c r="AE1022" s="48"/>
      <c r="AF1022" s="48" t="s">
        <v>3223</v>
      </c>
      <c r="AG1022" s="48" t="s">
        <v>1385</v>
      </c>
      <c r="AH1022" s="48" t="s">
        <v>3220</v>
      </c>
      <c r="AI1022" s="48"/>
      <c r="AJ1022" s="48"/>
      <c r="AK1022" s="48">
        <v>0</v>
      </c>
      <c r="AL1022" s="48" t="s">
        <v>5562</v>
      </c>
      <c r="AM1022" s="48"/>
      <c r="AN1022" s="48"/>
      <c r="AO1022" s="48" t="s">
        <v>1372</v>
      </c>
      <c r="AP1022" s="48" t="s">
        <v>1373</v>
      </c>
    </row>
    <row r="1023" hidden="1" spans="1:42">
      <c r="A1023" s="48" t="s">
        <v>5563</v>
      </c>
      <c r="B1023" s="48" t="s">
        <v>1356</v>
      </c>
      <c r="C1023" s="48" t="s">
        <v>1375</v>
      </c>
      <c r="D1023" s="48" t="s">
        <v>1358</v>
      </c>
      <c r="E1023" s="48"/>
      <c r="F1023" s="48" t="s">
        <v>1377</v>
      </c>
      <c r="G1023" s="49">
        <v>44829.8373263889</v>
      </c>
      <c r="H1023" s="49">
        <v>44829.8374305556</v>
      </c>
      <c r="I1023" s="48"/>
      <c r="J1023" s="48" t="s">
        <v>407</v>
      </c>
      <c r="K1023" s="48"/>
      <c r="L1023" s="48"/>
      <c r="M1023" s="48">
        <v>339</v>
      </c>
      <c r="N1023" s="48">
        <v>0</v>
      </c>
      <c r="O1023" s="48">
        <v>-1</v>
      </c>
      <c r="P1023" s="48">
        <v>0</v>
      </c>
      <c r="Q1023" s="48">
        <v>338</v>
      </c>
      <c r="R1023" s="48">
        <v>338</v>
      </c>
      <c r="S1023" s="48" t="s">
        <v>1414</v>
      </c>
      <c r="T1023" s="48" t="s">
        <v>5353</v>
      </c>
      <c r="U1023" s="48">
        <v>1</v>
      </c>
      <c r="V1023" s="48" t="s">
        <v>1364</v>
      </c>
      <c r="W1023" s="48"/>
      <c r="X1023" s="48" t="s">
        <v>383</v>
      </c>
      <c r="Y1023" s="48" t="s">
        <v>2422</v>
      </c>
      <c r="Z1023" s="48" t="s">
        <v>1367</v>
      </c>
      <c r="AA1023" s="48" t="s">
        <v>1615</v>
      </c>
      <c r="AB1023" s="48" t="s">
        <v>2423</v>
      </c>
      <c r="AC1023" s="48" t="s">
        <v>2424</v>
      </c>
      <c r="AD1023" s="48"/>
      <c r="AE1023" s="48"/>
      <c r="AF1023" s="48" t="s">
        <v>4782</v>
      </c>
      <c r="AG1023" s="48" t="s">
        <v>1372</v>
      </c>
      <c r="AH1023" s="48" t="s">
        <v>2422</v>
      </c>
      <c r="AI1023" s="48"/>
      <c r="AJ1023" s="48"/>
      <c r="AK1023" s="48">
        <v>0</v>
      </c>
      <c r="AL1023" s="48" t="s">
        <v>3063</v>
      </c>
      <c r="AM1023" s="48"/>
      <c r="AN1023" s="48"/>
      <c r="AO1023" s="48" t="s">
        <v>1372</v>
      </c>
      <c r="AP1023" s="48" t="s">
        <v>1373</v>
      </c>
    </row>
    <row r="1024" hidden="1" spans="1:42">
      <c r="A1024" s="48" t="s">
        <v>5564</v>
      </c>
      <c r="B1024" s="48" t="s">
        <v>1356</v>
      </c>
      <c r="C1024" s="48" t="s">
        <v>1375</v>
      </c>
      <c r="D1024" s="48" t="s">
        <v>1358</v>
      </c>
      <c r="E1024" s="48"/>
      <c r="F1024" s="48" t="s">
        <v>1377</v>
      </c>
      <c r="G1024" s="49">
        <v>44829.8372685185</v>
      </c>
      <c r="H1024" s="49">
        <v>44829.8373958333</v>
      </c>
      <c r="I1024" s="48"/>
      <c r="J1024" s="48" t="s">
        <v>407</v>
      </c>
      <c r="K1024" s="48"/>
      <c r="L1024" s="48"/>
      <c r="M1024" s="48">
        <v>339</v>
      </c>
      <c r="N1024" s="48">
        <v>0</v>
      </c>
      <c r="O1024" s="48">
        <v>-5</v>
      </c>
      <c r="P1024" s="48">
        <v>0</v>
      </c>
      <c r="Q1024" s="48">
        <v>334</v>
      </c>
      <c r="R1024" s="48">
        <v>334</v>
      </c>
      <c r="S1024" s="48" t="s">
        <v>1422</v>
      </c>
      <c r="T1024" s="48" t="s">
        <v>5353</v>
      </c>
      <c r="U1024" s="48">
        <v>1</v>
      </c>
      <c r="V1024" s="48" t="s">
        <v>1364</v>
      </c>
      <c r="W1024" s="48"/>
      <c r="X1024" s="48" t="s">
        <v>568</v>
      </c>
      <c r="Y1024" s="48" t="s">
        <v>4130</v>
      </c>
      <c r="Z1024" s="48" t="s">
        <v>1367</v>
      </c>
      <c r="AA1024" s="48" t="s">
        <v>1943</v>
      </c>
      <c r="AB1024" s="48" t="s">
        <v>2039</v>
      </c>
      <c r="AC1024" s="48" t="s">
        <v>4131</v>
      </c>
      <c r="AD1024" s="48"/>
      <c r="AE1024" s="48"/>
      <c r="AF1024" s="48" t="s">
        <v>4132</v>
      </c>
      <c r="AG1024" s="48" t="s">
        <v>1372</v>
      </c>
      <c r="AH1024" s="48" t="s">
        <v>4130</v>
      </c>
      <c r="AI1024" s="48"/>
      <c r="AJ1024" s="48"/>
      <c r="AK1024" s="48">
        <v>0</v>
      </c>
      <c r="AL1024" s="48"/>
      <c r="AM1024" s="48"/>
      <c r="AN1024" s="48"/>
      <c r="AO1024" s="48" t="s">
        <v>1372</v>
      </c>
      <c r="AP1024" s="48" t="s">
        <v>1373</v>
      </c>
    </row>
    <row r="1025" hidden="1" spans="1:42">
      <c r="A1025" s="48" t="s">
        <v>5565</v>
      </c>
      <c r="B1025" s="48" t="s">
        <v>1356</v>
      </c>
      <c r="C1025" s="48" t="s">
        <v>1375</v>
      </c>
      <c r="D1025" s="48" t="s">
        <v>1358</v>
      </c>
      <c r="E1025" s="48"/>
      <c r="F1025" s="48" t="s">
        <v>1377</v>
      </c>
      <c r="G1025" s="49">
        <v>44829.8368055556</v>
      </c>
      <c r="H1025" s="49">
        <v>44829.8368981481</v>
      </c>
      <c r="I1025" s="48"/>
      <c r="J1025" s="48" t="s">
        <v>407</v>
      </c>
      <c r="K1025" s="48"/>
      <c r="L1025" s="48"/>
      <c r="M1025" s="48">
        <v>339</v>
      </c>
      <c r="N1025" s="48">
        <v>0</v>
      </c>
      <c r="O1025" s="48">
        <v>0</v>
      </c>
      <c r="P1025" s="48">
        <v>0</v>
      </c>
      <c r="Q1025" s="48">
        <v>339</v>
      </c>
      <c r="R1025" s="48">
        <v>339</v>
      </c>
      <c r="S1025" s="48"/>
      <c r="T1025" s="48" t="s">
        <v>5566</v>
      </c>
      <c r="U1025" s="48">
        <v>1</v>
      </c>
      <c r="V1025" s="48" t="s">
        <v>1364</v>
      </c>
      <c r="W1025" s="48"/>
      <c r="X1025" s="48" t="s">
        <v>705</v>
      </c>
      <c r="Y1025" s="48" t="s">
        <v>5567</v>
      </c>
      <c r="Z1025" s="48" t="s">
        <v>1367</v>
      </c>
      <c r="AA1025" s="48" t="s">
        <v>1899</v>
      </c>
      <c r="AB1025" s="48" t="s">
        <v>1900</v>
      </c>
      <c r="AC1025" s="48" t="s">
        <v>5568</v>
      </c>
      <c r="AD1025" s="48"/>
      <c r="AE1025" s="48"/>
      <c r="AF1025" s="48" t="s">
        <v>5569</v>
      </c>
      <c r="AG1025" s="48" t="s">
        <v>1372</v>
      </c>
      <c r="AH1025" s="48"/>
      <c r="AI1025" s="48"/>
      <c r="AJ1025" s="48"/>
      <c r="AK1025" s="48">
        <v>0</v>
      </c>
      <c r="AL1025" s="48"/>
      <c r="AM1025" s="48"/>
      <c r="AN1025" s="48"/>
      <c r="AO1025" s="48" t="s">
        <v>1372</v>
      </c>
      <c r="AP1025" s="48" t="s">
        <v>1373</v>
      </c>
    </row>
    <row r="1026" hidden="1" spans="1:42">
      <c r="A1026" s="48" t="s">
        <v>5570</v>
      </c>
      <c r="B1026" s="48" t="s">
        <v>1356</v>
      </c>
      <c r="C1026" s="48" t="s">
        <v>1357</v>
      </c>
      <c r="D1026" s="48" t="s">
        <v>1358</v>
      </c>
      <c r="E1026" s="48"/>
      <c r="F1026" s="48" t="s">
        <v>1359</v>
      </c>
      <c r="G1026" s="49">
        <v>44829.835</v>
      </c>
      <c r="H1026" s="49">
        <v>44829.8352662037</v>
      </c>
      <c r="I1026" s="48"/>
      <c r="J1026" s="48" t="s">
        <v>1360</v>
      </c>
      <c r="K1026" s="48" t="s">
        <v>5571</v>
      </c>
      <c r="L1026" s="48" t="s">
        <v>5572</v>
      </c>
      <c r="M1026" s="48">
        <v>59</v>
      </c>
      <c r="N1026" s="48">
        <v>0</v>
      </c>
      <c r="O1026" s="48">
        <v>0</v>
      </c>
      <c r="P1026" s="48">
        <v>0</v>
      </c>
      <c r="Q1026" s="48">
        <v>59</v>
      </c>
      <c r="R1026" s="48">
        <v>59</v>
      </c>
      <c r="S1026" s="48"/>
      <c r="T1026" s="48" t="s">
        <v>5229</v>
      </c>
      <c r="U1026" s="48">
        <v>1</v>
      </c>
      <c r="V1026" s="48" t="s">
        <v>1364</v>
      </c>
      <c r="W1026" s="48"/>
      <c r="X1026" s="48" t="s">
        <v>5546</v>
      </c>
      <c r="Y1026" s="48" t="s">
        <v>5547</v>
      </c>
      <c r="Z1026" s="48" t="s">
        <v>1430</v>
      </c>
      <c r="AA1026" s="48" t="s">
        <v>1965</v>
      </c>
      <c r="AB1026" s="48" t="s">
        <v>5548</v>
      </c>
      <c r="AC1026" s="48" t="s">
        <v>5549</v>
      </c>
      <c r="AD1026" s="48"/>
      <c r="AE1026" s="48"/>
      <c r="AF1026" s="48" t="s">
        <v>5550</v>
      </c>
      <c r="AG1026" s="48" t="s">
        <v>1385</v>
      </c>
      <c r="AH1026" s="48" t="s">
        <v>5547</v>
      </c>
      <c r="AI1026" s="48"/>
      <c r="AJ1026" s="48"/>
      <c r="AK1026" s="48">
        <v>0</v>
      </c>
      <c r="AL1026" s="48"/>
      <c r="AM1026" s="48"/>
      <c r="AN1026" s="48"/>
      <c r="AO1026" s="48" t="s">
        <v>1372</v>
      </c>
      <c r="AP1026" s="48" t="s">
        <v>1373</v>
      </c>
    </row>
    <row r="1027" hidden="1" spans="1:42">
      <c r="A1027" s="48" t="s">
        <v>5573</v>
      </c>
      <c r="B1027" s="48" t="s">
        <v>1356</v>
      </c>
      <c r="C1027" s="48" t="s">
        <v>1375</v>
      </c>
      <c r="D1027" s="48" t="s">
        <v>1358</v>
      </c>
      <c r="E1027" s="48"/>
      <c r="F1027" s="48" t="s">
        <v>1377</v>
      </c>
      <c r="G1027" s="49">
        <v>44829.8319444444</v>
      </c>
      <c r="H1027" s="49">
        <v>44829.832037037</v>
      </c>
      <c r="I1027" s="48"/>
      <c r="J1027" s="48" t="s">
        <v>407</v>
      </c>
      <c r="K1027" s="48"/>
      <c r="L1027" s="48"/>
      <c r="M1027" s="48">
        <v>299</v>
      </c>
      <c r="N1027" s="48">
        <v>0</v>
      </c>
      <c r="O1027" s="48">
        <v>0</v>
      </c>
      <c r="P1027" s="48">
        <v>0</v>
      </c>
      <c r="Q1027" s="48">
        <v>299</v>
      </c>
      <c r="R1027" s="48">
        <v>299</v>
      </c>
      <c r="S1027" s="48"/>
      <c r="T1027" s="48" t="s">
        <v>3384</v>
      </c>
      <c r="U1027" s="48">
        <v>1</v>
      </c>
      <c r="V1027" s="48" t="s">
        <v>1364</v>
      </c>
      <c r="W1027" s="48"/>
      <c r="X1027" s="48" t="s">
        <v>721</v>
      </c>
      <c r="Y1027" s="48" t="s">
        <v>5574</v>
      </c>
      <c r="Z1027" s="48" t="s">
        <v>2509</v>
      </c>
      <c r="AA1027" s="48" t="s">
        <v>5575</v>
      </c>
      <c r="AB1027" s="48" t="s">
        <v>5576</v>
      </c>
      <c r="AC1027" s="48" t="s">
        <v>5577</v>
      </c>
      <c r="AD1027" s="48"/>
      <c r="AE1027" s="48"/>
      <c r="AF1027" s="48" t="s">
        <v>5578</v>
      </c>
      <c r="AG1027" s="48" t="s">
        <v>1372</v>
      </c>
      <c r="AH1027" s="48"/>
      <c r="AI1027" s="48"/>
      <c r="AJ1027" s="48"/>
      <c r="AK1027" s="48">
        <v>0</v>
      </c>
      <c r="AL1027" s="48"/>
      <c r="AM1027" s="48"/>
      <c r="AN1027" s="48"/>
      <c r="AO1027" s="48" t="s">
        <v>1372</v>
      </c>
      <c r="AP1027" s="48" t="s">
        <v>1373</v>
      </c>
    </row>
    <row r="1028" hidden="1" spans="1:42">
      <c r="A1028" s="48" t="s">
        <v>5579</v>
      </c>
      <c r="B1028" s="48" t="s">
        <v>1356</v>
      </c>
      <c r="C1028" s="48" t="s">
        <v>1357</v>
      </c>
      <c r="D1028" s="48" t="s">
        <v>1358</v>
      </c>
      <c r="E1028" s="48"/>
      <c r="F1028" s="48" t="s">
        <v>1359</v>
      </c>
      <c r="G1028" s="49">
        <v>44829.8315625</v>
      </c>
      <c r="H1028" s="49">
        <v>44829.8317013889</v>
      </c>
      <c r="I1028" s="48"/>
      <c r="J1028" s="48" t="s">
        <v>1360</v>
      </c>
      <c r="K1028" s="48" t="s">
        <v>5580</v>
      </c>
      <c r="L1028" s="48" t="s">
        <v>5581</v>
      </c>
      <c r="M1028" s="48">
        <v>69</v>
      </c>
      <c r="N1028" s="48">
        <v>0</v>
      </c>
      <c r="O1028" s="48">
        <v>0</v>
      </c>
      <c r="P1028" s="48">
        <v>0</v>
      </c>
      <c r="Q1028" s="48">
        <v>69</v>
      </c>
      <c r="R1028" s="48">
        <v>69</v>
      </c>
      <c r="S1028" s="48"/>
      <c r="T1028" s="48" t="s">
        <v>1669</v>
      </c>
      <c r="U1028" s="48">
        <v>1</v>
      </c>
      <c r="V1028" s="48" t="s">
        <v>1364</v>
      </c>
      <c r="W1028" s="48"/>
      <c r="X1028" s="48" t="s">
        <v>5582</v>
      </c>
      <c r="Y1028" s="48" t="s">
        <v>5583</v>
      </c>
      <c r="Z1028" s="48" t="s">
        <v>1380</v>
      </c>
      <c r="AA1028" s="48" t="s">
        <v>1638</v>
      </c>
      <c r="AB1028" s="48" t="s">
        <v>5584</v>
      </c>
      <c r="AC1028" s="48" t="s">
        <v>5585</v>
      </c>
      <c r="AD1028" s="48"/>
      <c r="AE1028" s="48"/>
      <c r="AF1028" s="48" t="s">
        <v>5586</v>
      </c>
      <c r="AG1028" s="48" t="s">
        <v>1372</v>
      </c>
      <c r="AH1028" s="48" t="s">
        <v>5583</v>
      </c>
      <c r="AI1028" s="48"/>
      <c r="AJ1028" s="48"/>
      <c r="AK1028" s="48">
        <v>0</v>
      </c>
      <c r="AL1028" s="48"/>
      <c r="AM1028" s="48"/>
      <c r="AN1028" s="48"/>
      <c r="AO1028" s="48" t="s">
        <v>1372</v>
      </c>
      <c r="AP1028" s="48" t="s">
        <v>1373</v>
      </c>
    </row>
    <row r="1029" hidden="1" spans="1:42">
      <c r="A1029" s="48" t="s">
        <v>5587</v>
      </c>
      <c r="B1029" s="48" t="s">
        <v>1356</v>
      </c>
      <c r="C1029" s="48" t="s">
        <v>1357</v>
      </c>
      <c r="D1029" s="48" t="s">
        <v>1358</v>
      </c>
      <c r="E1029" s="48"/>
      <c r="F1029" s="48" t="s">
        <v>1359</v>
      </c>
      <c r="G1029" s="49">
        <v>44829.8309027778</v>
      </c>
      <c r="H1029" s="49">
        <v>44829.8311342593</v>
      </c>
      <c r="I1029" s="48"/>
      <c r="J1029" s="48" t="s">
        <v>1360</v>
      </c>
      <c r="K1029" s="48" t="s">
        <v>5588</v>
      </c>
      <c r="L1029" s="48" t="s">
        <v>5589</v>
      </c>
      <c r="M1029" s="48">
        <v>69</v>
      </c>
      <c r="N1029" s="48">
        <v>0</v>
      </c>
      <c r="O1029" s="48">
        <v>0</v>
      </c>
      <c r="P1029" s="48">
        <v>0</v>
      </c>
      <c r="Q1029" s="48">
        <v>69</v>
      </c>
      <c r="R1029" s="48">
        <v>69</v>
      </c>
      <c r="S1029" s="48"/>
      <c r="T1029" s="48" t="s">
        <v>1669</v>
      </c>
      <c r="U1029" s="48">
        <v>1</v>
      </c>
      <c r="V1029" s="48" t="s">
        <v>1364</v>
      </c>
      <c r="W1029" s="48"/>
      <c r="X1029" s="48" t="s">
        <v>5590</v>
      </c>
      <c r="Y1029" s="48" t="s">
        <v>5591</v>
      </c>
      <c r="Z1029" s="48" t="s">
        <v>1380</v>
      </c>
      <c r="AA1029" s="48" t="s">
        <v>5592</v>
      </c>
      <c r="AB1029" s="48" t="s">
        <v>5593</v>
      </c>
      <c r="AC1029" s="48" t="s">
        <v>5594</v>
      </c>
      <c r="AD1029" s="48"/>
      <c r="AE1029" s="48"/>
      <c r="AF1029" s="48" t="s">
        <v>5590</v>
      </c>
      <c r="AG1029" s="48" t="s">
        <v>1372</v>
      </c>
      <c r="AH1029" s="48" t="s">
        <v>5591</v>
      </c>
      <c r="AI1029" s="48"/>
      <c r="AJ1029" s="48"/>
      <c r="AK1029" s="48">
        <v>0</v>
      </c>
      <c r="AL1029" s="48"/>
      <c r="AM1029" s="48"/>
      <c r="AN1029" s="48"/>
      <c r="AO1029" s="48" t="s">
        <v>1372</v>
      </c>
      <c r="AP1029" s="48" t="s">
        <v>1373</v>
      </c>
    </row>
    <row r="1030" hidden="1" spans="1:42">
      <c r="A1030" s="48" t="s">
        <v>5595</v>
      </c>
      <c r="B1030" s="48" t="s">
        <v>1356</v>
      </c>
      <c r="C1030" s="48" t="s">
        <v>1357</v>
      </c>
      <c r="D1030" s="48" t="s">
        <v>1358</v>
      </c>
      <c r="E1030" s="48"/>
      <c r="F1030" s="48" t="s">
        <v>1359</v>
      </c>
      <c r="G1030" s="49">
        <v>44829.8307175926</v>
      </c>
      <c r="H1030" s="49">
        <v>44829.8310532407</v>
      </c>
      <c r="I1030" s="48"/>
      <c r="J1030" s="48" t="s">
        <v>1360</v>
      </c>
      <c r="K1030" s="48" t="s">
        <v>5596</v>
      </c>
      <c r="L1030" s="48" t="s">
        <v>5597</v>
      </c>
      <c r="M1030" s="48">
        <v>59</v>
      </c>
      <c r="N1030" s="48">
        <v>0</v>
      </c>
      <c r="O1030" s="48">
        <v>0</v>
      </c>
      <c r="P1030" s="48">
        <v>0</v>
      </c>
      <c r="Q1030" s="48">
        <v>59</v>
      </c>
      <c r="R1030" s="48">
        <v>59</v>
      </c>
      <c r="S1030" s="48"/>
      <c r="T1030" s="48" t="s">
        <v>5229</v>
      </c>
      <c r="U1030" s="48">
        <v>1</v>
      </c>
      <c r="V1030" s="48" t="s">
        <v>1364</v>
      </c>
      <c r="W1030" s="48"/>
      <c r="X1030" s="48" t="s">
        <v>5598</v>
      </c>
      <c r="Y1030" s="48" t="s">
        <v>5599</v>
      </c>
      <c r="Z1030" s="48" t="s">
        <v>1513</v>
      </c>
      <c r="AA1030" s="48" t="s">
        <v>3282</v>
      </c>
      <c r="AB1030" s="48" t="s">
        <v>5600</v>
      </c>
      <c r="AC1030" s="48" t="s">
        <v>5601</v>
      </c>
      <c r="AD1030" s="48"/>
      <c r="AE1030" s="48"/>
      <c r="AF1030" s="48" t="s">
        <v>5599</v>
      </c>
      <c r="AG1030" s="48" t="s">
        <v>1372</v>
      </c>
      <c r="AH1030" s="48" t="s">
        <v>5599</v>
      </c>
      <c r="AI1030" s="48"/>
      <c r="AJ1030" s="48"/>
      <c r="AK1030" s="48">
        <v>0</v>
      </c>
      <c r="AL1030" s="48"/>
      <c r="AM1030" s="48"/>
      <c r="AN1030" s="48"/>
      <c r="AO1030" s="48" t="s">
        <v>1372</v>
      </c>
      <c r="AP1030" s="48" t="s">
        <v>1373</v>
      </c>
    </row>
    <row r="1031" hidden="1" spans="1:42">
      <c r="A1031" s="48" t="s">
        <v>5602</v>
      </c>
      <c r="B1031" s="48" t="s">
        <v>1356</v>
      </c>
      <c r="C1031" s="48" t="s">
        <v>1357</v>
      </c>
      <c r="D1031" s="48" t="s">
        <v>1358</v>
      </c>
      <c r="E1031" s="48"/>
      <c r="F1031" s="48" t="s">
        <v>1359</v>
      </c>
      <c r="G1031" s="49">
        <v>44829.8247916667</v>
      </c>
      <c r="H1031" s="49">
        <v>44829.8250462963</v>
      </c>
      <c r="I1031" s="48"/>
      <c r="J1031" s="48" t="s">
        <v>1360</v>
      </c>
      <c r="K1031" s="48" t="s">
        <v>5603</v>
      </c>
      <c r="L1031" s="48" t="s">
        <v>5604</v>
      </c>
      <c r="M1031" s="48">
        <v>59</v>
      </c>
      <c r="N1031" s="48">
        <v>0</v>
      </c>
      <c r="O1031" s="48">
        <v>0</v>
      </c>
      <c r="P1031" s="48">
        <v>0</v>
      </c>
      <c r="Q1031" s="48">
        <v>59</v>
      </c>
      <c r="R1031" s="48">
        <v>59</v>
      </c>
      <c r="S1031" s="48"/>
      <c r="T1031" s="48" t="s">
        <v>5299</v>
      </c>
      <c r="U1031" s="48">
        <v>1</v>
      </c>
      <c r="V1031" s="48" t="s">
        <v>1364</v>
      </c>
      <c r="W1031" s="48"/>
      <c r="X1031" s="48" t="s">
        <v>5605</v>
      </c>
      <c r="Y1031" s="48" t="s">
        <v>5606</v>
      </c>
      <c r="Z1031" s="48" t="s">
        <v>1367</v>
      </c>
      <c r="AA1031" s="48" t="s">
        <v>1943</v>
      </c>
      <c r="AB1031" s="48" t="s">
        <v>1944</v>
      </c>
      <c r="AC1031" s="48" t="s">
        <v>5607</v>
      </c>
      <c r="AD1031" s="48"/>
      <c r="AE1031" s="48"/>
      <c r="AF1031" s="48" t="s">
        <v>5608</v>
      </c>
      <c r="AG1031" s="48" t="s">
        <v>1385</v>
      </c>
      <c r="AH1031" s="48" t="s">
        <v>5606</v>
      </c>
      <c r="AI1031" s="48"/>
      <c r="AJ1031" s="48"/>
      <c r="AK1031" s="48">
        <v>0</v>
      </c>
      <c r="AL1031" s="48"/>
      <c r="AM1031" s="48"/>
      <c r="AN1031" s="48"/>
      <c r="AO1031" s="48" t="s">
        <v>1372</v>
      </c>
      <c r="AP1031" s="48" t="s">
        <v>1373</v>
      </c>
    </row>
    <row r="1032" hidden="1" spans="1:42">
      <c r="A1032" s="48" t="s">
        <v>5609</v>
      </c>
      <c r="B1032" s="48" t="s">
        <v>1356</v>
      </c>
      <c r="C1032" s="48" t="s">
        <v>1357</v>
      </c>
      <c r="D1032" s="48" t="s">
        <v>1358</v>
      </c>
      <c r="E1032" s="48"/>
      <c r="F1032" s="48" t="s">
        <v>1359</v>
      </c>
      <c r="G1032" s="49">
        <v>44829.823125</v>
      </c>
      <c r="H1032" s="49">
        <v>44829.8233333333</v>
      </c>
      <c r="I1032" s="48"/>
      <c r="J1032" s="48" t="s">
        <v>1360</v>
      </c>
      <c r="K1032" s="48" t="s">
        <v>5610</v>
      </c>
      <c r="L1032" s="48" t="s">
        <v>5611</v>
      </c>
      <c r="M1032" s="48">
        <v>59</v>
      </c>
      <c r="N1032" s="48">
        <v>0</v>
      </c>
      <c r="O1032" s="48">
        <v>0</v>
      </c>
      <c r="P1032" s="48">
        <v>0</v>
      </c>
      <c r="Q1032" s="48">
        <v>59</v>
      </c>
      <c r="R1032" s="48">
        <v>59</v>
      </c>
      <c r="S1032" s="48"/>
      <c r="T1032" s="48" t="s">
        <v>5444</v>
      </c>
      <c r="U1032" s="48">
        <v>1</v>
      </c>
      <c r="V1032" s="48" t="s">
        <v>1364</v>
      </c>
      <c r="W1032" s="48"/>
      <c r="X1032" s="48" t="s">
        <v>5612</v>
      </c>
      <c r="Y1032" s="48" t="s">
        <v>5613</v>
      </c>
      <c r="Z1032" s="48" t="s">
        <v>2336</v>
      </c>
      <c r="AA1032" s="48" t="s">
        <v>2336</v>
      </c>
      <c r="AB1032" s="48" t="s">
        <v>5522</v>
      </c>
      <c r="AC1032" s="48" t="s">
        <v>5614</v>
      </c>
      <c r="AD1032" s="48"/>
      <c r="AE1032" s="48"/>
      <c r="AF1032" s="48" t="s">
        <v>5613</v>
      </c>
      <c r="AG1032" s="48" t="s">
        <v>1372</v>
      </c>
      <c r="AH1032" s="48" t="s">
        <v>5613</v>
      </c>
      <c r="AI1032" s="48"/>
      <c r="AJ1032" s="48"/>
      <c r="AK1032" s="48">
        <v>0</v>
      </c>
      <c r="AL1032" s="48"/>
      <c r="AM1032" s="48"/>
      <c r="AN1032" s="48"/>
      <c r="AO1032" s="48" t="s">
        <v>1372</v>
      </c>
      <c r="AP1032" s="48" t="s">
        <v>1373</v>
      </c>
    </row>
    <row r="1033" hidden="1" spans="1:42">
      <c r="A1033" s="48" t="s">
        <v>5615</v>
      </c>
      <c r="B1033" s="48" t="s">
        <v>1356</v>
      </c>
      <c r="C1033" s="48" t="s">
        <v>1357</v>
      </c>
      <c r="D1033" s="48" t="s">
        <v>1358</v>
      </c>
      <c r="E1033" s="48"/>
      <c r="F1033" s="48" t="s">
        <v>1359</v>
      </c>
      <c r="G1033" s="49">
        <v>44829.8203587963</v>
      </c>
      <c r="H1033" s="49">
        <v>44829.8205555556</v>
      </c>
      <c r="I1033" s="48"/>
      <c r="J1033" s="48" t="s">
        <v>1360</v>
      </c>
      <c r="K1033" s="48" t="s">
        <v>5616</v>
      </c>
      <c r="L1033" s="48" t="s">
        <v>5617</v>
      </c>
      <c r="M1033" s="48">
        <v>69</v>
      </c>
      <c r="N1033" s="48">
        <v>0</v>
      </c>
      <c r="O1033" s="48">
        <v>0</v>
      </c>
      <c r="P1033" s="48">
        <v>0</v>
      </c>
      <c r="Q1033" s="48">
        <v>69</v>
      </c>
      <c r="R1033" s="48">
        <v>69</v>
      </c>
      <c r="S1033" s="48"/>
      <c r="T1033" s="48" t="s">
        <v>1669</v>
      </c>
      <c r="U1033" s="48">
        <v>1</v>
      </c>
      <c r="V1033" s="48" t="s">
        <v>1364</v>
      </c>
      <c r="W1033" s="48"/>
      <c r="X1033" s="48" t="s">
        <v>5618</v>
      </c>
      <c r="Y1033" s="48" t="s">
        <v>5619</v>
      </c>
      <c r="Z1033" s="48" t="s">
        <v>1367</v>
      </c>
      <c r="AA1033" s="48" t="s">
        <v>2124</v>
      </c>
      <c r="AB1033" s="48" t="s">
        <v>5620</v>
      </c>
      <c r="AC1033" s="48" t="s">
        <v>5621</v>
      </c>
      <c r="AD1033" s="48"/>
      <c r="AE1033" s="48"/>
      <c r="AF1033" s="48" t="s">
        <v>5622</v>
      </c>
      <c r="AG1033" s="48" t="s">
        <v>1385</v>
      </c>
      <c r="AH1033" s="48" t="s">
        <v>5619</v>
      </c>
      <c r="AI1033" s="48"/>
      <c r="AJ1033" s="48"/>
      <c r="AK1033" s="48">
        <v>0</v>
      </c>
      <c r="AL1033" s="48"/>
      <c r="AM1033" s="48"/>
      <c r="AN1033" s="48"/>
      <c r="AO1033" s="48" t="s">
        <v>1372</v>
      </c>
      <c r="AP1033" s="48" t="s">
        <v>1373</v>
      </c>
    </row>
    <row r="1034" hidden="1" spans="1:42">
      <c r="A1034" s="48" t="s">
        <v>5623</v>
      </c>
      <c r="B1034" s="48" t="s">
        <v>1356</v>
      </c>
      <c r="C1034" s="48" t="s">
        <v>1375</v>
      </c>
      <c r="D1034" s="48" t="s">
        <v>1376</v>
      </c>
      <c r="E1034" s="48"/>
      <c r="F1034" s="48" t="s">
        <v>1377</v>
      </c>
      <c r="G1034" s="49">
        <v>44829.819525463</v>
      </c>
      <c r="H1034" s="48"/>
      <c r="I1034" s="48"/>
      <c r="J1034" s="48"/>
      <c r="K1034" s="48"/>
      <c r="L1034" s="48"/>
      <c r="M1034" s="48">
        <v>239</v>
      </c>
      <c r="N1034" s="48">
        <v>0</v>
      </c>
      <c r="O1034" s="48">
        <v>-3</v>
      </c>
      <c r="P1034" s="48">
        <v>0</v>
      </c>
      <c r="Q1034" s="48">
        <v>236</v>
      </c>
      <c r="R1034" s="48">
        <v>0</v>
      </c>
      <c r="S1034" s="48" t="s">
        <v>1397</v>
      </c>
      <c r="T1034" s="48" t="s">
        <v>5624</v>
      </c>
      <c r="U1034" s="48">
        <v>1</v>
      </c>
      <c r="V1034" s="48" t="s">
        <v>1364</v>
      </c>
      <c r="W1034" s="48"/>
      <c r="X1034" s="48" t="s">
        <v>592</v>
      </c>
      <c r="Y1034" s="48" t="s">
        <v>3873</v>
      </c>
      <c r="Z1034" s="48" t="s">
        <v>1678</v>
      </c>
      <c r="AA1034" s="48" t="s">
        <v>2007</v>
      </c>
      <c r="AB1034" s="48" t="s">
        <v>2451</v>
      </c>
      <c r="AC1034" s="48" t="s">
        <v>3874</v>
      </c>
      <c r="AD1034" s="48"/>
      <c r="AE1034" s="48"/>
      <c r="AF1034" s="48" t="s">
        <v>4389</v>
      </c>
      <c r="AG1034" s="48" t="s">
        <v>1372</v>
      </c>
      <c r="AH1034" s="48" t="s">
        <v>4390</v>
      </c>
      <c r="AI1034" s="48"/>
      <c r="AJ1034" s="48"/>
      <c r="AK1034" s="48">
        <v>0</v>
      </c>
      <c r="AL1034" s="48"/>
      <c r="AM1034" s="48"/>
      <c r="AN1034" s="48"/>
      <c r="AO1034" s="48" t="s">
        <v>1372</v>
      </c>
      <c r="AP1034" s="48" t="s">
        <v>1373</v>
      </c>
    </row>
    <row r="1035" hidden="1" spans="1:42">
      <c r="A1035" s="48" t="s">
        <v>5625</v>
      </c>
      <c r="B1035" s="48" t="s">
        <v>1356</v>
      </c>
      <c r="C1035" s="48" t="s">
        <v>1375</v>
      </c>
      <c r="D1035" s="48" t="s">
        <v>1358</v>
      </c>
      <c r="E1035" s="48"/>
      <c r="F1035" s="48" t="s">
        <v>1377</v>
      </c>
      <c r="G1035" s="49">
        <v>44829.8194560185</v>
      </c>
      <c r="H1035" s="49">
        <v>44829.8195717593</v>
      </c>
      <c r="I1035" s="48"/>
      <c r="J1035" s="48" t="s">
        <v>407</v>
      </c>
      <c r="K1035" s="48"/>
      <c r="L1035" s="48"/>
      <c r="M1035" s="48">
        <v>239</v>
      </c>
      <c r="N1035" s="48">
        <v>0</v>
      </c>
      <c r="O1035" s="48">
        <v>0</v>
      </c>
      <c r="P1035" s="48">
        <v>0</v>
      </c>
      <c r="Q1035" s="48">
        <v>239</v>
      </c>
      <c r="R1035" s="48">
        <v>239</v>
      </c>
      <c r="S1035" s="48"/>
      <c r="T1035" s="48" t="s">
        <v>5626</v>
      </c>
      <c r="U1035" s="48">
        <v>1</v>
      </c>
      <c r="V1035" s="48" t="s">
        <v>1364</v>
      </c>
      <c r="W1035" s="48"/>
      <c r="X1035" s="48" t="s">
        <v>866</v>
      </c>
      <c r="Y1035" s="48" t="s">
        <v>5627</v>
      </c>
      <c r="Z1035" s="48" t="s">
        <v>1495</v>
      </c>
      <c r="AA1035" s="48" t="s">
        <v>1757</v>
      </c>
      <c r="AB1035" s="48" t="s">
        <v>5628</v>
      </c>
      <c r="AC1035" s="48" t="s">
        <v>5629</v>
      </c>
      <c r="AD1035" s="48"/>
      <c r="AE1035" s="48"/>
      <c r="AF1035" s="48" t="s">
        <v>5630</v>
      </c>
      <c r="AG1035" s="48" t="s">
        <v>1372</v>
      </c>
      <c r="AH1035" s="48"/>
      <c r="AI1035" s="48"/>
      <c r="AJ1035" s="48"/>
      <c r="AK1035" s="48">
        <v>0</v>
      </c>
      <c r="AL1035" s="48"/>
      <c r="AM1035" s="48"/>
      <c r="AN1035" s="48"/>
      <c r="AO1035" s="48" t="s">
        <v>1372</v>
      </c>
      <c r="AP1035" s="48" t="s">
        <v>1373</v>
      </c>
    </row>
    <row r="1036" hidden="1" spans="1:42">
      <c r="A1036" s="48" t="s">
        <v>5631</v>
      </c>
      <c r="B1036" s="48" t="s">
        <v>1356</v>
      </c>
      <c r="C1036" s="48" t="s">
        <v>1375</v>
      </c>
      <c r="D1036" s="48" t="s">
        <v>1358</v>
      </c>
      <c r="E1036" s="48"/>
      <c r="F1036" s="48" t="s">
        <v>1377</v>
      </c>
      <c r="G1036" s="49">
        <v>44829.8185648148</v>
      </c>
      <c r="H1036" s="49">
        <v>44829.8187268519</v>
      </c>
      <c r="I1036" s="48"/>
      <c r="J1036" s="48" t="s">
        <v>407</v>
      </c>
      <c r="K1036" s="48"/>
      <c r="L1036" s="48"/>
      <c r="M1036" s="48">
        <v>239</v>
      </c>
      <c r="N1036" s="48">
        <v>0</v>
      </c>
      <c r="O1036" s="48">
        <v>-3</v>
      </c>
      <c r="P1036" s="48">
        <v>0</v>
      </c>
      <c r="Q1036" s="48">
        <v>236</v>
      </c>
      <c r="R1036" s="48">
        <v>236</v>
      </c>
      <c r="S1036" s="48" t="s">
        <v>1397</v>
      </c>
      <c r="T1036" s="48" t="s">
        <v>5632</v>
      </c>
      <c r="U1036" s="48">
        <v>1</v>
      </c>
      <c r="V1036" s="48" t="s">
        <v>1364</v>
      </c>
      <c r="W1036" s="48"/>
      <c r="X1036" s="48" t="s">
        <v>662</v>
      </c>
      <c r="Y1036" s="48" t="s">
        <v>5633</v>
      </c>
      <c r="Z1036" s="48" t="s">
        <v>1495</v>
      </c>
      <c r="AA1036" s="48" t="s">
        <v>2734</v>
      </c>
      <c r="AB1036" s="48" t="s">
        <v>2735</v>
      </c>
      <c r="AC1036" s="48" t="s">
        <v>5634</v>
      </c>
      <c r="AD1036" s="48"/>
      <c r="AE1036" s="48"/>
      <c r="AF1036" s="48" t="s">
        <v>5635</v>
      </c>
      <c r="AG1036" s="48" t="s">
        <v>1372</v>
      </c>
      <c r="AH1036" s="48" t="s">
        <v>5633</v>
      </c>
      <c r="AI1036" s="48"/>
      <c r="AJ1036" s="48"/>
      <c r="AK1036" s="48">
        <v>0</v>
      </c>
      <c r="AL1036" s="48"/>
      <c r="AM1036" s="48"/>
      <c r="AN1036" s="48"/>
      <c r="AO1036" s="48" t="s">
        <v>1372</v>
      </c>
      <c r="AP1036" s="48" t="s">
        <v>1373</v>
      </c>
    </row>
    <row r="1037" hidden="1" spans="1:42">
      <c r="A1037" s="48" t="s">
        <v>5636</v>
      </c>
      <c r="B1037" s="48" t="s">
        <v>1356</v>
      </c>
      <c r="C1037" s="48" t="s">
        <v>1357</v>
      </c>
      <c r="D1037" s="48" t="s">
        <v>1358</v>
      </c>
      <c r="E1037" s="48"/>
      <c r="F1037" s="48" t="s">
        <v>1359</v>
      </c>
      <c r="G1037" s="49">
        <v>44829.8183680556</v>
      </c>
      <c r="H1037" s="49">
        <v>44829.8184490741</v>
      </c>
      <c r="I1037" s="48"/>
      <c r="J1037" s="48" t="s">
        <v>1360</v>
      </c>
      <c r="K1037" s="48" t="s">
        <v>5637</v>
      </c>
      <c r="L1037" s="48" t="s">
        <v>5638</v>
      </c>
      <c r="M1037" s="48">
        <v>59</v>
      </c>
      <c r="N1037" s="48">
        <v>0</v>
      </c>
      <c r="O1037" s="48">
        <v>0</v>
      </c>
      <c r="P1037" s="48">
        <v>0</v>
      </c>
      <c r="Q1037" s="48">
        <v>59</v>
      </c>
      <c r="R1037" s="48">
        <v>59</v>
      </c>
      <c r="S1037" s="48"/>
      <c r="T1037" s="48" t="s">
        <v>5229</v>
      </c>
      <c r="U1037" s="48">
        <v>1</v>
      </c>
      <c r="V1037" s="48" t="s">
        <v>1364</v>
      </c>
      <c r="W1037" s="48"/>
      <c r="X1037" s="48" t="s">
        <v>441</v>
      </c>
      <c r="Y1037" s="48" t="s">
        <v>5639</v>
      </c>
      <c r="Z1037" s="48" t="s">
        <v>1367</v>
      </c>
      <c r="AA1037" s="48" t="s">
        <v>5640</v>
      </c>
      <c r="AB1037" s="48" t="s">
        <v>5641</v>
      </c>
      <c r="AC1037" s="48" t="s">
        <v>5642</v>
      </c>
      <c r="AD1037" s="48"/>
      <c r="AE1037" s="48"/>
      <c r="AF1037" s="48" t="s">
        <v>5643</v>
      </c>
      <c r="AG1037" s="48" t="s">
        <v>1372</v>
      </c>
      <c r="AH1037" s="48" t="s">
        <v>5639</v>
      </c>
      <c r="AI1037" s="48"/>
      <c r="AJ1037" s="48"/>
      <c r="AK1037" s="48">
        <v>0</v>
      </c>
      <c r="AL1037" s="48"/>
      <c r="AM1037" s="48"/>
      <c r="AN1037" s="48"/>
      <c r="AO1037" s="48" t="s">
        <v>1372</v>
      </c>
      <c r="AP1037" s="48" t="s">
        <v>1373</v>
      </c>
    </row>
    <row r="1038" hidden="1" spans="1:42">
      <c r="A1038" s="48" t="s">
        <v>5644</v>
      </c>
      <c r="B1038" s="48" t="s">
        <v>1356</v>
      </c>
      <c r="C1038" s="48" t="s">
        <v>1357</v>
      </c>
      <c r="D1038" s="48" t="s">
        <v>1358</v>
      </c>
      <c r="E1038" s="48"/>
      <c r="F1038" s="48" t="s">
        <v>1359</v>
      </c>
      <c r="G1038" s="49">
        <v>44829.8182175926</v>
      </c>
      <c r="H1038" s="49">
        <v>44829.8185532407</v>
      </c>
      <c r="I1038" s="48"/>
      <c r="J1038" s="48" t="s">
        <v>1360</v>
      </c>
      <c r="K1038" s="48" t="s">
        <v>5645</v>
      </c>
      <c r="L1038" s="48" t="s">
        <v>5646</v>
      </c>
      <c r="M1038" s="48">
        <v>69</v>
      </c>
      <c r="N1038" s="48">
        <v>0</v>
      </c>
      <c r="O1038" s="48">
        <v>0</v>
      </c>
      <c r="P1038" s="48">
        <v>0</v>
      </c>
      <c r="Q1038" s="48">
        <v>69</v>
      </c>
      <c r="R1038" s="48">
        <v>69</v>
      </c>
      <c r="S1038" s="48"/>
      <c r="T1038" s="48" t="s">
        <v>1669</v>
      </c>
      <c r="U1038" s="48">
        <v>1</v>
      </c>
      <c r="V1038" s="48" t="s">
        <v>1364</v>
      </c>
      <c r="W1038" s="48"/>
      <c r="X1038" s="48" t="s">
        <v>5647</v>
      </c>
      <c r="Y1038" s="48" t="s">
        <v>5648</v>
      </c>
      <c r="Z1038" s="48" t="s">
        <v>1367</v>
      </c>
      <c r="AA1038" s="48" t="s">
        <v>1615</v>
      </c>
      <c r="AB1038" s="48" t="s">
        <v>1728</v>
      </c>
      <c r="AC1038" s="48" t="s">
        <v>5649</v>
      </c>
      <c r="AD1038" s="48"/>
      <c r="AE1038" s="48"/>
      <c r="AF1038" s="48" t="s">
        <v>5650</v>
      </c>
      <c r="AG1038" s="48" t="s">
        <v>1372</v>
      </c>
      <c r="AH1038" s="48" t="s">
        <v>5648</v>
      </c>
      <c r="AI1038" s="48"/>
      <c r="AJ1038" s="48"/>
      <c r="AK1038" s="48">
        <v>0</v>
      </c>
      <c r="AL1038" s="48"/>
      <c r="AM1038" s="48"/>
      <c r="AN1038" s="48"/>
      <c r="AO1038" s="48" t="s">
        <v>1372</v>
      </c>
      <c r="AP1038" s="48" t="s">
        <v>1373</v>
      </c>
    </row>
    <row r="1039" hidden="1" spans="1:42">
      <c r="A1039" s="48" t="s">
        <v>5651</v>
      </c>
      <c r="B1039" s="48" t="s">
        <v>1356</v>
      </c>
      <c r="C1039" s="48" t="s">
        <v>1375</v>
      </c>
      <c r="D1039" s="48" t="s">
        <v>1358</v>
      </c>
      <c r="E1039" s="48"/>
      <c r="F1039" s="48" t="s">
        <v>1377</v>
      </c>
      <c r="G1039" s="49">
        <v>44829.8177546296</v>
      </c>
      <c r="H1039" s="49">
        <v>44829.8178819444</v>
      </c>
      <c r="I1039" s="48"/>
      <c r="J1039" s="48" t="s">
        <v>407</v>
      </c>
      <c r="K1039" s="48"/>
      <c r="L1039" s="48"/>
      <c r="M1039" s="48">
        <v>239</v>
      </c>
      <c r="N1039" s="48">
        <v>0</v>
      </c>
      <c r="O1039" s="48">
        <v>-4</v>
      </c>
      <c r="P1039" s="48">
        <v>0</v>
      </c>
      <c r="Q1039" s="48">
        <v>235</v>
      </c>
      <c r="R1039" s="48">
        <v>235</v>
      </c>
      <c r="S1039" s="48" t="s">
        <v>1388</v>
      </c>
      <c r="T1039" s="48" t="s">
        <v>5652</v>
      </c>
      <c r="U1039" s="48">
        <v>1</v>
      </c>
      <c r="V1039" s="48" t="s">
        <v>1364</v>
      </c>
      <c r="W1039" s="48"/>
      <c r="X1039" s="48" t="s">
        <v>583</v>
      </c>
      <c r="Y1039" s="48" t="s">
        <v>4453</v>
      </c>
      <c r="Z1039" s="48" t="s">
        <v>1430</v>
      </c>
      <c r="AA1039" s="48" t="s">
        <v>3042</v>
      </c>
      <c r="AB1039" s="48" t="s">
        <v>3043</v>
      </c>
      <c r="AC1039" s="48" t="s">
        <v>4454</v>
      </c>
      <c r="AD1039" s="48"/>
      <c r="AE1039" s="48"/>
      <c r="AF1039" s="48" t="s">
        <v>583</v>
      </c>
      <c r="AG1039" s="48" t="s">
        <v>1372</v>
      </c>
      <c r="AH1039" s="48" t="s">
        <v>4453</v>
      </c>
      <c r="AI1039" s="48"/>
      <c r="AJ1039" s="48"/>
      <c r="AK1039" s="48">
        <v>0</v>
      </c>
      <c r="AL1039" s="48"/>
      <c r="AM1039" s="48"/>
      <c r="AN1039" s="48"/>
      <c r="AO1039" s="48" t="s">
        <v>1372</v>
      </c>
      <c r="AP1039" s="48" t="s">
        <v>1373</v>
      </c>
    </row>
    <row r="1040" hidden="1" spans="1:42">
      <c r="A1040" s="48" t="s">
        <v>5653</v>
      </c>
      <c r="B1040" s="48" t="s">
        <v>1356</v>
      </c>
      <c r="C1040" s="48" t="s">
        <v>1357</v>
      </c>
      <c r="D1040" s="48" t="s">
        <v>1358</v>
      </c>
      <c r="E1040" s="48"/>
      <c r="F1040" s="48" t="s">
        <v>1359</v>
      </c>
      <c r="G1040" s="49">
        <v>44829.8177314815</v>
      </c>
      <c r="H1040" s="49">
        <v>44829.8178587963</v>
      </c>
      <c r="I1040" s="48"/>
      <c r="J1040" s="48" t="s">
        <v>1360</v>
      </c>
      <c r="K1040" s="48" t="s">
        <v>5654</v>
      </c>
      <c r="L1040" s="48" t="s">
        <v>5655</v>
      </c>
      <c r="M1040" s="48">
        <v>49</v>
      </c>
      <c r="N1040" s="48">
        <v>0</v>
      </c>
      <c r="O1040" s="48">
        <v>0</v>
      </c>
      <c r="P1040" s="48">
        <v>0</v>
      </c>
      <c r="Q1040" s="48">
        <v>49</v>
      </c>
      <c r="R1040" s="48">
        <v>49</v>
      </c>
      <c r="S1040" s="48"/>
      <c r="T1040" s="48" t="s">
        <v>5656</v>
      </c>
      <c r="U1040" s="48">
        <v>1</v>
      </c>
      <c r="V1040" s="48" t="s">
        <v>1364</v>
      </c>
      <c r="W1040" s="48"/>
      <c r="X1040" s="48" t="s">
        <v>5657</v>
      </c>
      <c r="Y1040" s="48" t="s">
        <v>5658</v>
      </c>
      <c r="Z1040" s="48" t="s">
        <v>1478</v>
      </c>
      <c r="AA1040" s="48" t="s">
        <v>2330</v>
      </c>
      <c r="AB1040" s="48" t="s">
        <v>5659</v>
      </c>
      <c r="AC1040" s="48" t="s">
        <v>5660</v>
      </c>
      <c r="AD1040" s="48"/>
      <c r="AE1040" s="48"/>
      <c r="AF1040" s="48" t="s">
        <v>5661</v>
      </c>
      <c r="AG1040" s="48" t="s">
        <v>1372</v>
      </c>
      <c r="AH1040" s="48" t="s">
        <v>5662</v>
      </c>
      <c r="AI1040" s="48"/>
      <c r="AJ1040" s="48"/>
      <c r="AK1040" s="48">
        <v>0</v>
      </c>
      <c r="AL1040" s="48"/>
      <c r="AM1040" s="48"/>
      <c r="AN1040" s="48"/>
      <c r="AO1040" s="48" t="s">
        <v>1372</v>
      </c>
      <c r="AP1040" s="48" t="s">
        <v>1373</v>
      </c>
    </row>
    <row r="1041" hidden="1" spans="1:42">
      <c r="A1041" s="48" t="s">
        <v>5663</v>
      </c>
      <c r="B1041" s="48" t="s">
        <v>1356</v>
      </c>
      <c r="C1041" s="48" t="s">
        <v>1375</v>
      </c>
      <c r="D1041" s="48" t="s">
        <v>1358</v>
      </c>
      <c r="E1041" s="48"/>
      <c r="F1041" s="48" t="s">
        <v>1377</v>
      </c>
      <c r="G1041" s="49">
        <v>44829.8132638889</v>
      </c>
      <c r="H1041" s="49">
        <v>44829.8135185185</v>
      </c>
      <c r="I1041" s="48"/>
      <c r="J1041" s="48" t="s">
        <v>407</v>
      </c>
      <c r="K1041" s="48"/>
      <c r="L1041" s="48"/>
      <c r="M1041" s="48">
        <v>169</v>
      </c>
      <c r="N1041" s="48">
        <v>0</v>
      </c>
      <c r="O1041" s="48">
        <v>0</v>
      </c>
      <c r="P1041" s="48">
        <v>0</v>
      </c>
      <c r="Q1041" s="48">
        <v>169</v>
      </c>
      <c r="R1041" s="48">
        <v>169</v>
      </c>
      <c r="S1041" s="48"/>
      <c r="T1041" s="48" t="s">
        <v>5664</v>
      </c>
      <c r="U1041" s="48">
        <v>1</v>
      </c>
      <c r="V1041" s="48" t="s">
        <v>1364</v>
      </c>
      <c r="W1041" s="48"/>
      <c r="X1041" s="48" t="s">
        <v>883</v>
      </c>
      <c r="Y1041" s="48" t="s">
        <v>5665</v>
      </c>
      <c r="Z1041" s="48" t="s">
        <v>1367</v>
      </c>
      <c r="AA1041" s="48" t="s">
        <v>5372</v>
      </c>
      <c r="AB1041" s="48" t="s">
        <v>5666</v>
      </c>
      <c r="AC1041" s="48" t="s">
        <v>5667</v>
      </c>
      <c r="AD1041" s="48" t="s">
        <v>5668</v>
      </c>
      <c r="AE1041" s="48"/>
      <c r="AF1041" s="48" t="s">
        <v>5669</v>
      </c>
      <c r="AG1041" s="48" t="s">
        <v>1372</v>
      </c>
      <c r="AH1041" s="48"/>
      <c r="AI1041" s="48"/>
      <c r="AJ1041" s="48"/>
      <c r="AK1041" s="48">
        <v>0</v>
      </c>
      <c r="AL1041" s="48" t="s">
        <v>5670</v>
      </c>
      <c r="AM1041" s="48"/>
      <c r="AN1041" s="48"/>
      <c r="AO1041" s="48" t="s">
        <v>1372</v>
      </c>
      <c r="AP1041" s="48" t="s">
        <v>1373</v>
      </c>
    </row>
    <row r="1042" hidden="1" spans="1:42">
      <c r="A1042" s="48" t="s">
        <v>5671</v>
      </c>
      <c r="B1042" s="48" t="s">
        <v>1356</v>
      </c>
      <c r="C1042" s="48" t="s">
        <v>1375</v>
      </c>
      <c r="D1042" s="48" t="s">
        <v>1358</v>
      </c>
      <c r="E1042" s="48"/>
      <c r="F1042" s="48" t="s">
        <v>1377</v>
      </c>
      <c r="G1042" s="49">
        <v>44829.8125347222</v>
      </c>
      <c r="H1042" s="49">
        <v>44829.8126273148</v>
      </c>
      <c r="I1042" s="48"/>
      <c r="J1042" s="48" t="s">
        <v>407</v>
      </c>
      <c r="K1042" s="48"/>
      <c r="L1042" s="48"/>
      <c r="M1042" s="48">
        <v>169</v>
      </c>
      <c r="N1042" s="48">
        <v>0</v>
      </c>
      <c r="O1042" s="48">
        <v>-2</v>
      </c>
      <c r="P1042" s="48">
        <v>0</v>
      </c>
      <c r="Q1042" s="48">
        <v>167</v>
      </c>
      <c r="R1042" s="48">
        <v>167</v>
      </c>
      <c r="S1042" s="48" t="s">
        <v>1400</v>
      </c>
      <c r="T1042" s="48" t="s">
        <v>5439</v>
      </c>
      <c r="U1042" s="48">
        <v>1</v>
      </c>
      <c r="V1042" s="48" t="s">
        <v>1364</v>
      </c>
      <c r="W1042" s="48"/>
      <c r="X1042" s="48" t="s">
        <v>592</v>
      </c>
      <c r="Y1042" s="48" t="s">
        <v>3873</v>
      </c>
      <c r="Z1042" s="48" t="s">
        <v>1678</v>
      </c>
      <c r="AA1042" s="48" t="s">
        <v>2007</v>
      </c>
      <c r="AB1042" s="48" t="s">
        <v>2451</v>
      </c>
      <c r="AC1042" s="48" t="s">
        <v>3874</v>
      </c>
      <c r="AD1042" s="48" t="s">
        <v>5672</v>
      </c>
      <c r="AE1042" s="48"/>
      <c r="AF1042" s="48" t="s">
        <v>4389</v>
      </c>
      <c r="AG1042" s="48" t="s">
        <v>1372</v>
      </c>
      <c r="AH1042" s="48" t="s">
        <v>4390</v>
      </c>
      <c r="AI1042" s="48"/>
      <c r="AJ1042" s="48"/>
      <c r="AK1042" s="48">
        <v>0</v>
      </c>
      <c r="AL1042" s="48" t="s">
        <v>5673</v>
      </c>
      <c r="AM1042" s="48"/>
      <c r="AN1042" s="48"/>
      <c r="AO1042" s="48" t="s">
        <v>1372</v>
      </c>
      <c r="AP1042" s="48" t="s">
        <v>1373</v>
      </c>
    </row>
    <row r="1043" hidden="1" spans="1:42">
      <c r="A1043" s="48" t="s">
        <v>5674</v>
      </c>
      <c r="B1043" s="48" t="s">
        <v>1356</v>
      </c>
      <c r="C1043" s="48" t="s">
        <v>1375</v>
      </c>
      <c r="D1043" s="48" t="s">
        <v>1358</v>
      </c>
      <c r="E1043" s="48"/>
      <c r="F1043" s="48" t="s">
        <v>1377</v>
      </c>
      <c r="G1043" s="49">
        <v>44829.8119791667</v>
      </c>
      <c r="H1043" s="49">
        <v>44829.8121759259</v>
      </c>
      <c r="I1043" s="48"/>
      <c r="J1043" s="48" t="s">
        <v>407</v>
      </c>
      <c r="K1043" s="48"/>
      <c r="L1043" s="48"/>
      <c r="M1043" s="48">
        <v>148.72</v>
      </c>
      <c r="N1043" s="48">
        <v>0</v>
      </c>
      <c r="O1043" s="48">
        <v>0</v>
      </c>
      <c r="P1043" s="48">
        <v>0</v>
      </c>
      <c r="Q1043" s="48">
        <v>148.72</v>
      </c>
      <c r="R1043" s="48">
        <v>148.72</v>
      </c>
      <c r="S1043" s="48"/>
      <c r="T1043" s="48" t="s">
        <v>5675</v>
      </c>
      <c r="U1043" s="48">
        <v>1</v>
      </c>
      <c r="V1043" s="48" t="s">
        <v>1364</v>
      </c>
      <c r="W1043" s="48"/>
      <c r="X1043" s="48" t="s">
        <v>396</v>
      </c>
      <c r="Y1043" s="48" t="s">
        <v>1816</v>
      </c>
      <c r="Z1043" s="48" t="s">
        <v>1678</v>
      </c>
      <c r="AA1043" s="48" t="s">
        <v>1817</v>
      </c>
      <c r="AB1043" s="48" t="s">
        <v>1818</v>
      </c>
      <c r="AC1043" s="48" t="s">
        <v>1819</v>
      </c>
      <c r="AD1043" s="48" t="s">
        <v>5676</v>
      </c>
      <c r="AE1043" s="48"/>
      <c r="AF1043" s="48" t="s">
        <v>1821</v>
      </c>
      <c r="AG1043" s="48" t="s">
        <v>1385</v>
      </c>
      <c r="AH1043" s="48" t="s">
        <v>1816</v>
      </c>
      <c r="AI1043" s="48"/>
      <c r="AJ1043" s="48"/>
      <c r="AK1043" s="48">
        <v>0</v>
      </c>
      <c r="AL1043" s="48"/>
      <c r="AM1043" s="48"/>
      <c r="AN1043" s="48"/>
      <c r="AO1043" s="48" t="s">
        <v>1372</v>
      </c>
      <c r="AP1043" s="48" t="s">
        <v>1373</v>
      </c>
    </row>
    <row r="1044" hidden="1" spans="1:42">
      <c r="A1044" s="48" t="s">
        <v>5677</v>
      </c>
      <c r="B1044" s="48" t="s">
        <v>1356</v>
      </c>
      <c r="C1044" s="48" t="s">
        <v>1357</v>
      </c>
      <c r="D1044" s="48" t="s">
        <v>1376</v>
      </c>
      <c r="E1044" s="48"/>
      <c r="F1044" s="48" t="s">
        <v>1359</v>
      </c>
      <c r="G1044" s="49">
        <v>44829.8118518519</v>
      </c>
      <c r="H1044" s="48"/>
      <c r="I1044" s="48"/>
      <c r="J1044" s="48"/>
      <c r="K1044" s="48"/>
      <c r="L1044" s="48"/>
      <c r="M1044" s="48">
        <v>59</v>
      </c>
      <c r="N1044" s="48">
        <v>0</v>
      </c>
      <c r="O1044" s="48">
        <v>0</v>
      </c>
      <c r="P1044" s="48">
        <v>0</v>
      </c>
      <c r="Q1044" s="48">
        <v>59</v>
      </c>
      <c r="R1044" s="48">
        <v>0</v>
      </c>
      <c r="S1044" s="48"/>
      <c r="T1044" s="48" t="s">
        <v>5229</v>
      </c>
      <c r="U1044" s="48">
        <v>1</v>
      </c>
      <c r="V1044" s="48" t="s">
        <v>1364</v>
      </c>
      <c r="W1044" s="48"/>
      <c r="X1044" s="48" t="s">
        <v>5678</v>
      </c>
      <c r="Y1044" s="48" t="s">
        <v>5679</v>
      </c>
      <c r="Z1044" s="48" t="s">
        <v>1367</v>
      </c>
      <c r="AA1044" s="48" t="s">
        <v>1615</v>
      </c>
      <c r="AB1044" s="48" t="s">
        <v>2540</v>
      </c>
      <c r="AC1044" s="48" t="s">
        <v>5680</v>
      </c>
      <c r="AD1044" s="48"/>
      <c r="AE1044" s="48"/>
      <c r="AF1044" s="48" t="s">
        <v>5681</v>
      </c>
      <c r="AG1044" s="48" t="s">
        <v>1372</v>
      </c>
      <c r="AH1044" s="48" t="s">
        <v>5679</v>
      </c>
      <c r="AI1044" s="48"/>
      <c r="AJ1044" s="48"/>
      <c r="AK1044" s="48">
        <v>0</v>
      </c>
      <c r="AL1044" s="48"/>
      <c r="AM1044" s="48"/>
      <c r="AN1044" s="48"/>
      <c r="AO1044" s="48" t="s">
        <v>1372</v>
      </c>
      <c r="AP1044" s="48" t="s">
        <v>1373</v>
      </c>
    </row>
    <row r="1045" hidden="1" spans="1:42">
      <c r="A1045" s="48" t="s">
        <v>5682</v>
      </c>
      <c r="B1045" s="48" t="s">
        <v>1356</v>
      </c>
      <c r="C1045" s="48" t="s">
        <v>1375</v>
      </c>
      <c r="D1045" s="48" t="s">
        <v>1358</v>
      </c>
      <c r="E1045" s="48"/>
      <c r="F1045" s="48" t="s">
        <v>1377</v>
      </c>
      <c r="G1045" s="49">
        <v>44829.8117476852</v>
      </c>
      <c r="H1045" s="49">
        <v>44829.8118865741</v>
      </c>
      <c r="I1045" s="48"/>
      <c r="J1045" s="48" t="s">
        <v>407</v>
      </c>
      <c r="K1045" s="48"/>
      <c r="L1045" s="48"/>
      <c r="M1045" s="48">
        <v>163.93</v>
      </c>
      <c r="N1045" s="48">
        <v>0</v>
      </c>
      <c r="O1045" s="48">
        <v>-2</v>
      </c>
      <c r="P1045" s="48">
        <v>0</v>
      </c>
      <c r="Q1045" s="48">
        <v>161.93</v>
      </c>
      <c r="R1045" s="48">
        <v>161.93</v>
      </c>
      <c r="S1045" s="48" t="s">
        <v>1400</v>
      </c>
      <c r="T1045" s="48" t="s">
        <v>5261</v>
      </c>
      <c r="U1045" s="48">
        <v>1</v>
      </c>
      <c r="V1045" s="48" t="s">
        <v>1364</v>
      </c>
      <c r="W1045" s="48"/>
      <c r="X1045" s="48" t="s">
        <v>904</v>
      </c>
      <c r="Y1045" s="48" t="s">
        <v>5683</v>
      </c>
      <c r="Z1045" s="48" t="s">
        <v>1466</v>
      </c>
      <c r="AA1045" s="48" t="s">
        <v>1835</v>
      </c>
      <c r="AB1045" s="48" t="s">
        <v>5684</v>
      </c>
      <c r="AC1045" s="48" t="s">
        <v>5685</v>
      </c>
      <c r="AD1045" s="48" t="s">
        <v>5686</v>
      </c>
      <c r="AE1045" s="48"/>
      <c r="AF1045" s="48" t="s">
        <v>5687</v>
      </c>
      <c r="AG1045" s="48" t="s">
        <v>1385</v>
      </c>
      <c r="AH1045" s="48" t="s">
        <v>5683</v>
      </c>
      <c r="AI1045" s="48"/>
      <c r="AJ1045" s="48"/>
      <c r="AK1045" s="48">
        <v>0</v>
      </c>
      <c r="AL1045" s="48"/>
      <c r="AM1045" s="48"/>
      <c r="AN1045" s="48"/>
      <c r="AO1045" s="48" t="s">
        <v>1372</v>
      </c>
      <c r="AP1045" s="48" t="s">
        <v>1373</v>
      </c>
    </row>
    <row r="1046" hidden="1" spans="1:42">
      <c r="A1046" s="48" t="s">
        <v>5688</v>
      </c>
      <c r="B1046" s="48" t="s">
        <v>1356</v>
      </c>
      <c r="C1046" s="48" t="s">
        <v>1375</v>
      </c>
      <c r="D1046" s="48" t="s">
        <v>1358</v>
      </c>
      <c r="E1046" s="48"/>
      <c r="F1046" s="48" t="s">
        <v>1377</v>
      </c>
      <c r="G1046" s="49">
        <v>44829.8115277778</v>
      </c>
      <c r="H1046" s="49">
        <v>44829.811712963</v>
      </c>
      <c r="I1046" s="48"/>
      <c r="J1046" s="48" t="s">
        <v>407</v>
      </c>
      <c r="K1046" s="48"/>
      <c r="L1046" s="48"/>
      <c r="M1046" s="48">
        <v>163.93</v>
      </c>
      <c r="N1046" s="48">
        <v>0</v>
      </c>
      <c r="O1046" s="48">
        <v>-8</v>
      </c>
      <c r="P1046" s="48">
        <v>0</v>
      </c>
      <c r="Q1046" s="48">
        <v>155.93</v>
      </c>
      <c r="R1046" s="48">
        <v>155.93</v>
      </c>
      <c r="S1046" s="48" t="s">
        <v>2959</v>
      </c>
      <c r="T1046" s="48" t="s">
        <v>5675</v>
      </c>
      <c r="U1046" s="48">
        <v>1</v>
      </c>
      <c r="V1046" s="48" t="s">
        <v>1364</v>
      </c>
      <c r="W1046" s="48"/>
      <c r="X1046" s="48" t="s">
        <v>588</v>
      </c>
      <c r="Y1046" s="48" t="s">
        <v>1735</v>
      </c>
      <c r="Z1046" s="48" t="s">
        <v>1495</v>
      </c>
      <c r="AA1046" s="48" t="s">
        <v>1736</v>
      </c>
      <c r="AB1046" s="48" t="s">
        <v>1737</v>
      </c>
      <c r="AC1046" s="48" t="s">
        <v>1738</v>
      </c>
      <c r="AD1046" s="48" t="s">
        <v>5689</v>
      </c>
      <c r="AE1046" s="48"/>
      <c r="AF1046" s="48" t="s">
        <v>1739</v>
      </c>
      <c r="AG1046" s="48" t="s">
        <v>1385</v>
      </c>
      <c r="AH1046" s="48" t="s">
        <v>1735</v>
      </c>
      <c r="AI1046" s="48"/>
      <c r="AJ1046" s="48"/>
      <c r="AK1046" s="48">
        <v>0</v>
      </c>
      <c r="AL1046" s="48"/>
      <c r="AM1046" s="48"/>
      <c r="AN1046" s="48"/>
      <c r="AO1046" s="48" t="s">
        <v>1372</v>
      </c>
      <c r="AP1046" s="48" t="s">
        <v>1373</v>
      </c>
    </row>
    <row r="1047" hidden="1" spans="1:42">
      <c r="A1047" s="48" t="s">
        <v>5690</v>
      </c>
      <c r="B1047" s="48" t="s">
        <v>1356</v>
      </c>
      <c r="C1047" s="48" t="s">
        <v>1375</v>
      </c>
      <c r="D1047" s="48" t="s">
        <v>1358</v>
      </c>
      <c r="E1047" s="48"/>
      <c r="F1047" s="48" t="s">
        <v>1377</v>
      </c>
      <c r="G1047" s="49">
        <v>44829.8110648148</v>
      </c>
      <c r="H1047" s="49">
        <v>44829.8111921296</v>
      </c>
      <c r="I1047" s="48"/>
      <c r="J1047" s="48" t="s">
        <v>407</v>
      </c>
      <c r="K1047" s="48"/>
      <c r="L1047" s="48"/>
      <c r="M1047" s="48">
        <v>160.55</v>
      </c>
      <c r="N1047" s="48">
        <v>0</v>
      </c>
      <c r="O1047" s="48">
        <v>0</v>
      </c>
      <c r="P1047" s="48">
        <v>0</v>
      </c>
      <c r="Q1047" s="48">
        <v>160.55</v>
      </c>
      <c r="R1047" s="48">
        <v>160.55</v>
      </c>
      <c r="S1047" s="48"/>
      <c r="T1047" s="48" t="s">
        <v>5277</v>
      </c>
      <c r="U1047" s="48">
        <v>1</v>
      </c>
      <c r="V1047" s="48" t="s">
        <v>1364</v>
      </c>
      <c r="W1047" s="48"/>
      <c r="X1047" s="48" t="s">
        <v>373</v>
      </c>
      <c r="Y1047" s="48" t="s">
        <v>5691</v>
      </c>
      <c r="Z1047" s="48" t="s">
        <v>1466</v>
      </c>
      <c r="AA1047" s="48" t="s">
        <v>2481</v>
      </c>
      <c r="AB1047" s="48" t="s">
        <v>2482</v>
      </c>
      <c r="AC1047" s="48" t="s">
        <v>5692</v>
      </c>
      <c r="AD1047" s="48" t="s">
        <v>5693</v>
      </c>
      <c r="AE1047" s="48"/>
      <c r="AF1047" s="48" t="s">
        <v>373</v>
      </c>
      <c r="AG1047" s="48" t="s">
        <v>1385</v>
      </c>
      <c r="AH1047" s="48" t="s">
        <v>5691</v>
      </c>
      <c r="AI1047" s="48"/>
      <c r="AJ1047" s="48"/>
      <c r="AK1047" s="48">
        <v>0</v>
      </c>
      <c r="AL1047" s="48"/>
      <c r="AM1047" s="48"/>
      <c r="AN1047" s="48"/>
      <c r="AO1047" s="48" t="s">
        <v>1372</v>
      </c>
      <c r="AP1047" s="48" t="s">
        <v>1373</v>
      </c>
    </row>
    <row r="1048" hidden="1" spans="1:42">
      <c r="A1048" s="48" t="s">
        <v>5694</v>
      </c>
      <c r="B1048" s="48" t="s">
        <v>1356</v>
      </c>
      <c r="C1048" s="48" t="s">
        <v>1375</v>
      </c>
      <c r="D1048" s="48" t="s">
        <v>1358</v>
      </c>
      <c r="E1048" s="48"/>
      <c r="F1048" s="48" t="s">
        <v>1377</v>
      </c>
      <c r="G1048" s="49">
        <v>44829.8109837963</v>
      </c>
      <c r="H1048" s="49">
        <v>44829.8112731481</v>
      </c>
      <c r="I1048" s="48"/>
      <c r="J1048" s="48" t="s">
        <v>407</v>
      </c>
      <c r="K1048" s="48"/>
      <c r="L1048" s="48"/>
      <c r="M1048" s="48">
        <v>169</v>
      </c>
      <c r="N1048" s="48">
        <v>0</v>
      </c>
      <c r="O1048" s="48">
        <v>-3</v>
      </c>
      <c r="P1048" s="48">
        <v>0</v>
      </c>
      <c r="Q1048" s="48">
        <v>166</v>
      </c>
      <c r="R1048" s="48">
        <v>166</v>
      </c>
      <c r="S1048" s="48" t="s">
        <v>1397</v>
      </c>
      <c r="T1048" s="48" t="s">
        <v>5270</v>
      </c>
      <c r="U1048" s="48">
        <v>1</v>
      </c>
      <c r="V1048" s="48" t="s">
        <v>1364</v>
      </c>
      <c r="W1048" s="48"/>
      <c r="X1048" s="48" t="s">
        <v>662</v>
      </c>
      <c r="Y1048" s="48" t="s">
        <v>5633</v>
      </c>
      <c r="Z1048" s="48" t="s">
        <v>1495</v>
      </c>
      <c r="AA1048" s="48" t="s">
        <v>2734</v>
      </c>
      <c r="AB1048" s="48" t="s">
        <v>2735</v>
      </c>
      <c r="AC1048" s="48" t="s">
        <v>5634</v>
      </c>
      <c r="AD1048" s="48" t="s">
        <v>5695</v>
      </c>
      <c r="AE1048" s="48"/>
      <c r="AF1048" s="48" t="s">
        <v>5635</v>
      </c>
      <c r="AG1048" s="48" t="s">
        <v>1372</v>
      </c>
      <c r="AH1048" s="48" t="s">
        <v>5633</v>
      </c>
      <c r="AI1048" s="48"/>
      <c r="AJ1048" s="48"/>
      <c r="AK1048" s="48">
        <v>0</v>
      </c>
      <c r="AL1048" s="48"/>
      <c r="AM1048" s="48"/>
      <c r="AN1048" s="48"/>
      <c r="AO1048" s="48" t="s">
        <v>1372</v>
      </c>
      <c r="AP1048" s="48" t="s">
        <v>1373</v>
      </c>
    </row>
    <row r="1049" hidden="1" spans="1:42">
      <c r="A1049" s="48" t="s">
        <v>5696</v>
      </c>
      <c r="B1049" s="48" t="s">
        <v>1356</v>
      </c>
      <c r="C1049" s="48" t="s">
        <v>1375</v>
      </c>
      <c r="D1049" s="48" t="s">
        <v>1358</v>
      </c>
      <c r="E1049" s="48"/>
      <c r="F1049" s="48" t="s">
        <v>1377</v>
      </c>
      <c r="G1049" s="49">
        <v>44829.8100810185</v>
      </c>
      <c r="H1049" s="49">
        <v>44829.8102662037</v>
      </c>
      <c r="I1049" s="48"/>
      <c r="J1049" s="48" t="s">
        <v>407</v>
      </c>
      <c r="K1049" s="48"/>
      <c r="L1049" s="48"/>
      <c r="M1049" s="48">
        <v>169</v>
      </c>
      <c r="N1049" s="48">
        <v>0</v>
      </c>
      <c r="O1049" s="48">
        <v>0</v>
      </c>
      <c r="P1049" s="48">
        <v>0</v>
      </c>
      <c r="Q1049" s="48">
        <v>169</v>
      </c>
      <c r="R1049" s="48">
        <v>169</v>
      </c>
      <c r="S1049" s="48"/>
      <c r="T1049" s="48" t="s">
        <v>5261</v>
      </c>
      <c r="U1049" s="48">
        <v>1</v>
      </c>
      <c r="V1049" s="48" t="s">
        <v>1364</v>
      </c>
      <c r="W1049" s="48"/>
      <c r="X1049" s="48" t="s">
        <v>884</v>
      </c>
      <c r="Y1049" s="48" t="s">
        <v>5697</v>
      </c>
      <c r="Z1049" s="48" t="s">
        <v>1380</v>
      </c>
      <c r="AA1049" s="48" t="s">
        <v>2636</v>
      </c>
      <c r="AB1049" s="48" t="s">
        <v>5698</v>
      </c>
      <c r="AC1049" s="48" t="s">
        <v>5699</v>
      </c>
      <c r="AD1049" s="48" t="s">
        <v>5700</v>
      </c>
      <c r="AE1049" s="48"/>
      <c r="AF1049" s="48" t="s">
        <v>5701</v>
      </c>
      <c r="AG1049" s="48" t="s">
        <v>1372</v>
      </c>
      <c r="AH1049" s="48" t="s">
        <v>5697</v>
      </c>
      <c r="AI1049" s="48"/>
      <c r="AJ1049" s="48"/>
      <c r="AK1049" s="48">
        <v>0</v>
      </c>
      <c r="AL1049" s="48"/>
      <c r="AM1049" s="48"/>
      <c r="AN1049" s="48"/>
      <c r="AO1049" s="48" t="s">
        <v>1372</v>
      </c>
      <c r="AP1049" s="48" t="s">
        <v>1373</v>
      </c>
    </row>
    <row r="1050" hidden="1" spans="1:42">
      <c r="A1050" s="48" t="s">
        <v>5702</v>
      </c>
      <c r="B1050" s="48" t="s">
        <v>1356</v>
      </c>
      <c r="C1050" s="48" t="s">
        <v>1375</v>
      </c>
      <c r="D1050" s="48" t="s">
        <v>1358</v>
      </c>
      <c r="E1050" s="48"/>
      <c r="F1050" s="48" t="s">
        <v>1377</v>
      </c>
      <c r="G1050" s="49">
        <v>44829.8096412037</v>
      </c>
      <c r="H1050" s="49">
        <v>44829.8099537037</v>
      </c>
      <c r="I1050" s="48"/>
      <c r="J1050" s="48" t="s">
        <v>407</v>
      </c>
      <c r="K1050" s="48"/>
      <c r="L1050" s="48"/>
      <c r="M1050" s="48">
        <v>160.55</v>
      </c>
      <c r="N1050" s="48">
        <v>0</v>
      </c>
      <c r="O1050" s="48">
        <v>-2</v>
      </c>
      <c r="P1050" s="48">
        <v>0</v>
      </c>
      <c r="Q1050" s="48">
        <v>158.55</v>
      </c>
      <c r="R1050" s="48">
        <v>158.55</v>
      </c>
      <c r="S1050" s="48" t="s">
        <v>1400</v>
      </c>
      <c r="T1050" s="48" t="s">
        <v>5439</v>
      </c>
      <c r="U1050" s="48">
        <v>1</v>
      </c>
      <c r="V1050" s="48" t="s">
        <v>1364</v>
      </c>
      <c r="W1050" s="48"/>
      <c r="X1050" s="48" t="s">
        <v>456</v>
      </c>
      <c r="Y1050" s="48" t="s">
        <v>2823</v>
      </c>
      <c r="Z1050" s="48" t="s">
        <v>1478</v>
      </c>
      <c r="AA1050" s="48" t="s">
        <v>2330</v>
      </c>
      <c r="AB1050" s="48" t="s">
        <v>2331</v>
      </c>
      <c r="AC1050" s="48" t="s">
        <v>2824</v>
      </c>
      <c r="AD1050" s="48" t="s">
        <v>5703</v>
      </c>
      <c r="AE1050" s="48"/>
      <c r="AF1050" s="48" t="s">
        <v>2825</v>
      </c>
      <c r="AG1050" s="48" t="s">
        <v>1385</v>
      </c>
      <c r="AH1050" s="48" t="s">
        <v>2826</v>
      </c>
      <c r="AI1050" s="48"/>
      <c r="AJ1050" s="48"/>
      <c r="AK1050" s="48">
        <v>0</v>
      </c>
      <c r="AL1050" s="48"/>
      <c r="AM1050" s="48"/>
      <c r="AN1050" s="48"/>
      <c r="AO1050" s="48" t="s">
        <v>1372</v>
      </c>
      <c r="AP1050" s="48" t="s">
        <v>1373</v>
      </c>
    </row>
    <row r="1051" hidden="1" spans="1:42">
      <c r="A1051" s="48" t="s">
        <v>5704</v>
      </c>
      <c r="B1051" s="48" t="s">
        <v>1356</v>
      </c>
      <c r="C1051" s="48" t="s">
        <v>1375</v>
      </c>
      <c r="D1051" s="48" t="s">
        <v>1358</v>
      </c>
      <c r="E1051" s="48"/>
      <c r="F1051" s="48" t="s">
        <v>1377</v>
      </c>
      <c r="G1051" s="49">
        <v>44829.8054050926</v>
      </c>
      <c r="H1051" s="49">
        <v>44829.805625</v>
      </c>
      <c r="I1051" s="48"/>
      <c r="J1051" s="48" t="s">
        <v>407</v>
      </c>
      <c r="K1051" s="48"/>
      <c r="L1051" s="48"/>
      <c r="M1051" s="48">
        <v>39.9</v>
      </c>
      <c r="N1051" s="48">
        <v>0</v>
      </c>
      <c r="O1051" s="48">
        <v>0</v>
      </c>
      <c r="P1051" s="48">
        <v>0</v>
      </c>
      <c r="Q1051" s="48">
        <v>39.9</v>
      </c>
      <c r="R1051" s="48">
        <v>39.9</v>
      </c>
      <c r="S1051" s="48"/>
      <c r="T1051" s="48" t="s">
        <v>4878</v>
      </c>
      <c r="U1051" s="48">
        <v>1</v>
      </c>
      <c r="V1051" s="48" t="s">
        <v>1364</v>
      </c>
      <c r="W1051" s="48"/>
      <c r="X1051" s="48" t="s">
        <v>1021</v>
      </c>
      <c r="Y1051" s="48" t="s">
        <v>5705</v>
      </c>
      <c r="Z1051" s="48" t="s">
        <v>2028</v>
      </c>
      <c r="AA1051" s="48" t="s">
        <v>2162</v>
      </c>
      <c r="AB1051" s="48" t="s">
        <v>2163</v>
      </c>
      <c r="AC1051" s="48" t="s">
        <v>5706</v>
      </c>
      <c r="AD1051" s="48"/>
      <c r="AE1051" s="48"/>
      <c r="AF1051" s="48" t="s">
        <v>5707</v>
      </c>
      <c r="AG1051" s="48" t="s">
        <v>1372</v>
      </c>
      <c r="AH1051" s="48"/>
      <c r="AI1051" s="48"/>
      <c r="AJ1051" s="48"/>
      <c r="AK1051" s="48">
        <v>0</v>
      </c>
      <c r="AL1051" s="48"/>
      <c r="AM1051" s="48"/>
      <c r="AN1051" s="48"/>
      <c r="AO1051" s="48" t="s">
        <v>1372</v>
      </c>
      <c r="AP1051" s="48" t="s">
        <v>1373</v>
      </c>
    </row>
    <row r="1052" hidden="1" spans="1:42">
      <c r="A1052" s="48" t="s">
        <v>5708</v>
      </c>
      <c r="B1052" s="48" t="s">
        <v>1356</v>
      </c>
      <c r="C1052" s="48" t="s">
        <v>1375</v>
      </c>
      <c r="D1052" s="48" t="s">
        <v>1358</v>
      </c>
      <c r="E1052" s="48"/>
      <c r="F1052" s="48" t="s">
        <v>1377</v>
      </c>
      <c r="G1052" s="49">
        <v>44829.804525463</v>
      </c>
      <c r="H1052" s="49">
        <v>44829.8052199074</v>
      </c>
      <c r="I1052" s="48"/>
      <c r="J1052" s="48" t="s">
        <v>407</v>
      </c>
      <c r="K1052" s="48"/>
      <c r="L1052" s="48"/>
      <c r="M1052" s="48">
        <v>39.9</v>
      </c>
      <c r="N1052" s="48">
        <v>0</v>
      </c>
      <c r="O1052" s="48">
        <v>-1</v>
      </c>
      <c r="P1052" s="48">
        <v>0</v>
      </c>
      <c r="Q1052" s="48">
        <v>38.9</v>
      </c>
      <c r="R1052" s="48">
        <v>38.9</v>
      </c>
      <c r="S1052" s="48" t="s">
        <v>1414</v>
      </c>
      <c r="T1052" s="48" t="s">
        <v>5709</v>
      </c>
      <c r="U1052" s="48">
        <v>1</v>
      </c>
      <c r="V1052" s="48" t="s">
        <v>1364</v>
      </c>
      <c r="W1052" s="48"/>
      <c r="X1052" s="48" t="s">
        <v>812</v>
      </c>
      <c r="Y1052" s="48" t="s">
        <v>5710</v>
      </c>
      <c r="Z1052" s="48" t="s">
        <v>1367</v>
      </c>
      <c r="AA1052" s="48" t="s">
        <v>1486</v>
      </c>
      <c r="AB1052" s="48" t="s">
        <v>1487</v>
      </c>
      <c r="AC1052" s="48" t="s">
        <v>5711</v>
      </c>
      <c r="AD1052" s="48"/>
      <c r="AE1052" s="48"/>
      <c r="AF1052" s="48" t="s">
        <v>5712</v>
      </c>
      <c r="AG1052" s="48" t="s">
        <v>1385</v>
      </c>
      <c r="AH1052" s="48" t="s">
        <v>5710</v>
      </c>
      <c r="AI1052" s="48"/>
      <c r="AJ1052" s="48"/>
      <c r="AK1052" s="48">
        <v>0</v>
      </c>
      <c r="AL1052" s="48"/>
      <c r="AM1052" s="48"/>
      <c r="AN1052" s="48"/>
      <c r="AO1052" s="48" t="s">
        <v>1372</v>
      </c>
      <c r="AP1052" s="48" t="s">
        <v>1373</v>
      </c>
    </row>
    <row r="1053" hidden="1" spans="1:42">
      <c r="A1053" s="48" t="s">
        <v>5713</v>
      </c>
      <c r="B1053" s="48" t="s">
        <v>1356</v>
      </c>
      <c r="C1053" s="48" t="s">
        <v>1375</v>
      </c>
      <c r="D1053" s="48" t="s">
        <v>1358</v>
      </c>
      <c r="E1053" s="48"/>
      <c r="F1053" s="48" t="s">
        <v>1377</v>
      </c>
      <c r="G1053" s="49">
        <v>44829.804212963</v>
      </c>
      <c r="H1053" s="49">
        <v>44829.8043055556</v>
      </c>
      <c r="I1053" s="48"/>
      <c r="J1053" s="48" t="s">
        <v>407</v>
      </c>
      <c r="K1053" s="48"/>
      <c r="L1053" s="48"/>
      <c r="M1053" s="48">
        <v>39.9</v>
      </c>
      <c r="N1053" s="48">
        <v>0</v>
      </c>
      <c r="O1053" s="48">
        <v>0</v>
      </c>
      <c r="P1053" s="48">
        <v>0</v>
      </c>
      <c r="Q1053" s="48">
        <v>39.9</v>
      </c>
      <c r="R1053" s="48">
        <v>39.9</v>
      </c>
      <c r="S1053" s="48"/>
      <c r="T1053" s="48" t="s">
        <v>5714</v>
      </c>
      <c r="U1053" s="48">
        <v>1</v>
      </c>
      <c r="V1053" s="48" t="s">
        <v>1364</v>
      </c>
      <c r="W1053" s="48"/>
      <c r="X1053" s="48" t="s">
        <v>883</v>
      </c>
      <c r="Y1053" s="48" t="s">
        <v>5665</v>
      </c>
      <c r="Z1053" s="48" t="s">
        <v>1367</v>
      </c>
      <c r="AA1053" s="48" t="s">
        <v>5372</v>
      </c>
      <c r="AB1053" s="48" t="s">
        <v>5666</v>
      </c>
      <c r="AC1053" s="48" t="s">
        <v>5667</v>
      </c>
      <c r="AD1053" s="48"/>
      <c r="AE1053" s="48"/>
      <c r="AF1053" s="48" t="s">
        <v>5669</v>
      </c>
      <c r="AG1053" s="48" t="s">
        <v>1372</v>
      </c>
      <c r="AH1053" s="48"/>
      <c r="AI1053" s="48"/>
      <c r="AJ1053" s="48"/>
      <c r="AK1053" s="48">
        <v>0</v>
      </c>
      <c r="AL1053" s="48"/>
      <c r="AM1053" s="48"/>
      <c r="AN1053" s="48"/>
      <c r="AO1053" s="48" t="s">
        <v>1372</v>
      </c>
      <c r="AP1053" s="48" t="s">
        <v>1373</v>
      </c>
    </row>
    <row r="1054" hidden="1" spans="1:42">
      <c r="A1054" s="48" t="s">
        <v>5715</v>
      </c>
      <c r="B1054" s="48" t="s">
        <v>1356</v>
      </c>
      <c r="C1054" s="48" t="s">
        <v>1375</v>
      </c>
      <c r="D1054" s="48" t="s">
        <v>1358</v>
      </c>
      <c r="E1054" s="48"/>
      <c r="F1054" s="48" t="s">
        <v>1377</v>
      </c>
      <c r="G1054" s="49">
        <v>44829.8040393519</v>
      </c>
      <c r="H1054" s="49">
        <v>44829.8042824074</v>
      </c>
      <c r="I1054" s="48"/>
      <c r="J1054" s="48" t="s">
        <v>407</v>
      </c>
      <c r="K1054" s="48"/>
      <c r="L1054" s="48"/>
      <c r="M1054" s="48">
        <v>39.9</v>
      </c>
      <c r="N1054" s="48">
        <v>0</v>
      </c>
      <c r="O1054" s="48">
        <v>0</v>
      </c>
      <c r="P1054" s="48">
        <v>0</v>
      </c>
      <c r="Q1054" s="48">
        <v>39.9</v>
      </c>
      <c r="R1054" s="48">
        <v>39.9</v>
      </c>
      <c r="S1054" s="48"/>
      <c r="T1054" s="48" t="s">
        <v>4938</v>
      </c>
      <c r="U1054" s="48">
        <v>1</v>
      </c>
      <c r="V1054" s="48" t="s">
        <v>1364</v>
      </c>
      <c r="W1054" s="48"/>
      <c r="X1054" s="48" t="s">
        <v>884</v>
      </c>
      <c r="Y1054" s="48" t="s">
        <v>5697</v>
      </c>
      <c r="Z1054" s="48" t="s">
        <v>1380</v>
      </c>
      <c r="AA1054" s="48" t="s">
        <v>2636</v>
      </c>
      <c r="AB1054" s="48" t="s">
        <v>5698</v>
      </c>
      <c r="AC1054" s="48" t="s">
        <v>5699</v>
      </c>
      <c r="AD1054" s="48"/>
      <c r="AE1054" s="48"/>
      <c r="AF1054" s="48" t="s">
        <v>5701</v>
      </c>
      <c r="AG1054" s="48" t="s">
        <v>1372</v>
      </c>
      <c r="AH1054" s="48" t="s">
        <v>5697</v>
      </c>
      <c r="AI1054" s="48"/>
      <c r="AJ1054" s="48"/>
      <c r="AK1054" s="48">
        <v>0</v>
      </c>
      <c r="AL1054" s="48"/>
      <c r="AM1054" s="48"/>
      <c r="AN1054" s="48"/>
      <c r="AO1054" s="48" t="s">
        <v>1372</v>
      </c>
      <c r="AP1054" s="48" t="s">
        <v>1373</v>
      </c>
    </row>
    <row r="1055" hidden="1" spans="1:42">
      <c r="A1055" s="48" t="s">
        <v>5716</v>
      </c>
      <c r="B1055" s="48" t="s">
        <v>1356</v>
      </c>
      <c r="C1055" s="48" t="s">
        <v>1375</v>
      </c>
      <c r="D1055" s="48" t="s">
        <v>1358</v>
      </c>
      <c r="E1055" s="48"/>
      <c r="F1055" s="48" t="s">
        <v>1377</v>
      </c>
      <c r="G1055" s="49">
        <v>44829.8037847222</v>
      </c>
      <c r="H1055" s="49">
        <v>44829.8043634259</v>
      </c>
      <c r="I1055" s="48"/>
      <c r="J1055" s="48" t="s">
        <v>407</v>
      </c>
      <c r="K1055" s="48"/>
      <c r="L1055" s="48"/>
      <c r="M1055" s="48">
        <v>39.9</v>
      </c>
      <c r="N1055" s="48">
        <v>0</v>
      </c>
      <c r="O1055" s="48">
        <v>-1</v>
      </c>
      <c r="P1055" s="48">
        <v>0</v>
      </c>
      <c r="Q1055" s="48">
        <v>38.9</v>
      </c>
      <c r="R1055" s="48">
        <v>38.9</v>
      </c>
      <c r="S1055" s="48" t="s">
        <v>1414</v>
      </c>
      <c r="T1055" s="48" t="s">
        <v>5717</v>
      </c>
      <c r="U1055" s="48">
        <v>1</v>
      </c>
      <c r="V1055" s="48" t="s">
        <v>1364</v>
      </c>
      <c r="W1055" s="48"/>
      <c r="X1055" s="48" t="s">
        <v>588</v>
      </c>
      <c r="Y1055" s="48" t="s">
        <v>1735</v>
      </c>
      <c r="Z1055" s="48" t="s">
        <v>1495</v>
      </c>
      <c r="AA1055" s="48" t="s">
        <v>1736</v>
      </c>
      <c r="AB1055" s="48" t="s">
        <v>1737</v>
      </c>
      <c r="AC1055" s="48" t="s">
        <v>1738</v>
      </c>
      <c r="AD1055" s="48"/>
      <c r="AE1055" s="48"/>
      <c r="AF1055" s="48" t="s">
        <v>1739</v>
      </c>
      <c r="AG1055" s="48" t="s">
        <v>1385</v>
      </c>
      <c r="AH1055" s="48" t="s">
        <v>1735</v>
      </c>
      <c r="AI1055" s="48"/>
      <c r="AJ1055" s="48"/>
      <c r="AK1055" s="48">
        <v>0</v>
      </c>
      <c r="AL1055" s="48"/>
      <c r="AM1055" s="48"/>
      <c r="AN1055" s="48"/>
      <c r="AO1055" s="48" t="s">
        <v>1372</v>
      </c>
      <c r="AP1055" s="48" t="s">
        <v>1373</v>
      </c>
    </row>
    <row r="1056" hidden="1" spans="1:42">
      <c r="A1056" s="48" t="s">
        <v>5718</v>
      </c>
      <c r="B1056" s="48" t="s">
        <v>1356</v>
      </c>
      <c r="C1056" s="48" t="s">
        <v>1375</v>
      </c>
      <c r="D1056" s="48" t="s">
        <v>1358</v>
      </c>
      <c r="E1056" s="48"/>
      <c r="F1056" s="48" t="s">
        <v>1377</v>
      </c>
      <c r="G1056" s="49">
        <v>44829.8034259259</v>
      </c>
      <c r="H1056" s="49">
        <v>44829.8035300926</v>
      </c>
      <c r="I1056" s="48"/>
      <c r="J1056" s="48" t="s">
        <v>407</v>
      </c>
      <c r="K1056" s="48"/>
      <c r="L1056" s="48"/>
      <c r="M1056" s="48">
        <v>39.9</v>
      </c>
      <c r="N1056" s="48">
        <v>0</v>
      </c>
      <c r="O1056" s="48">
        <v>-1</v>
      </c>
      <c r="P1056" s="48">
        <v>0</v>
      </c>
      <c r="Q1056" s="48">
        <v>38.9</v>
      </c>
      <c r="R1056" s="48">
        <v>38.9</v>
      </c>
      <c r="S1056" s="48" t="s">
        <v>1414</v>
      </c>
      <c r="T1056" s="48" t="s">
        <v>4927</v>
      </c>
      <c r="U1056" s="48">
        <v>1</v>
      </c>
      <c r="V1056" s="48" t="s">
        <v>1364</v>
      </c>
      <c r="W1056" s="48"/>
      <c r="X1056" s="48" t="s">
        <v>581</v>
      </c>
      <c r="Y1056" s="48" t="s">
        <v>3800</v>
      </c>
      <c r="Z1056" s="48" t="s">
        <v>1380</v>
      </c>
      <c r="AA1056" s="48" t="s">
        <v>1506</v>
      </c>
      <c r="AB1056" s="48" t="s">
        <v>4553</v>
      </c>
      <c r="AC1056" s="48" t="s">
        <v>5719</v>
      </c>
      <c r="AD1056" s="48"/>
      <c r="AE1056" s="48"/>
      <c r="AF1056" s="48" t="s">
        <v>5720</v>
      </c>
      <c r="AG1056" s="48" t="s">
        <v>1385</v>
      </c>
      <c r="AH1056" s="48" t="s">
        <v>3800</v>
      </c>
      <c r="AI1056" s="48"/>
      <c r="AJ1056" s="48"/>
      <c r="AK1056" s="48">
        <v>0</v>
      </c>
      <c r="AL1056" s="48"/>
      <c r="AM1056" s="48"/>
      <c r="AN1056" s="48"/>
      <c r="AO1056" s="48" t="s">
        <v>1372</v>
      </c>
      <c r="AP1056" s="48" t="s">
        <v>1373</v>
      </c>
    </row>
    <row r="1057" hidden="1" spans="1:42">
      <c r="A1057" s="48" t="s">
        <v>5721</v>
      </c>
      <c r="B1057" s="48" t="s">
        <v>1356</v>
      </c>
      <c r="C1057" s="48" t="s">
        <v>1375</v>
      </c>
      <c r="D1057" s="48" t="s">
        <v>1358</v>
      </c>
      <c r="E1057" s="48"/>
      <c r="F1057" s="48" t="s">
        <v>3560</v>
      </c>
      <c r="G1057" s="49">
        <v>44829.8032291667</v>
      </c>
      <c r="H1057" s="49">
        <v>44829.8034375</v>
      </c>
      <c r="I1057" s="48"/>
      <c r="J1057" s="48" t="s">
        <v>407</v>
      </c>
      <c r="K1057" s="48"/>
      <c r="L1057" s="48"/>
      <c r="M1057" s="48">
        <v>39.9</v>
      </c>
      <c r="N1057" s="48">
        <v>0</v>
      </c>
      <c r="O1057" s="48">
        <v>-1</v>
      </c>
      <c r="P1057" s="48">
        <v>0</v>
      </c>
      <c r="Q1057" s="48">
        <v>38.9</v>
      </c>
      <c r="R1057" s="48">
        <v>38.9</v>
      </c>
      <c r="S1057" s="48" t="s">
        <v>1414</v>
      </c>
      <c r="T1057" s="48" t="s">
        <v>5454</v>
      </c>
      <c r="U1057" s="48">
        <v>1</v>
      </c>
      <c r="V1057" s="48" t="s">
        <v>1364</v>
      </c>
      <c r="W1057" s="48"/>
      <c r="X1057" s="48" t="s">
        <v>1034</v>
      </c>
      <c r="Y1057" s="48" t="s">
        <v>5722</v>
      </c>
      <c r="Z1057" s="48" t="s">
        <v>1380</v>
      </c>
      <c r="AA1057" s="48" t="s">
        <v>1638</v>
      </c>
      <c r="AB1057" s="48" t="s">
        <v>1639</v>
      </c>
      <c r="AC1057" s="48" t="s">
        <v>5723</v>
      </c>
      <c r="AD1057" s="48"/>
      <c r="AE1057" s="48"/>
      <c r="AF1057" s="48" t="s">
        <v>5724</v>
      </c>
      <c r="AG1057" s="48" t="s">
        <v>1385</v>
      </c>
      <c r="AH1057" s="48" t="s">
        <v>5722</v>
      </c>
      <c r="AI1057" s="48"/>
      <c r="AJ1057" s="48"/>
      <c r="AK1057" s="48">
        <v>0</v>
      </c>
      <c r="AL1057" s="48" t="s">
        <v>5725</v>
      </c>
      <c r="AM1057" s="48"/>
      <c r="AN1057" s="48"/>
      <c r="AO1057" s="48" t="s">
        <v>1372</v>
      </c>
      <c r="AP1057" s="48" t="s">
        <v>1373</v>
      </c>
    </row>
    <row r="1058" hidden="1" spans="1:42">
      <c r="A1058" s="48" t="s">
        <v>5726</v>
      </c>
      <c r="B1058" s="48" t="s">
        <v>1356</v>
      </c>
      <c r="C1058" s="48" t="s">
        <v>1375</v>
      </c>
      <c r="D1058" s="48" t="s">
        <v>1358</v>
      </c>
      <c r="E1058" s="48"/>
      <c r="F1058" s="48" t="s">
        <v>1377</v>
      </c>
      <c r="G1058" s="49">
        <v>44829.8030671296</v>
      </c>
      <c r="H1058" s="49">
        <v>44829.8031828704</v>
      </c>
      <c r="I1058" s="48"/>
      <c r="J1058" s="48" t="s">
        <v>407</v>
      </c>
      <c r="K1058" s="48"/>
      <c r="L1058" s="48"/>
      <c r="M1058" s="48">
        <v>39.9</v>
      </c>
      <c r="N1058" s="48">
        <v>0</v>
      </c>
      <c r="O1058" s="48">
        <v>-1</v>
      </c>
      <c r="P1058" s="48">
        <v>0</v>
      </c>
      <c r="Q1058" s="48">
        <v>38.9</v>
      </c>
      <c r="R1058" s="48">
        <v>38.9</v>
      </c>
      <c r="S1058" s="48" t="s">
        <v>1414</v>
      </c>
      <c r="T1058" s="48" t="s">
        <v>5727</v>
      </c>
      <c r="U1058" s="48">
        <v>1</v>
      </c>
      <c r="V1058" s="48" t="s">
        <v>1364</v>
      </c>
      <c r="W1058" s="48"/>
      <c r="X1058" s="48" t="s">
        <v>583</v>
      </c>
      <c r="Y1058" s="48" t="s">
        <v>4453</v>
      </c>
      <c r="Z1058" s="48" t="s">
        <v>1430</v>
      </c>
      <c r="AA1058" s="48" t="s">
        <v>3042</v>
      </c>
      <c r="AB1058" s="48" t="s">
        <v>3043</v>
      </c>
      <c r="AC1058" s="48" t="s">
        <v>4454</v>
      </c>
      <c r="AD1058" s="48"/>
      <c r="AE1058" s="48"/>
      <c r="AF1058" s="48" t="s">
        <v>583</v>
      </c>
      <c r="AG1058" s="48" t="s">
        <v>1372</v>
      </c>
      <c r="AH1058" s="48" t="s">
        <v>4453</v>
      </c>
      <c r="AI1058" s="48"/>
      <c r="AJ1058" s="48"/>
      <c r="AK1058" s="48">
        <v>0</v>
      </c>
      <c r="AL1058" s="48"/>
      <c r="AM1058" s="48"/>
      <c r="AN1058" s="48"/>
      <c r="AO1058" s="48" t="s">
        <v>1372</v>
      </c>
      <c r="AP1058" s="48" t="s">
        <v>1373</v>
      </c>
    </row>
    <row r="1059" hidden="1" spans="1:42">
      <c r="A1059" s="48" t="s">
        <v>5728</v>
      </c>
      <c r="B1059" s="48" t="s">
        <v>1356</v>
      </c>
      <c r="C1059" s="48" t="s">
        <v>1375</v>
      </c>
      <c r="D1059" s="48" t="s">
        <v>1358</v>
      </c>
      <c r="E1059" s="48"/>
      <c r="F1059" s="48" t="s">
        <v>3560</v>
      </c>
      <c r="G1059" s="49">
        <v>44829.8028819444</v>
      </c>
      <c r="H1059" s="49">
        <v>44829.8030439815</v>
      </c>
      <c r="I1059" s="48"/>
      <c r="J1059" s="48" t="s">
        <v>407</v>
      </c>
      <c r="K1059" s="48"/>
      <c r="L1059" s="48"/>
      <c r="M1059" s="48">
        <v>39.9</v>
      </c>
      <c r="N1059" s="48">
        <v>0</v>
      </c>
      <c r="O1059" s="48">
        <v>0</v>
      </c>
      <c r="P1059" s="48">
        <v>0</v>
      </c>
      <c r="Q1059" s="48">
        <v>39.9</v>
      </c>
      <c r="R1059" s="48">
        <v>39.9</v>
      </c>
      <c r="S1059" s="48"/>
      <c r="T1059" s="48" t="s">
        <v>5714</v>
      </c>
      <c r="U1059" s="48">
        <v>1</v>
      </c>
      <c r="V1059" s="48" t="s">
        <v>1364</v>
      </c>
      <c r="W1059" s="48"/>
      <c r="X1059" s="48" t="s">
        <v>396</v>
      </c>
      <c r="Y1059" s="48" t="s">
        <v>1816</v>
      </c>
      <c r="Z1059" s="48" t="s">
        <v>1678</v>
      </c>
      <c r="AA1059" s="48" t="s">
        <v>1817</v>
      </c>
      <c r="AB1059" s="48" t="s">
        <v>1818</v>
      </c>
      <c r="AC1059" s="48" t="s">
        <v>1819</v>
      </c>
      <c r="AD1059" s="48"/>
      <c r="AE1059" s="48"/>
      <c r="AF1059" s="48" t="s">
        <v>1821</v>
      </c>
      <c r="AG1059" s="48" t="s">
        <v>1385</v>
      </c>
      <c r="AH1059" s="48" t="s">
        <v>1816</v>
      </c>
      <c r="AI1059" s="48"/>
      <c r="AJ1059" s="48"/>
      <c r="AK1059" s="48">
        <v>0</v>
      </c>
      <c r="AL1059" s="48"/>
      <c r="AM1059" s="48"/>
      <c r="AN1059" s="48"/>
      <c r="AO1059" s="48" t="s">
        <v>1372</v>
      </c>
      <c r="AP1059" s="48" t="s">
        <v>1373</v>
      </c>
    </row>
    <row r="1060" hidden="1" spans="1:42">
      <c r="A1060" s="48" t="s">
        <v>5729</v>
      </c>
      <c r="B1060" s="48" t="s">
        <v>1356</v>
      </c>
      <c r="C1060" s="48" t="s">
        <v>1375</v>
      </c>
      <c r="D1060" s="48" t="s">
        <v>1358</v>
      </c>
      <c r="E1060" s="48"/>
      <c r="F1060" s="48" t="s">
        <v>1377</v>
      </c>
      <c r="G1060" s="49">
        <v>44829.8026041667</v>
      </c>
      <c r="H1060" s="49">
        <v>44829.8027199074</v>
      </c>
      <c r="I1060" s="48"/>
      <c r="J1060" s="48" t="s">
        <v>407</v>
      </c>
      <c r="K1060" s="48"/>
      <c r="L1060" s="48"/>
      <c r="M1060" s="48">
        <v>39.9</v>
      </c>
      <c r="N1060" s="48">
        <v>0</v>
      </c>
      <c r="O1060" s="48">
        <v>-1</v>
      </c>
      <c r="P1060" s="48">
        <v>0</v>
      </c>
      <c r="Q1060" s="48">
        <v>38.9</v>
      </c>
      <c r="R1060" s="48">
        <v>38.9</v>
      </c>
      <c r="S1060" s="48" t="s">
        <v>1414</v>
      </c>
      <c r="T1060" s="48" t="s">
        <v>5730</v>
      </c>
      <c r="U1060" s="48">
        <v>1</v>
      </c>
      <c r="V1060" s="48" t="s">
        <v>1364</v>
      </c>
      <c r="W1060" s="48"/>
      <c r="X1060" s="48" t="s">
        <v>583</v>
      </c>
      <c r="Y1060" s="48" t="s">
        <v>4453</v>
      </c>
      <c r="Z1060" s="48" t="s">
        <v>1430</v>
      </c>
      <c r="AA1060" s="48" t="s">
        <v>3042</v>
      </c>
      <c r="AB1060" s="48" t="s">
        <v>3043</v>
      </c>
      <c r="AC1060" s="48" t="s">
        <v>4454</v>
      </c>
      <c r="AD1060" s="48"/>
      <c r="AE1060" s="48"/>
      <c r="AF1060" s="48" t="s">
        <v>583</v>
      </c>
      <c r="AG1060" s="48" t="s">
        <v>1372</v>
      </c>
      <c r="AH1060" s="48" t="s">
        <v>4453</v>
      </c>
      <c r="AI1060" s="48"/>
      <c r="AJ1060" s="48"/>
      <c r="AK1060" s="48">
        <v>0</v>
      </c>
      <c r="AL1060" s="48"/>
      <c r="AM1060" s="48"/>
      <c r="AN1060" s="48"/>
      <c r="AO1060" s="48" t="s">
        <v>1372</v>
      </c>
      <c r="AP1060" s="48" t="s">
        <v>1373</v>
      </c>
    </row>
    <row r="1061" hidden="1" spans="1:42">
      <c r="A1061" s="48" t="s">
        <v>5731</v>
      </c>
      <c r="B1061" s="48" t="s">
        <v>1356</v>
      </c>
      <c r="C1061" s="48" t="s">
        <v>1357</v>
      </c>
      <c r="D1061" s="48" t="s">
        <v>1358</v>
      </c>
      <c r="E1061" s="48"/>
      <c r="F1061" s="48" t="s">
        <v>1359</v>
      </c>
      <c r="G1061" s="49">
        <v>44829.8015740741</v>
      </c>
      <c r="H1061" s="49">
        <v>44829.8017476852</v>
      </c>
      <c r="I1061" s="48"/>
      <c r="J1061" s="48" t="s">
        <v>1360</v>
      </c>
      <c r="K1061" s="48" t="s">
        <v>5732</v>
      </c>
      <c r="L1061" s="48" t="s">
        <v>5733</v>
      </c>
      <c r="M1061" s="48">
        <v>69.9</v>
      </c>
      <c r="N1061" s="48">
        <v>0</v>
      </c>
      <c r="O1061" s="48">
        <v>0</v>
      </c>
      <c r="P1061" s="48">
        <v>0</v>
      </c>
      <c r="Q1061" s="48">
        <v>69.9</v>
      </c>
      <c r="R1061" s="48">
        <v>69.9</v>
      </c>
      <c r="S1061" s="48"/>
      <c r="T1061" s="48" t="s">
        <v>5734</v>
      </c>
      <c r="U1061" s="48">
        <v>1</v>
      </c>
      <c r="V1061" s="48" t="s">
        <v>1364</v>
      </c>
      <c r="W1061" s="48"/>
      <c r="X1061" s="48" t="s">
        <v>5735</v>
      </c>
      <c r="Y1061" s="48" t="s">
        <v>5736</v>
      </c>
      <c r="Z1061" s="48" t="s">
        <v>1430</v>
      </c>
      <c r="AA1061" s="48" t="s">
        <v>1688</v>
      </c>
      <c r="AB1061" s="48" t="s">
        <v>5737</v>
      </c>
      <c r="AC1061" s="48" t="s">
        <v>5738</v>
      </c>
      <c r="AD1061" s="48"/>
      <c r="AE1061" s="48"/>
      <c r="AF1061" s="48" t="s">
        <v>5739</v>
      </c>
      <c r="AG1061" s="48" t="s">
        <v>1372</v>
      </c>
      <c r="AH1061" s="48" t="s">
        <v>5736</v>
      </c>
      <c r="AI1061" s="48"/>
      <c r="AJ1061" s="48"/>
      <c r="AK1061" s="48">
        <v>0</v>
      </c>
      <c r="AL1061" s="48"/>
      <c r="AM1061" s="48"/>
      <c r="AN1061" s="48"/>
      <c r="AO1061" s="48" t="s">
        <v>1372</v>
      </c>
      <c r="AP1061" s="48" t="s">
        <v>1373</v>
      </c>
    </row>
    <row r="1062" hidden="1" spans="1:42">
      <c r="A1062" s="48" t="s">
        <v>5740</v>
      </c>
      <c r="B1062" s="48" t="s">
        <v>1356</v>
      </c>
      <c r="C1062" s="48" t="s">
        <v>1375</v>
      </c>
      <c r="D1062" s="48" t="s">
        <v>1358</v>
      </c>
      <c r="E1062" s="48"/>
      <c r="F1062" s="48" t="s">
        <v>1548</v>
      </c>
      <c r="G1062" s="49">
        <v>44831.0131712963</v>
      </c>
      <c r="H1062" s="49">
        <v>44831.0135763889</v>
      </c>
      <c r="I1062" s="48"/>
      <c r="J1062" s="48" t="s">
        <v>407</v>
      </c>
      <c r="K1062" s="48"/>
      <c r="L1062" s="48"/>
      <c r="M1062" s="48">
        <v>239</v>
      </c>
      <c r="N1062" s="48">
        <v>0</v>
      </c>
      <c r="O1062" s="48">
        <v>0</v>
      </c>
      <c r="P1062" s="48">
        <v>0</v>
      </c>
      <c r="Q1062" s="48">
        <v>239</v>
      </c>
      <c r="R1062" s="48">
        <v>239</v>
      </c>
      <c r="S1062" s="48"/>
      <c r="T1062" s="48" t="s">
        <v>5741</v>
      </c>
      <c r="U1062" s="48">
        <v>1</v>
      </c>
      <c r="V1062" s="48" t="s">
        <v>1364</v>
      </c>
      <c r="W1062" s="48"/>
      <c r="X1062" s="48" t="s">
        <v>862</v>
      </c>
      <c r="Y1062" s="48" t="s">
        <v>5742</v>
      </c>
      <c r="Z1062" s="48" t="s">
        <v>1678</v>
      </c>
      <c r="AA1062" s="48" t="s">
        <v>2007</v>
      </c>
      <c r="AB1062" s="48" t="s">
        <v>2055</v>
      </c>
      <c r="AC1062" s="48" t="s">
        <v>5743</v>
      </c>
      <c r="AD1062" s="48"/>
      <c r="AE1062" s="48"/>
      <c r="AF1062" s="48" t="s">
        <v>5744</v>
      </c>
      <c r="AG1062" s="48" t="s">
        <v>1372</v>
      </c>
      <c r="AH1062" s="48" t="s">
        <v>5742</v>
      </c>
      <c r="AI1062" s="48"/>
      <c r="AJ1062" s="48"/>
      <c r="AK1062" s="48">
        <v>0</v>
      </c>
      <c r="AL1062" s="48"/>
      <c r="AM1062" s="48"/>
      <c r="AN1062" s="48"/>
      <c r="AO1062" s="48" t="s">
        <v>1372</v>
      </c>
      <c r="AP1062" s="48" t="s">
        <v>1373</v>
      </c>
    </row>
    <row r="1063" hidden="1" spans="1:42">
      <c r="A1063" s="48" t="s">
        <v>5745</v>
      </c>
      <c r="B1063" s="48" t="s">
        <v>1356</v>
      </c>
      <c r="C1063" s="48" t="s">
        <v>1375</v>
      </c>
      <c r="D1063" s="48" t="s">
        <v>1358</v>
      </c>
      <c r="E1063" s="48"/>
      <c r="F1063" s="48" t="s">
        <v>1359</v>
      </c>
      <c r="G1063" s="49">
        <v>44831.0097800926</v>
      </c>
      <c r="H1063" s="49">
        <v>44831.0099074074</v>
      </c>
      <c r="I1063" s="48"/>
      <c r="J1063" s="48" t="s">
        <v>1360</v>
      </c>
      <c r="K1063" s="48" t="s">
        <v>5746</v>
      </c>
      <c r="L1063" s="48" t="s">
        <v>5747</v>
      </c>
      <c r="M1063" s="48">
        <v>364.32</v>
      </c>
      <c r="N1063" s="48">
        <v>0</v>
      </c>
      <c r="O1063" s="48">
        <v>-2</v>
      </c>
      <c r="P1063" s="48">
        <v>0</v>
      </c>
      <c r="Q1063" s="48">
        <v>362.32</v>
      </c>
      <c r="R1063" s="48">
        <v>362.32</v>
      </c>
      <c r="S1063" s="48" t="s">
        <v>1400</v>
      </c>
      <c r="T1063" s="48" t="s">
        <v>5748</v>
      </c>
      <c r="U1063" s="48">
        <v>1</v>
      </c>
      <c r="V1063" s="48" t="s">
        <v>1364</v>
      </c>
      <c r="W1063" s="48"/>
      <c r="X1063" s="48" t="s">
        <v>5749</v>
      </c>
      <c r="Y1063" s="48" t="s">
        <v>5750</v>
      </c>
      <c r="Z1063" s="48" t="s">
        <v>1478</v>
      </c>
      <c r="AA1063" s="48" t="s">
        <v>5751</v>
      </c>
      <c r="AB1063" s="48" t="s">
        <v>5752</v>
      </c>
      <c r="AC1063" s="48" t="s">
        <v>5753</v>
      </c>
      <c r="AD1063" s="48"/>
      <c r="AE1063" s="48"/>
      <c r="AF1063" s="48" t="s">
        <v>5754</v>
      </c>
      <c r="AG1063" s="48" t="s">
        <v>1385</v>
      </c>
      <c r="AH1063" s="48" t="s">
        <v>5750</v>
      </c>
      <c r="AI1063" s="48"/>
      <c r="AJ1063" s="48"/>
      <c r="AK1063" s="48">
        <v>0</v>
      </c>
      <c r="AL1063" s="48"/>
      <c r="AM1063" s="48"/>
      <c r="AN1063" s="48"/>
      <c r="AO1063" s="48" t="s">
        <v>1372</v>
      </c>
      <c r="AP1063" s="48" t="s">
        <v>1373</v>
      </c>
    </row>
    <row r="1064" hidden="1" spans="1:42">
      <c r="A1064" s="48" t="s">
        <v>5755</v>
      </c>
      <c r="B1064" s="48" t="s">
        <v>1356</v>
      </c>
      <c r="C1064" s="48" t="s">
        <v>1375</v>
      </c>
      <c r="D1064" s="48" t="s">
        <v>1358</v>
      </c>
      <c r="E1064" s="48"/>
      <c r="F1064" s="48" t="s">
        <v>1377</v>
      </c>
      <c r="G1064" s="49">
        <v>44831.0007175926</v>
      </c>
      <c r="H1064" s="49">
        <v>44831.0008680556</v>
      </c>
      <c r="I1064" s="48"/>
      <c r="J1064" s="48" t="s">
        <v>407</v>
      </c>
      <c r="K1064" s="48"/>
      <c r="L1064" s="48"/>
      <c r="M1064" s="48">
        <v>339</v>
      </c>
      <c r="N1064" s="48">
        <v>0</v>
      </c>
      <c r="O1064" s="48">
        <v>-1</v>
      </c>
      <c r="P1064" s="48">
        <v>0</v>
      </c>
      <c r="Q1064" s="48">
        <v>338</v>
      </c>
      <c r="R1064" s="48">
        <v>338</v>
      </c>
      <c r="S1064" s="48" t="s">
        <v>1414</v>
      </c>
      <c r="T1064" s="48" t="s">
        <v>5756</v>
      </c>
      <c r="U1064" s="48">
        <v>1</v>
      </c>
      <c r="V1064" s="48" t="s">
        <v>1364</v>
      </c>
      <c r="W1064" s="48"/>
      <c r="X1064" s="48" t="s">
        <v>505</v>
      </c>
      <c r="Y1064" s="48" t="s">
        <v>5757</v>
      </c>
      <c r="Z1064" s="48" t="s">
        <v>1678</v>
      </c>
      <c r="AA1064" s="48" t="s">
        <v>3333</v>
      </c>
      <c r="AB1064" s="48" t="s">
        <v>5758</v>
      </c>
      <c r="AC1064" s="48" t="s">
        <v>5759</v>
      </c>
      <c r="AD1064" s="48"/>
      <c r="AE1064" s="48"/>
      <c r="AF1064" s="48" t="s">
        <v>5760</v>
      </c>
      <c r="AG1064" s="48" t="s">
        <v>1372</v>
      </c>
      <c r="AH1064" s="48"/>
      <c r="AI1064" s="48"/>
      <c r="AJ1064" s="48"/>
      <c r="AK1064" s="48">
        <v>0</v>
      </c>
      <c r="AL1064" s="48"/>
      <c r="AM1064" s="48"/>
      <c r="AN1064" s="48"/>
      <c r="AO1064" s="48" t="s">
        <v>1372</v>
      </c>
      <c r="AP1064" s="48" t="s">
        <v>1373</v>
      </c>
    </row>
    <row r="1065" hidden="1" spans="1:42">
      <c r="A1065" s="48" t="s">
        <v>5761</v>
      </c>
      <c r="B1065" s="48" t="s">
        <v>1356</v>
      </c>
      <c r="C1065" s="48" t="s">
        <v>1375</v>
      </c>
      <c r="D1065" s="48" t="s">
        <v>1358</v>
      </c>
      <c r="E1065" s="48"/>
      <c r="F1065" s="48" t="s">
        <v>1377</v>
      </c>
      <c r="G1065" s="49">
        <v>44830.9919097222</v>
      </c>
      <c r="H1065" s="49">
        <v>44830.992037037</v>
      </c>
      <c r="I1065" s="48"/>
      <c r="J1065" s="48" t="s">
        <v>407</v>
      </c>
      <c r="K1065" s="48"/>
      <c r="L1065" s="48"/>
      <c r="M1065" s="48">
        <v>299</v>
      </c>
      <c r="N1065" s="48">
        <v>0</v>
      </c>
      <c r="O1065" s="48">
        <v>-6</v>
      </c>
      <c r="P1065" s="48">
        <v>0</v>
      </c>
      <c r="Q1065" s="48">
        <v>293</v>
      </c>
      <c r="R1065" s="48">
        <v>293</v>
      </c>
      <c r="S1065" s="48" t="s">
        <v>1463</v>
      </c>
      <c r="T1065" s="48" t="s">
        <v>2098</v>
      </c>
      <c r="U1065" s="48">
        <v>1</v>
      </c>
      <c r="V1065" s="48" t="s">
        <v>1364</v>
      </c>
      <c r="W1065" s="48"/>
      <c r="X1065" s="48" t="s">
        <v>534</v>
      </c>
      <c r="Y1065" s="48" t="s">
        <v>5762</v>
      </c>
      <c r="Z1065" s="48" t="s">
        <v>1367</v>
      </c>
      <c r="AA1065" s="48" t="s">
        <v>1486</v>
      </c>
      <c r="AB1065" s="48" t="s">
        <v>1487</v>
      </c>
      <c r="AC1065" s="48" t="s">
        <v>5763</v>
      </c>
      <c r="AD1065" s="48"/>
      <c r="AE1065" s="48"/>
      <c r="AF1065" s="48" t="s">
        <v>5764</v>
      </c>
      <c r="AG1065" s="48" t="s">
        <v>1372</v>
      </c>
      <c r="AH1065" s="48"/>
      <c r="AI1065" s="48"/>
      <c r="AJ1065" s="48"/>
      <c r="AK1065" s="48">
        <v>0</v>
      </c>
      <c r="AL1065" s="48"/>
      <c r="AM1065" s="48"/>
      <c r="AN1065" s="48"/>
      <c r="AO1065" s="48" t="s">
        <v>1372</v>
      </c>
      <c r="AP1065" s="48" t="s">
        <v>1373</v>
      </c>
    </row>
    <row r="1066" hidden="1" spans="1:42">
      <c r="A1066" s="48" t="s">
        <v>5765</v>
      </c>
      <c r="B1066" s="48" t="s">
        <v>1356</v>
      </c>
      <c r="C1066" s="48" t="s">
        <v>1375</v>
      </c>
      <c r="D1066" s="48" t="s">
        <v>1358</v>
      </c>
      <c r="E1066" s="48"/>
      <c r="F1066" s="48" t="s">
        <v>1377</v>
      </c>
      <c r="G1066" s="49">
        <v>44830.9915625</v>
      </c>
      <c r="H1066" s="49">
        <v>44830.9917013889</v>
      </c>
      <c r="I1066" s="48"/>
      <c r="J1066" s="48" t="s">
        <v>407</v>
      </c>
      <c r="K1066" s="48"/>
      <c r="L1066" s="48"/>
      <c r="M1066" s="48">
        <v>39.9</v>
      </c>
      <c r="N1066" s="48">
        <v>0</v>
      </c>
      <c r="O1066" s="48">
        <v>-1</v>
      </c>
      <c r="P1066" s="48">
        <v>0</v>
      </c>
      <c r="Q1066" s="48">
        <v>38.9</v>
      </c>
      <c r="R1066" s="48">
        <v>38.9</v>
      </c>
      <c r="S1066" s="48" t="s">
        <v>1414</v>
      </c>
      <c r="T1066" s="48" t="s">
        <v>4940</v>
      </c>
      <c r="U1066" s="48">
        <v>1</v>
      </c>
      <c r="V1066" s="48" t="s">
        <v>1364</v>
      </c>
      <c r="W1066" s="48"/>
      <c r="X1066" s="48" t="s">
        <v>505</v>
      </c>
      <c r="Y1066" s="48" t="s">
        <v>5757</v>
      </c>
      <c r="Z1066" s="48" t="s">
        <v>1678</v>
      </c>
      <c r="AA1066" s="48" t="s">
        <v>3333</v>
      </c>
      <c r="AB1066" s="48" t="s">
        <v>5758</v>
      </c>
      <c r="AC1066" s="48" t="s">
        <v>5759</v>
      </c>
      <c r="AD1066" s="48"/>
      <c r="AE1066" s="48"/>
      <c r="AF1066" s="48" t="s">
        <v>5760</v>
      </c>
      <c r="AG1066" s="48" t="s">
        <v>1372</v>
      </c>
      <c r="AH1066" s="48"/>
      <c r="AI1066" s="48"/>
      <c r="AJ1066" s="48"/>
      <c r="AK1066" s="48">
        <v>0</v>
      </c>
      <c r="AL1066" s="48"/>
      <c r="AM1066" s="48"/>
      <c r="AN1066" s="48"/>
      <c r="AO1066" s="48" t="s">
        <v>1372</v>
      </c>
      <c r="AP1066" s="48" t="s">
        <v>1373</v>
      </c>
    </row>
    <row r="1067" hidden="1" spans="1:42">
      <c r="A1067" s="48" t="s">
        <v>5766</v>
      </c>
      <c r="B1067" s="48" t="s">
        <v>1356</v>
      </c>
      <c r="C1067" s="48" t="s">
        <v>1375</v>
      </c>
      <c r="D1067" s="48" t="s">
        <v>1358</v>
      </c>
      <c r="E1067" s="48"/>
      <c r="F1067" s="48" t="s">
        <v>1359</v>
      </c>
      <c r="G1067" s="49">
        <v>44830.9909606481</v>
      </c>
      <c r="H1067" s="49">
        <v>44830.991087963</v>
      </c>
      <c r="I1067" s="48"/>
      <c r="J1067" s="48" t="s">
        <v>1360</v>
      </c>
      <c r="K1067" s="48" t="s">
        <v>5767</v>
      </c>
      <c r="L1067" s="48" t="s">
        <v>5768</v>
      </c>
      <c r="M1067" s="48">
        <v>49.8</v>
      </c>
      <c r="N1067" s="48">
        <v>0</v>
      </c>
      <c r="O1067" s="48">
        <v>0</v>
      </c>
      <c r="P1067" s="48">
        <v>0</v>
      </c>
      <c r="Q1067" s="48">
        <v>49.8</v>
      </c>
      <c r="R1067" s="48">
        <v>49.8</v>
      </c>
      <c r="S1067" s="48"/>
      <c r="T1067" s="48" t="s">
        <v>5769</v>
      </c>
      <c r="U1067" s="48">
        <v>2</v>
      </c>
      <c r="V1067" s="48" t="s">
        <v>1364</v>
      </c>
      <c r="W1067" s="48"/>
      <c r="X1067" s="48" t="s">
        <v>883</v>
      </c>
      <c r="Y1067" s="48" t="s">
        <v>5665</v>
      </c>
      <c r="Z1067" s="48" t="s">
        <v>1367</v>
      </c>
      <c r="AA1067" s="48" t="s">
        <v>5372</v>
      </c>
      <c r="AB1067" s="48" t="s">
        <v>5666</v>
      </c>
      <c r="AC1067" s="48" t="s">
        <v>5667</v>
      </c>
      <c r="AD1067" s="48"/>
      <c r="AE1067" s="48"/>
      <c r="AF1067" s="48" t="s">
        <v>883</v>
      </c>
      <c r="AG1067" s="48" t="s">
        <v>1372</v>
      </c>
      <c r="AH1067" s="48" t="s">
        <v>5665</v>
      </c>
      <c r="AI1067" s="48"/>
      <c r="AJ1067" s="48"/>
      <c r="AK1067" s="48">
        <v>0</v>
      </c>
      <c r="AL1067" s="48"/>
      <c r="AM1067" s="48"/>
      <c r="AN1067" s="48"/>
      <c r="AO1067" s="48" t="s">
        <v>1372</v>
      </c>
      <c r="AP1067" s="48" t="s">
        <v>1373</v>
      </c>
    </row>
    <row r="1068" hidden="1" spans="1:42">
      <c r="A1068" s="48" t="s">
        <v>5770</v>
      </c>
      <c r="B1068" s="48" t="s">
        <v>1356</v>
      </c>
      <c r="C1068" s="48" t="s">
        <v>1375</v>
      </c>
      <c r="D1068" s="48" t="s">
        <v>1358</v>
      </c>
      <c r="E1068" s="48"/>
      <c r="F1068" s="48" t="s">
        <v>1377</v>
      </c>
      <c r="G1068" s="49">
        <v>44830.9900347222</v>
      </c>
      <c r="H1068" s="49">
        <v>44830.9901736111</v>
      </c>
      <c r="I1068" s="48"/>
      <c r="J1068" s="48" t="s">
        <v>407</v>
      </c>
      <c r="K1068" s="48"/>
      <c r="L1068" s="48"/>
      <c r="M1068" s="48">
        <v>39.9</v>
      </c>
      <c r="N1068" s="48">
        <v>0</v>
      </c>
      <c r="O1068" s="48">
        <v>0</v>
      </c>
      <c r="P1068" s="48">
        <v>0</v>
      </c>
      <c r="Q1068" s="48">
        <v>39.9</v>
      </c>
      <c r="R1068" s="48">
        <v>39.9</v>
      </c>
      <c r="S1068" s="48"/>
      <c r="T1068" s="48" t="s">
        <v>5771</v>
      </c>
      <c r="U1068" s="48">
        <v>1</v>
      </c>
      <c r="V1068" s="48" t="s">
        <v>1364</v>
      </c>
      <c r="W1068" s="48"/>
      <c r="X1068" s="48" t="s">
        <v>505</v>
      </c>
      <c r="Y1068" s="48" t="s">
        <v>5757</v>
      </c>
      <c r="Z1068" s="48" t="s">
        <v>1678</v>
      </c>
      <c r="AA1068" s="48" t="s">
        <v>3333</v>
      </c>
      <c r="AB1068" s="48" t="s">
        <v>5758</v>
      </c>
      <c r="AC1068" s="48" t="s">
        <v>5759</v>
      </c>
      <c r="AD1068" s="48"/>
      <c r="AE1068" s="48"/>
      <c r="AF1068" s="48" t="s">
        <v>5760</v>
      </c>
      <c r="AG1068" s="48" t="s">
        <v>1372</v>
      </c>
      <c r="AH1068" s="48"/>
      <c r="AI1068" s="48"/>
      <c r="AJ1068" s="48"/>
      <c r="AK1068" s="48">
        <v>0</v>
      </c>
      <c r="AL1068" s="48"/>
      <c r="AM1068" s="48"/>
      <c r="AN1068" s="48"/>
      <c r="AO1068" s="48" t="s">
        <v>1372</v>
      </c>
      <c r="AP1068" s="48" t="s">
        <v>1373</v>
      </c>
    </row>
    <row r="1069" hidden="1" spans="1:42">
      <c r="A1069" s="48" t="s">
        <v>5772</v>
      </c>
      <c r="B1069" s="48" t="s">
        <v>1356</v>
      </c>
      <c r="C1069" s="48" t="s">
        <v>1375</v>
      </c>
      <c r="D1069" s="48" t="s">
        <v>1358</v>
      </c>
      <c r="E1069" s="48"/>
      <c r="F1069" s="48" t="s">
        <v>1377</v>
      </c>
      <c r="G1069" s="49">
        <v>44830.9878819444</v>
      </c>
      <c r="H1069" s="49">
        <v>44830.9879861111</v>
      </c>
      <c r="I1069" s="48"/>
      <c r="J1069" s="48" t="s">
        <v>407</v>
      </c>
      <c r="K1069" s="48"/>
      <c r="L1069" s="48"/>
      <c r="M1069" s="48">
        <v>339</v>
      </c>
      <c r="N1069" s="48">
        <v>0</v>
      </c>
      <c r="O1069" s="48">
        <v>0</v>
      </c>
      <c r="P1069" s="48">
        <v>0</v>
      </c>
      <c r="Q1069" s="48">
        <v>339</v>
      </c>
      <c r="R1069" s="48">
        <v>339</v>
      </c>
      <c r="S1069" s="48"/>
      <c r="T1069" s="48" t="s">
        <v>5148</v>
      </c>
      <c r="U1069" s="48">
        <v>1</v>
      </c>
      <c r="V1069" s="48" t="s">
        <v>1364</v>
      </c>
      <c r="W1069" s="48"/>
      <c r="X1069" s="48" t="s">
        <v>534</v>
      </c>
      <c r="Y1069" s="48" t="s">
        <v>5762</v>
      </c>
      <c r="Z1069" s="48" t="s">
        <v>1367</v>
      </c>
      <c r="AA1069" s="48" t="s">
        <v>1486</v>
      </c>
      <c r="AB1069" s="48" t="s">
        <v>1487</v>
      </c>
      <c r="AC1069" s="48" t="s">
        <v>5763</v>
      </c>
      <c r="AD1069" s="48"/>
      <c r="AE1069" s="48"/>
      <c r="AF1069" s="48" t="s">
        <v>5764</v>
      </c>
      <c r="AG1069" s="48" t="s">
        <v>1372</v>
      </c>
      <c r="AH1069" s="48"/>
      <c r="AI1069" s="48"/>
      <c r="AJ1069" s="48"/>
      <c r="AK1069" s="48">
        <v>0</v>
      </c>
      <c r="AL1069" s="48"/>
      <c r="AM1069" s="48"/>
      <c r="AN1069" s="48"/>
      <c r="AO1069" s="48" t="s">
        <v>1372</v>
      </c>
      <c r="AP1069" s="48" t="s">
        <v>1373</v>
      </c>
    </row>
    <row r="1070" hidden="1" spans="1:42">
      <c r="A1070" s="48" t="s">
        <v>5773</v>
      </c>
      <c r="B1070" s="48" t="s">
        <v>1356</v>
      </c>
      <c r="C1070" s="48" t="s">
        <v>1375</v>
      </c>
      <c r="D1070" s="48" t="s">
        <v>1358</v>
      </c>
      <c r="E1070" s="48"/>
      <c r="F1070" s="48" t="s">
        <v>1377</v>
      </c>
      <c r="G1070" s="49">
        <v>44830.986412037</v>
      </c>
      <c r="H1070" s="49">
        <v>44830.9866087963</v>
      </c>
      <c r="I1070" s="48"/>
      <c r="J1070" s="48" t="s">
        <v>407</v>
      </c>
      <c r="K1070" s="48"/>
      <c r="L1070" s="48"/>
      <c r="M1070" s="48">
        <v>49.9</v>
      </c>
      <c r="N1070" s="48">
        <v>0</v>
      </c>
      <c r="O1070" s="48">
        <v>0</v>
      </c>
      <c r="P1070" s="48">
        <v>0</v>
      </c>
      <c r="Q1070" s="48">
        <v>49.9</v>
      </c>
      <c r="R1070" s="48">
        <v>49.9</v>
      </c>
      <c r="S1070" s="48"/>
      <c r="T1070" s="48" t="s">
        <v>5774</v>
      </c>
      <c r="U1070" s="48">
        <v>1</v>
      </c>
      <c r="V1070" s="48" t="s">
        <v>1364</v>
      </c>
      <c r="W1070" s="48"/>
      <c r="X1070" s="48" t="s">
        <v>505</v>
      </c>
      <c r="Y1070" s="48" t="s">
        <v>5757</v>
      </c>
      <c r="Z1070" s="48" t="s">
        <v>1678</v>
      </c>
      <c r="AA1070" s="48" t="s">
        <v>3333</v>
      </c>
      <c r="AB1070" s="48" t="s">
        <v>5758</v>
      </c>
      <c r="AC1070" s="48" t="s">
        <v>5759</v>
      </c>
      <c r="AD1070" s="48"/>
      <c r="AE1070" s="48"/>
      <c r="AF1070" s="48" t="s">
        <v>5760</v>
      </c>
      <c r="AG1070" s="48" t="s">
        <v>1372</v>
      </c>
      <c r="AH1070" s="48"/>
      <c r="AI1070" s="48"/>
      <c r="AJ1070" s="48"/>
      <c r="AK1070" s="48">
        <v>0</v>
      </c>
      <c r="AL1070" s="48"/>
      <c r="AM1070" s="48"/>
      <c r="AN1070" s="48"/>
      <c r="AO1070" s="48" t="s">
        <v>1372</v>
      </c>
      <c r="AP1070" s="48" t="s">
        <v>1373</v>
      </c>
    </row>
    <row r="1071" hidden="1" spans="1:42">
      <c r="A1071" s="48" t="s">
        <v>5775</v>
      </c>
      <c r="B1071" s="48" t="s">
        <v>1356</v>
      </c>
      <c r="C1071" s="48" t="s">
        <v>1375</v>
      </c>
      <c r="D1071" s="48" t="s">
        <v>1358</v>
      </c>
      <c r="E1071" s="48"/>
      <c r="F1071" s="48" t="s">
        <v>1377</v>
      </c>
      <c r="G1071" s="49">
        <v>44830.982650463</v>
      </c>
      <c r="H1071" s="49">
        <v>44830.9827662037</v>
      </c>
      <c r="I1071" s="48"/>
      <c r="J1071" s="48" t="s">
        <v>407</v>
      </c>
      <c r="K1071" s="48"/>
      <c r="L1071" s="48"/>
      <c r="M1071" s="48">
        <v>49.9</v>
      </c>
      <c r="N1071" s="48">
        <v>0</v>
      </c>
      <c r="O1071" s="48">
        <v>-11.98</v>
      </c>
      <c r="P1071" s="48">
        <v>0</v>
      </c>
      <c r="Q1071" s="48">
        <v>37.92</v>
      </c>
      <c r="R1071" s="48">
        <v>37.92</v>
      </c>
      <c r="S1071" s="48" t="s">
        <v>5776</v>
      </c>
      <c r="T1071" s="48" t="s">
        <v>5777</v>
      </c>
      <c r="U1071" s="48">
        <v>1</v>
      </c>
      <c r="V1071" s="48" t="s">
        <v>1364</v>
      </c>
      <c r="W1071" s="48"/>
      <c r="X1071" s="48" t="s">
        <v>656</v>
      </c>
      <c r="Y1071" s="48" t="s">
        <v>5778</v>
      </c>
      <c r="Z1071" s="48" t="s">
        <v>1678</v>
      </c>
      <c r="AA1071" s="48" t="s">
        <v>3333</v>
      </c>
      <c r="AB1071" s="48" t="s">
        <v>5758</v>
      </c>
      <c r="AC1071" s="48" t="s">
        <v>5779</v>
      </c>
      <c r="AD1071" s="48"/>
      <c r="AE1071" s="48"/>
      <c r="AF1071" s="48" t="s">
        <v>5780</v>
      </c>
      <c r="AG1071" s="48" t="s">
        <v>1372</v>
      </c>
      <c r="AH1071" s="48" t="s">
        <v>5778</v>
      </c>
      <c r="AI1071" s="48"/>
      <c r="AJ1071" s="48"/>
      <c r="AK1071" s="48">
        <v>0</v>
      </c>
      <c r="AL1071" s="48"/>
      <c r="AM1071" s="48" t="s">
        <v>5781</v>
      </c>
      <c r="AN1071" s="48"/>
      <c r="AO1071" s="48" t="s">
        <v>1372</v>
      </c>
      <c r="AP1071" s="48" t="s">
        <v>1373</v>
      </c>
    </row>
    <row r="1072" hidden="1" spans="1:42">
      <c r="A1072" s="48" t="s">
        <v>5782</v>
      </c>
      <c r="B1072" s="48" t="s">
        <v>1356</v>
      </c>
      <c r="C1072" s="48" t="s">
        <v>1375</v>
      </c>
      <c r="D1072" s="48" t="s">
        <v>1376</v>
      </c>
      <c r="E1072" s="48"/>
      <c r="F1072" s="48" t="s">
        <v>1377</v>
      </c>
      <c r="G1072" s="49">
        <v>44830.9740162037</v>
      </c>
      <c r="H1072" s="48"/>
      <c r="I1072" s="48"/>
      <c r="J1072" s="48"/>
      <c r="K1072" s="48"/>
      <c r="L1072" s="48"/>
      <c r="M1072" s="48">
        <v>329</v>
      </c>
      <c r="N1072" s="48">
        <v>0</v>
      </c>
      <c r="O1072" s="48">
        <v>0</v>
      </c>
      <c r="P1072" s="48">
        <v>0</v>
      </c>
      <c r="Q1072" s="48">
        <v>329</v>
      </c>
      <c r="R1072" s="48">
        <v>0</v>
      </c>
      <c r="S1072" s="48"/>
      <c r="T1072" s="48" t="s">
        <v>4770</v>
      </c>
      <c r="U1072" s="48">
        <v>1</v>
      </c>
      <c r="V1072" s="48" t="s">
        <v>1364</v>
      </c>
      <c r="W1072" s="48"/>
      <c r="X1072" s="48" t="s">
        <v>5783</v>
      </c>
      <c r="Y1072" s="48" t="s">
        <v>5784</v>
      </c>
      <c r="Z1072" s="48" t="s">
        <v>2028</v>
      </c>
      <c r="AA1072" s="48" t="s">
        <v>2162</v>
      </c>
      <c r="AB1072" s="48" t="s">
        <v>5785</v>
      </c>
      <c r="AC1072" s="48" t="s">
        <v>5786</v>
      </c>
      <c r="AD1072" s="48"/>
      <c r="AE1072" s="48"/>
      <c r="AF1072" s="48" t="s">
        <v>5787</v>
      </c>
      <c r="AG1072" s="48" t="s">
        <v>1372</v>
      </c>
      <c r="AH1072" s="48"/>
      <c r="AI1072" s="48"/>
      <c r="AJ1072" s="48"/>
      <c r="AK1072" s="48">
        <v>0</v>
      </c>
      <c r="AL1072" s="48"/>
      <c r="AM1072" s="48"/>
      <c r="AN1072" s="48"/>
      <c r="AO1072" s="48" t="s">
        <v>1372</v>
      </c>
      <c r="AP1072" s="48" t="s">
        <v>1373</v>
      </c>
    </row>
    <row r="1073" hidden="1" spans="1:42">
      <c r="A1073" s="48" t="s">
        <v>5788</v>
      </c>
      <c r="B1073" s="48" t="s">
        <v>1356</v>
      </c>
      <c r="C1073" s="48" t="s">
        <v>1375</v>
      </c>
      <c r="D1073" s="48" t="s">
        <v>1358</v>
      </c>
      <c r="E1073" s="48"/>
      <c r="F1073" s="48" t="s">
        <v>1548</v>
      </c>
      <c r="G1073" s="49">
        <v>44830.9699884259</v>
      </c>
      <c r="H1073" s="49">
        <v>44830.9701157407</v>
      </c>
      <c r="I1073" s="48"/>
      <c r="J1073" s="48" t="s">
        <v>407</v>
      </c>
      <c r="K1073" s="48"/>
      <c r="L1073" s="48"/>
      <c r="M1073" s="48">
        <v>318</v>
      </c>
      <c r="N1073" s="48">
        <v>0</v>
      </c>
      <c r="O1073" s="48">
        <v>-5</v>
      </c>
      <c r="P1073" s="48">
        <v>0</v>
      </c>
      <c r="Q1073" s="48">
        <v>313</v>
      </c>
      <c r="R1073" s="48">
        <v>313</v>
      </c>
      <c r="S1073" s="48" t="s">
        <v>1422</v>
      </c>
      <c r="T1073" s="48" t="s">
        <v>5789</v>
      </c>
      <c r="U1073" s="48">
        <v>1</v>
      </c>
      <c r="V1073" s="48" t="s">
        <v>1364</v>
      </c>
      <c r="W1073" s="48"/>
      <c r="X1073" s="48" t="s">
        <v>395</v>
      </c>
      <c r="Y1073" s="48" t="s">
        <v>5790</v>
      </c>
      <c r="Z1073" s="48" t="s">
        <v>1495</v>
      </c>
      <c r="AA1073" s="48" t="s">
        <v>2197</v>
      </c>
      <c r="AB1073" s="48" t="s">
        <v>5791</v>
      </c>
      <c r="AC1073" s="48" t="s">
        <v>5792</v>
      </c>
      <c r="AD1073" s="48"/>
      <c r="AE1073" s="48"/>
      <c r="AF1073" s="48" t="s">
        <v>5793</v>
      </c>
      <c r="AG1073" s="48" t="s">
        <v>1372</v>
      </c>
      <c r="AH1073" s="48"/>
      <c r="AI1073" s="48"/>
      <c r="AJ1073" s="48"/>
      <c r="AK1073" s="48">
        <v>0</v>
      </c>
      <c r="AL1073" s="48"/>
      <c r="AM1073" s="48"/>
      <c r="AN1073" s="48"/>
      <c r="AO1073" s="48" t="s">
        <v>1372</v>
      </c>
      <c r="AP1073" s="48" t="s">
        <v>1373</v>
      </c>
    </row>
    <row r="1074" hidden="1" spans="1:42">
      <c r="A1074" s="48" t="s">
        <v>5794</v>
      </c>
      <c r="B1074" s="48" t="s">
        <v>1356</v>
      </c>
      <c r="C1074" s="48" t="s">
        <v>1375</v>
      </c>
      <c r="D1074" s="48" t="s">
        <v>1358</v>
      </c>
      <c r="E1074" s="48"/>
      <c r="F1074" s="48" t="s">
        <v>1359</v>
      </c>
      <c r="G1074" s="49">
        <v>44830.9612731481</v>
      </c>
      <c r="H1074" s="49">
        <v>44830.9614467593</v>
      </c>
      <c r="I1074" s="48"/>
      <c r="J1074" s="48" t="s">
        <v>1360</v>
      </c>
      <c r="K1074" s="48" t="s">
        <v>5795</v>
      </c>
      <c r="L1074" s="48" t="s">
        <v>5796</v>
      </c>
      <c r="M1074" s="48">
        <v>79</v>
      </c>
      <c r="N1074" s="48">
        <v>0</v>
      </c>
      <c r="O1074" s="48">
        <v>0</v>
      </c>
      <c r="P1074" s="48">
        <v>0</v>
      </c>
      <c r="Q1074" s="48">
        <v>79</v>
      </c>
      <c r="R1074" s="48">
        <v>79</v>
      </c>
      <c r="S1074" s="48"/>
      <c r="T1074" s="48" t="s">
        <v>5797</v>
      </c>
      <c r="U1074" s="48">
        <v>1</v>
      </c>
      <c r="V1074" s="48" t="s">
        <v>1364</v>
      </c>
      <c r="W1074" s="48"/>
      <c r="X1074" s="48" t="s">
        <v>5798</v>
      </c>
      <c r="Y1074" s="48" t="s">
        <v>5799</v>
      </c>
      <c r="Z1074" s="48" t="s">
        <v>1380</v>
      </c>
      <c r="AA1074" s="48" t="s">
        <v>5592</v>
      </c>
      <c r="AB1074" s="48" t="s">
        <v>5800</v>
      </c>
      <c r="AC1074" s="48" t="s">
        <v>5801</v>
      </c>
      <c r="AD1074" s="48"/>
      <c r="AE1074" s="48"/>
      <c r="AF1074" s="48" t="s">
        <v>5798</v>
      </c>
      <c r="AG1074" s="48" t="s">
        <v>1385</v>
      </c>
      <c r="AH1074" s="48" t="s">
        <v>5799</v>
      </c>
      <c r="AI1074" s="48"/>
      <c r="AJ1074" s="48"/>
      <c r="AK1074" s="48">
        <v>0</v>
      </c>
      <c r="AL1074" s="48"/>
      <c r="AM1074" s="48"/>
      <c r="AN1074" s="48"/>
      <c r="AO1074" s="48" t="s">
        <v>1372</v>
      </c>
      <c r="AP1074" s="48" t="s">
        <v>1373</v>
      </c>
    </row>
    <row r="1075" hidden="1" spans="1:42">
      <c r="A1075" s="48" t="s">
        <v>5802</v>
      </c>
      <c r="B1075" s="48" t="s">
        <v>1356</v>
      </c>
      <c r="C1075" s="48" t="s">
        <v>1375</v>
      </c>
      <c r="D1075" s="48" t="s">
        <v>1358</v>
      </c>
      <c r="E1075" s="48"/>
      <c r="F1075" s="48" t="s">
        <v>1377</v>
      </c>
      <c r="G1075" s="49">
        <v>44830.9519212963</v>
      </c>
      <c r="H1075" s="49">
        <v>44830.9521180556</v>
      </c>
      <c r="I1075" s="48"/>
      <c r="J1075" s="48" t="s">
        <v>407</v>
      </c>
      <c r="K1075" s="48"/>
      <c r="L1075" s="48"/>
      <c r="M1075" s="48">
        <v>299</v>
      </c>
      <c r="N1075" s="48">
        <v>0</v>
      </c>
      <c r="O1075" s="48">
        <v>-3</v>
      </c>
      <c r="P1075" s="48">
        <v>0</v>
      </c>
      <c r="Q1075" s="48">
        <v>296</v>
      </c>
      <c r="R1075" s="48">
        <v>296</v>
      </c>
      <c r="S1075" s="48" t="s">
        <v>1397</v>
      </c>
      <c r="T1075" s="48" t="s">
        <v>5803</v>
      </c>
      <c r="U1075" s="48">
        <v>1</v>
      </c>
      <c r="V1075" s="48" t="s">
        <v>1364</v>
      </c>
      <c r="W1075" s="48"/>
      <c r="X1075" s="48" t="s">
        <v>387</v>
      </c>
      <c r="Y1075" s="48" t="s">
        <v>5804</v>
      </c>
      <c r="Z1075" s="48" t="s">
        <v>1466</v>
      </c>
      <c r="AA1075" s="48" t="s">
        <v>1467</v>
      </c>
      <c r="AB1075" s="48" t="s">
        <v>2117</v>
      </c>
      <c r="AC1075" s="48" t="s">
        <v>5805</v>
      </c>
      <c r="AD1075" s="48"/>
      <c r="AE1075" s="48"/>
      <c r="AF1075" s="48" t="s">
        <v>5806</v>
      </c>
      <c r="AG1075" s="48" t="s">
        <v>1385</v>
      </c>
      <c r="AH1075" s="48" t="s">
        <v>5804</v>
      </c>
      <c r="AI1075" s="48"/>
      <c r="AJ1075" s="48"/>
      <c r="AK1075" s="48">
        <v>0</v>
      </c>
      <c r="AL1075" s="48"/>
      <c r="AM1075" s="48"/>
      <c r="AN1075" s="48"/>
      <c r="AO1075" s="48" t="s">
        <v>1372</v>
      </c>
      <c r="AP1075" s="48" t="s">
        <v>1373</v>
      </c>
    </row>
    <row r="1076" hidden="1" spans="1:42">
      <c r="A1076" s="48" t="s">
        <v>5807</v>
      </c>
      <c r="B1076" s="48" t="s">
        <v>1356</v>
      </c>
      <c r="C1076" s="48" t="s">
        <v>1375</v>
      </c>
      <c r="D1076" s="48" t="s">
        <v>1358</v>
      </c>
      <c r="E1076" s="48"/>
      <c r="F1076" s="48" t="s">
        <v>1377</v>
      </c>
      <c r="G1076" s="49">
        <v>44830.9515162037</v>
      </c>
      <c r="H1076" s="49">
        <v>44830.9516319444</v>
      </c>
      <c r="I1076" s="48"/>
      <c r="J1076" s="48" t="s">
        <v>407</v>
      </c>
      <c r="K1076" s="48"/>
      <c r="L1076" s="48"/>
      <c r="M1076" s="48">
        <v>49.9</v>
      </c>
      <c r="N1076" s="48">
        <v>0</v>
      </c>
      <c r="O1076" s="48">
        <v>0</v>
      </c>
      <c r="P1076" s="48">
        <v>0</v>
      </c>
      <c r="Q1076" s="48">
        <v>49.9</v>
      </c>
      <c r="R1076" s="48">
        <v>49.9</v>
      </c>
      <c r="S1076" s="48"/>
      <c r="T1076" s="48" t="s">
        <v>5808</v>
      </c>
      <c r="U1076" s="48">
        <v>1</v>
      </c>
      <c r="V1076" s="48" t="s">
        <v>1364</v>
      </c>
      <c r="W1076" s="48"/>
      <c r="X1076" s="48" t="s">
        <v>941</v>
      </c>
      <c r="Y1076" s="48" t="s">
        <v>5809</v>
      </c>
      <c r="Z1076" s="48" t="s">
        <v>1678</v>
      </c>
      <c r="AA1076" s="48" t="s">
        <v>2007</v>
      </c>
      <c r="AB1076" s="48" t="s">
        <v>5810</v>
      </c>
      <c r="AC1076" s="48" t="s">
        <v>5811</v>
      </c>
      <c r="AD1076" s="48"/>
      <c r="AE1076" s="48"/>
      <c r="AF1076" s="48" t="s">
        <v>5812</v>
      </c>
      <c r="AG1076" s="48" t="s">
        <v>1372</v>
      </c>
      <c r="AH1076" s="48"/>
      <c r="AI1076" s="48"/>
      <c r="AJ1076" s="48"/>
      <c r="AK1076" s="48">
        <v>0</v>
      </c>
      <c r="AL1076" s="48"/>
      <c r="AM1076" s="48"/>
      <c r="AN1076" s="48"/>
      <c r="AO1076" s="48" t="s">
        <v>1372</v>
      </c>
      <c r="AP1076" s="48" t="s">
        <v>1373</v>
      </c>
    </row>
    <row r="1077" hidden="1" spans="1:42">
      <c r="A1077" s="48" t="s">
        <v>5813</v>
      </c>
      <c r="B1077" s="48" t="s">
        <v>1356</v>
      </c>
      <c r="C1077" s="48" t="s">
        <v>1375</v>
      </c>
      <c r="D1077" s="48" t="s">
        <v>1358</v>
      </c>
      <c r="E1077" s="48"/>
      <c r="F1077" s="48" t="s">
        <v>1377</v>
      </c>
      <c r="G1077" s="49">
        <v>44830.9509606482</v>
      </c>
      <c r="H1077" s="49">
        <v>44830.951087963</v>
      </c>
      <c r="I1077" s="48"/>
      <c r="J1077" s="48" t="s">
        <v>407</v>
      </c>
      <c r="K1077" s="48"/>
      <c r="L1077" s="48"/>
      <c r="M1077" s="48">
        <v>49.9</v>
      </c>
      <c r="N1077" s="48">
        <v>0</v>
      </c>
      <c r="O1077" s="48">
        <v>0</v>
      </c>
      <c r="P1077" s="48">
        <v>0</v>
      </c>
      <c r="Q1077" s="48">
        <v>49.9</v>
      </c>
      <c r="R1077" s="48">
        <v>49.9</v>
      </c>
      <c r="S1077" s="48"/>
      <c r="T1077" s="48" t="s">
        <v>5814</v>
      </c>
      <c r="U1077" s="48">
        <v>1</v>
      </c>
      <c r="V1077" s="48" t="s">
        <v>1364</v>
      </c>
      <c r="W1077" s="48"/>
      <c r="X1077" s="48" t="s">
        <v>941</v>
      </c>
      <c r="Y1077" s="48" t="s">
        <v>5809</v>
      </c>
      <c r="Z1077" s="48" t="s">
        <v>1678</v>
      </c>
      <c r="AA1077" s="48" t="s">
        <v>2007</v>
      </c>
      <c r="AB1077" s="48" t="s">
        <v>5810</v>
      </c>
      <c r="AC1077" s="48" t="s">
        <v>5811</v>
      </c>
      <c r="AD1077" s="48"/>
      <c r="AE1077" s="48"/>
      <c r="AF1077" s="48" t="s">
        <v>5812</v>
      </c>
      <c r="AG1077" s="48" t="s">
        <v>1372</v>
      </c>
      <c r="AH1077" s="48"/>
      <c r="AI1077" s="48"/>
      <c r="AJ1077" s="48"/>
      <c r="AK1077" s="48">
        <v>0</v>
      </c>
      <c r="AL1077" s="48"/>
      <c r="AM1077" s="48"/>
      <c r="AN1077" s="48"/>
      <c r="AO1077" s="48" t="s">
        <v>1372</v>
      </c>
      <c r="AP1077" s="48" t="s">
        <v>1373</v>
      </c>
    </row>
    <row r="1078" hidden="1" spans="1:42">
      <c r="A1078" s="48" t="s">
        <v>5815</v>
      </c>
      <c r="B1078" s="48" t="s">
        <v>1356</v>
      </c>
      <c r="C1078" s="48" t="s">
        <v>1375</v>
      </c>
      <c r="D1078" s="48" t="s">
        <v>1358</v>
      </c>
      <c r="E1078" s="48"/>
      <c r="F1078" s="48" t="s">
        <v>1377</v>
      </c>
      <c r="G1078" s="49">
        <v>44830.9496643519</v>
      </c>
      <c r="H1078" s="49">
        <v>44830.9497800926</v>
      </c>
      <c r="I1078" s="48"/>
      <c r="J1078" s="48" t="s">
        <v>407</v>
      </c>
      <c r="K1078" s="48"/>
      <c r="L1078" s="48"/>
      <c r="M1078" s="48">
        <v>49.9</v>
      </c>
      <c r="N1078" s="48">
        <v>0</v>
      </c>
      <c r="O1078" s="48">
        <v>-2</v>
      </c>
      <c r="P1078" s="48">
        <v>0</v>
      </c>
      <c r="Q1078" s="48">
        <v>47.9</v>
      </c>
      <c r="R1078" s="48">
        <v>47.9</v>
      </c>
      <c r="S1078" s="48" t="s">
        <v>1400</v>
      </c>
      <c r="T1078" s="48" t="s">
        <v>5816</v>
      </c>
      <c r="U1078" s="48">
        <v>1</v>
      </c>
      <c r="V1078" s="48" t="s">
        <v>1364</v>
      </c>
      <c r="W1078" s="48"/>
      <c r="X1078" s="48" t="s">
        <v>388</v>
      </c>
      <c r="Y1078" s="48" t="s">
        <v>3903</v>
      </c>
      <c r="Z1078" s="48" t="s">
        <v>1513</v>
      </c>
      <c r="AA1078" s="48" t="s">
        <v>3904</v>
      </c>
      <c r="AB1078" s="48" t="s">
        <v>3905</v>
      </c>
      <c r="AC1078" s="48" t="s">
        <v>3906</v>
      </c>
      <c r="AD1078" s="48"/>
      <c r="AE1078" s="48"/>
      <c r="AF1078" s="48" t="s">
        <v>388</v>
      </c>
      <c r="AG1078" s="48" t="s">
        <v>1372</v>
      </c>
      <c r="AH1078" s="48"/>
      <c r="AI1078" s="48"/>
      <c r="AJ1078" s="48"/>
      <c r="AK1078" s="48">
        <v>0</v>
      </c>
      <c r="AL1078" s="48"/>
      <c r="AM1078" s="48"/>
      <c r="AN1078" s="48"/>
      <c r="AO1078" s="48" t="s">
        <v>1372</v>
      </c>
      <c r="AP1078" s="48" t="s">
        <v>1373</v>
      </c>
    </row>
    <row r="1079" hidden="1" spans="1:42">
      <c r="A1079" s="48" t="s">
        <v>5817</v>
      </c>
      <c r="B1079" s="48" t="s">
        <v>1356</v>
      </c>
      <c r="C1079" s="48" t="s">
        <v>1375</v>
      </c>
      <c r="D1079" s="48" t="s">
        <v>1358</v>
      </c>
      <c r="E1079" s="48"/>
      <c r="F1079" s="48" t="s">
        <v>3560</v>
      </c>
      <c r="G1079" s="49">
        <v>44830.9474189815</v>
      </c>
      <c r="H1079" s="49">
        <v>44830.9475462963</v>
      </c>
      <c r="I1079" s="48"/>
      <c r="J1079" s="48" t="s">
        <v>407</v>
      </c>
      <c r="K1079" s="48"/>
      <c r="L1079" s="48"/>
      <c r="M1079" s="48">
        <v>49.9</v>
      </c>
      <c r="N1079" s="48">
        <v>0</v>
      </c>
      <c r="O1079" s="48">
        <v>0</v>
      </c>
      <c r="P1079" s="48">
        <v>0</v>
      </c>
      <c r="Q1079" s="48">
        <v>49.9</v>
      </c>
      <c r="R1079" s="48">
        <v>49.9</v>
      </c>
      <c r="S1079" s="48"/>
      <c r="T1079" s="48" t="s">
        <v>5818</v>
      </c>
      <c r="U1079" s="48">
        <v>1</v>
      </c>
      <c r="V1079" s="48" t="s">
        <v>1364</v>
      </c>
      <c r="W1079" s="48"/>
      <c r="X1079" s="48" t="s">
        <v>993</v>
      </c>
      <c r="Y1079" s="48" t="s">
        <v>5819</v>
      </c>
      <c r="Z1079" s="48" t="s">
        <v>1513</v>
      </c>
      <c r="AA1079" s="48" t="s">
        <v>4467</v>
      </c>
      <c r="AB1079" s="48" t="s">
        <v>5820</v>
      </c>
      <c r="AC1079" s="48" t="s">
        <v>5821</v>
      </c>
      <c r="AD1079" s="48"/>
      <c r="AE1079" s="48"/>
      <c r="AF1079" s="48" t="s">
        <v>5822</v>
      </c>
      <c r="AG1079" s="48" t="s">
        <v>1372</v>
      </c>
      <c r="AH1079" s="48"/>
      <c r="AI1079" s="48"/>
      <c r="AJ1079" s="48"/>
      <c r="AK1079" s="48">
        <v>0</v>
      </c>
      <c r="AL1079" s="48"/>
      <c r="AM1079" s="48"/>
      <c r="AN1079" s="48"/>
      <c r="AO1079" s="48" t="s">
        <v>1372</v>
      </c>
      <c r="AP1079" s="48" t="s">
        <v>1373</v>
      </c>
    </row>
    <row r="1080" hidden="1" spans="1:42">
      <c r="A1080" s="48" t="s">
        <v>5823</v>
      </c>
      <c r="B1080" s="48" t="s">
        <v>1356</v>
      </c>
      <c r="C1080" s="48" t="s">
        <v>1375</v>
      </c>
      <c r="D1080" s="48" t="s">
        <v>1780</v>
      </c>
      <c r="E1080" s="48"/>
      <c r="F1080" s="48" t="s">
        <v>1548</v>
      </c>
      <c r="G1080" s="49">
        <v>44830.9460532407</v>
      </c>
      <c r="H1080" s="48"/>
      <c r="I1080" s="48"/>
      <c r="J1080" s="48"/>
      <c r="K1080" s="48"/>
      <c r="L1080" s="48"/>
      <c r="M1080" s="48">
        <v>48.9</v>
      </c>
      <c r="N1080" s="48">
        <v>0</v>
      </c>
      <c r="O1080" s="48">
        <v>0</v>
      </c>
      <c r="P1080" s="48">
        <v>0</v>
      </c>
      <c r="Q1080" s="48">
        <v>48.9</v>
      </c>
      <c r="R1080" s="48">
        <v>0</v>
      </c>
      <c r="S1080" s="48"/>
      <c r="T1080" s="48" t="s">
        <v>5824</v>
      </c>
      <c r="U1080" s="48">
        <v>1</v>
      </c>
      <c r="V1080" s="48" t="s">
        <v>1364</v>
      </c>
      <c r="W1080" s="48"/>
      <c r="X1080" s="48" t="s">
        <v>5825</v>
      </c>
      <c r="Y1080" s="48" t="s">
        <v>5826</v>
      </c>
      <c r="Z1080" s="48" t="s">
        <v>1367</v>
      </c>
      <c r="AA1080" s="48" t="s">
        <v>1615</v>
      </c>
      <c r="AB1080" s="48" t="s">
        <v>2540</v>
      </c>
      <c r="AC1080" s="48" t="s">
        <v>5827</v>
      </c>
      <c r="AD1080" s="48"/>
      <c r="AE1080" s="48"/>
      <c r="AF1080" s="48" t="s">
        <v>5828</v>
      </c>
      <c r="AG1080" s="48" t="s">
        <v>1385</v>
      </c>
      <c r="AH1080" s="48" t="s">
        <v>5829</v>
      </c>
      <c r="AI1080" s="48"/>
      <c r="AJ1080" s="48"/>
      <c r="AK1080" s="48">
        <v>0</v>
      </c>
      <c r="AL1080" s="48"/>
      <c r="AM1080" s="48"/>
      <c r="AN1080" s="48"/>
      <c r="AO1080" s="48" t="s">
        <v>1372</v>
      </c>
      <c r="AP1080" s="48" t="s">
        <v>1373</v>
      </c>
    </row>
    <row r="1081" hidden="1" spans="1:42">
      <c r="A1081" s="48" t="s">
        <v>5830</v>
      </c>
      <c r="B1081" s="48" t="s">
        <v>1356</v>
      </c>
      <c r="C1081" s="48" t="s">
        <v>1375</v>
      </c>
      <c r="D1081" s="48" t="s">
        <v>1780</v>
      </c>
      <c r="E1081" s="48"/>
      <c r="F1081" s="48" t="s">
        <v>1377</v>
      </c>
      <c r="G1081" s="49">
        <v>44830.9457407407</v>
      </c>
      <c r="H1081" s="48"/>
      <c r="I1081" s="48"/>
      <c r="J1081" s="48"/>
      <c r="K1081" s="48"/>
      <c r="L1081" s="48"/>
      <c r="M1081" s="48">
        <v>399</v>
      </c>
      <c r="N1081" s="48">
        <v>0</v>
      </c>
      <c r="O1081" s="48">
        <v>-4</v>
      </c>
      <c r="P1081" s="48">
        <v>0</v>
      </c>
      <c r="Q1081" s="48">
        <v>395</v>
      </c>
      <c r="R1081" s="48">
        <v>0</v>
      </c>
      <c r="S1081" s="48" t="s">
        <v>1388</v>
      </c>
      <c r="T1081" s="48" t="s">
        <v>5831</v>
      </c>
      <c r="U1081" s="48">
        <v>1</v>
      </c>
      <c r="V1081" s="48" t="s">
        <v>1364</v>
      </c>
      <c r="W1081" s="48"/>
      <c r="X1081" s="48" t="s">
        <v>5825</v>
      </c>
      <c r="Y1081" s="48" t="s">
        <v>5826</v>
      </c>
      <c r="Z1081" s="48" t="s">
        <v>1367</v>
      </c>
      <c r="AA1081" s="48" t="s">
        <v>1615</v>
      </c>
      <c r="AB1081" s="48" t="s">
        <v>2540</v>
      </c>
      <c r="AC1081" s="48" t="s">
        <v>5827</v>
      </c>
      <c r="AD1081" s="48"/>
      <c r="AE1081" s="48"/>
      <c r="AF1081" s="48" t="s">
        <v>5828</v>
      </c>
      <c r="AG1081" s="48" t="s">
        <v>1385</v>
      </c>
      <c r="AH1081" s="48" t="s">
        <v>5829</v>
      </c>
      <c r="AI1081" s="48"/>
      <c r="AJ1081" s="48"/>
      <c r="AK1081" s="48">
        <v>0</v>
      </c>
      <c r="AL1081" s="48"/>
      <c r="AM1081" s="48"/>
      <c r="AN1081" s="48"/>
      <c r="AO1081" s="48" t="s">
        <v>1372</v>
      </c>
      <c r="AP1081" s="48" t="s">
        <v>1373</v>
      </c>
    </row>
    <row r="1082" hidden="1" spans="1:42">
      <c r="A1082" s="48" t="s">
        <v>5832</v>
      </c>
      <c r="B1082" s="48" t="s">
        <v>1356</v>
      </c>
      <c r="C1082" s="48" t="s">
        <v>1375</v>
      </c>
      <c r="D1082" s="48" t="s">
        <v>1358</v>
      </c>
      <c r="E1082" s="48"/>
      <c r="F1082" s="48" t="s">
        <v>1377</v>
      </c>
      <c r="G1082" s="49">
        <v>44830.9443518519</v>
      </c>
      <c r="H1082" s="49">
        <v>44830.9444675926</v>
      </c>
      <c r="I1082" s="48"/>
      <c r="J1082" s="48" t="s">
        <v>407</v>
      </c>
      <c r="K1082" s="48"/>
      <c r="L1082" s="48"/>
      <c r="M1082" s="48">
        <v>239</v>
      </c>
      <c r="N1082" s="48">
        <v>0</v>
      </c>
      <c r="O1082" s="48">
        <v>-5</v>
      </c>
      <c r="P1082" s="48">
        <v>0</v>
      </c>
      <c r="Q1082" s="48">
        <v>234</v>
      </c>
      <c r="R1082" s="48">
        <v>234</v>
      </c>
      <c r="S1082" s="48" t="s">
        <v>1422</v>
      </c>
      <c r="T1082" s="48" t="s">
        <v>5833</v>
      </c>
      <c r="U1082" s="48">
        <v>1</v>
      </c>
      <c r="V1082" s="48" t="s">
        <v>1364</v>
      </c>
      <c r="W1082" s="48"/>
      <c r="X1082" s="48" t="s">
        <v>395</v>
      </c>
      <c r="Y1082" s="48" t="s">
        <v>5790</v>
      </c>
      <c r="Z1082" s="48" t="s">
        <v>1495</v>
      </c>
      <c r="AA1082" s="48" t="s">
        <v>2197</v>
      </c>
      <c r="AB1082" s="48" t="s">
        <v>5791</v>
      </c>
      <c r="AC1082" s="48" t="s">
        <v>5792</v>
      </c>
      <c r="AD1082" s="48"/>
      <c r="AE1082" s="48"/>
      <c r="AF1082" s="48" t="s">
        <v>5793</v>
      </c>
      <c r="AG1082" s="48" t="s">
        <v>1372</v>
      </c>
      <c r="AH1082" s="48"/>
      <c r="AI1082" s="48"/>
      <c r="AJ1082" s="48"/>
      <c r="AK1082" s="48">
        <v>0</v>
      </c>
      <c r="AL1082" s="48"/>
      <c r="AM1082" s="48"/>
      <c r="AN1082" s="48"/>
      <c r="AO1082" s="48" t="s">
        <v>1372</v>
      </c>
      <c r="AP1082" s="48" t="s">
        <v>1373</v>
      </c>
    </row>
    <row r="1083" hidden="1" spans="1:42">
      <c r="A1083" s="48" t="s">
        <v>5834</v>
      </c>
      <c r="B1083" s="48" t="s">
        <v>1356</v>
      </c>
      <c r="C1083" s="48" t="s">
        <v>1375</v>
      </c>
      <c r="D1083" s="48" t="s">
        <v>1358</v>
      </c>
      <c r="E1083" s="48"/>
      <c r="F1083" s="48" t="s">
        <v>1377</v>
      </c>
      <c r="G1083" s="49">
        <v>44830.9400694444</v>
      </c>
      <c r="H1083" s="49">
        <v>44830.9402083333</v>
      </c>
      <c r="I1083" s="48"/>
      <c r="J1083" s="48" t="s">
        <v>407</v>
      </c>
      <c r="K1083" s="48"/>
      <c r="L1083" s="48"/>
      <c r="M1083" s="48">
        <v>49.9</v>
      </c>
      <c r="N1083" s="48">
        <v>0</v>
      </c>
      <c r="O1083" s="48">
        <v>-2</v>
      </c>
      <c r="P1083" s="48">
        <v>0</v>
      </c>
      <c r="Q1083" s="48">
        <v>47.9</v>
      </c>
      <c r="R1083" s="48">
        <v>47.9</v>
      </c>
      <c r="S1083" s="48" t="s">
        <v>1400</v>
      </c>
      <c r="T1083" s="48" t="s">
        <v>5835</v>
      </c>
      <c r="U1083" s="48">
        <v>1</v>
      </c>
      <c r="V1083" s="48" t="s">
        <v>1364</v>
      </c>
      <c r="W1083" s="48"/>
      <c r="X1083" s="48" t="s">
        <v>395</v>
      </c>
      <c r="Y1083" s="48" t="s">
        <v>5790</v>
      </c>
      <c r="Z1083" s="48" t="s">
        <v>1495</v>
      </c>
      <c r="AA1083" s="48" t="s">
        <v>2197</v>
      </c>
      <c r="AB1083" s="48" t="s">
        <v>5791</v>
      </c>
      <c r="AC1083" s="48" t="s">
        <v>5792</v>
      </c>
      <c r="AD1083" s="48"/>
      <c r="AE1083" s="48"/>
      <c r="AF1083" s="48" t="s">
        <v>5793</v>
      </c>
      <c r="AG1083" s="48" t="s">
        <v>1372</v>
      </c>
      <c r="AH1083" s="48"/>
      <c r="AI1083" s="48"/>
      <c r="AJ1083" s="48"/>
      <c r="AK1083" s="48">
        <v>0</v>
      </c>
      <c r="AL1083" s="48"/>
      <c r="AM1083" s="48"/>
      <c r="AN1083" s="48"/>
      <c r="AO1083" s="48" t="s">
        <v>1372</v>
      </c>
      <c r="AP1083" s="48" t="s">
        <v>1373</v>
      </c>
    </row>
    <row r="1084" hidden="1" spans="1:42">
      <c r="A1084" s="48" t="s">
        <v>5836</v>
      </c>
      <c r="B1084" s="48" t="s">
        <v>1356</v>
      </c>
      <c r="C1084" s="48" t="s">
        <v>1375</v>
      </c>
      <c r="D1084" s="48" t="s">
        <v>1358</v>
      </c>
      <c r="E1084" s="48"/>
      <c r="F1084" s="48" t="s">
        <v>1377</v>
      </c>
      <c r="G1084" s="49">
        <v>44830.9337615741</v>
      </c>
      <c r="H1084" s="49">
        <v>44830.933900463</v>
      </c>
      <c r="I1084" s="48"/>
      <c r="J1084" s="48" t="s">
        <v>407</v>
      </c>
      <c r="K1084" s="48"/>
      <c r="L1084" s="48"/>
      <c r="M1084" s="48">
        <v>339</v>
      </c>
      <c r="N1084" s="48">
        <v>0</v>
      </c>
      <c r="O1084" s="48">
        <v>0</v>
      </c>
      <c r="P1084" s="48">
        <v>0</v>
      </c>
      <c r="Q1084" s="48">
        <v>339</v>
      </c>
      <c r="R1084" s="48">
        <v>339</v>
      </c>
      <c r="S1084" s="48"/>
      <c r="T1084" s="48" t="s">
        <v>5566</v>
      </c>
      <c r="U1084" s="48">
        <v>1</v>
      </c>
      <c r="V1084" s="48" t="s">
        <v>1364</v>
      </c>
      <c r="W1084" s="48"/>
      <c r="X1084" s="48" t="s">
        <v>395</v>
      </c>
      <c r="Y1084" s="48" t="s">
        <v>5790</v>
      </c>
      <c r="Z1084" s="48" t="s">
        <v>1495</v>
      </c>
      <c r="AA1084" s="48" t="s">
        <v>2197</v>
      </c>
      <c r="AB1084" s="48" t="s">
        <v>5791</v>
      </c>
      <c r="AC1084" s="48" t="s">
        <v>5792</v>
      </c>
      <c r="AD1084" s="48"/>
      <c r="AE1084" s="48"/>
      <c r="AF1084" s="48" t="s">
        <v>5793</v>
      </c>
      <c r="AG1084" s="48" t="s">
        <v>1372</v>
      </c>
      <c r="AH1084" s="48"/>
      <c r="AI1084" s="48"/>
      <c r="AJ1084" s="48"/>
      <c r="AK1084" s="48">
        <v>0</v>
      </c>
      <c r="AL1084" s="48"/>
      <c r="AM1084" s="48"/>
      <c r="AN1084" s="48"/>
      <c r="AO1084" s="48" t="s">
        <v>1372</v>
      </c>
      <c r="AP1084" s="48" t="s">
        <v>1373</v>
      </c>
    </row>
    <row r="1085" hidden="1" spans="1:42">
      <c r="A1085" s="48" t="s">
        <v>5837</v>
      </c>
      <c r="B1085" s="48" t="s">
        <v>1356</v>
      </c>
      <c r="C1085" s="48" t="s">
        <v>1375</v>
      </c>
      <c r="D1085" s="48" t="s">
        <v>1358</v>
      </c>
      <c r="E1085" s="48"/>
      <c r="F1085" s="48" t="s">
        <v>1377</v>
      </c>
      <c r="G1085" s="49">
        <v>44830.9324189815</v>
      </c>
      <c r="H1085" s="49">
        <v>44830.9325578704</v>
      </c>
      <c r="I1085" s="48"/>
      <c r="J1085" s="48" t="s">
        <v>407</v>
      </c>
      <c r="K1085" s="48"/>
      <c r="L1085" s="48"/>
      <c r="M1085" s="48">
        <v>339</v>
      </c>
      <c r="N1085" s="48">
        <v>0</v>
      </c>
      <c r="O1085" s="48">
        <v>0</v>
      </c>
      <c r="P1085" s="48">
        <v>0</v>
      </c>
      <c r="Q1085" s="48">
        <v>339</v>
      </c>
      <c r="R1085" s="48">
        <v>339</v>
      </c>
      <c r="S1085" s="48"/>
      <c r="T1085" s="48" t="s">
        <v>5148</v>
      </c>
      <c r="U1085" s="48">
        <v>1</v>
      </c>
      <c r="V1085" s="48" t="s">
        <v>1364</v>
      </c>
      <c r="W1085" s="48"/>
      <c r="X1085" s="48" t="s">
        <v>694</v>
      </c>
      <c r="Y1085" s="48" t="s">
        <v>5838</v>
      </c>
      <c r="Z1085" s="48" t="s">
        <v>2651</v>
      </c>
      <c r="AA1085" s="48" t="s">
        <v>5839</v>
      </c>
      <c r="AB1085" s="48" t="s">
        <v>5840</v>
      </c>
      <c r="AC1085" s="48" t="s">
        <v>5841</v>
      </c>
      <c r="AD1085" s="48"/>
      <c r="AE1085" s="48"/>
      <c r="AF1085" s="48" t="s">
        <v>5842</v>
      </c>
      <c r="AG1085" s="48" t="s">
        <v>1372</v>
      </c>
      <c r="AH1085" s="48"/>
      <c r="AI1085" s="48"/>
      <c r="AJ1085" s="48"/>
      <c r="AK1085" s="48">
        <v>0</v>
      </c>
      <c r="AL1085" s="48"/>
      <c r="AM1085" s="48"/>
      <c r="AN1085" s="48"/>
      <c r="AO1085" s="48" t="s">
        <v>1372</v>
      </c>
      <c r="AP1085" s="48" t="s">
        <v>1373</v>
      </c>
    </row>
    <row r="1086" hidden="1" spans="1:42">
      <c r="A1086" s="48" t="s">
        <v>5843</v>
      </c>
      <c r="B1086" s="48" t="s">
        <v>1356</v>
      </c>
      <c r="C1086" s="48" t="s">
        <v>1375</v>
      </c>
      <c r="D1086" s="48" t="s">
        <v>1358</v>
      </c>
      <c r="E1086" s="48"/>
      <c r="F1086" s="48" t="s">
        <v>1377</v>
      </c>
      <c r="G1086" s="49">
        <v>44830.9320138889</v>
      </c>
      <c r="H1086" s="49">
        <v>44830.9321759259</v>
      </c>
      <c r="I1086" s="48"/>
      <c r="J1086" s="48" t="s">
        <v>407</v>
      </c>
      <c r="K1086" s="48"/>
      <c r="L1086" s="48"/>
      <c r="M1086" s="48">
        <v>339</v>
      </c>
      <c r="N1086" s="48">
        <v>0</v>
      </c>
      <c r="O1086" s="48">
        <v>0</v>
      </c>
      <c r="P1086" s="48">
        <v>0</v>
      </c>
      <c r="Q1086" s="48">
        <v>339</v>
      </c>
      <c r="R1086" s="48">
        <v>339</v>
      </c>
      <c r="S1086" s="48"/>
      <c r="T1086" s="48" t="s">
        <v>5566</v>
      </c>
      <c r="U1086" s="48">
        <v>1</v>
      </c>
      <c r="V1086" s="48" t="s">
        <v>1364</v>
      </c>
      <c r="W1086" s="48"/>
      <c r="X1086" s="48" t="s">
        <v>696</v>
      </c>
      <c r="Y1086" s="48" t="s">
        <v>5844</v>
      </c>
      <c r="Z1086" s="48" t="s">
        <v>2336</v>
      </c>
      <c r="AA1086" s="48" t="s">
        <v>5395</v>
      </c>
      <c r="AB1086" s="48" t="s">
        <v>5396</v>
      </c>
      <c r="AC1086" s="48" t="s">
        <v>5845</v>
      </c>
      <c r="AD1086" s="48"/>
      <c r="AE1086" s="48"/>
      <c r="AF1086" s="48" t="s">
        <v>5846</v>
      </c>
      <c r="AG1086" s="48" t="s">
        <v>1372</v>
      </c>
      <c r="AH1086" s="48"/>
      <c r="AI1086" s="48"/>
      <c r="AJ1086" s="48"/>
      <c r="AK1086" s="48">
        <v>0</v>
      </c>
      <c r="AL1086" s="48"/>
      <c r="AM1086" s="48"/>
      <c r="AN1086" s="48"/>
      <c r="AO1086" s="48" t="s">
        <v>1372</v>
      </c>
      <c r="AP1086" s="48" t="s">
        <v>1373</v>
      </c>
    </row>
    <row r="1087" hidden="1" spans="1:42">
      <c r="A1087" s="48" t="s">
        <v>5847</v>
      </c>
      <c r="B1087" s="48" t="s">
        <v>1356</v>
      </c>
      <c r="C1087" s="48" t="s">
        <v>1375</v>
      </c>
      <c r="D1087" s="48" t="s">
        <v>1358</v>
      </c>
      <c r="E1087" s="48"/>
      <c r="F1087" s="48" t="s">
        <v>1359</v>
      </c>
      <c r="G1087" s="49">
        <v>44830.931087963</v>
      </c>
      <c r="H1087" s="49">
        <v>44830.9311805556</v>
      </c>
      <c r="I1087" s="48"/>
      <c r="J1087" s="48" t="s">
        <v>1360</v>
      </c>
      <c r="K1087" s="48" t="s">
        <v>5848</v>
      </c>
      <c r="L1087" s="48" t="s">
        <v>5849</v>
      </c>
      <c r="M1087" s="48">
        <v>79</v>
      </c>
      <c r="N1087" s="48">
        <v>0</v>
      </c>
      <c r="O1087" s="48">
        <v>0</v>
      </c>
      <c r="P1087" s="48">
        <v>0</v>
      </c>
      <c r="Q1087" s="48">
        <v>79</v>
      </c>
      <c r="R1087" s="48">
        <v>79</v>
      </c>
      <c r="S1087" s="48"/>
      <c r="T1087" s="48" t="s">
        <v>5850</v>
      </c>
      <c r="U1087" s="48">
        <v>1</v>
      </c>
      <c r="V1087" s="48" t="s">
        <v>1364</v>
      </c>
      <c r="W1087" s="48"/>
      <c r="X1087" s="48" t="s">
        <v>813</v>
      </c>
      <c r="Y1087" s="48" t="s">
        <v>2940</v>
      </c>
      <c r="Z1087" s="48" t="s">
        <v>1606</v>
      </c>
      <c r="AA1087" s="48" t="s">
        <v>2941</v>
      </c>
      <c r="AB1087" s="48" t="s">
        <v>2942</v>
      </c>
      <c r="AC1087" s="48" t="s">
        <v>2943</v>
      </c>
      <c r="AD1087" s="48"/>
      <c r="AE1087" s="48"/>
      <c r="AF1087" s="48" t="s">
        <v>2944</v>
      </c>
      <c r="AG1087" s="48" t="s">
        <v>1385</v>
      </c>
      <c r="AH1087" s="48" t="s">
        <v>2940</v>
      </c>
      <c r="AI1087" s="48"/>
      <c r="AJ1087" s="48"/>
      <c r="AK1087" s="48">
        <v>0</v>
      </c>
      <c r="AL1087" s="48"/>
      <c r="AM1087" s="48"/>
      <c r="AN1087" s="48"/>
      <c r="AO1087" s="48" t="s">
        <v>1372</v>
      </c>
      <c r="AP1087" s="48" t="s">
        <v>1373</v>
      </c>
    </row>
    <row r="1088" hidden="1" spans="1:42">
      <c r="A1088" s="48" t="s">
        <v>5851</v>
      </c>
      <c r="B1088" s="48" t="s">
        <v>1356</v>
      </c>
      <c r="C1088" s="48" t="s">
        <v>1375</v>
      </c>
      <c r="D1088" s="48" t="s">
        <v>1358</v>
      </c>
      <c r="E1088" s="48"/>
      <c r="F1088" s="48" t="s">
        <v>1377</v>
      </c>
      <c r="G1088" s="49">
        <v>44830.9240393518</v>
      </c>
      <c r="H1088" s="49">
        <v>44830.9241666667</v>
      </c>
      <c r="I1088" s="48"/>
      <c r="J1088" s="48" t="s">
        <v>407</v>
      </c>
      <c r="K1088" s="48"/>
      <c r="L1088" s="48"/>
      <c r="M1088" s="48">
        <v>599</v>
      </c>
      <c r="N1088" s="48">
        <v>0</v>
      </c>
      <c r="O1088" s="48">
        <v>-7</v>
      </c>
      <c r="P1088" s="48">
        <v>0</v>
      </c>
      <c r="Q1088" s="48">
        <v>592</v>
      </c>
      <c r="R1088" s="48">
        <v>592</v>
      </c>
      <c r="S1088" s="48" t="s">
        <v>2550</v>
      </c>
      <c r="T1088" s="48" t="s">
        <v>5852</v>
      </c>
      <c r="U1088" s="48">
        <v>1</v>
      </c>
      <c r="V1088" s="48" t="s">
        <v>1364</v>
      </c>
      <c r="W1088" s="48"/>
      <c r="X1088" s="48" t="s">
        <v>378</v>
      </c>
      <c r="Y1088" s="48" t="s">
        <v>5853</v>
      </c>
      <c r="Z1088" s="48" t="s">
        <v>1380</v>
      </c>
      <c r="AA1088" s="48" t="s">
        <v>1381</v>
      </c>
      <c r="AB1088" s="48" t="s">
        <v>5854</v>
      </c>
      <c r="AC1088" s="48" t="s">
        <v>5855</v>
      </c>
      <c r="AD1088" s="48"/>
      <c r="AE1088" s="48"/>
      <c r="AF1088" s="48" t="s">
        <v>5856</v>
      </c>
      <c r="AG1088" s="48" t="s">
        <v>1385</v>
      </c>
      <c r="AH1088" s="48" t="s">
        <v>5853</v>
      </c>
      <c r="AI1088" s="48"/>
      <c r="AJ1088" s="48"/>
      <c r="AK1088" s="48">
        <v>0</v>
      </c>
      <c r="AL1088" s="48"/>
      <c r="AM1088" s="48"/>
      <c r="AN1088" s="48"/>
      <c r="AO1088" s="48" t="s">
        <v>1372</v>
      </c>
      <c r="AP1088" s="48" t="s">
        <v>1373</v>
      </c>
    </row>
    <row r="1089" hidden="1" spans="1:42">
      <c r="A1089" s="48" t="s">
        <v>5857</v>
      </c>
      <c r="B1089" s="48" t="s">
        <v>1356</v>
      </c>
      <c r="C1089" s="48" t="s">
        <v>1375</v>
      </c>
      <c r="D1089" s="48" t="s">
        <v>1358</v>
      </c>
      <c r="E1089" s="48"/>
      <c r="F1089" s="48" t="s">
        <v>1377</v>
      </c>
      <c r="G1089" s="49">
        <v>44830.9214583333</v>
      </c>
      <c r="H1089" s="49">
        <v>44830.9215856481</v>
      </c>
      <c r="I1089" s="48"/>
      <c r="J1089" s="48" t="s">
        <v>407</v>
      </c>
      <c r="K1089" s="48"/>
      <c r="L1089" s="48"/>
      <c r="M1089" s="48">
        <v>49.9</v>
      </c>
      <c r="N1089" s="48">
        <v>0</v>
      </c>
      <c r="O1089" s="48">
        <v>-2</v>
      </c>
      <c r="P1089" s="48">
        <v>0</v>
      </c>
      <c r="Q1089" s="48">
        <v>47.9</v>
      </c>
      <c r="R1089" s="48">
        <v>47.9</v>
      </c>
      <c r="S1089" s="48" t="s">
        <v>1400</v>
      </c>
      <c r="T1089" s="48" t="s">
        <v>5858</v>
      </c>
      <c r="U1089" s="48">
        <v>1</v>
      </c>
      <c r="V1089" s="48" t="s">
        <v>1364</v>
      </c>
      <c r="W1089" s="48"/>
      <c r="X1089" s="48" t="s">
        <v>479</v>
      </c>
      <c r="Y1089" s="48" t="s">
        <v>4115</v>
      </c>
      <c r="Z1089" s="48" t="s">
        <v>1824</v>
      </c>
      <c r="AA1089" s="48" t="s">
        <v>1825</v>
      </c>
      <c r="AB1089" s="48" t="s">
        <v>4116</v>
      </c>
      <c r="AC1089" s="48" t="s">
        <v>4117</v>
      </c>
      <c r="AD1089" s="48"/>
      <c r="AE1089" s="48"/>
      <c r="AF1089" s="48" t="s">
        <v>479</v>
      </c>
      <c r="AG1089" s="48" t="s">
        <v>1372</v>
      </c>
      <c r="AH1089" s="48" t="s">
        <v>4115</v>
      </c>
      <c r="AI1089" s="48"/>
      <c r="AJ1089" s="48"/>
      <c r="AK1089" s="48">
        <v>0</v>
      </c>
      <c r="AL1089" s="48"/>
      <c r="AM1089" s="48"/>
      <c r="AN1089" s="48"/>
      <c r="AO1089" s="48" t="s">
        <v>1372</v>
      </c>
      <c r="AP1089" s="48" t="s">
        <v>1373</v>
      </c>
    </row>
    <row r="1090" hidden="1" spans="1:42">
      <c r="A1090" s="48" t="s">
        <v>5859</v>
      </c>
      <c r="B1090" s="48" t="s">
        <v>1356</v>
      </c>
      <c r="C1090" s="48" t="s">
        <v>1375</v>
      </c>
      <c r="D1090" s="48" t="s">
        <v>1358</v>
      </c>
      <c r="E1090" s="48"/>
      <c r="F1090" s="48" t="s">
        <v>1377</v>
      </c>
      <c r="G1090" s="49">
        <v>44830.9213194444</v>
      </c>
      <c r="H1090" s="49">
        <v>44830.9214583333</v>
      </c>
      <c r="I1090" s="48"/>
      <c r="J1090" s="48" t="s">
        <v>407</v>
      </c>
      <c r="K1090" s="48"/>
      <c r="L1090" s="48"/>
      <c r="M1090" s="48">
        <v>599</v>
      </c>
      <c r="N1090" s="48">
        <v>0</v>
      </c>
      <c r="O1090" s="48">
        <v>-6</v>
      </c>
      <c r="P1090" s="48">
        <v>0</v>
      </c>
      <c r="Q1090" s="48">
        <v>593</v>
      </c>
      <c r="R1090" s="48">
        <v>593</v>
      </c>
      <c r="S1090" s="48" t="s">
        <v>1463</v>
      </c>
      <c r="T1090" s="48" t="s">
        <v>4972</v>
      </c>
      <c r="U1090" s="48">
        <v>1</v>
      </c>
      <c r="V1090" s="48" t="s">
        <v>1364</v>
      </c>
      <c r="W1090" s="48"/>
      <c r="X1090" s="48" t="s">
        <v>466</v>
      </c>
      <c r="Y1090" s="48" t="s">
        <v>5860</v>
      </c>
      <c r="Z1090" s="48" t="s">
        <v>3108</v>
      </c>
      <c r="AA1090" s="48" t="s">
        <v>3124</v>
      </c>
      <c r="AB1090" s="48" t="s">
        <v>5861</v>
      </c>
      <c r="AC1090" s="48" t="s">
        <v>5862</v>
      </c>
      <c r="AD1090" s="48"/>
      <c r="AE1090" s="48"/>
      <c r="AF1090" s="48" t="s">
        <v>466</v>
      </c>
      <c r="AG1090" s="48" t="s">
        <v>1385</v>
      </c>
      <c r="AH1090" s="48" t="s">
        <v>5860</v>
      </c>
      <c r="AI1090" s="48"/>
      <c r="AJ1090" s="48"/>
      <c r="AK1090" s="48">
        <v>0</v>
      </c>
      <c r="AL1090" s="48"/>
      <c r="AM1090" s="48"/>
      <c r="AN1090" s="48"/>
      <c r="AO1090" s="48" t="s">
        <v>1372</v>
      </c>
      <c r="AP1090" s="48" t="s">
        <v>1373</v>
      </c>
    </row>
    <row r="1091" hidden="1" spans="1:42">
      <c r="A1091" s="48" t="s">
        <v>5863</v>
      </c>
      <c r="B1091" s="48" t="s">
        <v>1356</v>
      </c>
      <c r="C1091" s="48" t="s">
        <v>1375</v>
      </c>
      <c r="D1091" s="48" t="s">
        <v>1358</v>
      </c>
      <c r="E1091" s="48"/>
      <c r="F1091" s="48" t="s">
        <v>1377</v>
      </c>
      <c r="G1091" s="49">
        <v>44830.9097337963</v>
      </c>
      <c r="H1091" s="49">
        <v>44830.9099421296</v>
      </c>
      <c r="I1091" s="48"/>
      <c r="J1091" s="48" t="s">
        <v>407</v>
      </c>
      <c r="K1091" s="48"/>
      <c r="L1091" s="48"/>
      <c r="M1091" s="48">
        <v>339</v>
      </c>
      <c r="N1091" s="48">
        <v>0</v>
      </c>
      <c r="O1091" s="48">
        <v>-5</v>
      </c>
      <c r="P1091" s="48">
        <v>0</v>
      </c>
      <c r="Q1091" s="48">
        <v>334</v>
      </c>
      <c r="R1091" s="48">
        <v>334</v>
      </c>
      <c r="S1091" s="48" t="s">
        <v>1422</v>
      </c>
      <c r="T1091" s="48" t="s">
        <v>5148</v>
      </c>
      <c r="U1091" s="48">
        <v>1</v>
      </c>
      <c r="V1091" s="48" t="s">
        <v>1364</v>
      </c>
      <c r="W1091" s="48"/>
      <c r="X1091" s="48" t="s">
        <v>479</v>
      </c>
      <c r="Y1091" s="48" t="s">
        <v>4115</v>
      </c>
      <c r="Z1091" s="48" t="s">
        <v>1824</v>
      </c>
      <c r="AA1091" s="48" t="s">
        <v>1825</v>
      </c>
      <c r="AB1091" s="48" t="s">
        <v>4116</v>
      </c>
      <c r="AC1091" s="48" t="s">
        <v>4117</v>
      </c>
      <c r="AD1091" s="48"/>
      <c r="AE1091" s="48"/>
      <c r="AF1091" s="48" t="s">
        <v>479</v>
      </c>
      <c r="AG1091" s="48" t="s">
        <v>1372</v>
      </c>
      <c r="AH1091" s="48" t="s">
        <v>4115</v>
      </c>
      <c r="AI1091" s="48"/>
      <c r="AJ1091" s="48"/>
      <c r="AK1091" s="48">
        <v>0</v>
      </c>
      <c r="AL1091" s="48"/>
      <c r="AM1091" s="48"/>
      <c r="AN1091" s="48"/>
      <c r="AO1091" s="48" t="s">
        <v>1372</v>
      </c>
      <c r="AP1091" s="48" t="s">
        <v>1373</v>
      </c>
    </row>
    <row r="1092" hidden="1" spans="1:42">
      <c r="A1092" s="48" t="s">
        <v>5864</v>
      </c>
      <c r="B1092" s="48" t="s">
        <v>1356</v>
      </c>
      <c r="C1092" s="48" t="s">
        <v>1375</v>
      </c>
      <c r="D1092" s="48" t="s">
        <v>1358</v>
      </c>
      <c r="E1092" s="48"/>
      <c r="F1092" s="48" t="s">
        <v>1377</v>
      </c>
      <c r="G1092" s="49">
        <v>44830.9097106481</v>
      </c>
      <c r="H1092" s="49">
        <v>44830.909837963</v>
      </c>
      <c r="I1092" s="48"/>
      <c r="J1092" s="48" t="s">
        <v>407</v>
      </c>
      <c r="K1092" s="48"/>
      <c r="L1092" s="48"/>
      <c r="M1092" s="48">
        <v>339</v>
      </c>
      <c r="N1092" s="48">
        <v>0</v>
      </c>
      <c r="O1092" s="48">
        <v>-2</v>
      </c>
      <c r="P1092" s="48">
        <v>0</v>
      </c>
      <c r="Q1092" s="48">
        <v>337</v>
      </c>
      <c r="R1092" s="48">
        <v>337</v>
      </c>
      <c r="S1092" s="48" t="s">
        <v>1400</v>
      </c>
      <c r="T1092" s="48" t="s">
        <v>5148</v>
      </c>
      <c r="U1092" s="48">
        <v>1</v>
      </c>
      <c r="V1092" s="48" t="s">
        <v>1364</v>
      </c>
      <c r="W1092" s="48"/>
      <c r="X1092" s="48" t="s">
        <v>378</v>
      </c>
      <c r="Y1092" s="48" t="s">
        <v>5853</v>
      </c>
      <c r="Z1092" s="48" t="s">
        <v>1380</v>
      </c>
      <c r="AA1092" s="48" t="s">
        <v>1381</v>
      </c>
      <c r="AB1092" s="48" t="s">
        <v>5854</v>
      </c>
      <c r="AC1092" s="48" t="s">
        <v>5855</v>
      </c>
      <c r="AD1092" s="48" t="s">
        <v>5865</v>
      </c>
      <c r="AE1092" s="48"/>
      <c r="AF1092" s="48" t="s">
        <v>5856</v>
      </c>
      <c r="AG1092" s="48" t="s">
        <v>1385</v>
      </c>
      <c r="AH1092" s="48" t="s">
        <v>5853</v>
      </c>
      <c r="AI1092" s="48"/>
      <c r="AJ1092" s="48"/>
      <c r="AK1092" s="48">
        <v>0</v>
      </c>
      <c r="AL1092" s="48"/>
      <c r="AM1092" s="48"/>
      <c r="AN1092" s="48"/>
      <c r="AO1092" s="48" t="s">
        <v>1372</v>
      </c>
      <c r="AP1092" s="48" t="s">
        <v>1373</v>
      </c>
    </row>
    <row r="1093" hidden="1" spans="1:42">
      <c r="A1093" s="48" t="s">
        <v>5866</v>
      </c>
      <c r="B1093" s="48" t="s">
        <v>1356</v>
      </c>
      <c r="C1093" s="48" t="s">
        <v>1357</v>
      </c>
      <c r="D1093" s="48" t="s">
        <v>1376</v>
      </c>
      <c r="E1093" s="48"/>
      <c r="F1093" s="48" t="s">
        <v>1359</v>
      </c>
      <c r="G1093" s="49">
        <v>44830.9090740741</v>
      </c>
      <c r="H1093" s="48"/>
      <c r="I1093" s="48"/>
      <c r="J1093" s="48"/>
      <c r="K1093" s="48"/>
      <c r="L1093" s="48"/>
      <c r="M1093" s="48">
        <v>90</v>
      </c>
      <c r="N1093" s="48">
        <v>0</v>
      </c>
      <c r="O1093" s="48">
        <v>0</v>
      </c>
      <c r="P1093" s="48">
        <v>0</v>
      </c>
      <c r="Q1093" s="48">
        <v>90</v>
      </c>
      <c r="R1093" s="48">
        <v>0</v>
      </c>
      <c r="S1093" s="48"/>
      <c r="T1093" s="48" t="s">
        <v>5867</v>
      </c>
      <c r="U1093" s="48">
        <v>1</v>
      </c>
      <c r="V1093" s="48" t="s">
        <v>1364</v>
      </c>
      <c r="W1093" s="48"/>
      <c r="X1093" s="48" t="s">
        <v>5868</v>
      </c>
      <c r="Y1093" s="48" t="s">
        <v>5869</v>
      </c>
      <c r="Z1093" s="48" t="s">
        <v>1495</v>
      </c>
      <c r="AA1093" s="48" t="s">
        <v>2197</v>
      </c>
      <c r="AB1093" s="48" t="s">
        <v>5870</v>
      </c>
      <c r="AC1093" s="48" t="s">
        <v>5871</v>
      </c>
      <c r="AD1093" s="48"/>
      <c r="AE1093" s="48"/>
      <c r="AF1093" s="48" t="s">
        <v>5872</v>
      </c>
      <c r="AG1093" s="48" t="s">
        <v>1385</v>
      </c>
      <c r="AH1093" s="48" t="s">
        <v>5869</v>
      </c>
      <c r="AI1093" s="48"/>
      <c r="AJ1093" s="48"/>
      <c r="AK1093" s="48">
        <v>0</v>
      </c>
      <c r="AL1093" s="48"/>
      <c r="AM1093" s="48"/>
      <c r="AN1093" s="48"/>
      <c r="AO1093" s="48" t="s">
        <v>1372</v>
      </c>
      <c r="AP1093" s="48" t="s">
        <v>1373</v>
      </c>
    </row>
    <row r="1094" hidden="1" spans="1:42">
      <c r="A1094" s="48" t="s">
        <v>5873</v>
      </c>
      <c r="B1094" s="48" t="s">
        <v>1356</v>
      </c>
      <c r="C1094" s="48" t="s">
        <v>1375</v>
      </c>
      <c r="D1094" s="48" t="s">
        <v>1358</v>
      </c>
      <c r="E1094" s="48"/>
      <c r="F1094" s="48" t="s">
        <v>1377</v>
      </c>
      <c r="G1094" s="49">
        <v>44830.8975115741</v>
      </c>
      <c r="H1094" s="49">
        <v>44830.897650463</v>
      </c>
      <c r="I1094" s="48"/>
      <c r="J1094" s="48" t="s">
        <v>407</v>
      </c>
      <c r="K1094" s="48"/>
      <c r="L1094" s="48"/>
      <c r="M1094" s="48">
        <v>339</v>
      </c>
      <c r="N1094" s="48">
        <v>0</v>
      </c>
      <c r="O1094" s="48">
        <v>0</v>
      </c>
      <c r="P1094" s="48">
        <v>0</v>
      </c>
      <c r="Q1094" s="48">
        <v>339</v>
      </c>
      <c r="R1094" s="48">
        <v>339</v>
      </c>
      <c r="S1094" s="48"/>
      <c r="T1094" s="48" t="s">
        <v>5353</v>
      </c>
      <c r="U1094" s="48">
        <v>1</v>
      </c>
      <c r="V1094" s="48" t="s">
        <v>1364</v>
      </c>
      <c r="W1094" s="48"/>
      <c r="X1094" s="48" t="s">
        <v>592</v>
      </c>
      <c r="Y1094" s="48" t="s">
        <v>3873</v>
      </c>
      <c r="Z1094" s="48" t="s">
        <v>1678</v>
      </c>
      <c r="AA1094" s="48" t="s">
        <v>2007</v>
      </c>
      <c r="AB1094" s="48" t="s">
        <v>2451</v>
      </c>
      <c r="AC1094" s="48" t="s">
        <v>3874</v>
      </c>
      <c r="AD1094" s="48"/>
      <c r="AE1094" s="48"/>
      <c r="AF1094" s="48" t="s">
        <v>4389</v>
      </c>
      <c r="AG1094" s="48" t="s">
        <v>1372</v>
      </c>
      <c r="AH1094" s="48" t="s">
        <v>4390</v>
      </c>
      <c r="AI1094" s="48"/>
      <c r="AJ1094" s="48"/>
      <c r="AK1094" s="48">
        <v>0</v>
      </c>
      <c r="AL1094" s="48" t="s">
        <v>5874</v>
      </c>
      <c r="AM1094" s="48"/>
      <c r="AN1094" s="48"/>
      <c r="AO1094" s="48" t="s">
        <v>1372</v>
      </c>
      <c r="AP1094" s="48" t="s">
        <v>1373</v>
      </c>
    </row>
    <row r="1095" hidden="1" spans="1:42">
      <c r="A1095" s="48" t="s">
        <v>5875</v>
      </c>
      <c r="B1095" s="48" t="s">
        <v>1356</v>
      </c>
      <c r="C1095" s="48" t="s">
        <v>1375</v>
      </c>
      <c r="D1095" s="48" t="s">
        <v>1358</v>
      </c>
      <c r="E1095" s="48"/>
      <c r="F1095" s="48" t="s">
        <v>1377</v>
      </c>
      <c r="G1095" s="49">
        <v>44830.896875</v>
      </c>
      <c r="H1095" s="49">
        <v>44830.8970023148</v>
      </c>
      <c r="I1095" s="48"/>
      <c r="J1095" s="48" t="s">
        <v>407</v>
      </c>
      <c r="K1095" s="48"/>
      <c r="L1095" s="48"/>
      <c r="M1095" s="48">
        <v>339</v>
      </c>
      <c r="N1095" s="48">
        <v>0</v>
      </c>
      <c r="O1095" s="48">
        <v>0</v>
      </c>
      <c r="P1095" s="48">
        <v>0</v>
      </c>
      <c r="Q1095" s="48">
        <v>339</v>
      </c>
      <c r="R1095" s="48">
        <v>339</v>
      </c>
      <c r="S1095" s="48"/>
      <c r="T1095" s="48" t="s">
        <v>5393</v>
      </c>
      <c r="U1095" s="48">
        <v>1</v>
      </c>
      <c r="V1095" s="48" t="s">
        <v>1364</v>
      </c>
      <c r="W1095" s="48"/>
      <c r="X1095" s="48" t="s">
        <v>698</v>
      </c>
      <c r="Y1095" s="48" t="s">
        <v>5876</v>
      </c>
      <c r="Z1095" s="48" t="s">
        <v>1478</v>
      </c>
      <c r="AA1095" s="48" t="s">
        <v>3013</v>
      </c>
      <c r="AB1095" s="48" t="s">
        <v>5877</v>
      </c>
      <c r="AC1095" s="48" t="s">
        <v>5878</v>
      </c>
      <c r="AD1095" s="48" t="s">
        <v>5879</v>
      </c>
      <c r="AE1095" s="48"/>
      <c r="AF1095" s="48" t="s">
        <v>5880</v>
      </c>
      <c r="AG1095" s="48" t="s">
        <v>1372</v>
      </c>
      <c r="AH1095" s="48"/>
      <c r="AI1095" s="48"/>
      <c r="AJ1095" s="48"/>
      <c r="AK1095" s="48">
        <v>0</v>
      </c>
      <c r="AL1095" s="48"/>
      <c r="AM1095" s="48"/>
      <c r="AN1095" s="48"/>
      <c r="AO1095" s="48" t="s">
        <v>1372</v>
      </c>
      <c r="AP1095" s="48" t="s">
        <v>1373</v>
      </c>
    </row>
    <row r="1096" hidden="1" spans="1:42">
      <c r="A1096" s="48" t="s">
        <v>5881</v>
      </c>
      <c r="B1096" s="48" t="s">
        <v>1356</v>
      </c>
      <c r="C1096" s="48" t="s">
        <v>1375</v>
      </c>
      <c r="D1096" s="48" t="s">
        <v>1376</v>
      </c>
      <c r="E1096" s="48"/>
      <c r="F1096" s="48" t="s">
        <v>1377</v>
      </c>
      <c r="G1096" s="49">
        <v>44830.8955902778</v>
      </c>
      <c r="H1096" s="48"/>
      <c r="I1096" s="48"/>
      <c r="J1096" s="48"/>
      <c r="K1096" s="48"/>
      <c r="L1096" s="48"/>
      <c r="M1096" s="48">
        <v>339</v>
      </c>
      <c r="N1096" s="48">
        <v>0</v>
      </c>
      <c r="O1096" s="48">
        <v>-3</v>
      </c>
      <c r="P1096" s="48">
        <v>0</v>
      </c>
      <c r="Q1096" s="48">
        <v>336</v>
      </c>
      <c r="R1096" s="48">
        <v>0</v>
      </c>
      <c r="S1096" s="48" t="s">
        <v>1397</v>
      </c>
      <c r="T1096" s="48" t="s">
        <v>5353</v>
      </c>
      <c r="U1096" s="48">
        <v>1</v>
      </c>
      <c r="V1096" s="48" t="s">
        <v>1364</v>
      </c>
      <c r="W1096" s="48"/>
      <c r="X1096" s="48" t="s">
        <v>592</v>
      </c>
      <c r="Y1096" s="48" t="s">
        <v>3873</v>
      </c>
      <c r="Z1096" s="48" t="s">
        <v>1678</v>
      </c>
      <c r="AA1096" s="48" t="s">
        <v>2007</v>
      </c>
      <c r="AB1096" s="48" t="s">
        <v>2451</v>
      </c>
      <c r="AC1096" s="48" t="s">
        <v>3874</v>
      </c>
      <c r="AD1096" s="48"/>
      <c r="AE1096" s="48"/>
      <c r="AF1096" s="48" t="s">
        <v>4389</v>
      </c>
      <c r="AG1096" s="48" t="s">
        <v>1372</v>
      </c>
      <c r="AH1096" s="48" t="s">
        <v>4390</v>
      </c>
      <c r="AI1096" s="48"/>
      <c r="AJ1096" s="48"/>
      <c r="AK1096" s="48">
        <v>0</v>
      </c>
      <c r="AL1096" s="48"/>
      <c r="AM1096" s="48"/>
      <c r="AN1096" s="48"/>
      <c r="AO1096" s="48" t="s">
        <v>1372</v>
      </c>
      <c r="AP1096" s="48" t="s">
        <v>1373</v>
      </c>
    </row>
    <row r="1097" hidden="1" spans="1:42">
      <c r="A1097" s="48" t="s">
        <v>5882</v>
      </c>
      <c r="B1097" s="48" t="s">
        <v>1356</v>
      </c>
      <c r="C1097" s="48" t="s">
        <v>1375</v>
      </c>
      <c r="D1097" s="48" t="s">
        <v>1358</v>
      </c>
      <c r="E1097" s="48"/>
      <c r="F1097" s="48" t="s">
        <v>1377</v>
      </c>
      <c r="G1097" s="49">
        <v>44830.8935416667</v>
      </c>
      <c r="H1097" s="49">
        <v>44830.8937384259</v>
      </c>
      <c r="I1097" s="48"/>
      <c r="J1097" s="48" t="s">
        <v>407</v>
      </c>
      <c r="K1097" s="48"/>
      <c r="L1097" s="48"/>
      <c r="M1097" s="48">
        <v>339</v>
      </c>
      <c r="N1097" s="48">
        <v>0</v>
      </c>
      <c r="O1097" s="48">
        <v>-6</v>
      </c>
      <c r="P1097" s="48">
        <v>0</v>
      </c>
      <c r="Q1097" s="48">
        <v>333</v>
      </c>
      <c r="R1097" s="48">
        <v>333</v>
      </c>
      <c r="S1097" s="48" t="s">
        <v>1463</v>
      </c>
      <c r="T1097" s="48" t="s">
        <v>5566</v>
      </c>
      <c r="U1097" s="48">
        <v>1</v>
      </c>
      <c r="V1097" s="48" t="s">
        <v>1364</v>
      </c>
      <c r="W1097" s="48"/>
      <c r="X1097" s="48" t="s">
        <v>466</v>
      </c>
      <c r="Y1097" s="48" t="s">
        <v>5860</v>
      </c>
      <c r="Z1097" s="48" t="s">
        <v>3108</v>
      </c>
      <c r="AA1097" s="48" t="s">
        <v>3124</v>
      </c>
      <c r="AB1097" s="48" t="s">
        <v>5861</v>
      </c>
      <c r="AC1097" s="48" t="s">
        <v>5862</v>
      </c>
      <c r="AD1097" s="48"/>
      <c r="AE1097" s="48"/>
      <c r="AF1097" s="48" t="s">
        <v>466</v>
      </c>
      <c r="AG1097" s="48" t="s">
        <v>1385</v>
      </c>
      <c r="AH1097" s="48" t="s">
        <v>5860</v>
      </c>
      <c r="AI1097" s="48"/>
      <c r="AJ1097" s="48"/>
      <c r="AK1097" s="48">
        <v>0</v>
      </c>
      <c r="AL1097" s="48"/>
      <c r="AM1097" s="48"/>
      <c r="AN1097" s="48"/>
      <c r="AO1097" s="48" t="s">
        <v>1372</v>
      </c>
      <c r="AP1097" s="48" t="s">
        <v>1373</v>
      </c>
    </row>
    <row r="1098" hidden="1" spans="1:42">
      <c r="A1098" s="48" t="s">
        <v>5883</v>
      </c>
      <c r="B1098" s="48" t="s">
        <v>1356</v>
      </c>
      <c r="C1098" s="48" t="s">
        <v>1375</v>
      </c>
      <c r="D1098" s="48" t="s">
        <v>1358</v>
      </c>
      <c r="E1098" s="48"/>
      <c r="F1098" s="48" t="s">
        <v>1377</v>
      </c>
      <c r="G1098" s="49">
        <v>44830.8923958333</v>
      </c>
      <c r="H1098" s="49">
        <v>44830.8925115741</v>
      </c>
      <c r="I1098" s="48"/>
      <c r="J1098" s="48" t="s">
        <v>407</v>
      </c>
      <c r="K1098" s="48"/>
      <c r="L1098" s="48"/>
      <c r="M1098" s="48">
        <v>339</v>
      </c>
      <c r="N1098" s="48">
        <v>0</v>
      </c>
      <c r="O1098" s="48">
        <v>-2</v>
      </c>
      <c r="P1098" s="48">
        <v>0</v>
      </c>
      <c r="Q1098" s="48">
        <v>337</v>
      </c>
      <c r="R1098" s="48">
        <v>337</v>
      </c>
      <c r="S1098" s="48" t="s">
        <v>1400</v>
      </c>
      <c r="T1098" s="48" t="s">
        <v>5884</v>
      </c>
      <c r="U1098" s="48">
        <v>1</v>
      </c>
      <c r="V1098" s="48" t="s">
        <v>1364</v>
      </c>
      <c r="W1098" s="48"/>
      <c r="X1098" s="48" t="s">
        <v>656</v>
      </c>
      <c r="Y1098" s="48" t="s">
        <v>5778</v>
      </c>
      <c r="Z1098" s="48" t="s">
        <v>1678</v>
      </c>
      <c r="AA1098" s="48" t="s">
        <v>3333</v>
      </c>
      <c r="AB1098" s="48" t="s">
        <v>5758</v>
      </c>
      <c r="AC1098" s="48" t="s">
        <v>5779</v>
      </c>
      <c r="AD1098" s="48"/>
      <c r="AE1098" s="48"/>
      <c r="AF1098" s="48" t="s">
        <v>5780</v>
      </c>
      <c r="AG1098" s="48" t="s">
        <v>1372</v>
      </c>
      <c r="AH1098" s="48" t="s">
        <v>5778</v>
      </c>
      <c r="AI1098" s="48"/>
      <c r="AJ1098" s="48"/>
      <c r="AK1098" s="48">
        <v>0</v>
      </c>
      <c r="AL1098" s="48"/>
      <c r="AM1098" s="48"/>
      <c r="AN1098" s="48"/>
      <c r="AO1098" s="48" t="s">
        <v>1372</v>
      </c>
      <c r="AP1098" s="48" t="s">
        <v>1373</v>
      </c>
    </row>
    <row r="1099" hidden="1" spans="1:42">
      <c r="A1099" s="48" t="s">
        <v>5885</v>
      </c>
      <c r="B1099" s="48" t="s">
        <v>1356</v>
      </c>
      <c r="C1099" s="48" t="s">
        <v>1375</v>
      </c>
      <c r="D1099" s="48" t="s">
        <v>1780</v>
      </c>
      <c r="E1099" s="48"/>
      <c r="F1099" s="48" t="s">
        <v>1377</v>
      </c>
      <c r="G1099" s="49">
        <v>44830.8913194444</v>
      </c>
      <c r="H1099" s="49">
        <v>44830.8914351852</v>
      </c>
      <c r="I1099" s="48"/>
      <c r="J1099" s="48" t="s">
        <v>407</v>
      </c>
      <c r="K1099" s="48"/>
      <c r="L1099" s="48"/>
      <c r="M1099" s="48">
        <v>39.9</v>
      </c>
      <c r="N1099" s="48">
        <v>0</v>
      </c>
      <c r="O1099" s="48">
        <v>-1</v>
      </c>
      <c r="P1099" s="48">
        <v>0</v>
      </c>
      <c r="Q1099" s="48">
        <v>38.9</v>
      </c>
      <c r="R1099" s="48">
        <v>38.9</v>
      </c>
      <c r="S1099" s="48" t="s">
        <v>1414</v>
      </c>
      <c r="T1099" s="48" t="s">
        <v>4883</v>
      </c>
      <c r="U1099" s="48">
        <v>1</v>
      </c>
      <c r="V1099" s="48" t="s">
        <v>1364</v>
      </c>
      <c r="W1099" s="48"/>
      <c r="X1099" s="48" t="s">
        <v>375</v>
      </c>
      <c r="Y1099" s="48" t="s">
        <v>2450</v>
      </c>
      <c r="Z1099" s="48" t="s">
        <v>1678</v>
      </c>
      <c r="AA1099" s="48" t="s">
        <v>2007</v>
      </c>
      <c r="AB1099" s="48" t="s">
        <v>2451</v>
      </c>
      <c r="AC1099" s="48" t="s">
        <v>2452</v>
      </c>
      <c r="AD1099" s="48"/>
      <c r="AE1099" s="48"/>
      <c r="AF1099" s="48" t="s">
        <v>2453</v>
      </c>
      <c r="AG1099" s="48" t="s">
        <v>1385</v>
      </c>
      <c r="AH1099" s="48" t="s">
        <v>2450</v>
      </c>
      <c r="AI1099" s="48"/>
      <c r="AJ1099" s="48" t="s">
        <v>2945</v>
      </c>
      <c r="AK1099" s="48">
        <v>38.9</v>
      </c>
      <c r="AL1099" s="48"/>
      <c r="AM1099" s="48"/>
      <c r="AN1099" s="48"/>
      <c r="AO1099" s="48" t="s">
        <v>1372</v>
      </c>
      <c r="AP1099" s="48" t="s">
        <v>1373</v>
      </c>
    </row>
    <row r="1100" hidden="1" spans="1:42">
      <c r="A1100" s="48" t="s">
        <v>5886</v>
      </c>
      <c r="B1100" s="48" t="s">
        <v>1356</v>
      </c>
      <c r="C1100" s="48" t="s">
        <v>1375</v>
      </c>
      <c r="D1100" s="48" t="s">
        <v>1358</v>
      </c>
      <c r="E1100" s="48"/>
      <c r="F1100" s="48" t="s">
        <v>1377</v>
      </c>
      <c r="G1100" s="49">
        <v>44830.8873726852</v>
      </c>
      <c r="H1100" s="49">
        <v>44830.8874768519</v>
      </c>
      <c r="I1100" s="48"/>
      <c r="J1100" s="48" t="s">
        <v>407</v>
      </c>
      <c r="K1100" s="48"/>
      <c r="L1100" s="48"/>
      <c r="M1100" s="48">
        <v>39.9</v>
      </c>
      <c r="N1100" s="48">
        <v>0</v>
      </c>
      <c r="O1100" s="48">
        <v>-1</v>
      </c>
      <c r="P1100" s="48">
        <v>0</v>
      </c>
      <c r="Q1100" s="48">
        <v>38.9</v>
      </c>
      <c r="R1100" s="48">
        <v>38.9</v>
      </c>
      <c r="S1100" s="48" t="s">
        <v>1414</v>
      </c>
      <c r="T1100" s="48" t="s">
        <v>5887</v>
      </c>
      <c r="U1100" s="48">
        <v>1</v>
      </c>
      <c r="V1100" s="48" t="s">
        <v>1364</v>
      </c>
      <c r="W1100" s="48"/>
      <c r="X1100" s="48" t="s">
        <v>656</v>
      </c>
      <c r="Y1100" s="48" t="s">
        <v>5778</v>
      </c>
      <c r="Z1100" s="48" t="s">
        <v>1678</v>
      </c>
      <c r="AA1100" s="48" t="s">
        <v>3333</v>
      </c>
      <c r="AB1100" s="48" t="s">
        <v>5758</v>
      </c>
      <c r="AC1100" s="48" t="s">
        <v>5779</v>
      </c>
      <c r="AD1100" s="48"/>
      <c r="AE1100" s="48"/>
      <c r="AF1100" s="48" t="s">
        <v>5780</v>
      </c>
      <c r="AG1100" s="48" t="s">
        <v>1372</v>
      </c>
      <c r="AH1100" s="48" t="s">
        <v>5778</v>
      </c>
      <c r="AI1100" s="48"/>
      <c r="AJ1100" s="48"/>
      <c r="AK1100" s="48">
        <v>0</v>
      </c>
      <c r="AL1100" s="48"/>
      <c r="AM1100" s="48"/>
      <c r="AN1100" s="48"/>
      <c r="AO1100" s="48" t="s">
        <v>1372</v>
      </c>
      <c r="AP1100" s="48" t="s">
        <v>1373</v>
      </c>
    </row>
    <row r="1101" hidden="1" spans="1:42">
      <c r="A1101" s="48" t="s">
        <v>5888</v>
      </c>
      <c r="B1101" s="48" t="s">
        <v>1356</v>
      </c>
      <c r="C1101" s="48" t="s">
        <v>1375</v>
      </c>
      <c r="D1101" s="48" t="s">
        <v>1358</v>
      </c>
      <c r="E1101" s="48"/>
      <c r="F1101" s="48" t="s">
        <v>1377</v>
      </c>
      <c r="G1101" s="49">
        <v>44830.8867013889</v>
      </c>
      <c r="H1101" s="49">
        <v>44830.8868518519</v>
      </c>
      <c r="I1101" s="48"/>
      <c r="J1101" s="48" t="s">
        <v>407</v>
      </c>
      <c r="K1101" s="48"/>
      <c r="L1101" s="48"/>
      <c r="M1101" s="48">
        <v>239</v>
      </c>
      <c r="N1101" s="48">
        <v>0</v>
      </c>
      <c r="O1101" s="48">
        <v>-6</v>
      </c>
      <c r="P1101" s="48">
        <v>0</v>
      </c>
      <c r="Q1101" s="48">
        <v>233</v>
      </c>
      <c r="R1101" s="48">
        <v>233</v>
      </c>
      <c r="S1101" s="48" t="s">
        <v>1463</v>
      </c>
      <c r="T1101" s="48" t="s">
        <v>5889</v>
      </c>
      <c r="U1101" s="48">
        <v>1</v>
      </c>
      <c r="V1101" s="48" t="s">
        <v>1364</v>
      </c>
      <c r="W1101" s="48"/>
      <c r="X1101" s="48" t="s">
        <v>375</v>
      </c>
      <c r="Y1101" s="48" t="s">
        <v>2450</v>
      </c>
      <c r="Z1101" s="48" t="s">
        <v>1678</v>
      </c>
      <c r="AA1101" s="48" t="s">
        <v>2007</v>
      </c>
      <c r="AB1101" s="48" t="s">
        <v>2451</v>
      </c>
      <c r="AC1101" s="48" t="s">
        <v>2452</v>
      </c>
      <c r="AD1101" s="48"/>
      <c r="AE1101" s="48"/>
      <c r="AF1101" s="48" t="s">
        <v>2453</v>
      </c>
      <c r="AG1101" s="48" t="s">
        <v>1385</v>
      </c>
      <c r="AH1101" s="48" t="s">
        <v>2450</v>
      </c>
      <c r="AI1101" s="48"/>
      <c r="AJ1101" s="48"/>
      <c r="AK1101" s="48">
        <v>0</v>
      </c>
      <c r="AL1101" s="48"/>
      <c r="AM1101" s="48"/>
      <c r="AN1101" s="48"/>
      <c r="AO1101" s="48" t="s">
        <v>1372</v>
      </c>
      <c r="AP1101" s="48" t="s">
        <v>1373</v>
      </c>
    </row>
    <row r="1102" hidden="1" spans="1:42">
      <c r="A1102" s="48" t="s">
        <v>5890</v>
      </c>
      <c r="B1102" s="48" t="s">
        <v>1356</v>
      </c>
      <c r="C1102" s="48" t="s">
        <v>1375</v>
      </c>
      <c r="D1102" s="48" t="s">
        <v>1780</v>
      </c>
      <c r="E1102" s="48"/>
      <c r="F1102" s="48" t="s">
        <v>1548</v>
      </c>
      <c r="G1102" s="49">
        <v>44830.8858564815</v>
      </c>
      <c r="H1102" s="49">
        <v>44830.8861574074</v>
      </c>
      <c r="I1102" s="48"/>
      <c r="J1102" s="48" t="s">
        <v>407</v>
      </c>
      <c r="K1102" s="48"/>
      <c r="L1102" s="48"/>
      <c r="M1102" s="48">
        <v>216.6</v>
      </c>
      <c r="N1102" s="48">
        <v>0</v>
      </c>
      <c r="O1102" s="48">
        <v>-2</v>
      </c>
      <c r="P1102" s="48">
        <v>0</v>
      </c>
      <c r="Q1102" s="48">
        <v>214.6</v>
      </c>
      <c r="R1102" s="48">
        <v>214.6</v>
      </c>
      <c r="S1102" s="48" t="s">
        <v>1400</v>
      </c>
      <c r="T1102" s="48" t="s">
        <v>5891</v>
      </c>
      <c r="U1102" s="48">
        <v>1</v>
      </c>
      <c r="V1102" s="48" t="s">
        <v>1364</v>
      </c>
      <c r="W1102" s="48"/>
      <c r="X1102" s="48" t="s">
        <v>750</v>
      </c>
      <c r="Y1102" s="48" t="s">
        <v>5892</v>
      </c>
      <c r="Z1102" s="48" t="s">
        <v>1367</v>
      </c>
      <c r="AA1102" s="48" t="s">
        <v>1943</v>
      </c>
      <c r="AB1102" s="48" t="s">
        <v>2608</v>
      </c>
      <c r="AC1102" s="48" t="s">
        <v>5893</v>
      </c>
      <c r="AD1102" s="48"/>
      <c r="AE1102" s="48"/>
      <c r="AF1102" s="48" t="s">
        <v>5894</v>
      </c>
      <c r="AG1102" s="48" t="s">
        <v>1385</v>
      </c>
      <c r="AH1102" s="48" t="s">
        <v>5895</v>
      </c>
      <c r="AI1102" s="48"/>
      <c r="AJ1102" s="48" t="s">
        <v>2945</v>
      </c>
      <c r="AK1102" s="48">
        <v>214.6</v>
      </c>
      <c r="AL1102" s="48"/>
      <c r="AM1102" s="48"/>
      <c r="AN1102" s="48"/>
      <c r="AO1102" s="48" t="s">
        <v>1372</v>
      </c>
      <c r="AP1102" s="48" t="s">
        <v>1373</v>
      </c>
    </row>
    <row r="1103" hidden="1" spans="1:42">
      <c r="A1103" s="48" t="s">
        <v>5896</v>
      </c>
      <c r="B1103" s="48" t="s">
        <v>1356</v>
      </c>
      <c r="C1103" s="48" t="s">
        <v>1375</v>
      </c>
      <c r="D1103" s="48" t="s">
        <v>1376</v>
      </c>
      <c r="E1103" s="48"/>
      <c r="F1103" s="48" t="s">
        <v>1377</v>
      </c>
      <c r="G1103" s="49">
        <v>44830.8744560185</v>
      </c>
      <c r="H1103" s="48"/>
      <c r="I1103" s="48"/>
      <c r="J1103" s="48"/>
      <c r="K1103" s="48"/>
      <c r="L1103" s="48"/>
      <c r="M1103" s="48">
        <v>339</v>
      </c>
      <c r="N1103" s="48">
        <v>0</v>
      </c>
      <c r="O1103" s="48">
        <v>-9</v>
      </c>
      <c r="P1103" s="48">
        <v>0</v>
      </c>
      <c r="Q1103" s="48">
        <v>330</v>
      </c>
      <c r="R1103" s="48">
        <v>0</v>
      </c>
      <c r="S1103" s="48" t="s">
        <v>2341</v>
      </c>
      <c r="T1103" s="48" t="s">
        <v>5148</v>
      </c>
      <c r="U1103" s="48">
        <v>1</v>
      </c>
      <c r="V1103" s="48" t="s">
        <v>1364</v>
      </c>
      <c r="W1103" s="48"/>
      <c r="X1103" s="48" t="s">
        <v>483</v>
      </c>
      <c r="Y1103" s="48" t="s">
        <v>3427</v>
      </c>
      <c r="Z1103" s="48" t="s">
        <v>1513</v>
      </c>
      <c r="AA1103" s="48" t="s">
        <v>3428</v>
      </c>
      <c r="AB1103" s="48" t="s">
        <v>3429</v>
      </c>
      <c r="AC1103" s="48" t="s">
        <v>3430</v>
      </c>
      <c r="AD1103" s="48"/>
      <c r="AE1103" s="48"/>
      <c r="AF1103" s="48" t="s">
        <v>3431</v>
      </c>
      <c r="AG1103" s="48" t="s">
        <v>1385</v>
      </c>
      <c r="AH1103" s="48" t="s">
        <v>3427</v>
      </c>
      <c r="AI1103" s="48"/>
      <c r="AJ1103" s="48"/>
      <c r="AK1103" s="48">
        <v>0</v>
      </c>
      <c r="AL1103" s="48"/>
      <c r="AM1103" s="48"/>
      <c r="AN1103" s="48"/>
      <c r="AO1103" s="48" t="s">
        <v>1372</v>
      </c>
      <c r="AP1103" s="48" t="s">
        <v>1373</v>
      </c>
    </row>
    <row r="1104" hidden="1" spans="1:42">
      <c r="A1104" s="48" t="s">
        <v>5897</v>
      </c>
      <c r="B1104" s="48" t="s">
        <v>1356</v>
      </c>
      <c r="C1104" s="48" t="s">
        <v>1375</v>
      </c>
      <c r="D1104" s="48" t="s">
        <v>1376</v>
      </c>
      <c r="E1104" s="48"/>
      <c r="F1104" s="48" t="s">
        <v>1377</v>
      </c>
      <c r="G1104" s="49">
        <v>44830.8704282407</v>
      </c>
      <c r="H1104" s="48"/>
      <c r="I1104" s="48"/>
      <c r="J1104" s="48"/>
      <c r="K1104" s="48"/>
      <c r="L1104" s="48"/>
      <c r="M1104" s="48">
        <v>339</v>
      </c>
      <c r="N1104" s="48">
        <v>0</v>
      </c>
      <c r="O1104" s="48">
        <v>0</v>
      </c>
      <c r="P1104" s="48">
        <v>0</v>
      </c>
      <c r="Q1104" s="48">
        <v>339</v>
      </c>
      <c r="R1104" s="48">
        <v>0</v>
      </c>
      <c r="S1104" s="48"/>
      <c r="T1104" s="48" t="s">
        <v>5898</v>
      </c>
      <c r="U1104" s="48">
        <v>1</v>
      </c>
      <c r="V1104" s="48" t="s">
        <v>1364</v>
      </c>
      <c r="W1104" s="48"/>
      <c r="X1104" s="48" t="s">
        <v>994</v>
      </c>
      <c r="Y1104" s="48" t="s">
        <v>5899</v>
      </c>
      <c r="Z1104" s="48" t="s">
        <v>1560</v>
      </c>
      <c r="AA1104" s="48" t="s">
        <v>1560</v>
      </c>
      <c r="AB1104" s="48" t="s">
        <v>3476</v>
      </c>
      <c r="AC1104" s="48" t="s">
        <v>5900</v>
      </c>
      <c r="AD1104" s="48"/>
      <c r="AE1104" s="48"/>
      <c r="AF1104" s="48" t="s">
        <v>5901</v>
      </c>
      <c r="AG1104" s="48" t="s">
        <v>1372</v>
      </c>
      <c r="AH1104" s="48"/>
      <c r="AI1104" s="48"/>
      <c r="AJ1104" s="48"/>
      <c r="AK1104" s="48">
        <v>0</v>
      </c>
      <c r="AL1104" s="48"/>
      <c r="AM1104" s="48"/>
      <c r="AN1104" s="48"/>
      <c r="AO1104" s="48" t="s">
        <v>1372</v>
      </c>
      <c r="AP1104" s="48" t="s">
        <v>1373</v>
      </c>
    </row>
    <row r="1105" hidden="1" spans="1:42">
      <c r="A1105" s="48" t="s">
        <v>5902</v>
      </c>
      <c r="B1105" s="48" t="s">
        <v>1356</v>
      </c>
      <c r="C1105" s="48" t="s">
        <v>1375</v>
      </c>
      <c r="D1105" s="48" t="s">
        <v>1780</v>
      </c>
      <c r="E1105" s="48"/>
      <c r="F1105" s="48" t="s">
        <v>1377</v>
      </c>
      <c r="G1105" s="49">
        <v>44830.870162037</v>
      </c>
      <c r="H1105" s="49">
        <v>44830.8708449074</v>
      </c>
      <c r="I1105" s="48"/>
      <c r="J1105" s="48" t="s">
        <v>407</v>
      </c>
      <c r="K1105" s="48"/>
      <c r="L1105" s="48"/>
      <c r="M1105" s="48">
        <v>339</v>
      </c>
      <c r="N1105" s="48">
        <v>0</v>
      </c>
      <c r="O1105" s="48">
        <v>0</v>
      </c>
      <c r="P1105" s="48">
        <v>0</v>
      </c>
      <c r="Q1105" s="48">
        <v>339</v>
      </c>
      <c r="R1105" s="48">
        <v>339</v>
      </c>
      <c r="S1105" s="48"/>
      <c r="T1105" s="48" t="s">
        <v>5148</v>
      </c>
      <c r="U1105" s="48">
        <v>1</v>
      </c>
      <c r="V1105" s="48" t="s">
        <v>1364</v>
      </c>
      <c r="W1105" s="48"/>
      <c r="X1105" s="48" t="s">
        <v>390</v>
      </c>
      <c r="Y1105" s="48" t="s">
        <v>3301</v>
      </c>
      <c r="Z1105" s="48" t="s">
        <v>1794</v>
      </c>
      <c r="AA1105" s="48" t="s">
        <v>3302</v>
      </c>
      <c r="AB1105" s="48" t="s">
        <v>3303</v>
      </c>
      <c r="AC1105" s="48" t="s">
        <v>3304</v>
      </c>
      <c r="AD1105" s="48"/>
      <c r="AE1105" s="48"/>
      <c r="AF1105" s="48" t="s">
        <v>5903</v>
      </c>
      <c r="AG1105" s="48" t="s">
        <v>1385</v>
      </c>
      <c r="AH1105" s="48" t="s">
        <v>3301</v>
      </c>
      <c r="AI1105" s="48"/>
      <c r="AJ1105" s="48" t="s">
        <v>2945</v>
      </c>
      <c r="AK1105" s="48">
        <v>339</v>
      </c>
      <c r="AL1105" s="48"/>
      <c r="AM1105" s="48"/>
      <c r="AN1105" s="48"/>
      <c r="AO1105" s="48" t="s">
        <v>1372</v>
      </c>
      <c r="AP1105" s="48" t="s">
        <v>1373</v>
      </c>
    </row>
    <row r="1106" hidden="1" spans="1:42">
      <c r="A1106" s="48" t="s">
        <v>5904</v>
      </c>
      <c r="B1106" s="48" t="s">
        <v>1356</v>
      </c>
      <c r="C1106" s="48" t="s">
        <v>1375</v>
      </c>
      <c r="D1106" s="48" t="s">
        <v>1358</v>
      </c>
      <c r="E1106" s="48"/>
      <c r="F1106" s="48" t="s">
        <v>1377</v>
      </c>
      <c r="G1106" s="49">
        <v>44830.867337963</v>
      </c>
      <c r="H1106" s="49">
        <v>44830.8675578704</v>
      </c>
      <c r="I1106" s="48"/>
      <c r="J1106" s="48" t="s">
        <v>407</v>
      </c>
      <c r="K1106" s="48"/>
      <c r="L1106" s="48"/>
      <c r="M1106" s="48">
        <v>49.9</v>
      </c>
      <c r="N1106" s="48">
        <v>0</v>
      </c>
      <c r="O1106" s="48">
        <v>-10.98</v>
      </c>
      <c r="P1106" s="48">
        <v>0</v>
      </c>
      <c r="Q1106" s="48">
        <v>38.92</v>
      </c>
      <c r="R1106" s="48">
        <v>38.92</v>
      </c>
      <c r="S1106" s="48" t="s">
        <v>5905</v>
      </c>
      <c r="T1106" s="48" t="s">
        <v>5835</v>
      </c>
      <c r="U1106" s="48">
        <v>1</v>
      </c>
      <c r="V1106" s="48" t="s">
        <v>1364</v>
      </c>
      <c r="W1106" s="48"/>
      <c r="X1106" s="48" t="s">
        <v>392</v>
      </c>
      <c r="Y1106" s="48" t="s">
        <v>3537</v>
      </c>
      <c r="Z1106" s="48" t="s">
        <v>1560</v>
      </c>
      <c r="AA1106" s="48" t="s">
        <v>1560</v>
      </c>
      <c r="AB1106" s="48" t="s">
        <v>3538</v>
      </c>
      <c r="AC1106" s="48" t="s">
        <v>3539</v>
      </c>
      <c r="AD1106" s="48"/>
      <c r="AE1106" s="48"/>
      <c r="AF1106" s="48" t="s">
        <v>392</v>
      </c>
      <c r="AG1106" s="48" t="s">
        <v>1372</v>
      </c>
      <c r="AH1106" s="48" t="s">
        <v>3537</v>
      </c>
      <c r="AI1106" s="48"/>
      <c r="AJ1106" s="48"/>
      <c r="AK1106" s="48">
        <v>0</v>
      </c>
      <c r="AL1106" s="48"/>
      <c r="AM1106" s="48" t="s">
        <v>5781</v>
      </c>
      <c r="AN1106" s="48"/>
      <c r="AO1106" s="48" t="s">
        <v>1372</v>
      </c>
      <c r="AP1106" s="48" t="s">
        <v>1373</v>
      </c>
    </row>
    <row r="1107" hidden="1" spans="1:42">
      <c r="A1107" s="48" t="s">
        <v>5906</v>
      </c>
      <c r="B1107" s="48" t="s">
        <v>1356</v>
      </c>
      <c r="C1107" s="48" t="s">
        <v>1375</v>
      </c>
      <c r="D1107" s="48" t="s">
        <v>1358</v>
      </c>
      <c r="E1107" s="48"/>
      <c r="F1107" s="48" t="s">
        <v>1377</v>
      </c>
      <c r="G1107" s="49">
        <v>44830.8670949074</v>
      </c>
      <c r="H1107" s="49">
        <v>44830.8671990741</v>
      </c>
      <c r="I1107" s="48"/>
      <c r="J1107" s="48" t="s">
        <v>407</v>
      </c>
      <c r="K1107" s="48"/>
      <c r="L1107" s="48"/>
      <c r="M1107" s="48">
        <v>49.4</v>
      </c>
      <c r="N1107" s="48">
        <v>0</v>
      </c>
      <c r="O1107" s="48">
        <v>-2</v>
      </c>
      <c r="P1107" s="48">
        <v>0</v>
      </c>
      <c r="Q1107" s="48">
        <v>47.4</v>
      </c>
      <c r="R1107" s="48">
        <v>47.4</v>
      </c>
      <c r="S1107" s="48" t="s">
        <v>1400</v>
      </c>
      <c r="T1107" s="48" t="s">
        <v>5907</v>
      </c>
      <c r="U1107" s="48">
        <v>1</v>
      </c>
      <c r="V1107" s="48" t="s">
        <v>1364</v>
      </c>
      <c r="W1107" s="48"/>
      <c r="X1107" s="48" t="s">
        <v>374</v>
      </c>
      <c r="Y1107" s="48" t="s">
        <v>3220</v>
      </c>
      <c r="Z1107" s="48" t="s">
        <v>1478</v>
      </c>
      <c r="AA1107" s="48" t="s">
        <v>2994</v>
      </c>
      <c r="AB1107" s="48" t="s">
        <v>3221</v>
      </c>
      <c r="AC1107" s="48" t="s">
        <v>3222</v>
      </c>
      <c r="AD1107" s="48"/>
      <c r="AE1107" s="48"/>
      <c r="AF1107" s="48" t="s">
        <v>3223</v>
      </c>
      <c r="AG1107" s="48" t="s">
        <v>1385</v>
      </c>
      <c r="AH1107" s="48" t="s">
        <v>3220</v>
      </c>
      <c r="AI1107" s="48"/>
      <c r="AJ1107" s="48"/>
      <c r="AK1107" s="48">
        <v>0</v>
      </c>
      <c r="AL1107" s="48"/>
      <c r="AM1107" s="48"/>
      <c r="AN1107" s="48"/>
      <c r="AO1107" s="48" t="s">
        <v>1372</v>
      </c>
      <c r="AP1107" s="48" t="s">
        <v>1373</v>
      </c>
    </row>
    <row r="1108" hidden="1" spans="1:42">
      <c r="A1108" s="48" t="s">
        <v>5908</v>
      </c>
      <c r="B1108" s="48" t="s">
        <v>1356</v>
      </c>
      <c r="C1108" s="48" t="s">
        <v>1375</v>
      </c>
      <c r="D1108" s="48" t="s">
        <v>1358</v>
      </c>
      <c r="E1108" s="48"/>
      <c r="F1108" s="48" t="s">
        <v>1377</v>
      </c>
      <c r="G1108" s="49">
        <v>44830.8648148148</v>
      </c>
      <c r="H1108" s="49">
        <v>44830.8649074074</v>
      </c>
      <c r="I1108" s="48"/>
      <c r="J1108" s="48" t="s">
        <v>407</v>
      </c>
      <c r="K1108" s="48"/>
      <c r="L1108" s="48"/>
      <c r="M1108" s="48">
        <v>48.9</v>
      </c>
      <c r="N1108" s="48">
        <v>0</v>
      </c>
      <c r="O1108" s="48">
        <v>0</v>
      </c>
      <c r="P1108" s="48">
        <v>0</v>
      </c>
      <c r="Q1108" s="48">
        <v>48.9</v>
      </c>
      <c r="R1108" s="48">
        <v>48.9</v>
      </c>
      <c r="S1108" s="48"/>
      <c r="T1108" s="48" t="s">
        <v>5835</v>
      </c>
      <c r="U1108" s="48">
        <v>1</v>
      </c>
      <c r="V1108" s="48" t="s">
        <v>1364</v>
      </c>
      <c r="W1108" s="48"/>
      <c r="X1108" s="48" t="s">
        <v>402</v>
      </c>
      <c r="Y1108" s="48" t="s">
        <v>1532</v>
      </c>
      <c r="Z1108" s="48" t="s">
        <v>1533</v>
      </c>
      <c r="AA1108" s="48" t="s">
        <v>1534</v>
      </c>
      <c r="AB1108" s="48" t="s">
        <v>1535</v>
      </c>
      <c r="AC1108" s="48" t="s">
        <v>1536</v>
      </c>
      <c r="AD1108" s="48"/>
      <c r="AE1108" s="48"/>
      <c r="AF1108" s="48" t="s">
        <v>1537</v>
      </c>
      <c r="AG1108" s="48" t="s">
        <v>1385</v>
      </c>
      <c r="AH1108" s="48"/>
      <c r="AI1108" s="48"/>
      <c r="AJ1108" s="48"/>
      <c r="AK1108" s="48">
        <v>0</v>
      </c>
      <c r="AL1108" s="48"/>
      <c r="AM1108" s="48"/>
      <c r="AN1108" s="48"/>
      <c r="AO1108" s="48" t="s">
        <v>1372</v>
      </c>
      <c r="AP1108" s="48" t="s">
        <v>1373</v>
      </c>
    </row>
    <row r="1109" hidden="1" spans="1:42">
      <c r="A1109" s="48" t="s">
        <v>5909</v>
      </c>
      <c r="B1109" s="48" t="s">
        <v>1356</v>
      </c>
      <c r="C1109" s="48" t="s">
        <v>1375</v>
      </c>
      <c r="D1109" s="48" t="s">
        <v>1358</v>
      </c>
      <c r="E1109" s="48"/>
      <c r="F1109" s="48" t="s">
        <v>1377</v>
      </c>
      <c r="G1109" s="49">
        <v>44830.8642824074</v>
      </c>
      <c r="H1109" s="49">
        <v>44830.8643865741</v>
      </c>
      <c r="I1109" s="48"/>
      <c r="J1109" s="48" t="s">
        <v>407</v>
      </c>
      <c r="K1109" s="48"/>
      <c r="L1109" s="48"/>
      <c r="M1109" s="48">
        <v>48.9</v>
      </c>
      <c r="N1109" s="48">
        <v>0</v>
      </c>
      <c r="O1109" s="48">
        <v>-2</v>
      </c>
      <c r="P1109" s="48">
        <v>0</v>
      </c>
      <c r="Q1109" s="48">
        <v>46.9</v>
      </c>
      <c r="R1109" s="48">
        <v>46.9</v>
      </c>
      <c r="S1109" s="48" t="s">
        <v>1400</v>
      </c>
      <c r="T1109" s="48" t="s">
        <v>5858</v>
      </c>
      <c r="U1109" s="48">
        <v>1</v>
      </c>
      <c r="V1109" s="48" t="s">
        <v>1364</v>
      </c>
      <c r="W1109" s="48"/>
      <c r="X1109" s="48" t="s">
        <v>387</v>
      </c>
      <c r="Y1109" s="48" t="s">
        <v>5804</v>
      </c>
      <c r="Z1109" s="48" t="s">
        <v>1466</v>
      </c>
      <c r="AA1109" s="48" t="s">
        <v>1467</v>
      </c>
      <c r="AB1109" s="48" t="s">
        <v>2117</v>
      </c>
      <c r="AC1109" s="48" t="s">
        <v>5805</v>
      </c>
      <c r="AD1109" s="48"/>
      <c r="AE1109" s="48"/>
      <c r="AF1109" s="48" t="s">
        <v>5806</v>
      </c>
      <c r="AG1109" s="48" t="s">
        <v>1385</v>
      </c>
      <c r="AH1109" s="48" t="s">
        <v>5804</v>
      </c>
      <c r="AI1109" s="48"/>
      <c r="AJ1109" s="48"/>
      <c r="AK1109" s="48">
        <v>0</v>
      </c>
      <c r="AL1109" s="48"/>
      <c r="AM1109" s="48"/>
      <c r="AN1109" s="48"/>
      <c r="AO1109" s="48" t="s">
        <v>1372</v>
      </c>
      <c r="AP1109" s="48" t="s">
        <v>1373</v>
      </c>
    </row>
    <row r="1110" hidden="1" spans="1:42">
      <c r="A1110" s="48" t="s">
        <v>5910</v>
      </c>
      <c r="B1110" s="48" t="s">
        <v>1356</v>
      </c>
      <c r="C1110" s="48" t="s">
        <v>1375</v>
      </c>
      <c r="D1110" s="48" t="s">
        <v>1358</v>
      </c>
      <c r="E1110" s="48"/>
      <c r="F1110" s="48" t="s">
        <v>1377</v>
      </c>
      <c r="G1110" s="49">
        <v>44830.8640972222</v>
      </c>
      <c r="H1110" s="49">
        <v>44830.8643055556</v>
      </c>
      <c r="I1110" s="48"/>
      <c r="J1110" s="48" t="s">
        <v>407</v>
      </c>
      <c r="K1110" s="48"/>
      <c r="L1110" s="48"/>
      <c r="M1110" s="48">
        <v>49.9</v>
      </c>
      <c r="N1110" s="48">
        <v>0</v>
      </c>
      <c r="O1110" s="48">
        <v>-2</v>
      </c>
      <c r="P1110" s="48">
        <v>0</v>
      </c>
      <c r="Q1110" s="48">
        <v>47.9</v>
      </c>
      <c r="R1110" s="48">
        <v>47.9</v>
      </c>
      <c r="S1110" s="48" t="s">
        <v>1400</v>
      </c>
      <c r="T1110" s="48" t="s">
        <v>5816</v>
      </c>
      <c r="U1110" s="48">
        <v>1</v>
      </c>
      <c r="V1110" s="48" t="s">
        <v>1364</v>
      </c>
      <c r="W1110" s="48"/>
      <c r="X1110" s="48" t="s">
        <v>383</v>
      </c>
      <c r="Y1110" s="48" t="s">
        <v>2422</v>
      </c>
      <c r="Z1110" s="48" t="s">
        <v>1367</v>
      </c>
      <c r="AA1110" s="48" t="s">
        <v>1615</v>
      </c>
      <c r="AB1110" s="48" t="s">
        <v>2423</v>
      </c>
      <c r="AC1110" s="48" t="s">
        <v>2424</v>
      </c>
      <c r="AD1110" s="48"/>
      <c r="AE1110" s="48"/>
      <c r="AF1110" s="48" t="s">
        <v>4782</v>
      </c>
      <c r="AG1110" s="48" t="s">
        <v>1372</v>
      </c>
      <c r="AH1110" s="48" t="s">
        <v>2422</v>
      </c>
      <c r="AI1110" s="48"/>
      <c r="AJ1110" s="48"/>
      <c r="AK1110" s="48">
        <v>0</v>
      </c>
      <c r="AL1110" s="48"/>
      <c r="AM1110" s="48"/>
      <c r="AN1110" s="48"/>
      <c r="AO1110" s="48" t="s">
        <v>1372</v>
      </c>
      <c r="AP1110" s="48" t="s">
        <v>1373</v>
      </c>
    </row>
    <row r="1111" hidden="1" spans="1:42">
      <c r="A1111" s="48" t="s">
        <v>5911</v>
      </c>
      <c r="B1111" s="48" t="s">
        <v>1356</v>
      </c>
      <c r="C1111" s="48" t="s">
        <v>1375</v>
      </c>
      <c r="D1111" s="48" t="s">
        <v>1358</v>
      </c>
      <c r="E1111" s="48"/>
      <c r="F1111" s="48" t="s">
        <v>1377</v>
      </c>
      <c r="G1111" s="49">
        <v>44830.8639583333</v>
      </c>
      <c r="H1111" s="49">
        <v>44830.8641435185</v>
      </c>
      <c r="I1111" s="48"/>
      <c r="J1111" s="48" t="s">
        <v>407</v>
      </c>
      <c r="K1111" s="48"/>
      <c r="L1111" s="48"/>
      <c r="M1111" s="48">
        <v>48.9</v>
      </c>
      <c r="N1111" s="48">
        <v>0</v>
      </c>
      <c r="O1111" s="48">
        <v>0</v>
      </c>
      <c r="P1111" s="48">
        <v>0</v>
      </c>
      <c r="Q1111" s="48">
        <v>48.9</v>
      </c>
      <c r="R1111" s="48">
        <v>48.9</v>
      </c>
      <c r="S1111" s="48"/>
      <c r="T1111" s="48" t="s">
        <v>5774</v>
      </c>
      <c r="U1111" s="48">
        <v>1</v>
      </c>
      <c r="V1111" s="48" t="s">
        <v>1364</v>
      </c>
      <c r="W1111" s="48"/>
      <c r="X1111" s="48" t="s">
        <v>402</v>
      </c>
      <c r="Y1111" s="48" t="s">
        <v>1532</v>
      </c>
      <c r="Z1111" s="48" t="s">
        <v>1533</v>
      </c>
      <c r="AA1111" s="48" t="s">
        <v>1534</v>
      </c>
      <c r="AB1111" s="48" t="s">
        <v>1535</v>
      </c>
      <c r="AC1111" s="48" t="s">
        <v>1536</v>
      </c>
      <c r="AD1111" s="48"/>
      <c r="AE1111" s="48"/>
      <c r="AF1111" s="48" t="s">
        <v>1537</v>
      </c>
      <c r="AG1111" s="48" t="s">
        <v>1385</v>
      </c>
      <c r="AH1111" s="48"/>
      <c r="AI1111" s="48"/>
      <c r="AJ1111" s="48"/>
      <c r="AK1111" s="48">
        <v>0</v>
      </c>
      <c r="AL1111" s="48"/>
      <c r="AM1111" s="48"/>
      <c r="AN1111" s="48"/>
      <c r="AO1111" s="48" t="s">
        <v>1372</v>
      </c>
      <c r="AP1111" s="48" t="s">
        <v>1373</v>
      </c>
    </row>
    <row r="1112" hidden="1" spans="1:42">
      <c r="A1112" s="48" t="s">
        <v>5912</v>
      </c>
      <c r="B1112" s="48" t="s">
        <v>1356</v>
      </c>
      <c r="C1112" s="48" t="s">
        <v>1375</v>
      </c>
      <c r="D1112" s="48" t="s">
        <v>1358</v>
      </c>
      <c r="E1112" s="48"/>
      <c r="F1112" s="48" t="s">
        <v>1377</v>
      </c>
      <c r="G1112" s="49">
        <v>44830.8638541667</v>
      </c>
      <c r="H1112" s="49">
        <v>44830.8642013889</v>
      </c>
      <c r="I1112" s="48"/>
      <c r="J1112" s="48" t="s">
        <v>407</v>
      </c>
      <c r="K1112" s="48"/>
      <c r="L1112" s="48"/>
      <c r="M1112" s="48">
        <v>47.9</v>
      </c>
      <c r="N1112" s="48">
        <v>0</v>
      </c>
      <c r="O1112" s="48">
        <v>-2</v>
      </c>
      <c r="P1112" s="48">
        <v>0</v>
      </c>
      <c r="Q1112" s="48">
        <v>45.9</v>
      </c>
      <c r="R1112" s="48">
        <v>45.9</v>
      </c>
      <c r="S1112" s="48" t="s">
        <v>1400</v>
      </c>
      <c r="T1112" s="48" t="s">
        <v>5808</v>
      </c>
      <c r="U1112" s="48">
        <v>1</v>
      </c>
      <c r="V1112" s="48" t="s">
        <v>1364</v>
      </c>
      <c r="W1112" s="48"/>
      <c r="X1112" s="48" t="s">
        <v>503</v>
      </c>
      <c r="Y1112" s="48" t="s">
        <v>2905</v>
      </c>
      <c r="Z1112" s="48" t="s">
        <v>1710</v>
      </c>
      <c r="AA1112" s="48" t="s">
        <v>1711</v>
      </c>
      <c r="AB1112" s="48" t="s">
        <v>1712</v>
      </c>
      <c r="AC1112" s="48" t="s">
        <v>2906</v>
      </c>
      <c r="AD1112" s="48"/>
      <c r="AE1112" s="48"/>
      <c r="AF1112" s="48" t="s">
        <v>503</v>
      </c>
      <c r="AG1112" s="48" t="s">
        <v>1385</v>
      </c>
      <c r="AH1112" s="48" t="s">
        <v>2905</v>
      </c>
      <c r="AI1112" s="48"/>
      <c r="AJ1112" s="48"/>
      <c r="AK1112" s="48">
        <v>0</v>
      </c>
      <c r="AL1112" s="48"/>
      <c r="AM1112" s="48"/>
      <c r="AN1112" s="48"/>
      <c r="AO1112" s="48" t="s">
        <v>1372</v>
      </c>
      <c r="AP1112" s="48" t="s">
        <v>1373</v>
      </c>
    </row>
    <row r="1113" hidden="1" spans="1:42">
      <c r="A1113" s="48" t="s">
        <v>5913</v>
      </c>
      <c r="B1113" s="48" t="s">
        <v>1356</v>
      </c>
      <c r="C1113" s="48" t="s">
        <v>1375</v>
      </c>
      <c r="D1113" s="48" t="s">
        <v>1358</v>
      </c>
      <c r="E1113" s="48"/>
      <c r="F1113" s="48" t="s">
        <v>1377</v>
      </c>
      <c r="G1113" s="49">
        <v>44830.8638541667</v>
      </c>
      <c r="H1113" s="49">
        <v>44830.8640509259</v>
      </c>
      <c r="I1113" s="48"/>
      <c r="J1113" s="48" t="s">
        <v>407</v>
      </c>
      <c r="K1113" s="48"/>
      <c r="L1113" s="48"/>
      <c r="M1113" s="48">
        <v>48.9</v>
      </c>
      <c r="N1113" s="48">
        <v>0</v>
      </c>
      <c r="O1113" s="48">
        <v>-2</v>
      </c>
      <c r="P1113" s="48">
        <v>0</v>
      </c>
      <c r="Q1113" s="48">
        <v>46.9</v>
      </c>
      <c r="R1113" s="48">
        <v>46.9</v>
      </c>
      <c r="S1113" s="48" t="s">
        <v>1400</v>
      </c>
      <c r="T1113" s="48" t="s">
        <v>5818</v>
      </c>
      <c r="U1113" s="48">
        <v>1</v>
      </c>
      <c r="V1113" s="48" t="s">
        <v>1364</v>
      </c>
      <c r="W1113" s="48"/>
      <c r="X1113" s="48" t="s">
        <v>387</v>
      </c>
      <c r="Y1113" s="48" t="s">
        <v>5804</v>
      </c>
      <c r="Z1113" s="48" t="s">
        <v>1466</v>
      </c>
      <c r="AA1113" s="48" t="s">
        <v>1467</v>
      </c>
      <c r="AB1113" s="48" t="s">
        <v>2117</v>
      </c>
      <c r="AC1113" s="48" t="s">
        <v>5805</v>
      </c>
      <c r="AD1113" s="48"/>
      <c r="AE1113" s="48"/>
      <c r="AF1113" s="48" t="s">
        <v>5806</v>
      </c>
      <c r="AG1113" s="48" t="s">
        <v>1385</v>
      </c>
      <c r="AH1113" s="48" t="s">
        <v>5804</v>
      </c>
      <c r="AI1113" s="48"/>
      <c r="AJ1113" s="48"/>
      <c r="AK1113" s="48">
        <v>0</v>
      </c>
      <c r="AL1113" s="48"/>
      <c r="AM1113" s="48"/>
      <c r="AN1113" s="48"/>
      <c r="AO1113" s="48" t="s">
        <v>1372</v>
      </c>
      <c r="AP1113" s="48" t="s">
        <v>1373</v>
      </c>
    </row>
    <row r="1114" hidden="1" spans="1:42">
      <c r="A1114" s="48" t="s">
        <v>5914</v>
      </c>
      <c r="B1114" s="48" t="s">
        <v>1356</v>
      </c>
      <c r="C1114" s="48" t="s">
        <v>1375</v>
      </c>
      <c r="D1114" s="48" t="s">
        <v>1358</v>
      </c>
      <c r="E1114" s="48"/>
      <c r="F1114" s="48" t="s">
        <v>1377</v>
      </c>
      <c r="G1114" s="49">
        <v>44830.8637268519</v>
      </c>
      <c r="H1114" s="49">
        <v>44830.8638078704</v>
      </c>
      <c r="I1114" s="48"/>
      <c r="J1114" s="48" t="s">
        <v>407</v>
      </c>
      <c r="K1114" s="48"/>
      <c r="L1114" s="48"/>
      <c r="M1114" s="48">
        <v>49.9</v>
      </c>
      <c r="N1114" s="48">
        <v>0</v>
      </c>
      <c r="O1114" s="48">
        <v>0</v>
      </c>
      <c r="P1114" s="48">
        <v>0</v>
      </c>
      <c r="Q1114" s="48">
        <v>49.9</v>
      </c>
      <c r="R1114" s="48">
        <v>49.9</v>
      </c>
      <c r="S1114" s="48"/>
      <c r="T1114" s="48" t="s">
        <v>5774</v>
      </c>
      <c r="U1114" s="48">
        <v>1</v>
      </c>
      <c r="V1114" s="48" t="s">
        <v>1364</v>
      </c>
      <c r="W1114" s="48"/>
      <c r="X1114" s="48" t="s">
        <v>994</v>
      </c>
      <c r="Y1114" s="48" t="s">
        <v>5899</v>
      </c>
      <c r="Z1114" s="48" t="s">
        <v>1560</v>
      </c>
      <c r="AA1114" s="48" t="s">
        <v>1560</v>
      </c>
      <c r="AB1114" s="48" t="s">
        <v>3476</v>
      </c>
      <c r="AC1114" s="48" t="s">
        <v>5900</v>
      </c>
      <c r="AD1114" s="48"/>
      <c r="AE1114" s="48"/>
      <c r="AF1114" s="48" t="s">
        <v>5901</v>
      </c>
      <c r="AG1114" s="48" t="s">
        <v>1372</v>
      </c>
      <c r="AH1114" s="48"/>
      <c r="AI1114" s="48"/>
      <c r="AJ1114" s="48"/>
      <c r="AK1114" s="48">
        <v>0</v>
      </c>
      <c r="AL1114" s="48"/>
      <c r="AM1114" s="48"/>
      <c r="AN1114" s="48"/>
      <c r="AO1114" s="48" t="s">
        <v>1372</v>
      </c>
      <c r="AP1114" s="48" t="s">
        <v>1373</v>
      </c>
    </row>
    <row r="1115" hidden="1" spans="1:42">
      <c r="A1115" s="48" t="s">
        <v>5915</v>
      </c>
      <c r="B1115" s="48" t="s">
        <v>1356</v>
      </c>
      <c r="C1115" s="48" t="s">
        <v>1375</v>
      </c>
      <c r="D1115" s="48" t="s">
        <v>1376</v>
      </c>
      <c r="E1115" s="48"/>
      <c r="F1115" s="48" t="s">
        <v>1377</v>
      </c>
      <c r="G1115" s="49">
        <v>44830.8627083333</v>
      </c>
      <c r="H1115" s="48"/>
      <c r="I1115" s="48"/>
      <c r="J1115" s="48"/>
      <c r="K1115" s="48"/>
      <c r="L1115" s="48"/>
      <c r="M1115" s="48">
        <v>69</v>
      </c>
      <c r="N1115" s="48">
        <v>0</v>
      </c>
      <c r="O1115" s="48">
        <v>0</v>
      </c>
      <c r="P1115" s="48">
        <v>0</v>
      </c>
      <c r="Q1115" s="48">
        <v>69</v>
      </c>
      <c r="R1115" s="48">
        <v>0</v>
      </c>
      <c r="S1115" s="48"/>
      <c r="T1115" s="48" t="s">
        <v>5774</v>
      </c>
      <c r="U1115" s="48">
        <v>1</v>
      </c>
      <c r="V1115" s="48" t="s">
        <v>1364</v>
      </c>
      <c r="W1115" s="48"/>
      <c r="X1115" s="48" t="s">
        <v>994</v>
      </c>
      <c r="Y1115" s="48" t="s">
        <v>5899</v>
      </c>
      <c r="Z1115" s="48" t="s">
        <v>1560</v>
      </c>
      <c r="AA1115" s="48" t="s">
        <v>1560</v>
      </c>
      <c r="AB1115" s="48" t="s">
        <v>3476</v>
      </c>
      <c r="AC1115" s="48" t="s">
        <v>5900</v>
      </c>
      <c r="AD1115" s="48"/>
      <c r="AE1115" s="48"/>
      <c r="AF1115" s="48" t="s">
        <v>5901</v>
      </c>
      <c r="AG1115" s="48" t="s">
        <v>1372</v>
      </c>
      <c r="AH1115" s="48"/>
      <c r="AI1115" s="48"/>
      <c r="AJ1115" s="48"/>
      <c r="AK1115" s="48">
        <v>0</v>
      </c>
      <c r="AL1115" s="48"/>
      <c r="AM1115" s="48"/>
      <c r="AN1115" s="48"/>
      <c r="AO1115" s="48" t="s">
        <v>1372</v>
      </c>
      <c r="AP1115" s="48" t="s">
        <v>1373</v>
      </c>
    </row>
    <row r="1116" hidden="1" spans="1:42">
      <c r="A1116" s="48" t="s">
        <v>5916</v>
      </c>
      <c r="B1116" s="48" t="s">
        <v>1356</v>
      </c>
      <c r="C1116" s="48" t="s">
        <v>1375</v>
      </c>
      <c r="D1116" s="48" t="s">
        <v>1358</v>
      </c>
      <c r="E1116" s="48"/>
      <c r="F1116" s="48" t="s">
        <v>1377</v>
      </c>
      <c r="G1116" s="49">
        <v>44830.8611574074</v>
      </c>
      <c r="H1116" s="49">
        <v>44830.8612731481</v>
      </c>
      <c r="I1116" s="48"/>
      <c r="J1116" s="48" t="s">
        <v>407</v>
      </c>
      <c r="K1116" s="48"/>
      <c r="L1116" s="48"/>
      <c r="M1116" s="48">
        <v>39.9</v>
      </c>
      <c r="N1116" s="48">
        <v>0</v>
      </c>
      <c r="O1116" s="48">
        <v>-1</v>
      </c>
      <c r="P1116" s="48">
        <v>0</v>
      </c>
      <c r="Q1116" s="48">
        <v>38.9</v>
      </c>
      <c r="R1116" s="48">
        <v>38.9</v>
      </c>
      <c r="S1116" s="48" t="s">
        <v>1414</v>
      </c>
      <c r="T1116" s="48" t="s">
        <v>4938</v>
      </c>
      <c r="U1116" s="48">
        <v>1</v>
      </c>
      <c r="V1116" s="48" t="s">
        <v>1364</v>
      </c>
      <c r="W1116" s="48"/>
      <c r="X1116" s="48" t="s">
        <v>383</v>
      </c>
      <c r="Y1116" s="48" t="s">
        <v>2422</v>
      </c>
      <c r="Z1116" s="48" t="s">
        <v>1367</v>
      </c>
      <c r="AA1116" s="48" t="s">
        <v>1615</v>
      </c>
      <c r="AB1116" s="48" t="s">
        <v>2423</v>
      </c>
      <c r="AC1116" s="48" t="s">
        <v>2424</v>
      </c>
      <c r="AD1116" s="48"/>
      <c r="AE1116" s="48"/>
      <c r="AF1116" s="48" t="s">
        <v>4782</v>
      </c>
      <c r="AG1116" s="48" t="s">
        <v>1372</v>
      </c>
      <c r="AH1116" s="48" t="s">
        <v>2422</v>
      </c>
      <c r="AI1116" s="48"/>
      <c r="AJ1116" s="48"/>
      <c r="AK1116" s="48">
        <v>0</v>
      </c>
      <c r="AL1116" s="48"/>
      <c r="AM1116" s="48"/>
      <c r="AN1116" s="48"/>
      <c r="AO1116" s="48" t="s">
        <v>1372</v>
      </c>
      <c r="AP1116" s="48" t="s">
        <v>1373</v>
      </c>
    </row>
    <row r="1117" hidden="1" spans="1:42">
      <c r="A1117" s="48" t="s">
        <v>5917</v>
      </c>
      <c r="B1117" s="48" t="s">
        <v>1356</v>
      </c>
      <c r="C1117" s="48" t="s">
        <v>1375</v>
      </c>
      <c r="D1117" s="48" t="s">
        <v>1376</v>
      </c>
      <c r="E1117" s="48"/>
      <c r="F1117" s="48" t="s">
        <v>1377</v>
      </c>
      <c r="G1117" s="49">
        <v>44830.8611342593</v>
      </c>
      <c r="H1117" s="48"/>
      <c r="I1117" s="48"/>
      <c r="J1117" s="48"/>
      <c r="K1117" s="48"/>
      <c r="L1117" s="48"/>
      <c r="M1117" s="48">
        <v>39.9</v>
      </c>
      <c r="N1117" s="48">
        <v>0</v>
      </c>
      <c r="O1117" s="48">
        <v>0</v>
      </c>
      <c r="P1117" s="48">
        <v>0</v>
      </c>
      <c r="Q1117" s="48">
        <v>39.9</v>
      </c>
      <c r="R1117" s="48">
        <v>0</v>
      </c>
      <c r="S1117" s="48"/>
      <c r="T1117" s="48" t="s">
        <v>5918</v>
      </c>
      <c r="U1117" s="48">
        <v>1</v>
      </c>
      <c r="V1117" s="48" t="s">
        <v>1364</v>
      </c>
      <c r="W1117" s="48"/>
      <c r="X1117" s="48" t="s">
        <v>994</v>
      </c>
      <c r="Y1117" s="48" t="s">
        <v>5899</v>
      </c>
      <c r="Z1117" s="48" t="s">
        <v>1560</v>
      </c>
      <c r="AA1117" s="48" t="s">
        <v>1560</v>
      </c>
      <c r="AB1117" s="48" t="s">
        <v>3476</v>
      </c>
      <c r="AC1117" s="48" t="s">
        <v>5900</v>
      </c>
      <c r="AD1117" s="48"/>
      <c r="AE1117" s="48"/>
      <c r="AF1117" s="48" t="s">
        <v>5901</v>
      </c>
      <c r="AG1117" s="48" t="s">
        <v>1372</v>
      </c>
      <c r="AH1117" s="48"/>
      <c r="AI1117" s="48"/>
      <c r="AJ1117" s="48"/>
      <c r="AK1117" s="48">
        <v>0</v>
      </c>
      <c r="AL1117" s="48"/>
      <c r="AM1117" s="48"/>
      <c r="AN1117" s="48"/>
      <c r="AO1117" s="48" t="s">
        <v>1372</v>
      </c>
      <c r="AP1117" s="48" t="s">
        <v>1373</v>
      </c>
    </row>
    <row r="1118" hidden="1" spans="1:42">
      <c r="A1118" s="48" t="s">
        <v>5919</v>
      </c>
      <c r="B1118" s="48" t="s">
        <v>1356</v>
      </c>
      <c r="C1118" s="48" t="s">
        <v>1375</v>
      </c>
      <c r="D1118" s="48" t="s">
        <v>1358</v>
      </c>
      <c r="E1118" s="48"/>
      <c r="F1118" s="48" t="s">
        <v>1377</v>
      </c>
      <c r="G1118" s="49">
        <v>44830.8576157407</v>
      </c>
      <c r="H1118" s="49">
        <v>44830.8599305556</v>
      </c>
      <c r="I1118" s="48"/>
      <c r="J1118" s="48" t="s">
        <v>407</v>
      </c>
      <c r="K1118" s="48"/>
      <c r="L1118" s="48"/>
      <c r="M1118" s="48">
        <v>339</v>
      </c>
      <c r="N1118" s="48">
        <v>0</v>
      </c>
      <c r="O1118" s="48">
        <v>-6</v>
      </c>
      <c r="P1118" s="48">
        <v>0</v>
      </c>
      <c r="Q1118" s="48">
        <v>333</v>
      </c>
      <c r="R1118" s="48">
        <v>333</v>
      </c>
      <c r="S1118" s="48" t="s">
        <v>1463</v>
      </c>
      <c r="T1118" s="48" t="s">
        <v>5244</v>
      </c>
      <c r="U1118" s="48">
        <v>1</v>
      </c>
      <c r="V1118" s="48" t="s">
        <v>1364</v>
      </c>
      <c r="W1118" s="48"/>
      <c r="X1118" s="48" t="s">
        <v>503</v>
      </c>
      <c r="Y1118" s="48" t="s">
        <v>2905</v>
      </c>
      <c r="Z1118" s="48" t="s">
        <v>1710</v>
      </c>
      <c r="AA1118" s="48" t="s">
        <v>1711</v>
      </c>
      <c r="AB1118" s="48" t="s">
        <v>1712</v>
      </c>
      <c r="AC1118" s="48" t="s">
        <v>2906</v>
      </c>
      <c r="AD1118" s="48"/>
      <c r="AE1118" s="48"/>
      <c r="AF1118" s="48" t="s">
        <v>503</v>
      </c>
      <c r="AG1118" s="48" t="s">
        <v>1385</v>
      </c>
      <c r="AH1118" s="48" t="s">
        <v>2905</v>
      </c>
      <c r="AI1118" s="48"/>
      <c r="AJ1118" s="48"/>
      <c r="AK1118" s="48">
        <v>0</v>
      </c>
      <c r="AL1118" s="48"/>
      <c r="AM1118" s="48"/>
      <c r="AN1118" s="48"/>
      <c r="AO1118" s="48" t="s">
        <v>1372</v>
      </c>
      <c r="AP1118" s="48" t="s">
        <v>1373</v>
      </c>
    </row>
    <row r="1119" hidden="1" spans="1:42">
      <c r="A1119" s="48" t="s">
        <v>5920</v>
      </c>
      <c r="B1119" s="48" t="s">
        <v>1356</v>
      </c>
      <c r="C1119" s="48" t="s">
        <v>1375</v>
      </c>
      <c r="D1119" s="48" t="s">
        <v>1358</v>
      </c>
      <c r="E1119" s="48"/>
      <c r="F1119" s="48" t="s">
        <v>1377</v>
      </c>
      <c r="G1119" s="49">
        <v>44830.8451388889</v>
      </c>
      <c r="H1119" s="49">
        <v>44830.8452546296</v>
      </c>
      <c r="I1119" s="48"/>
      <c r="J1119" s="48" t="s">
        <v>407</v>
      </c>
      <c r="K1119" s="48"/>
      <c r="L1119" s="48"/>
      <c r="M1119" s="48">
        <v>259</v>
      </c>
      <c r="N1119" s="48">
        <v>0</v>
      </c>
      <c r="O1119" s="48">
        <v>0</v>
      </c>
      <c r="P1119" s="48">
        <v>0</v>
      </c>
      <c r="Q1119" s="48">
        <v>259</v>
      </c>
      <c r="R1119" s="48">
        <v>259</v>
      </c>
      <c r="S1119" s="48"/>
      <c r="T1119" s="48" t="s">
        <v>5921</v>
      </c>
      <c r="U1119" s="48">
        <v>1</v>
      </c>
      <c r="V1119" s="48" t="s">
        <v>1364</v>
      </c>
      <c r="W1119" s="48"/>
      <c r="X1119" s="48" t="s">
        <v>801</v>
      </c>
      <c r="Y1119" s="48" t="s">
        <v>5922</v>
      </c>
      <c r="Z1119" s="48" t="s">
        <v>1710</v>
      </c>
      <c r="AA1119" s="48" t="s">
        <v>3937</v>
      </c>
      <c r="AB1119" s="48" t="s">
        <v>5923</v>
      </c>
      <c r="AC1119" s="48" t="s">
        <v>5924</v>
      </c>
      <c r="AD1119" s="48"/>
      <c r="AE1119" s="48"/>
      <c r="AF1119" s="48" t="s">
        <v>5925</v>
      </c>
      <c r="AG1119" s="48" t="s">
        <v>1372</v>
      </c>
      <c r="AH1119" s="48"/>
      <c r="AI1119" s="48"/>
      <c r="AJ1119" s="48"/>
      <c r="AK1119" s="48">
        <v>0</v>
      </c>
      <c r="AL1119" s="48"/>
      <c r="AM1119" s="48"/>
      <c r="AN1119" s="48"/>
      <c r="AO1119" s="48" t="s">
        <v>1372</v>
      </c>
      <c r="AP1119" s="48" t="s">
        <v>1373</v>
      </c>
    </row>
    <row r="1120" hidden="1" spans="1:42">
      <c r="A1120" s="48" t="s">
        <v>5926</v>
      </c>
      <c r="B1120" s="48" t="s">
        <v>1356</v>
      </c>
      <c r="C1120" s="48" t="s">
        <v>1375</v>
      </c>
      <c r="D1120" s="48" t="s">
        <v>1358</v>
      </c>
      <c r="E1120" s="48"/>
      <c r="F1120" s="48" t="s">
        <v>1377</v>
      </c>
      <c r="G1120" s="49">
        <v>44830.8448263889</v>
      </c>
      <c r="H1120" s="49">
        <v>44830.8451851852</v>
      </c>
      <c r="I1120" s="48"/>
      <c r="J1120" s="48" t="s">
        <v>407</v>
      </c>
      <c r="K1120" s="48"/>
      <c r="L1120" s="48"/>
      <c r="M1120" s="48">
        <v>259</v>
      </c>
      <c r="N1120" s="48">
        <v>0</v>
      </c>
      <c r="O1120" s="48">
        <v>-3</v>
      </c>
      <c r="P1120" s="48">
        <v>0</v>
      </c>
      <c r="Q1120" s="48">
        <v>256</v>
      </c>
      <c r="R1120" s="48">
        <v>256</v>
      </c>
      <c r="S1120" s="48" t="s">
        <v>1397</v>
      </c>
      <c r="T1120" s="48" t="s">
        <v>5362</v>
      </c>
      <c r="U1120" s="48">
        <v>1</v>
      </c>
      <c r="V1120" s="48" t="s">
        <v>1364</v>
      </c>
      <c r="W1120" s="48"/>
      <c r="X1120" s="48" t="s">
        <v>383</v>
      </c>
      <c r="Y1120" s="48" t="s">
        <v>2422</v>
      </c>
      <c r="Z1120" s="48" t="s">
        <v>1367</v>
      </c>
      <c r="AA1120" s="48" t="s">
        <v>1615</v>
      </c>
      <c r="AB1120" s="48" t="s">
        <v>2423</v>
      </c>
      <c r="AC1120" s="48" t="s">
        <v>2424</v>
      </c>
      <c r="AD1120" s="48"/>
      <c r="AE1120" s="48"/>
      <c r="AF1120" s="48" t="s">
        <v>4782</v>
      </c>
      <c r="AG1120" s="48" t="s">
        <v>1372</v>
      </c>
      <c r="AH1120" s="48" t="s">
        <v>2422</v>
      </c>
      <c r="AI1120" s="48"/>
      <c r="AJ1120" s="48"/>
      <c r="AK1120" s="48">
        <v>0</v>
      </c>
      <c r="AL1120" s="48"/>
      <c r="AM1120" s="48"/>
      <c r="AN1120" s="48"/>
      <c r="AO1120" s="48" t="s">
        <v>1372</v>
      </c>
      <c r="AP1120" s="48" t="s">
        <v>1373</v>
      </c>
    </row>
    <row r="1121" hidden="1" spans="1:42">
      <c r="A1121" s="48" t="s">
        <v>5927</v>
      </c>
      <c r="B1121" s="48" t="s">
        <v>1356</v>
      </c>
      <c r="C1121" s="48" t="s">
        <v>1375</v>
      </c>
      <c r="D1121" s="48" t="s">
        <v>1358</v>
      </c>
      <c r="E1121" s="48"/>
      <c r="F1121" s="48" t="s">
        <v>1377</v>
      </c>
      <c r="G1121" s="49">
        <v>44830.8426736111</v>
      </c>
      <c r="H1121" s="49">
        <v>44830.843587963</v>
      </c>
      <c r="I1121" s="48"/>
      <c r="J1121" s="48" t="s">
        <v>407</v>
      </c>
      <c r="K1121" s="48"/>
      <c r="L1121" s="48"/>
      <c r="M1121" s="48">
        <v>259</v>
      </c>
      <c r="N1121" s="48">
        <v>0</v>
      </c>
      <c r="O1121" s="48">
        <v>-5</v>
      </c>
      <c r="P1121" s="48">
        <v>0</v>
      </c>
      <c r="Q1121" s="48">
        <v>254</v>
      </c>
      <c r="R1121" s="48">
        <v>254</v>
      </c>
      <c r="S1121" s="48" t="s">
        <v>1422</v>
      </c>
      <c r="T1121" s="48" t="s">
        <v>5364</v>
      </c>
      <c r="U1121" s="48">
        <v>1</v>
      </c>
      <c r="V1121" s="48" t="s">
        <v>1364</v>
      </c>
      <c r="W1121" s="48"/>
      <c r="X1121" s="48" t="s">
        <v>387</v>
      </c>
      <c r="Y1121" s="48" t="s">
        <v>5804</v>
      </c>
      <c r="Z1121" s="48" t="s">
        <v>1466</v>
      </c>
      <c r="AA1121" s="48" t="s">
        <v>1467</v>
      </c>
      <c r="AB1121" s="48" t="s">
        <v>2117</v>
      </c>
      <c r="AC1121" s="48" t="s">
        <v>5805</v>
      </c>
      <c r="AD1121" s="48"/>
      <c r="AE1121" s="48"/>
      <c r="AF1121" s="48" t="s">
        <v>5806</v>
      </c>
      <c r="AG1121" s="48" t="s">
        <v>1385</v>
      </c>
      <c r="AH1121" s="48" t="s">
        <v>5804</v>
      </c>
      <c r="AI1121" s="48"/>
      <c r="AJ1121" s="48"/>
      <c r="AK1121" s="48">
        <v>0</v>
      </c>
      <c r="AL1121" s="48"/>
      <c r="AM1121" s="48"/>
      <c r="AN1121" s="48"/>
      <c r="AO1121" s="48" t="s">
        <v>1372</v>
      </c>
      <c r="AP1121" s="48" t="s">
        <v>1373</v>
      </c>
    </row>
    <row r="1122" hidden="1" spans="1:42">
      <c r="A1122" s="48" t="s">
        <v>5928</v>
      </c>
      <c r="B1122" s="48" t="s">
        <v>1356</v>
      </c>
      <c r="C1122" s="48" t="s">
        <v>1375</v>
      </c>
      <c r="D1122" s="48" t="s">
        <v>1358</v>
      </c>
      <c r="E1122" s="48"/>
      <c r="F1122" s="48" t="s">
        <v>1377</v>
      </c>
      <c r="G1122" s="49">
        <v>44830.8378819444</v>
      </c>
      <c r="H1122" s="49">
        <v>44830.8380902778</v>
      </c>
      <c r="I1122" s="48"/>
      <c r="J1122" s="48" t="s">
        <v>407</v>
      </c>
      <c r="K1122" s="48"/>
      <c r="L1122" s="48"/>
      <c r="M1122" s="48">
        <v>269</v>
      </c>
      <c r="N1122" s="48">
        <v>0</v>
      </c>
      <c r="O1122" s="48">
        <v>-3</v>
      </c>
      <c r="P1122" s="48">
        <v>0</v>
      </c>
      <c r="Q1122" s="48">
        <v>266</v>
      </c>
      <c r="R1122" s="48">
        <v>266</v>
      </c>
      <c r="S1122" s="48" t="s">
        <v>1397</v>
      </c>
      <c r="T1122" s="48" t="s">
        <v>5929</v>
      </c>
      <c r="U1122" s="48">
        <v>1</v>
      </c>
      <c r="V1122" s="48" t="s">
        <v>1364</v>
      </c>
      <c r="W1122" s="48"/>
      <c r="X1122" s="48" t="s">
        <v>387</v>
      </c>
      <c r="Y1122" s="48" t="s">
        <v>5804</v>
      </c>
      <c r="Z1122" s="48" t="s">
        <v>1466</v>
      </c>
      <c r="AA1122" s="48" t="s">
        <v>1467</v>
      </c>
      <c r="AB1122" s="48" t="s">
        <v>2117</v>
      </c>
      <c r="AC1122" s="48" t="s">
        <v>5805</v>
      </c>
      <c r="AD1122" s="48"/>
      <c r="AE1122" s="48"/>
      <c r="AF1122" s="48" t="s">
        <v>5806</v>
      </c>
      <c r="AG1122" s="48" t="s">
        <v>1385</v>
      </c>
      <c r="AH1122" s="48" t="s">
        <v>5804</v>
      </c>
      <c r="AI1122" s="48"/>
      <c r="AJ1122" s="48"/>
      <c r="AK1122" s="48">
        <v>0</v>
      </c>
      <c r="AL1122" s="48"/>
      <c r="AM1122" s="48"/>
      <c r="AN1122" s="48"/>
      <c r="AO1122" s="48" t="s">
        <v>1372</v>
      </c>
      <c r="AP1122" s="48" t="s">
        <v>1373</v>
      </c>
    </row>
    <row r="1123" hidden="1" spans="1:42">
      <c r="A1123" s="48" t="s">
        <v>5930</v>
      </c>
      <c r="B1123" s="48" t="s">
        <v>1356</v>
      </c>
      <c r="C1123" s="48" t="s">
        <v>1375</v>
      </c>
      <c r="D1123" s="48" t="s">
        <v>1376</v>
      </c>
      <c r="E1123" s="48"/>
      <c r="F1123" s="48" t="s">
        <v>1377</v>
      </c>
      <c r="G1123" s="49">
        <v>44830.834849537</v>
      </c>
      <c r="H1123" s="48"/>
      <c r="I1123" s="48"/>
      <c r="J1123" s="48"/>
      <c r="K1123" s="48"/>
      <c r="L1123" s="48"/>
      <c r="M1123" s="48">
        <v>39.9</v>
      </c>
      <c r="N1123" s="48">
        <v>0</v>
      </c>
      <c r="O1123" s="48">
        <v>-1</v>
      </c>
      <c r="P1123" s="48">
        <v>0</v>
      </c>
      <c r="Q1123" s="48">
        <v>38.9</v>
      </c>
      <c r="R1123" s="48">
        <v>0</v>
      </c>
      <c r="S1123" s="48" t="s">
        <v>1414</v>
      </c>
      <c r="T1123" s="48" t="s">
        <v>5730</v>
      </c>
      <c r="U1123" s="48">
        <v>1</v>
      </c>
      <c r="V1123" s="48" t="s">
        <v>1364</v>
      </c>
      <c r="W1123" s="48"/>
      <c r="X1123" s="48" t="s">
        <v>470</v>
      </c>
      <c r="Y1123" s="48" t="s">
        <v>5931</v>
      </c>
      <c r="Z1123" s="48" t="s">
        <v>1678</v>
      </c>
      <c r="AA1123" s="48" t="s">
        <v>1979</v>
      </c>
      <c r="AB1123" s="48" t="s">
        <v>5932</v>
      </c>
      <c r="AC1123" s="48" t="s">
        <v>5933</v>
      </c>
      <c r="AD1123" s="48"/>
      <c r="AE1123" s="48"/>
      <c r="AF1123" s="48" t="s">
        <v>5934</v>
      </c>
      <c r="AG1123" s="48" t="s">
        <v>1385</v>
      </c>
      <c r="AH1123" s="48" t="s">
        <v>5931</v>
      </c>
      <c r="AI1123" s="48"/>
      <c r="AJ1123" s="48"/>
      <c r="AK1123" s="48">
        <v>0</v>
      </c>
      <c r="AL1123" s="48"/>
      <c r="AM1123" s="48"/>
      <c r="AN1123" s="48"/>
      <c r="AO1123" s="48" t="s">
        <v>1372</v>
      </c>
      <c r="AP1123" s="48" t="s">
        <v>1373</v>
      </c>
    </row>
    <row r="1124" hidden="1" spans="1:42">
      <c r="A1124" s="48" t="s">
        <v>5935</v>
      </c>
      <c r="B1124" s="48" t="s">
        <v>1356</v>
      </c>
      <c r="C1124" s="48" t="s">
        <v>1375</v>
      </c>
      <c r="D1124" s="48" t="s">
        <v>1358</v>
      </c>
      <c r="E1124" s="48"/>
      <c r="F1124" s="48" t="s">
        <v>1377</v>
      </c>
      <c r="G1124" s="49">
        <v>44830.8326273148</v>
      </c>
      <c r="H1124" s="49">
        <v>44830.8328703704</v>
      </c>
      <c r="I1124" s="48"/>
      <c r="J1124" s="48" t="s">
        <v>407</v>
      </c>
      <c r="K1124" s="48"/>
      <c r="L1124" s="48"/>
      <c r="M1124" s="48">
        <v>169</v>
      </c>
      <c r="N1124" s="48">
        <v>0</v>
      </c>
      <c r="O1124" s="48">
        <v>-3</v>
      </c>
      <c r="P1124" s="48">
        <v>0</v>
      </c>
      <c r="Q1124" s="48">
        <v>166</v>
      </c>
      <c r="R1124" s="48">
        <v>166</v>
      </c>
      <c r="S1124" s="48" t="s">
        <v>1397</v>
      </c>
      <c r="T1124" s="48" t="s">
        <v>5277</v>
      </c>
      <c r="U1124" s="48">
        <v>1</v>
      </c>
      <c r="V1124" s="48" t="s">
        <v>1364</v>
      </c>
      <c r="W1124" s="48"/>
      <c r="X1124" s="48" t="s">
        <v>387</v>
      </c>
      <c r="Y1124" s="48" t="s">
        <v>5804</v>
      </c>
      <c r="Z1124" s="48" t="s">
        <v>1466</v>
      </c>
      <c r="AA1124" s="48" t="s">
        <v>1467</v>
      </c>
      <c r="AB1124" s="48" t="s">
        <v>2117</v>
      </c>
      <c r="AC1124" s="48" t="s">
        <v>5805</v>
      </c>
      <c r="AD1124" s="48"/>
      <c r="AE1124" s="48"/>
      <c r="AF1124" s="48" t="s">
        <v>5806</v>
      </c>
      <c r="AG1124" s="48" t="s">
        <v>1385</v>
      </c>
      <c r="AH1124" s="48" t="s">
        <v>5804</v>
      </c>
      <c r="AI1124" s="48"/>
      <c r="AJ1124" s="48"/>
      <c r="AK1124" s="48">
        <v>0</v>
      </c>
      <c r="AL1124" s="48"/>
      <c r="AM1124" s="48"/>
      <c r="AN1124" s="48"/>
      <c r="AO1124" s="48" t="s">
        <v>1372</v>
      </c>
      <c r="AP1124" s="48" t="s">
        <v>1373</v>
      </c>
    </row>
    <row r="1125" hidden="1" spans="1:42">
      <c r="A1125" s="48" t="s">
        <v>5936</v>
      </c>
      <c r="B1125" s="48" t="s">
        <v>1356</v>
      </c>
      <c r="C1125" s="48" t="s">
        <v>1375</v>
      </c>
      <c r="D1125" s="48" t="s">
        <v>1376</v>
      </c>
      <c r="E1125" s="48"/>
      <c r="F1125" s="48" t="s">
        <v>1377</v>
      </c>
      <c r="G1125" s="49">
        <v>44830.8268171296</v>
      </c>
      <c r="H1125" s="48"/>
      <c r="I1125" s="48"/>
      <c r="J1125" s="48"/>
      <c r="K1125" s="48"/>
      <c r="L1125" s="48"/>
      <c r="M1125" s="48">
        <v>239</v>
      </c>
      <c r="N1125" s="48">
        <v>0</v>
      </c>
      <c r="O1125" s="48">
        <v>0</v>
      </c>
      <c r="P1125" s="48">
        <v>0</v>
      </c>
      <c r="Q1125" s="48">
        <v>239</v>
      </c>
      <c r="R1125" s="48">
        <v>0</v>
      </c>
      <c r="S1125" s="48"/>
      <c r="T1125" s="48" t="s">
        <v>5632</v>
      </c>
      <c r="U1125" s="48">
        <v>1</v>
      </c>
      <c r="V1125" s="48" t="s">
        <v>1364</v>
      </c>
      <c r="W1125" s="48"/>
      <c r="X1125" s="48" t="s">
        <v>1286</v>
      </c>
      <c r="Y1125" s="48" t="s">
        <v>5937</v>
      </c>
      <c r="Z1125" s="48" t="s">
        <v>1794</v>
      </c>
      <c r="AA1125" s="48" t="s">
        <v>3507</v>
      </c>
      <c r="AB1125" s="48" t="s">
        <v>5938</v>
      </c>
      <c r="AC1125" s="48" t="s">
        <v>5939</v>
      </c>
      <c r="AD1125" s="48"/>
      <c r="AE1125" s="48"/>
      <c r="AF1125" s="48" t="s">
        <v>5940</v>
      </c>
      <c r="AG1125" s="48" t="s">
        <v>1372</v>
      </c>
      <c r="AH1125" s="48"/>
      <c r="AI1125" s="48"/>
      <c r="AJ1125" s="48"/>
      <c r="AK1125" s="48">
        <v>0</v>
      </c>
      <c r="AL1125" s="48"/>
      <c r="AM1125" s="48"/>
      <c r="AN1125" s="48"/>
      <c r="AO1125" s="48" t="s">
        <v>1372</v>
      </c>
      <c r="AP1125" s="48" t="s">
        <v>1373</v>
      </c>
    </row>
    <row r="1126" hidden="1" spans="1:42">
      <c r="A1126" s="48" t="s">
        <v>5941</v>
      </c>
      <c r="B1126" s="48" t="s">
        <v>1356</v>
      </c>
      <c r="C1126" s="48" t="s">
        <v>1375</v>
      </c>
      <c r="D1126" s="48" t="s">
        <v>1358</v>
      </c>
      <c r="E1126" s="48"/>
      <c r="F1126" s="48" t="s">
        <v>1377</v>
      </c>
      <c r="G1126" s="49">
        <v>44830.8213888889</v>
      </c>
      <c r="H1126" s="49">
        <v>44830.8215625</v>
      </c>
      <c r="I1126" s="48"/>
      <c r="J1126" s="48" t="s">
        <v>407</v>
      </c>
      <c r="K1126" s="48"/>
      <c r="L1126" s="48"/>
      <c r="M1126" s="48">
        <v>39.9</v>
      </c>
      <c r="N1126" s="48">
        <v>0</v>
      </c>
      <c r="O1126" s="48">
        <v>0</v>
      </c>
      <c r="P1126" s="48">
        <v>0</v>
      </c>
      <c r="Q1126" s="48">
        <v>39.9</v>
      </c>
      <c r="R1126" s="48">
        <v>39.9</v>
      </c>
      <c r="S1126" s="48"/>
      <c r="T1126" s="48" t="s">
        <v>4946</v>
      </c>
      <c r="U1126" s="48">
        <v>1</v>
      </c>
      <c r="V1126" s="48" t="s">
        <v>1364</v>
      </c>
      <c r="W1126" s="48"/>
      <c r="X1126" s="48" t="s">
        <v>720</v>
      </c>
      <c r="Y1126" s="48" t="s">
        <v>5942</v>
      </c>
      <c r="Z1126" s="48" t="s">
        <v>1695</v>
      </c>
      <c r="AA1126" s="48" t="s">
        <v>5943</v>
      </c>
      <c r="AB1126" s="48" t="s">
        <v>5944</v>
      </c>
      <c r="AC1126" s="48" t="s">
        <v>5945</v>
      </c>
      <c r="AD1126" s="48"/>
      <c r="AE1126" s="48"/>
      <c r="AF1126" s="48" t="s">
        <v>5946</v>
      </c>
      <c r="AG1126" s="48" t="s">
        <v>1385</v>
      </c>
      <c r="AH1126" s="48" t="s">
        <v>5942</v>
      </c>
      <c r="AI1126" s="48"/>
      <c r="AJ1126" s="48"/>
      <c r="AK1126" s="48">
        <v>0</v>
      </c>
      <c r="AL1126" s="48"/>
      <c r="AM1126" s="48"/>
      <c r="AN1126" s="48"/>
      <c r="AO1126" s="48" t="s">
        <v>1372</v>
      </c>
      <c r="AP1126" s="48" t="s">
        <v>1373</v>
      </c>
    </row>
    <row r="1127" hidden="1" spans="1:42">
      <c r="A1127" s="48" t="s">
        <v>5947</v>
      </c>
      <c r="B1127" s="48" t="s">
        <v>1356</v>
      </c>
      <c r="C1127" s="48" t="s">
        <v>1375</v>
      </c>
      <c r="D1127" s="48" t="s">
        <v>1358</v>
      </c>
      <c r="E1127" s="48"/>
      <c r="F1127" s="48" t="s">
        <v>1377</v>
      </c>
      <c r="G1127" s="49">
        <v>44830.8184837963</v>
      </c>
      <c r="H1127" s="49">
        <v>44830.8186111111</v>
      </c>
      <c r="I1127" s="48"/>
      <c r="J1127" s="48" t="s">
        <v>407</v>
      </c>
      <c r="K1127" s="48"/>
      <c r="L1127" s="48"/>
      <c r="M1127" s="48">
        <v>39.9</v>
      </c>
      <c r="N1127" s="48">
        <v>0</v>
      </c>
      <c r="O1127" s="48">
        <v>-1</v>
      </c>
      <c r="P1127" s="48">
        <v>0</v>
      </c>
      <c r="Q1127" s="48">
        <v>38.9</v>
      </c>
      <c r="R1127" s="48">
        <v>38.9</v>
      </c>
      <c r="S1127" s="48" t="s">
        <v>1414</v>
      </c>
      <c r="T1127" s="48" t="s">
        <v>5771</v>
      </c>
      <c r="U1127" s="48">
        <v>1</v>
      </c>
      <c r="V1127" s="48" t="s">
        <v>1364</v>
      </c>
      <c r="W1127" s="48"/>
      <c r="X1127" s="48" t="s">
        <v>470</v>
      </c>
      <c r="Y1127" s="48" t="s">
        <v>5931</v>
      </c>
      <c r="Z1127" s="48" t="s">
        <v>1678</v>
      </c>
      <c r="AA1127" s="48" t="s">
        <v>1979</v>
      </c>
      <c r="AB1127" s="48" t="s">
        <v>5932</v>
      </c>
      <c r="AC1127" s="48" t="s">
        <v>5933</v>
      </c>
      <c r="AD1127" s="48"/>
      <c r="AE1127" s="48"/>
      <c r="AF1127" s="48" t="s">
        <v>5934</v>
      </c>
      <c r="AG1127" s="48" t="s">
        <v>1385</v>
      </c>
      <c r="AH1127" s="48" t="s">
        <v>5931</v>
      </c>
      <c r="AI1127" s="48"/>
      <c r="AJ1127" s="48"/>
      <c r="AK1127" s="48">
        <v>0</v>
      </c>
      <c r="AL1127" s="48" t="s">
        <v>5948</v>
      </c>
      <c r="AM1127" s="48"/>
      <c r="AN1127" s="48"/>
      <c r="AO1127" s="48" t="s">
        <v>1372</v>
      </c>
      <c r="AP1127" s="48" t="s">
        <v>1373</v>
      </c>
    </row>
    <row r="1128" hidden="1" spans="1:42">
      <c r="A1128" s="48" t="s">
        <v>5949</v>
      </c>
      <c r="B1128" s="48" t="s">
        <v>1356</v>
      </c>
      <c r="C1128" s="48" t="s">
        <v>1375</v>
      </c>
      <c r="D1128" s="48" t="s">
        <v>1358</v>
      </c>
      <c r="E1128" s="48"/>
      <c r="F1128" s="48" t="s">
        <v>1377</v>
      </c>
      <c r="G1128" s="49">
        <v>44830.8181365741</v>
      </c>
      <c r="H1128" s="49">
        <v>44830.8182407407</v>
      </c>
      <c r="I1128" s="48"/>
      <c r="J1128" s="48" t="s">
        <v>407</v>
      </c>
      <c r="K1128" s="48"/>
      <c r="L1128" s="48"/>
      <c r="M1128" s="48">
        <v>39.9</v>
      </c>
      <c r="N1128" s="48">
        <v>0</v>
      </c>
      <c r="O1128" s="48">
        <v>0</v>
      </c>
      <c r="P1128" s="48">
        <v>0</v>
      </c>
      <c r="Q1128" s="48">
        <v>39.9</v>
      </c>
      <c r="R1128" s="48">
        <v>39.9</v>
      </c>
      <c r="S1128" s="48"/>
      <c r="T1128" s="48" t="s">
        <v>4938</v>
      </c>
      <c r="U1128" s="48">
        <v>1</v>
      </c>
      <c r="V1128" s="48" t="s">
        <v>1364</v>
      </c>
      <c r="W1128" s="48"/>
      <c r="X1128" s="48" t="s">
        <v>1019</v>
      </c>
      <c r="Y1128" s="48" t="s">
        <v>5950</v>
      </c>
      <c r="Z1128" s="48" t="s">
        <v>1678</v>
      </c>
      <c r="AA1128" s="48" t="s">
        <v>1817</v>
      </c>
      <c r="AB1128" s="48" t="s">
        <v>5951</v>
      </c>
      <c r="AC1128" s="48" t="s">
        <v>5952</v>
      </c>
      <c r="AD1128" s="48"/>
      <c r="AE1128" s="48"/>
      <c r="AF1128" s="48" t="s">
        <v>1019</v>
      </c>
      <c r="AG1128" s="48" t="s">
        <v>1372</v>
      </c>
      <c r="AH1128" s="48" t="s">
        <v>5950</v>
      </c>
      <c r="AI1128" s="48"/>
      <c r="AJ1128" s="48"/>
      <c r="AK1128" s="48">
        <v>0</v>
      </c>
      <c r="AL1128" s="48"/>
      <c r="AM1128" s="48"/>
      <c r="AN1128" s="48"/>
      <c r="AO1128" s="48" t="s">
        <v>1372</v>
      </c>
      <c r="AP1128" s="48" t="s">
        <v>1373</v>
      </c>
    </row>
    <row r="1129" spans="1:42">
      <c r="A1129" s="48" t="s">
        <v>5953</v>
      </c>
      <c r="B1129" s="48" t="s">
        <v>1356</v>
      </c>
      <c r="C1129" s="48" t="s">
        <v>1375</v>
      </c>
      <c r="D1129" s="48" t="s">
        <v>1358</v>
      </c>
      <c r="E1129" s="48"/>
      <c r="F1129" s="48" t="s">
        <v>1377</v>
      </c>
      <c r="G1129" s="49">
        <v>44832.0241203704</v>
      </c>
      <c r="H1129" s="49">
        <v>44832.024224537</v>
      </c>
      <c r="I1129" s="48"/>
      <c r="J1129" s="48" t="s">
        <v>407</v>
      </c>
      <c r="K1129" s="48"/>
      <c r="L1129" s="48"/>
      <c r="M1129" s="48">
        <v>599</v>
      </c>
      <c r="N1129" s="48">
        <v>0</v>
      </c>
      <c r="O1129" s="48">
        <v>0</v>
      </c>
      <c r="P1129" s="48">
        <v>0</v>
      </c>
      <c r="Q1129" s="48">
        <v>599</v>
      </c>
      <c r="R1129" s="48">
        <v>599</v>
      </c>
      <c r="S1129" s="48"/>
      <c r="T1129" s="48" t="s">
        <v>5954</v>
      </c>
      <c r="U1129" s="48">
        <v>1</v>
      </c>
      <c r="V1129" s="48" t="s">
        <v>1364</v>
      </c>
      <c r="W1129" s="48"/>
      <c r="X1129" s="48" t="s">
        <v>420</v>
      </c>
      <c r="Y1129" s="48" t="s">
        <v>5955</v>
      </c>
      <c r="Z1129" s="48" t="s">
        <v>2651</v>
      </c>
      <c r="AA1129" s="48" t="s">
        <v>5956</v>
      </c>
      <c r="AB1129" s="48" t="s">
        <v>5957</v>
      </c>
      <c r="AC1129" s="48" t="s">
        <v>5958</v>
      </c>
      <c r="AD1129" s="48"/>
      <c r="AE1129" s="48"/>
      <c r="AF1129" s="48" t="s">
        <v>5959</v>
      </c>
      <c r="AG1129" s="48" t="s">
        <v>1372</v>
      </c>
      <c r="AH1129" s="48"/>
      <c r="AI1129" s="48"/>
      <c r="AJ1129" s="48"/>
      <c r="AK1129" s="48">
        <v>0</v>
      </c>
      <c r="AL1129" s="48"/>
      <c r="AM1129" s="48"/>
      <c r="AN1129" s="48"/>
      <c r="AO1129" s="48" t="s">
        <v>1372</v>
      </c>
      <c r="AP1129" s="48" t="s">
        <v>1373</v>
      </c>
    </row>
    <row r="1130" spans="1:42">
      <c r="A1130" s="48" t="s">
        <v>5960</v>
      </c>
      <c r="B1130" s="48" t="s">
        <v>1356</v>
      </c>
      <c r="C1130" s="48" t="s">
        <v>1375</v>
      </c>
      <c r="D1130" s="48" t="s">
        <v>1358</v>
      </c>
      <c r="E1130" s="48"/>
      <c r="F1130" s="48" t="s">
        <v>1377</v>
      </c>
      <c r="G1130" s="49">
        <v>44832.0081018519</v>
      </c>
      <c r="H1130" s="49">
        <v>44832.0082523148</v>
      </c>
      <c r="I1130" s="48"/>
      <c r="J1130" s="48" t="s">
        <v>407</v>
      </c>
      <c r="K1130" s="48"/>
      <c r="L1130" s="48"/>
      <c r="M1130" s="48">
        <v>269</v>
      </c>
      <c r="N1130" s="48">
        <v>0</v>
      </c>
      <c r="O1130" s="48">
        <v>0</v>
      </c>
      <c r="P1130" s="48">
        <v>0</v>
      </c>
      <c r="Q1130" s="48">
        <v>269</v>
      </c>
      <c r="R1130" s="48">
        <v>269</v>
      </c>
      <c r="S1130" s="48"/>
      <c r="T1130" s="48" t="s">
        <v>5961</v>
      </c>
      <c r="U1130" s="48">
        <v>1</v>
      </c>
      <c r="V1130" s="48" t="s">
        <v>1364</v>
      </c>
      <c r="W1130" s="48"/>
      <c r="X1130" s="48" t="s">
        <v>424</v>
      </c>
      <c r="Y1130" s="48" t="s">
        <v>5962</v>
      </c>
      <c r="Z1130" s="48" t="s">
        <v>1466</v>
      </c>
      <c r="AA1130" s="48" t="s">
        <v>1835</v>
      </c>
      <c r="AB1130" s="48" t="s">
        <v>5684</v>
      </c>
      <c r="AC1130" s="48" t="s">
        <v>5963</v>
      </c>
      <c r="AD1130" s="48"/>
      <c r="AE1130" s="48"/>
      <c r="AF1130" s="48" t="s">
        <v>5964</v>
      </c>
      <c r="AG1130" s="48" t="s">
        <v>1372</v>
      </c>
      <c r="AH1130" s="48"/>
      <c r="AI1130" s="48"/>
      <c r="AJ1130" s="48"/>
      <c r="AK1130" s="48">
        <v>0</v>
      </c>
      <c r="AL1130" s="48"/>
      <c r="AM1130" s="48"/>
      <c r="AN1130" s="48"/>
      <c r="AO1130" s="48" t="s">
        <v>1372</v>
      </c>
      <c r="AP1130" s="48" t="s">
        <v>1373</v>
      </c>
    </row>
    <row r="1131" spans="1:42">
      <c r="A1131" s="48" t="s">
        <v>5965</v>
      </c>
      <c r="B1131" s="48" t="s">
        <v>1356</v>
      </c>
      <c r="C1131" s="48" t="s">
        <v>1375</v>
      </c>
      <c r="D1131" s="48" t="s">
        <v>1358</v>
      </c>
      <c r="E1131" s="48"/>
      <c r="F1131" s="48" t="s">
        <v>1377</v>
      </c>
      <c r="G1131" s="49">
        <v>44832.0034143518</v>
      </c>
      <c r="H1131" s="49">
        <v>44832.0035648148</v>
      </c>
      <c r="I1131" s="48"/>
      <c r="J1131" s="48" t="s">
        <v>407</v>
      </c>
      <c r="K1131" s="48"/>
      <c r="L1131" s="48"/>
      <c r="M1131" s="48">
        <v>259</v>
      </c>
      <c r="N1131" s="48">
        <v>0</v>
      </c>
      <c r="O1131" s="48">
        <v>0</v>
      </c>
      <c r="P1131" s="48">
        <v>0</v>
      </c>
      <c r="Q1131" s="48">
        <v>259</v>
      </c>
      <c r="R1131" s="48">
        <v>259</v>
      </c>
      <c r="S1131" s="48"/>
      <c r="T1131" s="48" t="s">
        <v>5966</v>
      </c>
      <c r="U1131" s="48">
        <v>1</v>
      </c>
      <c r="V1131" s="48" t="s">
        <v>1364</v>
      </c>
      <c r="W1131" s="48"/>
      <c r="X1131" s="48" t="s">
        <v>381</v>
      </c>
      <c r="Y1131" s="48" t="s">
        <v>5967</v>
      </c>
      <c r="Z1131" s="48" t="s">
        <v>1495</v>
      </c>
      <c r="AA1131" s="48" t="s">
        <v>1757</v>
      </c>
      <c r="AB1131" s="48" t="s">
        <v>4426</v>
      </c>
      <c r="AC1131" s="48" t="s">
        <v>5968</v>
      </c>
      <c r="AD1131" s="48"/>
      <c r="AE1131" s="48"/>
      <c r="AF1131" s="48" t="s">
        <v>5969</v>
      </c>
      <c r="AG1131" s="48" t="s">
        <v>1372</v>
      </c>
      <c r="AH1131" s="48"/>
      <c r="AI1131" s="48"/>
      <c r="AJ1131" s="48"/>
      <c r="AK1131" s="48">
        <v>0</v>
      </c>
      <c r="AL1131" s="48"/>
      <c r="AM1131" s="48"/>
      <c r="AN1131" s="48"/>
      <c r="AO1131" s="48" t="s">
        <v>1372</v>
      </c>
      <c r="AP1131" s="48" t="s">
        <v>1373</v>
      </c>
    </row>
    <row r="1132" hidden="1" spans="1:42">
      <c r="A1132" s="48" t="s">
        <v>5970</v>
      </c>
      <c r="B1132" s="48" t="s">
        <v>1356</v>
      </c>
      <c r="C1132" s="48" t="s">
        <v>1375</v>
      </c>
      <c r="D1132" s="48" t="s">
        <v>1376</v>
      </c>
      <c r="E1132" s="48"/>
      <c r="F1132" s="48" t="s">
        <v>1377</v>
      </c>
      <c r="G1132" s="49">
        <v>44831.9977893519</v>
      </c>
      <c r="H1132" s="48"/>
      <c r="I1132" s="48"/>
      <c r="J1132" s="48"/>
      <c r="K1132" s="48"/>
      <c r="L1132" s="48"/>
      <c r="M1132" s="48">
        <v>339</v>
      </c>
      <c r="N1132" s="48">
        <v>0</v>
      </c>
      <c r="O1132" s="48">
        <v>-12</v>
      </c>
      <c r="P1132" s="48">
        <v>0</v>
      </c>
      <c r="Q1132" s="48">
        <v>327</v>
      </c>
      <c r="R1132" s="48">
        <v>0</v>
      </c>
      <c r="S1132" s="48" t="s">
        <v>3354</v>
      </c>
      <c r="T1132" s="48" t="s">
        <v>5971</v>
      </c>
      <c r="U1132" s="48">
        <v>1</v>
      </c>
      <c r="V1132" s="48" t="s">
        <v>1364</v>
      </c>
      <c r="W1132" s="48"/>
      <c r="X1132" s="48" t="s">
        <v>381</v>
      </c>
      <c r="Y1132" s="48" t="s">
        <v>5967</v>
      </c>
      <c r="Z1132" s="48" t="s">
        <v>1495</v>
      </c>
      <c r="AA1132" s="48" t="s">
        <v>1757</v>
      </c>
      <c r="AB1132" s="48" t="s">
        <v>4426</v>
      </c>
      <c r="AC1132" s="48" t="s">
        <v>5968</v>
      </c>
      <c r="AD1132" s="48"/>
      <c r="AE1132" s="48"/>
      <c r="AF1132" s="48" t="s">
        <v>5969</v>
      </c>
      <c r="AG1132" s="48" t="s">
        <v>1372</v>
      </c>
      <c r="AH1132" s="48"/>
      <c r="AI1132" s="48"/>
      <c r="AJ1132" s="48"/>
      <c r="AK1132" s="48">
        <v>0</v>
      </c>
      <c r="AL1132" s="48"/>
      <c r="AM1132" s="48"/>
      <c r="AN1132" s="48"/>
      <c r="AO1132" s="48" t="s">
        <v>1372</v>
      </c>
      <c r="AP1132" s="48" t="s">
        <v>1373</v>
      </c>
    </row>
    <row r="1133" spans="1:42">
      <c r="A1133" s="48" t="s">
        <v>5972</v>
      </c>
      <c r="B1133" s="48" t="s">
        <v>1356</v>
      </c>
      <c r="C1133" s="48" t="s">
        <v>1375</v>
      </c>
      <c r="D1133" s="48" t="s">
        <v>1358</v>
      </c>
      <c r="E1133" s="48"/>
      <c r="F1133" s="48" t="s">
        <v>1377</v>
      </c>
      <c r="G1133" s="49">
        <v>44831.9872569444</v>
      </c>
      <c r="H1133" s="49">
        <v>44831.9874189815</v>
      </c>
      <c r="I1133" s="48"/>
      <c r="J1133" s="48" t="s">
        <v>407</v>
      </c>
      <c r="K1133" s="48"/>
      <c r="L1133" s="48"/>
      <c r="M1133" s="48">
        <v>599</v>
      </c>
      <c r="N1133" s="48">
        <v>0</v>
      </c>
      <c r="O1133" s="48">
        <v>-6</v>
      </c>
      <c r="P1133" s="48">
        <v>0</v>
      </c>
      <c r="Q1133" s="48">
        <v>593</v>
      </c>
      <c r="R1133" s="48">
        <v>593</v>
      </c>
      <c r="S1133" s="48" t="s">
        <v>1463</v>
      </c>
      <c r="T1133" s="48" t="s">
        <v>5103</v>
      </c>
      <c r="U1133" s="48">
        <v>1</v>
      </c>
      <c r="V1133" s="48" t="s">
        <v>1364</v>
      </c>
      <c r="W1133" s="48"/>
      <c r="X1133" s="48" t="s">
        <v>381</v>
      </c>
      <c r="Y1133" s="48" t="s">
        <v>5967</v>
      </c>
      <c r="Z1133" s="48" t="s">
        <v>1495</v>
      </c>
      <c r="AA1133" s="48" t="s">
        <v>1757</v>
      </c>
      <c r="AB1133" s="48" t="s">
        <v>4426</v>
      </c>
      <c r="AC1133" s="48" t="s">
        <v>5968</v>
      </c>
      <c r="AD1133" s="48"/>
      <c r="AE1133" s="48"/>
      <c r="AF1133" s="48" t="s">
        <v>5969</v>
      </c>
      <c r="AG1133" s="48" t="s">
        <v>1372</v>
      </c>
      <c r="AH1133" s="48"/>
      <c r="AI1133" s="48"/>
      <c r="AJ1133" s="48"/>
      <c r="AK1133" s="48">
        <v>0</v>
      </c>
      <c r="AL1133" s="48"/>
      <c r="AM1133" s="48"/>
      <c r="AN1133" s="48"/>
      <c r="AO1133" s="48" t="s">
        <v>1372</v>
      </c>
      <c r="AP1133" s="48" t="s">
        <v>1373</v>
      </c>
    </row>
    <row r="1134" spans="1:42">
      <c r="A1134" s="48" t="s">
        <v>5973</v>
      </c>
      <c r="B1134" s="48" t="s">
        <v>1356</v>
      </c>
      <c r="C1134" s="48" t="s">
        <v>1375</v>
      </c>
      <c r="D1134" s="48" t="s">
        <v>1358</v>
      </c>
      <c r="E1134" s="48"/>
      <c r="F1134" s="48" t="s">
        <v>1377</v>
      </c>
      <c r="G1134" s="49">
        <v>44831.9828009259</v>
      </c>
      <c r="H1134" s="49">
        <v>44831.9829166667</v>
      </c>
      <c r="I1134" s="48"/>
      <c r="J1134" s="48" t="s">
        <v>407</v>
      </c>
      <c r="K1134" s="48"/>
      <c r="L1134" s="48"/>
      <c r="M1134" s="48">
        <v>289</v>
      </c>
      <c r="N1134" s="48">
        <v>10</v>
      </c>
      <c r="O1134" s="48">
        <v>-4</v>
      </c>
      <c r="P1134" s="48">
        <v>0</v>
      </c>
      <c r="Q1134" s="48">
        <v>295</v>
      </c>
      <c r="R1134" s="48">
        <v>295</v>
      </c>
      <c r="S1134" s="48" t="s">
        <v>1388</v>
      </c>
      <c r="T1134" s="48" t="s">
        <v>5974</v>
      </c>
      <c r="U1134" s="48">
        <v>1</v>
      </c>
      <c r="V1134" s="48" t="s">
        <v>1364</v>
      </c>
      <c r="W1134" s="48"/>
      <c r="X1134" s="48" t="s">
        <v>585</v>
      </c>
      <c r="Y1134" s="48" t="s">
        <v>3991</v>
      </c>
      <c r="Z1134" s="48" t="s">
        <v>2298</v>
      </c>
      <c r="AA1134" s="48" t="s">
        <v>3568</v>
      </c>
      <c r="AB1134" s="48" t="s">
        <v>3569</v>
      </c>
      <c r="AC1134" s="48" t="s">
        <v>3992</v>
      </c>
      <c r="AD1134" s="48"/>
      <c r="AE1134" s="48"/>
      <c r="AF1134" s="48" t="s">
        <v>3993</v>
      </c>
      <c r="AG1134" s="48" t="s">
        <v>1372</v>
      </c>
      <c r="AH1134" s="48"/>
      <c r="AI1134" s="48"/>
      <c r="AJ1134" s="48"/>
      <c r="AK1134" s="48">
        <v>0</v>
      </c>
      <c r="AL1134" s="48"/>
      <c r="AM1134" s="48"/>
      <c r="AN1134" s="48"/>
      <c r="AO1134" s="48" t="s">
        <v>1372</v>
      </c>
      <c r="AP1134" s="48" t="s">
        <v>1373</v>
      </c>
    </row>
    <row r="1135" spans="1:42">
      <c r="A1135" s="48" t="s">
        <v>5975</v>
      </c>
      <c r="B1135" s="48" t="s">
        <v>1356</v>
      </c>
      <c r="C1135" s="48" t="s">
        <v>1375</v>
      </c>
      <c r="D1135" s="48" t="s">
        <v>1358</v>
      </c>
      <c r="E1135" s="48"/>
      <c r="F1135" s="48" t="s">
        <v>1377</v>
      </c>
      <c r="G1135" s="49">
        <v>44831.9805902778</v>
      </c>
      <c r="H1135" s="49">
        <v>44831.980775463</v>
      </c>
      <c r="I1135" s="48"/>
      <c r="J1135" s="48" t="s">
        <v>407</v>
      </c>
      <c r="K1135" s="48"/>
      <c r="L1135" s="48"/>
      <c r="M1135" s="48">
        <v>339</v>
      </c>
      <c r="N1135" s="48">
        <v>0</v>
      </c>
      <c r="O1135" s="48">
        <v>0</v>
      </c>
      <c r="P1135" s="48">
        <v>0</v>
      </c>
      <c r="Q1135" s="48">
        <v>339</v>
      </c>
      <c r="R1135" s="48">
        <v>339</v>
      </c>
      <c r="S1135" s="48"/>
      <c r="T1135" s="48" t="s">
        <v>5148</v>
      </c>
      <c r="U1135" s="48">
        <v>1</v>
      </c>
      <c r="V1135" s="48" t="s">
        <v>1364</v>
      </c>
      <c r="W1135" s="48"/>
      <c r="X1135" s="48" t="s">
        <v>693</v>
      </c>
      <c r="Y1135" s="48" t="s">
        <v>5976</v>
      </c>
      <c r="Z1135" s="48" t="s">
        <v>1447</v>
      </c>
      <c r="AA1135" s="48" t="s">
        <v>1448</v>
      </c>
      <c r="AB1135" s="48" t="s">
        <v>5977</v>
      </c>
      <c r="AC1135" s="48" t="s">
        <v>5978</v>
      </c>
      <c r="AD1135" s="48"/>
      <c r="AE1135" s="48"/>
      <c r="AF1135" s="48" t="s">
        <v>5979</v>
      </c>
      <c r="AG1135" s="48" t="s">
        <v>1372</v>
      </c>
      <c r="AH1135" s="48"/>
      <c r="AI1135" s="48"/>
      <c r="AJ1135" s="48"/>
      <c r="AK1135" s="48">
        <v>0</v>
      </c>
      <c r="AL1135" s="48"/>
      <c r="AM1135" s="48"/>
      <c r="AN1135" s="48"/>
      <c r="AO1135" s="48" t="s">
        <v>1372</v>
      </c>
      <c r="AP1135" s="48" t="s">
        <v>1373</v>
      </c>
    </row>
    <row r="1136" spans="1:42">
      <c r="A1136" s="48" t="s">
        <v>5980</v>
      </c>
      <c r="B1136" s="48" t="s">
        <v>1356</v>
      </c>
      <c r="C1136" s="48" t="s">
        <v>1375</v>
      </c>
      <c r="D1136" s="48" t="s">
        <v>1358</v>
      </c>
      <c r="E1136" s="48"/>
      <c r="F1136" s="48" t="s">
        <v>1377</v>
      </c>
      <c r="G1136" s="49">
        <v>44831.968599537</v>
      </c>
      <c r="H1136" s="49">
        <v>44831.9687152778</v>
      </c>
      <c r="I1136" s="48"/>
      <c r="J1136" s="48" t="s">
        <v>407</v>
      </c>
      <c r="K1136" s="48"/>
      <c r="L1136" s="48"/>
      <c r="M1136" s="48">
        <v>169</v>
      </c>
      <c r="N1136" s="48">
        <v>0</v>
      </c>
      <c r="O1136" s="48">
        <v>0</v>
      </c>
      <c r="P1136" s="48">
        <v>0</v>
      </c>
      <c r="Q1136" s="48">
        <v>169</v>
      </c>
      <c r="R1136" s="48">
        <v>169</v>
      </c>
      <c r="S1136" s="48"/>
      <c r="T1136" s="48" t="s">
        <v>5270</v>
      </c>
      <c r="U1136" s="48">
        <v>1</v>
      </c>
      <c r="V1136" s="48" t="s">
        <v>1364</v>
      </c>
      <c r="W1136" s="48"/>
      <c r="X1136" s="48" t="s">
        <v>600</v>
      </c>
      <c r="Y1136" s="48" t="s">
        <v>4735</v>
      </c>
      <c r="Z1136" s="48" t="s">
        <v>1466</v>
      </c>
      <c r="AA1136" s="48" t="s">
        <v>1835</v>
      </c>
      <c r="AB1136" s="48" t="s">
        <v>4736</v>
      </c>
      <c r="AC1136" s="48" t="s">
        <v>5981</v>
      </c>
      <c r="AD1136" s="48"/>
      <c r="AE1136" s="48"/>
      <c r="AF1136" s="48" t="s">
        <v>4739</v>
      </c>
      <c r="AG1136" s="48" t="s">
        <v>1372</v>
      </c>
      <c r="AH1136" s="48" t="s">
        <v>4735</v>
      </c>
      <c r="AI1136" s="48"/>
      <c r="AJ1136" s="48"/>
      <c r="AK1136" s="48">
        <v>0</v>
      </c>
      <c r="AL1136" s="48"/>
      <c r="AM1136" s="48"/>
      <c r="AN1136" s="48"/>
      <c r="AO1136" s="48" t="s">
        <v>1372</v>
      </c>
      <c r="AP1136" s="48" t="s">
        <v>1373</v>
      </c>
    </row>
    <row r="1137" spans="1:42">
      <c r="A1137" s="48" t="s">
        <v>5982</v>
      </c>
      <c r="B1137" s="48" t="s">
        <v>1356</v>
      </c>
      <c r="C1137" s="48" t="s">
        <v>1375</v>
      </c>
      <c r="D1137" s="48" t="s">
        <v>1358</v>
      </c>
      <c r="E1137" s="48"/>
      <c r="F1137" s="48" t="s">
        <v>1377</v>
      </c>
      <c r="G1137" s="49">
        <v>44831.9632291667</v>
      </c>
      <c r="H1137" s="49">
        <v>44831.9633796296</v>
      </c>
      <c r="I1137" s="48"/>
      <c r="J1137" s="48" t="s">
        <v>407</v>
      </c>
      <c r="K1137" s="48"/>
      <c r="L1137" s="48"/>
      <c r="M1137" s="48">
        <v>299</v>
      </c>
      <c r="N1137" s="48">
        <v>0</v>
      </c>
      <c r="O1137" s="48">
        <v>-5</v>
      </c>
      <c r="P1137" s="48">
        <v>0</v>
      </c>
      <c r="Q1137" s="48">
        <v>294</v>
      </c>
      <c r="R1137" s="48">
        <v>294</v>
      </c>
      <c r="S1137" s="48" t="s">
        <v>1422</v>
      </c>
      <c r="T1137" s="48" t="s">
        <v>3259</v>
      </c>
      <c r="U1137" s="48">
        <v>1</v>
      </c>
      <c r="V1137" s="48" t="s">
        <v>1364</v>
      </c>
      <c r="W1137" s="48"/>
      <c r="X1137" s="48" t="s">
        <v>381</v>
      </c>
      <c r="Y1137" s="48" t="s">
        <v>5967</v>
      </c>
      <c r="Z1137" s="48" t="s">
        <v>1495</v>
      </c>
      <c r="AA1137" s="48" t="s">
        <v>1757</v>
      </c>
      <c r="AB1137" s="48" t="s">
        <v>4426</v>
      </c>
      <c r="AC1137" s="48" t="s">
        <v>5968</v>
      </c>
      <c r="AD1137" s="48"/>
      <c r="AE1137" s="48"/>
      <c r="AF1137" s="48" t="s">
        <v>5969</v>
      </c>
      <c r="AG1137" s="48" t="s">
        <v>1372</v>
      </c>
      <c r="AH1137" s="48"/>
      <c r="AI1137" s="48"/>
      <c r="AJ1137" s="48" t="s">
        <v>1649</v>
      </c>
      <c r="AK1137" s="48">
        <v>0</v>
      </c>
      <c r="AL1137" s="48"/>
      <c r="AM1137" s="48"/>
      <c r="AN1137" s="48"/>
      <c r="AO1137" s="48" t="s">
        <v>1372</v>
      </c>
      <c r="AP1137" s="48" t="s">
        <v>1373</v>
      </c>
    </row>
    <row r="1138" spans="1:42">
      <c r="A1138" s="48" t="s">
        <v>5983</v>
      </c>
      <c r="B1138" s="48" t="s">
        <v>1356</v>
      </c>
      <c r="C1138" s="48" t="s">
        <v>1375</v>
      </c>
      <c r="D1138" s="48" t="s">
        <v>1358</v>
      </c>
      <c r="E1138" s="48"/>
      <c r="F1138" s="48" t="s">
        <v>1377</v>
      </c>
      <c r="G1138" s="49">
        <v>44831.9624421296</v>
      </c>
      <c r="H1138" s="49">
        <v>44831.9626041667</v>
      </c>
      <c r="I1138" s="48"/>
      <c r="J1138" s="48" t="s">
        <v>407</v>
      </c>
      <c r="K1138" s="48"/>
      <c r="L1138" s="48"/>
      <c r="M1138" s="48">
        <v>299</v>
      </c>
      <c r="N1138" s="48">
        <v>0</v>
      </c>
      <c r="O1138" s="48">
        <v>0</v>
      </c>
      <c r="P1138" s="48">
        <v>0</v>
      </c>
      <c r="Q1138" s="48">
        <v>299</v>
      </c>
      <c r="R1138" s="48">
        <v>299</v>
      </c>
      <c r="S1138" s="48"/>
      <c r="T1138" s="48" t="s">
        <v>1890</v>
      </c>
      <c r="U1138" s="48">
        <v>1</v>
      </c>
      <c r="V1138" s="48" t="s">
        <v>1364</v>
      </c>
      <c r="W1138" s="48"/>
      <c r="X1138" s="48" t="s">
        <v>381</v>
      </c>
      <c r="Y1138" s="48" t="s">
        <v>5967</v>
      </c>
      <c r="Z1138" s="48" t="s">
        <v>1495</v>
      </c>
      <c r="AA1138" s="48" t="s">
        <v>1757</v>
      </c>
      <c r="AB1138" s="48" t="s">
        <v>4426</v>
      </c>
      <c r="AC1138" s="48" t="s">
        <v>5968</v>
      </c>
      <c r="AD1138" s="48"/>
      <c r="AE1138" s="48"/>
      <c r="AF1138" s="48" t="s">
        <v>5969</v>
      </c>
      <c r="AG1138" s="48" t="s">
        <v>1372</v>
      </c>
      <c r="AH1138" s="48"/>
      <c r="AI1138" s="48"/>
      <c r="AJ1138" s="48"/>
      <c r="AK1138" s="48">
        <v>0</v>
      </c>
      <c r="AL1138" s="48"/>
      <c r="AM1138" s="48"/>
      <c r="AN1138" s="48"/>
      <c r="AO1138" s="48" t="s">
        <v>1372</v>
      </c>
      <c r="AP1138" s="48" t="s">
        <v>1373</v>
      </c>
    </row>
    <row r="1139" spans="1:42">
      <c r="A1139" s="48" t="s">
        <v>5984</v>
      </c>
      <c r="B1139" s="48" t="s">
        <v>1356</v>
      </c>
      <c r="C1139" s="48" t="s">
        <v>1375</v>
      </c>
      <c r="D1139" s="48" t="s">
        <v>1358</v>
      </c>
      <c r="E1139" s="48"/>
      <c r="F1139" s="48" t="s">
        <v>1377</v>
      </c>
      <c r="G1139" s="49">
        <v>44831.9623726852</v>
      </c>
      <c r="H1139" s="49">
        <v>44831.9624652778</v>
      </c>
      <c r="I1139" s="48"/>
      <c r="J1139" s="48" t="s">
        <v>407</v>
      </c>
      <c r="K1139" s="48"/>
      <c r="L1139" s="48"/>
      <c r="M1139" s="48">
        <v>259</v>
      </c>
      <c r="N1139" s="48">
        <v>0</v>
      </c>
      <c r="O1139" s="48">
        <v>0</v>
      </c>
      <c r="P1139" s="48">
        <v>0</v>
      </c>
      <c r="Q1139" s="48">
        <v>259</v>
      </c>
      <c r="R1139" s="48">
        <v>259</v>
      </c>
      <c r="S1139" s="48"/>
      <c r="T1139" s="48" t="s">
        <v>5985</v>
      </c>
      <c r="U1139" s="48">
        <v>1</v>
      </c>
      <c r="V1139" s="48" t="s">
        <v>1364</v>
      </c>
      <c r="W1139" s="48"/>
      <c r="X1139" s="48" t="s">
        <v>799</v>
      </c>
      <c r="Y1139" s="48" t="s">
        <v>5986</v>
      </c>
      <c r="Z1139" s="48" t="s">
        <v>1367</v>
      </c>
      <c r="AA1139" s="48" t="s">
        <v>1551</v>
      </c>
      <c r="AB1139" s="48" t="s">
        <v>5987</v>
      </c>
      <c r="AC1139" s="48" t="s">
        <v>5988</v>
      </c>
      <c r="AD1139" s="48"/>
      <c r="AE1139" s="48"/>
      <c r="AF1139" s="48" t="s">
        <v>5989</v>
      </c>
      <c r="AG1139" s="48" t="s">
        <v>1372</v>
      </c>
      <c r="AH1139" s="48"/>
      <c r="AI1139" s="48"/>
      <c r="AJ1139" s="48"/>
      <c r="AK1139" s="48">
        <v>0</v>
      </c>
      <c r="AL1139" s="48"/>
      <c r="AM1139" s="48"/>
      <c r="AN1139" s="48"/>
      <c r="AO1139" s="48" t="s">
        <v>1372</v>
      </c>
      <c r="AP1139" s="48" t="s">
        <v>1373</v>
      </c>
    </row>
    <row r="1140" spans="1:42">
      <c r="A1140" s="48" t="s">
        <v>5990</v>
      </c>
      <c r="B1140" s="48" t="s">
        <v>1356</v>
      </c>
      <c r="C1140" s="48" t="s">
        <v>1375</v>
      </c>
      <c r="D1140" s="48" t="s">
        <v>1358</v>
      </c>
      <c r="E1140" s="48"/>
      <c r="F1140" s="48" t="s">
        <v>1377</v>
      </c>
      <c r="G1140" s="49">
        <v>44831.949525463</v>
      </c>
      <c r="H1140" s="49">
        <v>44831.9496527778</v>
      </c>
      <c r="I1140" s="48"/>
      <c r="J1140" s="48" t="s">
        <v>407</v>
      </c>
      <c r="K1140" s="48"/>
      <c r="L1140" s="48"/>
      <c r="M1140" s="48">
        <v>239</v>
      </c>
      <c r="N1140" s="48">
        <v>0</v>
      </c>
      <c r="O1140" s="48">
        <v>-2</v>
      </c>
      <c r="P1140" s="48">
        <v>0</v>
      </c>
      <c r="Q1140" s="48">
        <v>237</v>
      </c>
      <c r="R1140" s="48">
        <v>237</v>
      </c>
      <c r="S1140" s="48" t="s">
        <v>1400</v>
      </c>
      <c r="T1140" s="48" t="s">
        <v>5991</v>
      </c>
      <c r="U1140" s="48">
        <v>1</v>
      </c>
      <c r="V1140" s="48" t="s">
        <v>1364</v>
      </c>
      <c r="W1140" s="48"/>
      <c r="X1140" s="48" t="s">
        <v>377</v>
      </c>
      <c r="Y1140" s="48" t="s">
        <v>4653</v>
      </c>
      <c r="Z1140" s="48" t="s">
        <v>2386</v>
      </c>
      <c r="AA1140" s="48" t="s">
        <v>2386</v>
      </c>
      <c r="AB1140" s="48" t="s">
        <v>3620</v>
      </c>
      <c r="AC1140" s="48" t="s">
        <v>4654</v>
      </c>
      <c r="AD1140" s="48"/>
      <c r="AE1140" s="48"/>
      <c r="AF1140" s="48" t="s">
        <v>4655</v>
      </c>
      <c r="AG1140" s="48" t="s">
        <v>1372</v>
      </c>
      <c r="AH1140" s="48" t="s">
        <v>4653</v>
      </c>
      <c r="AI1140" s="48"/>
      <c r="AJ1140" s="48"/>
      <c r="AK1140" s="48">
        <v>0</v>
      </c>
      <c r="AL1140" s="48"/>
      <c r="AM1140" s="48"/>
      <c r="AN1140" s="48"/>
      <c r="AO1140" s="48" t="s">
        <v>1372</v>
      </c>
      <c r="AP1140" s="48" t="s">
        <v>1373</v>
      </c>
    </row>
    <row r="1141" spans="1:42">
      <c r="A1141" s="48" t="s">
        <v>5992</v>
      </c>
      <c r="B1141" s="48" t="s">
        <v>1356</v>
      </c>
      <c r="C1141" s="48" t="s">
        <v>1375</v>
      </c>
      <c r="D1141" s="48" t="s">
        <v>1358</v>
      </c>
      <c r="E1141" s="48"/>
      <c r="F1141" s="48" t="s">
        <v>1377</v>
      </c>
      <c r="G1141" s="49">
        <v>44831.936724537</v>
      </c>
      <c r="H1141" s="49">
        <v>44831.9373032407</v>
      </c>
      <c r="I1141" s="48"/>
      <c r="J1141" s="48" t="s">
        <v>407</v>
      </c>
      <c r="K1141" s="48"/>
      <c r="L1141" s="48"/>
      <c r="M1141" s="48">
        <v>239</v>
      </c>
      <c r="N1141" s="48">
        <v>0</v>
      </c>
      <c r="O1141" s="48">
        <v>0</v>
      </c>
      <c r="P1141" s="48">
        <v>0</v>
      </c>
      <c r="Q1141" s="48">
        <v>239</v>
      </c>
      <c r="R1141" s="48">
        <v>239</v>
      </c>
      <c r="S1141" s="48"/>
      <c r="T1141" s="48" t="s">
        <v>5993</v>
      </c>
      <c r="U1141" s="48">
        <v>1</v>
      </c>
      <c r="V1141" s="48" t="s">
        <v>1364</v>
      </c>
      <c r="W1141" s="48"/>
      <c r="X1141" s="48" t="s">
        <v>593</v>
      </c>
      <c r="Y1141" s="48" t="s">
        <v>3025</v>
      </c>
      <c r="Z1141" s="48" t="s">
        <v>2336</v>
      </c>
      <c r="AA1141" s="48" t="s">
        <v>2336</v>
      </c>
      <c r="AB1141" s="48" t="s">
        <v>3026</v>
      </c>
      <c r="AC1141" s="48" t="s">
        <v>3027</v>
      </c>
      <c r="AD1141" s="48"/>
      <c r="AE1141" s="48"/>
      <c r="AF1141" s="48" t="s">
        <v>3028</v>
      </c>
      <c r="AG1141" s="48" t="s">
        <v>1385</v>
      </c>
      <c r="AH1141" s="48" t="s">
        <v>3025</v>
      </c>
      <c r="AI1141" s="48"/>
      <c r="AJ1141" s="48"/>
      <c r="AK1141" s="48">
        <v>0</v>
      </c>
      <c r="AL1141" s="48"/>
      <c r="AM1141" s="48"/>
      <c r="AN1141" s="48"/>
      <c r="AO1141" s="48" t="s">
        <v>1372</v>
      </c>
      <c r="AP1141" s="48" t="s">
        <v>1373</v>
      </c>
    </row>
    <row r="1142" hidden="1" spans="1:42">
      <c r="A1142" s="48" t="s">
        <v>5994</v>
      </c>
      <c r="B1142" s="48" t="s">
        <v>1356</v>
      </c>
      <c r="C1142" s="48" t="s">
        <v>1375</v>
      </c>
      <c r="D1142" s="48" t="s">
        <v>1376</v>
      </c>
      <c r="E1142" s="48"/>
      <c r="F1142" s="48" t="s">
        <v>1377</v>
      </c>
      <c r="G1142" s="49">
        <v>44831.932650463</v>
      </c>
      <c r="H1142" s="48"/>
      <c r="I1142" s="48"/>
      <c r="J1142" s="48"/>
      <c r="K1142" s="48"/>
      <c r="L1142" s="48"/>
      <c r="M1142" s="48">
        <v>339</v>
      </c>
      <c r="N1142" s="48">
        <v>0</v>
      </c>
      <c r="O1142" s="48">
        <v>-5</v>
      </c>
      <c r="P1142" s="48">
        <v>0</v>
      </c>
      <c r="Q1142" s="48">
        <v>334</v>
      </c>
      <c r="R1142" s="48">
        <v>0</v>
      </c>
      <c r="S1142" s="48" t="s">
        <v>1422</v>
      </c>
      <c r="T1142" s="48" t="s">
        <v>5353</v>
      </c>
      <c r="U1142" s="48">
        <v>1</v>
      </c>
      <c r="V1142" s="48" t="s">
        <v>1364</v>
      </c>
      <c r="W1142" s="48"/>
      <c r="X1142" s="48" t="s">
        <v>756</v>
      </c>
      <c r="Y1142" s="48" t="s">
        <v>3971</v>
      </c>
      <c r="Z1142" s="48" t="s">
        <v>1748</v>
      </c>
      <c r="AA1142" s="48" t="s">
        <v>3972</v>
      </c>
      <c r="AB1142" s="48" t="s">
        <v>3973</v>
      </c>
      <c r="AC1142" s="48" t="s">
        <v>3974</v>
      </c>
      <c r="AD1142" s="48"/>
      <c r="AE1142" s="48"/>
      <c r="AF1142" s="48" t="s">
        <v>3976</v>
      </c>
      <c r="AG1142" s="48" t="s">
        <v>1372</v>
      </c>
      <c r="AH1142" s="48" t="s">
        <v>3976</v>
      </c>
      <c r="AI1142" s="48"/>
      <c r="AJ1142" s="48"/>
      <c r="AK1142" s="48">
        <v>0</v>
      </c>
      <c r="AL1142" s="48"/>
      <c r="AM1142" s="48"/>
      <c r="AN1142" s="48"/>
      <c r="AO1142" s="48" t="s">
        <v>1372</v>
      </c>
      <c r="AP1142" s="48" t="s">
        <v>1373</v>
      </c>
    </row>
    <row r="1143" hidden="1" spans="1:42">
      <c r="A1143" s="48" t="s">
        <v>5995</v>
      </c>
      <c r="B1143" s="48" t="s">
        <v>1356</v>
      </c>
      <c r="C1143" s="48" t="s">
        <v>1375</v>
      </c>
      <c r="D1143" s="48" t="s">
        <v>1376</v>
      </c>
      <c r="E1143" s="48"/>
      <c r="F1143" s="48" t="s">
        <v>1377</v>
      </c>
      <c r="G1143" s="49">
        <v>44831.9324537037</v>
      </c>
      <c r="H1143" s="48"/>
      <c r="I1143" s="48"/>
      <c r="J1143" s="48"/>
      <c r="K1143" s="48"/>
      <c r="L1143" s="48"/>
      <c r="M1143" s="48">
        <v>239</v>
      </c>
      <c r="N1143" s="48">
        <v>0</v>
      </c>
      <c r="O1143" s="48">
        <v>-2</v>
      </c>
      <c r="P1143" s="48">
        <v>0</v>
      </c>
      <c r="Q1143" s="48">
        <v>237</v>
      </c>
      <c r="R1143" s="48">
        <v>0</v>
      </c>
      <c r="S1143" s="48" t="s">
        <v>1400</v>
      </c>
      <c r="T1143" s="48" t="s">
        <v>5996</v>
      </c>
      <c r="U1143" s="48">
        <v>1</v>
      </c>
      <c r="V1143" s="48" t="s">
        <v>1364</v>
      </c>
      <c r="W1143" s="48"/>
      <c r="X1143" s="48" t="s">
        <v>593</v>
      </c>
      <c r="Y1143" s="48" t="s">
        <v>3025</v>
      </c>
      <c r="Z1143" s="48" t="s">
        <v>2336</v>
      </c>
      <c r="AA1143" s="48" t="s">
        <v>2336</v>
      </c>
      <c r="AB1143" s="48" t="s">
        <v>3026</v>
      </c>
      <c r="AC1143" s="48" t="s">
        <v>3027</v>
      </c>
      <c r="AD1143" s="48"/>
      <c r="AE1143" s="48"/>
      <c r="AF1143" s="48" t="s">
        <v>3028</v>
      </c>
      <c r="AG1143" s="48" t="s">
        <v>1385</v>
      </c>
      <c r="AH1143" s="48" t="s">
        <v>3025</v>
      </c>
      <c r="AI1143" s="48"/>
      <c r="AJ1143" s="48"/>
      <c r="AK1143" s="48">
        <v>0</v>
      </c>
      <c r="AL1143" s="48"/>
      <c r="AM1143" s="48"/>
      <c r="AN1143" s="48"/>
      <c r="AO1143" s="48" t="s">
        <v>1372</v>
      </c>
      <c r="AP1143" s="48" t="s">
        <v>1373</v>
      </c>
    </row>
    <row r="1144" hidden="1" spans="1:42">
      <c r="A1144" s="48" t="s">
        <v>5997</v>
      </c>
      <c r="B1144" s="48" t="s">
        <v>1356</v>
      </c>
      <c r="C1144" s="48" t="s">
        <v>1375</v>
      </c>
      <c r="D1144" s="48" t="s">
        <v>1376</v>
      </c>
      <c r="E1144" s="48"/>
      <c r="F1144" s="48" t="s">
        <v>1377</v>
      </c>
      <c r="G1144" s="49">
        <v>44831.9283217593</v>
      </c>
      <c r="H1144" s="48"/>
      <c r="I1144" s="48"/>
      <c r="J1144" s="48"/>
      <c r="K1144" s="48"/>
      <c r="L1144" s="48"/>
      <c r="M1144" s="48">
        <v>239</v>
      </c>
      <c r="N1144" s="48">
        <v>0</v>
      </c>
      <c r="O1144" s="48">
        <v>-10</v>
      </c>
      <c r="P1144" s="48">
        <v>0</v>
      </c>
      <c r="Q1144" s="48">
        <v>229</v>
      </c>
      <c r="R1144" s="48">
        <v>0</v>
      </c>
      <c r="S1144" s="48" t="s">
        <v>2860</v>
      </c>
      <c r="T1144" s="48" t="s">
        <v>5998</v>
      </c>
      <c r="U1144" s="48">
        <v>1</v>
      </c>
      <c r="V1144" s="48" t="s">
        <v>1364</v>
      </c>
      <c r="W1144" s="48"/>
      <c r="X1144" s="48" t="s">
        <v>592</v>
      </c>
      <c r="Y1144" s="48" t="s">
        <v>3873</v>
      </c>
      <c r="Z1144" s="48" t="s">
        <v>1678</v>
      </c>
      <c r="AA1144" s="48" t="s">
        <v>2007</v>
      </c>
      <c r="AB1144" s="48" t="s">
        <v>2451</v>
      </c>
      <c r="AC1144" s="48" t="s">
        <v>3874</v>
      </c>
      <c r="AD1144" s="48"/>
      <c r="AE1144" s="48"/>
      <c r="AF1144" s="48" t="s">
        <v>4389</v>
      </c>
      <c r="AG1144" s="48" t="s">
        <v>1372</v>
      </c>
      <c r="AH1144" s="48" t="s">
        <v>4390</v>
      </c>
      <c r="AI1144" s="48"/>
      <c r="AJ1144" s="48"/>
      <c r="AK1144" s="48">
        <v>0</v>
      </c>
      <c r="AL1144" s="48"/>
      <c r="AM1144" s="48"/>
      <c r="AN1144" s="48"/>
      <c r="AO1144" s="48" t="s">
        <v>1372</v>
      </c>
      <c r="AP1144" s="48" t="s">
        <v>1373</v>
      </c>
    </row>
    <row r="1145" spans="1:42">
      <c r="A1145" s="48" t="s">
        <v>5999</v>
      </c>
      <c r="B1145" s="48" t="s">
        <v>1356</v>
      </c>
      <c r="C1145" s="48" t="s">
        <v>1375</v>
      </c>
      <c r="D1145" s="48" t="s">
        <v>1358</v>
      </c>
      <c r="E1145" s="48"/>
      <c r="F1145" s="48" t="s">
        <v>1377</v>
      </c>
      <c r="G1145" s="49">
        <v>44831.9273842593</v>
      </c>
      <c r="H1145" s="49">
        <v>44831.9274884259</v>
      </c>
      <c r="I1145" s="48"/>
      <c r="J1145" s="48" t="s">
        <v>407</v>
      </c>
      <c r="K1145" s="48"/>
      <c r="L1145" s="48"/>
      <c r="M1145" s="48">
        <v>239</v>
      </c>
      <c r="N1145" s="48">
        <v>0</v>
      </c>
      <c r="O1145" s="48">
        <v>0</v>
      </c>
      <c r="P1145" s="48">
        <v>0</v>
      </c>
      <c r="Q1145" s="48">
        <v>239</v>
      </c>
      <c r="R1145" s="48">
        <v>239</v>
      </c>
      <c r="S1145" s="48"/>
      <c r="T1145" s="48" t="s">
        <v>6000</v>
      </c>
      <c r="U1145" s="48">
        <v>1</v>
      </c>
      <c r="V1145" s="48" t="s">
        <v>1364</v>
      </c>
      <c r="W1145" s="48"/>
      <c r="X1145" s="48" t="s">
        <v>864</v>
      </c>
      <c r="Y1145" s="48" t="s">
        <v>6001</v>
      </c>
      <c r="Z1145" s="48" t="s">
        <v>2386</v>
      </c>
      <c r="AA1145" s="48" t="s">
        <v>2386</v>
      </c>
      <c r="AB1145" s="48" t="s">
        <v>2847</v>
      </c>
      <c r="AC1145" s="48" t="s">
        <v>6002</v>
      </c>
      <c r="AD1145" s="48"/>
      <c r="AE1145" s="48"/>
      <c r="AF1145" s="48" t="s">
        <v>6003</v>
      </c>
      <c r="AG1145" s="48" t="s">
        <v>1372</v>
      </c>
      <c r="AH1145" s="48"/>
      <c r="AI1145" s="48"/>
      <c r="AJ1145" s="48"/>
      <c r="AK1145" s="48">
        <v>0</v>
      </c>
      <c r="AL1145" s="48"/>
      <c r="AM1145" s="48"/>
      <c r="AN1145" s="48"/>
      <c r="AO1145" s="48" t="s">
        <v>1372</v>
      </c>
      <c r="AP1145" s="48" t="s">
        <v>1373</v>
      </c>
    </row>
    <row r="1146" hidden="1" spans="1:42">
      <c r="A1146" s="48" t="s">
        <v>6004</v>
      </c>
      <c r="B1146" s="48" t="s">
        <v>1356</v>
      </c>
      <c r="C1146" s="48" t="s">
        <v>1375</v>
      </c>
      <c r="D1146" s="48" t="s">
        <v>1358</v>
      </c>
      <c r="E1146" s="48"/>
      <c r="F1146" s="48" t="s">
        <v>1359</v>
      </c>
      <c r="G1146" s="49">
        <v>44831.9273032407</v>
      </c>
      <c r="H1146" s="49">
        <v>44831.9274305556</v>
      </c>
      <c r="I1146" s="48"/>
      <c r="J1146" s="48" t="s">
        <v>1360</v>
      </c>
      <c r="K1146" s="48" t="s">
        <v>6005</v>
      </c>
      <c r="L1146" s="48" t="s">
        <v>6006</v>
      </c>
      <c r="M1146" s="48">
        <v>38</v>
      </c>
      <c r="N1146" s="48">
        <v>0</v>
      </c>
      <c r="O1146" s="48">
        <v>0</v>
      </c>
      <c r="P1146" s="48">
        <v>0</v>
      </c>
      <c r="Q1146" s="48">
        <v>38</v>
      </c>
      <c r="R1146" s="48">
        <v>38</v>
      </c>
      <c r="S1146" s="48"/>
      <c r="T1146" s="48" t="s">
        <v>6007</v>
      </c>
      <c r="U1146" s="48">
        <v>1</v>
      </c>
      <c r="V1146" s="48" t="s">
        <v>1364</v>
      </c>
      <c r="W1146" s="48"/>
      <c r="X1146" s="48" t="s">
        <v>6008</v>
      </c>
      <c r="Y1146" s="48" t="s">
        <v>6009</v>
      </c>
      <c r="Z1146" s="48" t="s">
        <v>1794</v>
      </c>
      <c r="AA1146" s="48" t="s">
        <v>6010</v>
      </c>
      <c r="AB1146" s="48" t="s">
        <v>6011</v>
      </c>
      <c r="AC1146" s="48" t="s">
        <v>6012</v>
      </c>
      <c r="AD1146" s="48"/>
      <c r="AE1146" s="48"/>
      <c r="AF1146" s="48" t="s">
        <v>6013</v>
      </c>
      <c r="AG1146" s="48" t="s">
        <v>1372</v>
      </c>
      <c r="AH1146" s="48" t="s">
        <v>6009</v>
      </c>
      <c r="AI1146" s="48"/>
      <c r="AJ1146" s="48" t="s">
        <v>1649</v>
      </c>
      <c r="AK1146" s="48">
        <v>0</v>
      </c>
      <c r="AL1146" s="48"/>
      <c r="AM1146" s="48"/>
      <c r="AN1146" s="48"/>
      <c r="AO1146" s="48" t="s">
        <v>1372</v>
      </c>
      <c r="AP1146" s="48" t="s">
        <v>1373</v>
      </c>
    </row>
    <row r="1147" spans="1:42">
      <c r="A1147" s="48" t="s">
        <v>6014</v>
      </c>
      <c r="B1147" s="48" t="s">
        <v>1356</v>
      </c>
      <c r="C1147" s="48" t="s">
        <v>1375</v>
      </c>
      <c r="D1147" s="48" t="s">
        <v>1358</v>
      </c>
      <c r="E1147" s="48"/>
      <c r="F1147" s="48" t="s">
        <v>1377</v>
      </c>
      <c r="G1147" s="49">
        <v>44831.9076388889</v>
      </c>
      <c r="H1147" s="49">
        <v>44831.9077893519</v>
      </c>
      <c r="I1147" s="48"/>
      <c r="J1147" s="48" t="s">
        <v>407</v>
      </c>
      <c r="K1147" s="48"/>
      <c r="L1147" s="48"/>
      <c r="M1147" s="48">
        <v>259</v>
      </c>
      <c r="N1147" s="48">
        <v>0</v>
      </c>
      <c r="O1147" s="48">
        <v>0</v>
      </c>
      <c r="P1147" s="48">
        <v>0</v>
      </c>
      <c r="Q1147" s="48">
        <v>259</v>
      </c>
      <c r="R1147" s="48">
        <v>259</v>
      </c>
      <c r="S1147" s="48"/>
      <c r="T1147" s="48" t="s">
        <v>6015</v>
      </c>
      <c r="U1147" s="48">
        <v>1</v>
      </c>
      <c r="V1147" s="48" t="s">
        <v>1364</v>
      </c>
      <c r="W1147" s="48"/>
      <c r="X1147" s="48" t="s">
        <v>391</v>
      </c>
      <c r="Y1147" s="48" t="s">
        <v>3574</v>
      </c>
      <c r="Z1147" s="48" t="s">
        <v>1380</v>
      </c>
      <c r="AA1147" s="48" t="s">
        <v>1506</v>
      </c>
      <c r="AB1147" s="48" t="s">
        <v>3575</v>
      </c>
      <c r="AC1147" s="48" t="s">
        <v>3576</v>
      </c>
      <c r="AD1147" s="48"/>
      <c r="AE1147" s="48"/>
      <c r="AF1147" s="48" t="s">
        <v>391</v>
      </c>
      <c r="AG1147" s="48" t="s">
        <v>1372</v>
      </c>
      <c r="AH1147" s="48"/>
      <c r="AI1147" s="48"/>
      <c r="AJ1147" s="48" t="s">
        <v>1649</v>
      </c>
      <c r="AK1147" s="48">
        <v>0</v>
      </c>
      <c r="AL1147" s="48"/>
      <c r="AM1147" s="48"/>
      <c r="AN1147" s="48"/>
      <c r="AO1147" s="48" t="s">
        <v>1372</v>
      </c>
      <c r="AP1147" s="48" t="s">
        <v>1373</v>
      </c>
    </row>
    <row r="1148" hidden="1" spans="1:42">
      <c r="A1148" s="48" t="s">
        <v>6016</v>
      </c>
      <c r="B1148" s="48" t="s">
        <v>1356</v>
      </c>
      <c r="C1148" s="48" t="s">
        <v>1375</v>
      </c>
      <c r="D1148" s="48" t="s">
        <v>1358</v>
      </c>
      <c r="E1148" s="48"/>
      <c r="F1148" s="48" t="s">
        <v>1359</v>
      </c>
      <c r="G1148" s="49">
        <v>44831.9071643519</v>
      </c>
      <c r="H1148" s="49">
        <v>44831.9072685185</v>
      </c>
      <c r="I1148" s="48"/>
      <c r="J1148" s="48" t="s">
        <v>1360</v>
      </c>
      <c r="K1148" s="48" t="s">
        <v>6017</v>
      </c>
      <c r="L1148" s="48" t="s">
        <v>6018</v>
      </c>
      <c r="M1148" s="48">
        <v>298</v>
      </c>
      <c r="N1148" s="48">
        <v>0</v>
      </c>
      <c r="O1148" s="48">
        <v>0</v>
      </c>
      <c r="P1148" s="48">
        <v>0</v>
      </c>
      <c r="Q1148" s="48">
        <v>298</v>
      </c>
      <c r="R1148" s="48">
        <v>298</v>
      </c>
      <c r="S1148" s="48"/>
      <c r="T1148" s="48" t="s">
        <v>6019</v>
      </c>
      <c r="U1148" s="48">
        <v>2</v>
      </c>
      <c r="V1148" s="48" t="s">
        <v>1364</v>
      </c>
      <c r="W1148" s="48"/>
      <c r="X1148" s="48" t="s">
        <v>707</v>
      </c>
      <c r="Y1148" s="48" t="s">
        <v>6020</v>
      </c>
      <c r="Z1148" s="48" t="s">
        <v>1367</v>
      </c>
      <c r="AA1148" s="48" t="s">
        <v>1551</v>
      </c>
      <c r="AB1148" s="48" t="s">
        <v>1552</v>
      </c>
      <c r="AC1148" s="48" t="s">
        <v>6021</v>
      </c>
      <c r="AD1148" s="48"/>
      <c r="AE1148" s="48"/>
      <c r="AF1148" s="48" t="s">
        <v>707</v>
      </c>
      <c r="AG1148" s="48" t="s">
        <v>1372</v>
      </c>
      <c r="AH1148" s="48" t="s">
        <v>6020</v>
      </c>
      <c r="AI1148" s="48"/>
      <c r="AJ1148" s="48"/>
      <c r="AK1148" s="48">
        <v>0</v>
      </c>
      <c r="AL1148" s="48"/>
      <c r="AM1148" s="48"/>
      <c r="AN1148" s="48"/>
      <c r="AO1148" s="48" t="s">
        <v>1372</v>
      </c>
      <c r="AP1148" s="48" t="s">
        <v>1373</v>
      </c>
    </row>
    <row r="1149" spans="1:42">
      <c r="A1149" s="48" t="s">
        <v>6022</v>
      </c>
      <c r="B1149" s="48" t="s">
        <v>1356</v>
      </c>
      <c r="C1149" s="48" t="s">
        <v>1375</v>
      </c>
      <c r="D1149" s="48" t="s">
        <v>1358</v>
      </c>
      <c r="E1149" s="48"/>
      <c r="F1149" s="48" t="s">
        <v>1377</v>
      </c>
      <c r="G1149" s="49">
        <v>44831.899224537</v>
      </c>
      <c r="H1149" s="49">
        <v>44831.8993518519</v>
      </c>
      <c r="I1149" s="48"/>
      <c r="J1149" s="48" t="s">
        <v>407</v>
      </c>
      <c r="K1149" s="48"/>
      <c r="L1149" s="48"/>
      <c r="M1149" s="48">
        <v>289</v>
      </c>
      <c r="N1149" s="48">
        <v>0</v>
      </c>
      <c r="O1149" s="48">
        <v>0</v>
      </c>
      <c r="P1149" s="48">
        <v>0</v>
      </c>
      <c r="Q1149" s="48">
        <v>289</v>
      </c>
      <c r="R1149" s="48">
        <v>289</v>
      </c>
      <c r="S1149" s="48"/>
      <c r="T1149" s="48" t="s">
        <v>5974</v>
      </c>
      <c r="U1149" s="48">
        <v>1</v>
      </c>
      <c r="V1149" s="48" t="s">
        <v>1364</v>
      </c>
      <c r="W1149" s="48"/>
      <c r="X1149" s="48" t="s">
        <v>747</v>
      </c>
      <c r="Y1149" s="48" t="s">
        <v>6023</v>
      </c>
      <c r="Z1149" s="48" t="s">
        <v>2509</v>
      </c>
      <c r="AA1149" s="48" t="s">
        <v>6024</v>
      </c>
      <c r="AB1149" s="48" t="s">
        <v>6025</v>
      </c>
      <c r="AC1149" s="48" t="s">
        <v>6026</v>
      </c>
      <c r="AD1149" s="48"/>
      <c r="AE1149" s="48"/>
      <c r="AF1149" s="48" t="s">
        <v>6027</v>
      </c>
      <c r="AG1149" s="48" t="s">
        <v>1372</v>
      </c>
      <c r="AH1149" s="48"/>
      <c r="AI1149" s="48"/>
      <c r="AJ1149" s="48"/>
      <c r="AK1149" s="48">
        <v>0</v>
      </c>
      <c r="AL1149" s="48"/>
      <c r="AM1149" s="48"/>
      <c r="AN1149" s="48"/>
      <c r="AO1149" s="48" t="s">
        <v>1372</v>
      </c>
      <c r="AP1149" s="48" t="s">
        <v>1373</v>
      </c>
    </row>
    <row r="1150" spans="1:42">
      <c r="A1150" s="48" t="s">
        <v>6028</v>
      </c>
      <c r="B1150" s="48" t="s">
        <v>1356</v>
      </c>
      <c r="C1150" s="48" t="s">
        <v>1375</v>
      </c>
      <c r="D1150" s="48" t="s">
        <v>1358</v>
      </c>
      <c r="E1150" s="48"/>
      <c r="F1150" s="48" t="s">
        <v>1377</v>
      </c>
      <c r="G1150" s="49">
        <v>44831.8964467593</v>
      </c>
      <c r="H1150" s="49">
        <v>44831.8966550926</v>
      </c>
      <c r="I1150" s="48"/>
      <c r="J1150" s="48" t="s">
        <v>407</v>
      </c>
      <c r="K1150" s="48"/>
      <c r="L1150" s="48"/>
      <c r="M1150" s="48">
        <v>599</v>
      </c>
      <c r="N1150" s="48">
        <v>0</v>
      </c>
      <c r="O1150" s="48">
        <v>0</v>
      </c>
      <c r="P1150" s="48">
        <v>0</v>
      </c>
      <c r="Q1150" s="48">
        <v>599</v>
      </c>
      <c r="R1150" s="48">
        <v>599</v>
      </c>
      <c r="S1150" s="48"/>
      <c r="T1150" s="48" t="s">
        <v>6029</v>
      </c>
      <c r="U1150" s="48">
        <v>1</v>
      </c>
      <c r="V1150" s="48" t="s">
        <v>1364</v>
      </c>
      <c r="W1150" s="48"/>
      <c r="X1150" s="48" t="s">
        <v>546</v>
      </c>
      <c r="Y1150" s="48" t="s">
        <v>6030</v>
      </c>
      <c r="Z1150" s="48" t="s">
        <v>1606</v>
      </c>
      <c r="AA1150" s="48" t="s">
        <v>5293</v>
      </c>
      <c r="AB1150" s="48" t="s">
        <v>6031</v>
      </c>
      <c r="AC1150" s="48" t="s">
        <v>6032</v>
      </c>
      <c r="AD1150" s="48"/>
      <c r="AE1150" s="48"/>
      <c r="AF1150" s="48" t="s">
        <v>6033</v>
      </c>
      <c r="AG1150" s="48" t="s">
        <v>1372</v>
      </c>
      <c r="AH1150" s="48"/>
      <c r="AI1150" s="48"/>
      <c r="AJ1150" s="48"/>
      <c r="AK1150" s="48">
        <v>0</v>
      </c>
      <c r="AL1150" s="48"/>
      <c r="AM1150" s="48"/>
      <c r="AN1150" s="48"/>
      <c r="AO1150" s="48" t="s">
        <v>1372</v>
      </c>
      <c r="AP1150" s="48" t="s">
        <v>1373</v>
      </c>
    </row>
    <row r="1151" spans="1:42">
      <c r="A1151" s="48" t="s">
        <v>6034</v>
      </c>
      <c r="B1151" s="48" t="s">
        <v>1356</v>
      </c>
      <c r="C1151" s="48" t="s">
        <v>1375</v>
      </c>
      <c r="D1151" s="48" t="s">
        <v>1358</v>
      </c>
      <c r="E1151" s="48"/>
      <c r="F1151" s="48" t="s">
        <v>1377</v>
      </c>
      <c r="G1151" s="49">
        <v>44831.874525463</v>
      </c>
      <c r="H1151" s="49">
        <v>44831.8746064815</v>
      </c>
      <c r="I1151" s="48"/>
      <c r="J1151" s="48" t="s">
        <v>407</v>
      </c>
      <c r="K1151" s="48"/>
      <c r="L1151" s="48"/>
      <c r="M1151" s="48">
        <v>49.9</v>
      </c>
      <c r="N1151" s="48">
        <v>0</v>
      </c>
      <c r="O1151" s="48">
        <v>0</v>
      </c>
      <c r="P1151" s="48">
        <v>0</v>
      </c>
      <c r="Q1151" s="48">
        <v>49.9</v>
      </c>
      <c r="R1151" s="48">
        <v>49.9</v>
      </c>
      <c r="S1151" s="48"/>
      <c r="T1151" s="48" t="s">
        <v>5818</v>
      </c>
      <c r="U1151" s="48">
        <v>1</v>
      </c>
      <c r="V1151" s="48" t="s">
        <v>1364</v>
      </c>
      <c r="W1151" s="48"/>
      <c r="X1151" s="48" t="s">
        <v>992</v>
      </c>
      <c r="Y1151" s="48" t="s">
        <v>6035</v>
      </c>
      <c r="Z1151" s="48" t="s">
        <v>1513</v>
      </c>
      <c r="AA1151" s="48" t="s">
        <v>6036</v>
      </c>
      <c r="AB1151" s="48" t="s">
        <v>6037</v>
      </c>
      <c r="AC1151" s="48" t="s">
        <v>6038</v>
      </c>
      <c r="AD1151" s="48"/>
      <c r="AE1151" s="48"/>
      <c r="AF1151" s="48" t="s">
        <v>6039</v>
      </c>
      <c r="AG1151" s="48" t="s">
        <v>1372</v>
      </c>
      <c r="AH1151" s="48"/>
      <c r="AI1151" s="48"/>
      <c r="AJ1151" s="48"/>
      <c r="AK1151" s="48">
        <v>0</v>
      </c>
      <c r="AL1151" s="48"/>
      <c r="AM1151" s="48"/>
      <c r="AN1151" s="48"/>
      <c r="AO1151" s="48" t="s">
        <v>1372</v>
      </c>
      <c r="AP1151" s="48" t="s">
        <v>1373</v>
      </c>
    </row>
    <row r="1152" spans="1:42">
      <c r="A1152" s="48" t="s">
        <v>6040</v>
      </c>
      <c r="B1152" s="48" t="s">
        <v>1356</v>
      </c>
      <c r="C1152" s="48" t="s">
        <v>1375</v>
      </c>
      <c r="D1152" s="48" t="s">
        <v>1358</v>
      </c>
      <c r="E1152" s="48"/>
      <c r="F1152" s="48" t="s">
        <v>1377</v>
      </c>
      <c r="G1152" s="49">
        <v>44831.8689699074</v>
      </c>
      <c r="H1152" s="49">
        <v>44831.8691435185</v>
      </c>
      <c r="I1152" s="48"/>
      <c r="J1152" s="48" t="s">
        <v>407</v>
      </c>
      <c r="K1152" s="48"/>
      <c r="L1152" s="48"/>
      <c r="M1152" s="48">
        <v>269</v>
      </c>
      <c r="N1152" s="48">
        <v>0</v>
      </c>
      <c r="O1152" s="48">
        <v>-7</v>
      </c>
      <c r="P1152" s="48">
        <v>0</v>
      </c>
      <c r="Q1152" s="48">
        <v>262</v>
      </c>
      <c r="R1152" s="48">
        <v>262</v>
      </c>
      <c r="S1152" s="48" t="s">
        <v>2550</v>
      </c>
      <c r="T1152" s="48" t="s">
        <v>6041</v>
      </c>
      <c r="U1152" s="48">
        <v>1</v>
      </c>
      <c r="V1152" s="48" t="s">
        <v>1364</v>
      </c>
      <c r="W1152" s="48"/>
      <c r="X1152" s="48" t="s">
        <v>505</v>
      </c>
      <c r="Y1152" s="48" t="s">
        <v>5757</v>
      </c>
      <c r="Z1152" s="48" t="s">
        <v>1678</v>
      </c>
      <c r="AA1152" s="48" t="s">
        <v>3333</v>
      </c>
      <c r="AB1152" s="48" t="s">
        <v>5758</v>
      </c>
      <c r="AC1152" s="48" t="s">
        <v>5759</v>
      </c>
      <c r="AD1152" s="48"/>
      <c r="AE1152" s="48"/>
      <c r="AF1152" s="48" t="s">
        <v>5760</v>
      </c>
      <c r="AG1152" s="48" t="s">
        <v>1372</v>
      </c>
      <c r="AH1152" s="48"/>
      <c r="AI1152" s="48"/>
      <c r="AJ1152" s="48"/>
      <c r="AK1152" s="48">
        <v>0</v>
      </c>
      <c r="AL1152" s="48"/>
      <c r="AM1152" s="48"/>
      <c r="AN1152" s="48"/>
      <c r="AO1152" s="48" t="s">
        <v>1372</v>
      </c>
      <c r="AP1152" s="48" t="s">
        <v>1373</v>
      </c>
    </row>
    <row r="1153" spans="1:42">
      <c r="A1153" s="48"/>
      <c r="B1153" s="48"/>
      <c r="C1153" s="48"/>
      <c r="D1153" s="48"/>
      <c r="E1153" s="48"/>
      <c r="F1153" s="48"/>
      <c r="G1153" s="48"/>
      <c r="H1153" s="48"/>
      <c r="I1153" s="48"/>
      <c r="J1153" s="48"/>
      <c r="K1153" s="48"/>
      <c r="L1153" s="48"/>
      <c r="M1153" s="48"/>
      <c r="N1153" s="48"/>
      <c r="O1153" s="48"/>
      <c r="P1153" s="48"/>
      <c r="Q1153" s="48"/>
      <c r="R1153" s="48"/>
      <c r="S1153" s="48"/>
      <c r="T1153" s="48"/>
      <c r="U1153" s="48"/>
      <c r="V1153" s="48"/>
      <c r="W1153" s="48"/>
      <c r="X1153" s="48"/>
      <c r="Y1153" s="48"/>
      <c r="Z1153" s="48"/>
      <c r="AA1153" s="48"/>
      <c r="AB1153" s="48"/>
      <c r="AC1153" s="48"/>
      <c r="AD1153" s="48"/>
      <c r="AE1153" s="48"/>
      <c r="AF1153" s="48"/>
      <c r="AG1153" s="48"/>
      <c r="AH1153" s="48"/>
      <c r="AI1153" s="48"/>
      <c r="AJ1153" s="48"/>
      <c r="AK1153" s="48"/>
      <c r="AL1153" s="48"/>
      <c r="AM1153" s="48"/>
      <c r="AN1153" s="48"/>
      <c r="AO1153" s="48"/>
      <c r="AP1153" s="48"/>
    </row>
  </sheetData>
  <autoFilter ref="A1:AP1152">
    <filterColumn colId="5">
      <customFilters>
        <customFilter operator="equal" val="微信视频号/直播间"/>
      </customFilters>
    </filterColumn>
    <filterColumn colId="7">
      <filters>
        <dateGroupItem year="2022" month="9" day="27" hour="20" dateTimeGrouping="hour"/>
        <dateGroupItem year="2022" month="9" day="27" hour="21" dateTimeGrouping="hour"/>
        <dateGroupItem year="2022" month="9" day="27" hour="22" dateTimeGrouping="hour"/>
        <dateGroupItem year="2022" month="9" day="27" hour="23" dateTimeGrouping="hour"/>
        <dateGroupItem year="2022" month="9" day="28" dateTimeGrouping="day"/>
      </filters>
    </filterColumn>
    <extLst/>
  </autoFilter>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24"/>
  <sheetViews>
    <sheetView workbookViewId="0">
      <selection activeCell="P6" sqref="P6:P15"/>
    </sheetView>
  </sheetViews>
  <sheetFormatPr defaultColWidth="9" defaultRowHeight="13.5" zeroHeight="1"/>
  <cols>
    <col min="1" max="1" width="15" style="1" customWidth="1"/>
    <col min="2" max="2" width="13.75" style="1" customWidth="1"/>
    <col min="3" max="3" width="13.75" style="1"/>
    <col min="4" max="4" width="13.625" style="1" customWidth="1"/>
    <col min="5" max="6" width="16.25" style="1" customWidth="1"/>
    <col min="7" max="7" width="10.375" style="1" customWidth="1"/>
    <col min="8" max="9" width="13.625" style="1" customWidth="1"/>
    <col min="10" max="10" width="16.25" style="1" customWidth="1"/>
    <col min="11" max="12" width="12.5" style="1"/>
    <col min="13" max="13" width="13.625" style="1" customWidth="1"/>
    <col min="14" max="15" width="16.25" style="1" customWidth="1"/>
    <col min="16" max="17" width="13.75" style="1" customWidth="1"/>
    <col min="18" max="18" width="11.5" style="1" customWidth="1"/>
    <col min="19" max="19" width="13.75" style="1" customWidth="1"/>
    <col min="20" max="20" width="11.5" style="1" customWidth="1"/>
    <col min="21" max="21" width="9" style="1"/>
    <col min="22" max="22" width="10.375" style="1" customWidth="1"/>
    <col min="23" max="23" width="13.75" style="1" customWidth="1"/>
    <col min="24" max="24" width="11.5" style="1" customWidth="1"/>
    <col min="25" max="25" width="9" style="1"/>
    <col min="26" max="26" width="13.75" style="1" customWidth="1"/>
    <col min="27" max="27" width="11.5" style="1" hidden="1" customWidth="1"/>
    <col min="28" max="28" width="13.75" style="1" hidden="1" customWidth="1"/>
    <col min="29" max="16381" width="9" style="1" hidden="1" customWidth="1"/>
    <col min="16382" max="16384" width="9" style="2" hidden="1" customWidth="1"/>
  </cols>
  <sheetData>
    <row r="1" s="1" customFormat="1" ht="18" customHeight="1" spans="1:7">
      <c r="A1" s="3">
        <v>44774</v>
      </c>
      <c r="B1" s="4"/>
      <c r="C1" s="5"/>
      <c r="D1" s="5"/>
      <c r="E1" s="5"/>
      <c r="F1" s="5"/>
      <c r="G1" s="5"/>
    </row>
    <row r="2" s="1" customFormat="1" ht="15.75" spans="1:13">
      <c r="A2" s="6" t="s">
        <v>163</v>
      </c>
      <c r="B2" s="6" t="s">
        <v>164</v>
      </c>
      <c r="C2" s="6" t="s">
        <v>100</v>
      </c>
      <c r="D2" s="6" t="s">
        <v>352</v>
      </c>
      <c r="E2" s="6" t="s">
        <v>353</v>
      </c>
      <c r="F2" s="6" t="s">
        <v>93</v>
      </c>
      <c r="G2" s="6" t="s">
        <v>95</v>
      </c>
      <c r="K2" s="29" t="s">
        <v>354</v>
      </c>
      <c r="L2" s="29" t="s">
        <v>355</v>
      </c>
      <c r="M2" s="29" t="s">
        <v>356</v>
      </c>
    </row>
    <row r="3" s="1" customFormat="1" ht="15.75" spans="1:13">
      <c r="A3" s="7">
        <v>31</v>
      </c>
      <c r="B3" s="7">
        <v>16</v>
      </c>
      <c r="C3" s="8">
        <f>D25</f>
        <v>93095.5</v>
      </c>
      <c r="D3" s="9">
        <f>B25</f>
        <v>1163</v>
      </c>
      <c r="E3" s="9">
        <f>C25</f>
        <v>2097</v>
      </c>
      <c r="F3" s="8">
        <f>C3/D3</f>
        <v>80.0477214101462</v>
      </c>
      <c r="G3" s="10">
        <f>E3/B3</f>
        <v>131.0625</v>
      </c>
      <c r="K3" s="38" t="s">
        <v>357</v>
      </c>
      <c r="L3" s="28">
        <f>M3/M5</f>
        <v>0.278614457831325</v>
      </c>
      <c r="M3" s="39">
        <v>185</v>
      </c>
    </row>
    <row r="4" s="1" customFormat="1" ht="14.25" spans="11:21">
      <c r="K4" s="38" t="s">
        <v>358</v>
      </c>
      <c r="L4" s="28">
        <f>M4/M5</f>
        <v>0.721385542168675</v>
      </c>
      <c r="M4" s="39">
        <f>M5-M3</f>
        <v>479</v>
      </c>
      <c r="P4" s="40" t="s">
        <v>6042</v>
      </c>
      <c r="U4" s="40" t="s">
        <v>6043</v>
      </c>
    </row>
    <row r="5" s="1" customFormat="1" ht="14.25" spans="11:23">
      <c r="K5" s="38" t="s">
        <v>88</v>
      </c>
      <c r="L5" s="41">
        <f>SUM(L3:L4)</f>
        <v>1</v>
      </c>
      <c r="M5" s="39">
        <v>664</v>
      </c>
      <c r="P5" s="13" t="s">
        <v>362</v>
      </c>
      <c r="Q5" s="13" t="s">
        <v>363</v>
      </c>
      <c r="R5" s="13" t="s">
        <v>364</v>
      </c>
      <c r="S5" s="13" t="s">
        <v>365</v>
      </c>
      <c r="U5" s="13" t="s">
        <v>362</v>
      </c>
      <c r="V5" s="13" t="s">
        <v>364</v>
      </c>
      <c r="W5" s="13" t="s">
        <v>6044</v>
      </c>
    </row>
    <row r="6" s="1" customFormat="1" ht="14.25" spans="2:23">
      <c r="B6" s="11" t="s">
        <v>98</v>
      </c>
      <c r="C6" s="12" t="s">
        <v>99</v>
      </c>
      <c r="P6" s="17" t="s">
        <v>373</v>
      </c>
      <c r="Q6" s="17">
        <v>2762.31</v>
      </c>
      <c r="R6" s="17">
        <v>29</v>
      </c>
      <c r="S6" s="17">
        <v>9</v>
      </c>
      <c r="U6" s="17" t="s">
        <v>382</v>
      </c>
      <c r="V6" s="17">
        <v>34</v>
      </c>
      <c r="W6" s="23">
        <v>1707.04</v>
      </c>
    </row>
    <row r="7" s="1" customFormat="1" ht="14.25" spans="1:23">
      <c r="A7" s="13" t="s">
        <v>186</v>
      </c>
      <c r="B7" s="13" t="s">
        <v>352</v>
      </c>
      <c r="C7" s="13" t="s">
        <v>367</v>
      </c>
      <c r="D7" s="14" t="s">
        <v>100</v>
      </c>
      <c r="E7" s="13" t="s">
        <v>93</v>
      </c>
      <c r="F7" s="13" t="s">
        <v>368</v>
      </c>
      <c r="G7" s="13" t="s">
        <v>369</v>
      </c>
      <c r="H7" s="15" t="s">
        <v>370</v>
      </c>
      <c r="I7" s="13" t="s">
        <v>371</v>
      </c>
      <c r="P7" s="17" t="s">
        <v>382</v>
      </c>
      <c r="Q7" s="17">
        <v>1707.04</v>
      </c>
      <c r="R7" s="17">
        <v>34</v>
      </c>
      <c r="S7" s="17">
        <v>8</v>
      </c>
      <c r="U7" s="17" t="s">
        <v>373</v>
      </c>
      <c r="V7" s="17">
        <v>32</v>
      </c>
      <c r="W7" s="23">
        <v>3019.11</v>
      </c>
    </row>
    <row r="8" s="1" customFormat="1" ht="14.25" spans="1:23">
      <c r="A8" s="16">
        <v>44782</v>
      </c>
      <c r="B8" s="17">
        <v>23</v>
      </c>
      <c r="C8" s="17">
        <v>51</v>
      </c>
      <c r="D8" s="18">
        <v>3821</v>
      </c>
      <c r="E8" s="19">
        <f t="shared" ref="E8:E23" si="0">D8/B8</f>
        <v>166.130434782609</v>
      </c>
      <c r="F8" s="20">
        <v>2791.1</v>
      </c>
      <c r="G8" s="21">
        <v>0.730463229521068</v>
      </c>
      <c r="H8" s="22">
        <v>2</v>
      </c>
      <c r="I8" s="42">
        <v>0.0869565217391304</v>
      </c>
      <c r="P8" s="17" t="s">
        <v>375</v>
      </c>
      <c r="Q8" s="17">
        <v>1697.06</v>
      </c>
      <c r="R8" s="17">
        <v>20</v>
      </c>
      <c r="S8" s="17">
        <v>10</v>
      </c>
      <c r="U8" s="17" t="s">
        <v>384</v>
      </c>
      <c r="V8" s="17">
        <v>26</v>
      </c>
      <c r="W8" s="23">
        <v>1636.13</v>
      </c>
    </row>
    <row r="9" s="1" customFormat="1" ht="14.25" spans="1:23">
      <c r="A9" s="16">
        <v>44783</v>
      </c>
      <c r="B9" s="17">
        <v>14</v>
      </c>
      <c r="C9" s="17">
        <v>19</v>
      </c>
      <c r="D9" s="18">
        <v>662.3</v>
      </c>
      <c r="E9" s="19">
        <f t="shared" si="0"/>
        <v>47.3071428571429</v>
      </c>
      <c r="F9" s="20">
        <v>622.7</v>
      </c>
      <c r="G9" s="21">
        <v>0.940208364789371</v>
      </c>
      <c r="H9" s="22">
        <v>1</v>
      </c>
      <c r="I9" s="42">
        <v>0.0714285714285714</v>
      </c>
      <c r="P9" s="17" t="s">
        <v>384</v>
      </c>
      <c r="Q9" s="17">
        <v>1636.13</v>
      </c>
      <c r="R9" s="17">
        <v>26</v>
      </c>
      <c r="S9" s="17">
        <v>8</v>
      </c>
      <c r="U9" s="17" t="s">
        <v>456</v>
      </c>
      <c r="V9" s="17">
        <v>25</v>
      </c>
      <c r="W9" s="23">
        <v>848.32</v>
      </c>
    </row>
    <row r="10" s="1" customFormat="1" ht="14.25" spans="1:23">
      <c r="A10" s="16">
        <v>44788</v>
      </c>
      <c r="B10" s="17">
        <v>34</v>
      </c>
      <c r="C10" s="17">
        <v>49</v>
      </c>
      <c r="D10" s="18">
        <v>3643</v>
      </c>
      <c r="E10" s="19">
        <f t="shared" si="0"/>
        <v>107.147058823529</v>
      </c>
      <c r="F10" s="23">
        <v>3064.5</v>
      </c>
      <c r="G10" s="21">
        <v>0.84120230579193</v>
      </c>
      <c r="H10" s="22">
        <v>7</v>
      </c>
      <c r="I10" s="42">
        <v>0.205882352941176</v>
      </c>
      <c r="P10" s="17" t="s">
        <v>393</v>
      </c>
      <c r="Q10" s="17">
        <v>1405.15</v>
      </c>
      <c r="R10" s="17">
        <v>23</v>
      </c>
      <c r="S10" s="17">
        <v>7</v>
      </c>
      <c r="U10" s="17" t="s">
        <v>393</v>
      </c>
      <c r="V10" s="17">
        <v>23</v>
      </c>
      <c r="W10" s="23">
        <v>1405.15</v>
      </c>
    </row>
    <row r="11" s="1" customFormat="1" ht="14.25" spans="1:23">
      <c r="A11" s="16">
        <v>44789</v>
      </c>
      <c r="B11" s="24">
        <v>32</v>
      </c>
      <c r="C11" s="17">
        <v>42</v>
      </c>
      <c r="D11" s="18">
        <v>3851.77</v>
      </c>
      <c r="E11" s="19">
        <f t="shared" si="0"/>
        <v>120.3678125</v>
      </c>
      <c r="F11" s="23">
        <v>3668.66</v>
      </c>
      <c r="G11" s="21">
        <v>0.952460816715432</v>
      </c>
      <c r="H11" s="22">
        <v>3</v>
      </c>
      <c r="I11" s="42">
        <v>0.09375</v>
      </c>
      <c r="P11" s="17" t="s">
        <v>399</v>
      </c>
      <c r="Q11" s="17">
        <v>1175.3</v>
      </c>
      <c r="R11" s="17">
        <v>17</v>
      </c>
      <c r="S11" s="17">
        <v>3</v>
      </c>
      <c r="U11" s="17" t="s">
        <v>396</v>
      </c>
      <c r="V11" s="17">
        <v>21</v>
      </c>
      <c r="W11" s="23">
        <v>1012</v>
      </c>
    </row>
    <row r="12" s="1" customFormat="1" ht="14.25" spans="1:23">
      <c r="A12" s="16">
        <v>44790</v>
      </c>
      <c r="B12" s="17">
        <v>69</v>
      </c>
      <c r="C12" s="17">
        <v>121</v>
      </c>
      <c r="D12" s="18">
        <v>4660.9</v>
      </c>
      <c r="E12" s="19">
        <f t="shared" si="0"/>
        <v>67.5492753623188</v>
      </c>
      <c r="F12" s="23">
        <v>3573.6</v>
      </c>
      <c r="G12" s="21">
        <v>0.766718874037203</v>
      </c>
      <c r="H12" s="22">
        <v>9</v>
      </c>
      <c r="I12" s="42">
        <v>0.130434782608696</v>
      </c>
      <c r="P12" s="17" t="s">
        <v>397</v>
      </c>
      <c r="Q12" s="17">
        <v>1107.3</v>
      </c>
      <c r="R12" s="17">
        <v>16</v>
      </c>
      <c r="S12" s="17">
        <v>8</v>
      </c>
      <c r="U12" s="17" t="s">
        <v>375</v>
      </c>
      <c r="V12" s="17">
        <v>20</v>
      </c>
      <c r="W12" s="23">
        <v>1697.06</v>
      </c>
    </row>
    <row r="13" s="1" customFormat="1" ht="14.25" spans="1:23">
      <c r="A13" s="16">
        <v>44791</v>
      </c>
      <c r="B13" s="17">
        <v>92</v>
      </c>
      <c r="C13" s="17">
        <v>152</v>
      </c>
      <c r="D13" s="18">
        <v>4395.52</v>
      </c>
      <c r="E13" s="19">
        <f t="shared" si="0"/>
        <v>47.7773913043478</v>
      </c>
      <c r="F13" s="23">
        <v>3313.92</v>
      </c>
      <c r="G13" s="21">
        <v>0.753931275480489</v>
      </c>
      <c r="H13" s="22">
        <v>21</v>
      </c>
      <c r="I13" s="42">
        <v>0.228260869565217</v>
      </c>
      <c r="P13" s="17" t="s">
        <v>378</v>
      </c>
      <c r="Q13" s="17">
        <v>1097.81</v>
      </c>
      <c r="R13" s="17">
        <v>10</v>
      </c>
      <c r="S13" s="17">
        <v>6</v>
      </c>
      <c r="U13" s="17" t="s">
        <v>404</v>
      </c>
      <c r="V13" s="17">
        <v>20</v>
      </c>
      <c r="W13" s="23">
        <v>1093.68</v>
      </c>
    </row>
    <row r="14" s="1" customFormat="1" ht="14.25" spans="1:23">
      <c r="A14" s="16">
        <v>44793</v>
      </c>
      <c r="B14" s="17">
        <v>101</v>
      </c>
      <c r="C14" s="17">
        <v>160</v>
      </c>
      <c r="D14" s="25">
        <v>5384.15</v>
      </c>
      <c r="E14" s="19">
        <f t="shared" si="0"/>
        <v>53.3084158415842</v>
      </c>
      <c r="F14" s="23">
        <v>4156.44</v>
      </c>
      <c r="G14" s="21">
        <v>0.77197700658414</v>
      </c>
      <c r="H14" s="22">
        <v>14</v>
      </c>
      <c r="I14" s="42">
        <v>0.138613861386139</v>
      </c>
      <c r="P14" s="17" t="s">
        <v>404</v>
      </c>
      <c r="Q14" s="17">
        <v>1093.68</v>
      </c>
      <c r="R14" s="17">
        <v>20</v>
      </c>
      <c r="S14" s="17">
        <v>8</v>
      </c>
      <c r="U14" s="17" t="s">
        <v>474</v>
      </c>
      <c r="V14" s="17">
        <v>19</v>
      </c>
      <c r="W14" s="23">
        <v>895.98</v>
      </c>
    </row>
    <row r="15" s="1" customFormat="1" ht="14.25" spans="1:23">
      <c r="A15" s="16">
        <v>44794</v>
      </c>
      <c r="B15" s="17">
        <v>92</v>
      </c>
      <c r="C15" s="17">
        <v>144</v>
      </c>
      <c r="D15" s="18">
        <v>5452.66</v>
      </c>
      <c r="E15" s="19">
        <f t="shared" si="0"/>
        <v>59.2680434782609</v>
      </c>
      <c r="F15" s="23">
        <v>4310.95</v>
      </c>
      <c r="G15" s="21">
        <v>0.790614122281602</v>
      </c>
      <c r="H15" s="22">
        <v>30</v>
      </c>
      <c r="I15" s="42">
        <v>0.326086956521739</v>
      </c>
      <c r="P15" s="17" t="s">
        <v>396</v>
      </c>
      <c r="Q15" s="17">
        <v>1012</v>
      </c>
      <c r="R15" s="17">
        <v>21</v>
      </c>
      <c r="S15" s="17">
        <v>9</v>
      </c>
      <c r="U15" s="17" t="s">
        <v>470</v>
      </c>
      <c r="V15" s="17">
        <v>18</v>
      </c>
      <c r="W15" s="23">
        <v>901.2</v>
      </c>
    </row>
    <row r="16" s="1" customFormat="1" ht="14.25" spans="1:23">
      <c r="A16" s="16">
        <v>44795</v>
      </c>
      <c r="B16" s="17">
        <v>74</v>
      </c>
      <c r="C16" s="17">
        <v>138</v>
      </c>
      <c r="D16" s="18">
        <v>8548.26</v>
      </c>
      <c r="E16" s="19">
        <f t="shared" si="0"/>
        <v>115.517027027027</v>
      </c>
      <c r="F16" s="23">
        <v>6429.23</v>
      </c>
      <c r="G16" s="21">
        <v>0.752109786085121</v>
      </c>
      <c r="H16" s="22">
        <v>12</v>
      </c>
      <c r="I16" s="42">
        <v>0.162162162162162</v>
      </c>
      <c r="P16" s="17" t="s">
        <v>459</v>
      </c>
      <c r="Q16" s="17">
        <v>944.38</v>
      </c>
      <c r="R16" s="17">
        <v>15</v>
      </c>
      <c r="S16" s="17">
        <v>1</v>
      </c>
      <c r="U16" s="17" t="s">
        <v>462</v>
      </c>
      <c r="V16" s="17">
        <v>17</v>
      </c>
      <c r="W16" s="23">
        <v>889.31</v>
      </c>
    </row>
    <row r="17" s="1" customFormat="1" ht="14.25" spans="1:23">
      <c r="A17" s="16">
        <v>44797</v>
      </c>
      <c r="B17" s="17">
        <v>93</v>
      </c>
      <c r="C17" s="17">
        <v>279</v>
      </c>
      <c r="D17" s="18">
        <v>8426.58</v>
      </c>
      <c r="E17" s="19">
        <f t="shared" si="0"/>
        <v>90.6083870967742</v>
      </c>
      <c r="F17" s="23">
        <v>6344.08</v>
      </c>
      <c r="G17" s="21">
        <v>0.752865338013761</v>
      </c>
      <c r="H17" s="22">
        <v>6</v>
      </c>
      <c r="I17" s="42">
        <v>0.0645161290322581</v>
      </c>
      <c r="P17" s="17" t="s">
        <v>474</v>
      </c>
      <c r="Q17" s="17">
        <v>894.98</v>
      </c>
      <c r="R17" s="17">
        <v>18</v>
      </c>
      <c r="S17" s="17">
        <v>8</v>
      </c>
      <c r="U17" s="17" t="s">
        <v>399</v>
      </c>
      <c r="V17" s="17">
        <v>17</v>
      </c>
      <c r="W17" s="23">
        <v>1175.3</v>
      </c>
    </row>
    <row r="18" s="1" customFormat="1" ht="14.25" spans="1:23">
      <c r="A18" s="16">
        <v>44798</v>
      </c>
      <c r="B18" s="17">
        <v>72</v>
      </c>
      <c r="C18" s="26">
        <v>107</v>
      </c>
      <c r="D18" s="18">
        <v>5561.62</v>
      </c>
      <c r="E18" s="19">
        <f t="shared" si="0"/>
        <v>77.2447222222222</v>
      </c>
      <c r="F18" s="23">
        <v>4584.51</v>
      </c>
      <c r="G18" s="21">
        <v>0.824311981041495</v>
      </c>
      <c r="H18" s="22">
        <v>10</v>
      </c>
      <c r="I18" s="42">
        <v>0.138888888888889</v>
      </c>
      <c r="P18" s="17" t="s">
        <v>462</v>
      </c>
      <c r="Q18" s="17">
        <v>889.31</v>
      </c>
      <c r="R18" s="17">
        <v>17</v>
      </c>
      <c r="S18" s="17">
        <v>6</v>
      </c>
      <c r="U18" s="17" t="s">
        <v>647</v>
      </c>
      <c r="V18" s="17">
        <v>16</v>
      </c>
      <c r="W18" s="23">
        <v>338.81</v>
      </c>
    </row>
    <row r="19" s="1" customFormat="1" ht="14.25" spans="1:23">
      <c r="A19" s="16">
        <v>44799</v>
      </c>
      <c r="B19" s="17">
        <v>80</v>
      </c>
      <c r="C19" s="17">
        <v>140</v>
      </c>
      <c r="D19" s="18">
        <v>7190.77</v>
      </c>
      <c r="E19" s="19">
        <f t="shared" si="0"/>
        <v>89.884625</v>
      </c>
      <c r="F19" s="23">
        <v>4912.66</v>
      </c>
      <c r="G19" s="21">
        <v>0.683189700129471</v>
      </c>
      <c r="H19" s="22">
        <v>6</v>
      </c>
      <c r="I19" s="42">
        <v>0.075</v>
      </c>
      <c r="P19" s="17" t="s">
        <v>470</v>
      </c>
      <c r="Q19" s="17">
        <v>881.3</v>
      </c>
      <c r="R19" s="17">
        <v>17</v>
      </c>
      <c r="S19" s="17">
        <v>7</v>
      </c>
      <c r="U19" s="17" t="s">
        <v>397</v>
      </c>
      <c r="V19" s="17">
        <v>16</v>
      </c>
      <c r="W19" s="23">
        <v>1107.3</v>
      </c>
    </row>
    <row r="20" s="1" customFormat="1" ht="14.25" spans="1:23">
      <c r="A20" s="16">
        <v>44800</v>
      </c>
      <c r="B20" s="17">
        <v>55</v>
      </c>
      <c r="C20" s="17">
        <v>88</v>
      </c>
      <c r="D20" s="18">
        <v>5573.78</v>
      </c>
      <c r="E20" s="19">
        <f t="shared" si="0"/>
        <v>101.341454545455</v>
      </c>
      <c r="F20" s="23">
        <v>4953.6</v>
      </c>
      <c r="G20" s="21">
        <v>0.888732601573797</v>
      </c>
      <c r="H20" s="22">
        <v>11</v>
      </c>
      <c r="I20" s="42">
        <v>0.2</v>
      </c>
      <c r="P20" s="17" t="s">
        <v>481</v>
      </c>
      <c r="Q20" s="17">
        <v>872.4</v>
      </c>
      <c r="R20" s="17">
        <v>11</v>
      </c>
      <c r="S20" s="17">
        <v>1</v>
      </c>
      <c r="U20" s="17" t="s">
        <v>390</v>
      </c>
      <c r="V20" s="17">
        <v>16</v>
      </c>
      <c r="W20" s="23">
        <v>1010.2</v>
      </c>
    </row>
    <row r="21" s="1" customFormat="1" ht="14.25" spans="1:23">
      <c r="A21" s="16">
        <v>44801</v>
      </c>
      <c r="B21" s="17">
        <v>161</v>
      </c>
      <c r="C21" s="27">
        <v>277</v>
      </c>
      <c r="D21" s="18">
        <v>11781.5</v>
      </c>
      <c r="E21" s="19">
        <f t="shared" si="0"/>
        <v>73.1770186335404</v>
      </c>
      <c r="F21" s="23">
        <v>6928.5</v>
      </c>
      <c r="G21" s="21">
        <v>0.588083011501082</v>
      </c>
      <c r="H21" s="22">
        <v>40</v>
      </c>
      <c r="I21" s="42">
        <v>0.248447204968944</v>
      </c>
      <c r="P21" s="17" t="s">
        <v>456</v>
      </c>
      <c r="Q21" s="17">
        <v>848.32</v>
      </c>
      <c r="R21" s="17">
        <v>25</v>
      </c>
      <c r="S21" s="17">
        <v>12</v>
      </c>
      <c r="U21" s="17" t="s">
        <v>636</v>
      </c>
      <c r="V21" s="17">
        <v>15</v>
      </c>
      <c r="W21" s="23">
        <v>480.48</v>
      </c>
    </row>
    <row r="22" s="1" customFormat="1" ht="14.25" spans="1:23">
      <c r="A22" s="16">
        <v>44802</v>
      </c>
      <c r="B22" s="17">
        <v>98</v>
      </c>
      <c r="C22" s="17">
        <v>150</v>
      </c>
      <c r="D22" s="18">
        <v>7924.75</v>
      </c>
      <c r="E22" s="19">
        <f t="shared" si="0"/>
        <v>80.8647959183673</v>
      </c>
      <c r="F22" s="23">
        <v>5546.73</v>
      </c>
      <c r="G22" s="21">
        <v>0.699924918767153</v>
      </c>
      <c r="H22" s="22">
        <v>10</v>
      </c>
      <c r="I22" s="42">
        <v>0.102040816326531</v>
      </c>
      <c r="P22" s="17" t="s">
        <v>486</v>
      </c>
      <c r="Q22" s="17">
        <v>847.82</v>
      </c>
      <c r="R22" s="17">
        <v>9</v>
      </c>
      <c r="S22" s="17">
        <v>4</v>
      </c>
      <c r="U22" s="17" t="s">
        <v>459</v>
      </c>
      <c r="V22" s="17">
        <v>15</v>
      </c>
      <c r="W22" s="23">
        <v>944.38</v>
      </c>
    </row>
    <row r="23" s="1" customFormat="1" ht="14.25" spans="1:23">
      <c r="A23" s="16">
        <v>44804</v>
      </c>
      <c r="B23" s="17">
        <v>73</v>
      </c>
      <c r="C23" s="17">
        <v>180</v>
      </c>
      <c r="D23" s="23">
        <v>6216.94</v>
      </c>
      <c r="E23" s="19">
        <f t="shared" si="0"/>
        <v>85.1635616438356</v>
      </c>
      <c r="F23" s="19">
        <v>4786.06</v>
      </c>
      <c r="G23" s="28">
        <v>0.769841754946968</v>
      </c>
      <c r="H23" s="22">
        <v>3</v>
      </c>
      <c r="I23" s="43">
        <f>H23/B23</f>
        <v>0.0410958904109589</v>
      </c>
      <c r="P23" s="17" t="s">
        <v>468</v>
      </c>
      <c r="Q23" s="17">
        <v>827.6</v>
      </c>
      <c r="R23" s="17">
        <v>10</v>
      </c>
      <c r="S23" s="17">
        <v>4</v>
      </c>
      <c r="U23" s="17" t="s">
        <v>485</v>
      </c>
      <c r="V23" s="17">
        <v>15</v>
      </c>
      <c r="W23" s="23">
        <v>608</v>
      </c>
    </row>
    <row r="24" s="1" customFormat="1" ht="14.25" spans="1:23">
      <c r="A24" s="29" t="s">
        <v>101</v>
      </c>
      <c r="B24" s="30">
        <f t="shared" ref="B24:I24" si="1">AVERAGE(B8:B23)</f>
        <v>72.6875</v>
      </c>
      <c r="C24" s="30">
        <f t="shared" si="1"/>
        <v>131.0625</v>
      </c>
      <c r="D24" s="31">
        <f t="shared" si="1"/>
        <v>5818.46875</v>
      </c>
      <c r="E24" s="31">
        <f t="shared" si="1"/>
        <v>86.4160729398134</v>
      </c>
      <c r="F24" s="31">
        <f t="shared" si="1"/>
        <v>4374.2025</v>
      </c>
      <c r="G24" s="32">
        <f t="shared" si="1"/>
        <v>0.781664692953755</v>
      </c>
      <c r="H24" s="33">
        <f t="shared" si="1"/>
        <v>11.5625</v>
      </c>
      <c r="I24" s="44">
        <f t="shared" si="1"/>
        <v>0.144597812998776</v>
      </c>
      <c r="P24" s="17" t="s">
        <v>400</v>
      </c>
      <c r="Q24" s="17">
        <v>799.55</v>
      </c>
      <c r="R24" s="17">
        <v>13</v>
      </c>
      <c r="S24" s="17">
        <v>3</v>
      </c>
      <c r="U24" s="17" t="s">
        <v>579</v>
      </c>
      <c r="V24" s="17">
        <v>14</v>
      </c>
      <c r="W24" s="23">
        <v>564.39</v>
      </c>
    </row>
    <row r="25" s="1" customFormat="1" ht="14.25" spans="1:23">
      <c r="A25" s="13" t="s">
        <v>88</v>
      </c>
      <c r="B25" s="13">
        <f t="shared" ref="B25:F25" si="2">SUM(B8:B23)</f>
        <v>1163</v>
      </c>
      <c r="C25" s="13">
        <f t="shared" si="2"/>
        <v>2097</v>
      </c>
      <c r="D25" s="34">
        <f t="shared" si="2"/>
        <v>93095.5</v>
      </c>
      <c r="E25" s="35"/>
      <c r="F25" s="34">
        <f t="shared" si="2"/>
        <v>69987.24</v>
      </c>
      <c r="G25" s="36"/>
      <c r="H25" s="37">
        <f>SUM(H8:H23)</f>
        <v>185</v>
      </c>
      <c r="I25" s="36"/>
      <c r="P25" s="17" t="s">
        <v>390</v>
      </c>
      <c r="Q25" s="17">
        <v>786.3</v>
      </c>
      <c r="R25" s="17">
        <v>12</v>
      </c>
      <c r="S25" s="17">
        <v>4</v>
      </c>
      <c r="U25" s="17" t="s">
        <v>536</v>
      </c>
      <c r="V25" s="17">
        <v>14</v>
      </c>
      <c r="W25" s="23">
        <v>580.85</v>
      </c>
    </row>
    <row r="26" s="1" customFormat="1" ht="14.25"/>
    <row r="27" s="1" customFormat="1" ht="14.25"/>
    <row r="28" s="1" customFormat="1" ht="14.25"/>
    <row r="29" s="1" customFormat="1" ht="14.25"/>
    <row r="30" s="1" customFormat="1" ht="14.25"/>
    <row r="31" s="1" customFormat="1" ht="14.25"/>
    <row r="32" s="1" customFormat="1" ht="14.25"/>
    <row r="33" s="1" customFormat="1" ht="14.25"/>
    <row r="34" s="1" customFormat="1" ht="14.25"/>
    <row r="35" s="1" customFormat="1" ht="14.25"/>
    <row r="36" s="1" customFormat="1" ht="14.25"/>
    <row r="37" s="1" customFormat="1" ht="14.25"/>
    <row r="38" s="1" customFormat="1" ht="14.25"/>
    <row r="39" s="1" customFormat="1" ht="14.25"/>
    <row r="40" s="1" customFormat="1" ht="14.25"/>
    <row r="41" s="1" customFormat="1" ht="14.25"/>
    <row r="42" s="1" customFormat="1" ht="14.25"/>
    <row r="43" s="1" customFormat="1" ht="14.25"/>
    <row r="44" s="1" customFormat="1" ht="14.25"/>
    <row r="45" s="1" customFormat="1" ht="14.25"/>
    <row r="46" s="1" customFormat="1" ht="14.25"/>
    <row r="47" s="1" customFormat="1" ht="14.25"/>
    <row r="48" s="1" customFormat="1" ht="14.25"/>
    <row r="49" s="1" customFormat="1" ht="14.25"/>
    <row r="50" s="1" customFormat="1" ht="14.25"/>
    <row r="51" s="1" customFormat="1" ht="14.25"/>
    <row r="52" s="1" customFormat="1" ht="14.25"/>
    <row r="53" s="1" customFormat="1" ht="14.25"/>
    <row r="54" s="1" customFormat="1" ht="14.25"/>
    <row r="55" s="1" customFormat="1" ht="14.25"/>
    <row r="56" s="1" customFormat="1" ht="14.25"/>
    <row r="57" s="1" customFormat="1" ht="14.25"/>
    <row r="58" s="1" customFormat="1" ht="14.25"/>
    <row r="59" s="1" customFormat="1" ht="14.25"/>
    <row r="60" s="1" customFormat="1" ht="14.25"/>
    <row r="61" s="1" customFormat="1" ht="14.25"/>
    <row r="62" s="1" customFormat="1" ht="14.25"/>
    <row r="63" s="1" customFormat="1" ht="14.25"/>
    <row r="64" s="1" customFormat="1" ht="14.25"/>
    <row r="65" s="1" customFormat="1" ht="14.25"/>
    <row r="66" s="1" customFormat="1" ht="14.25"/>
    <row r="67" s="1" customFormat="1" ht="14.25"/>
    <row r="68" s="1" customFormat="1" ht="14.25"/>
    <row r="69" s="1" customFormat="1" ht="14.25"/>
    <row r="70" s="1" customFormat="1" ht="14.25" spans="16382:16384">
      <c r="XFB70" s="2"/>
      <c r="XFC70" s="2"/>
      <c r="XFD70" s="2"/>
    </row>
    <row r="71" s="1" customFormat="1" ht="14.25" spans="16382:16384">
      <c r="XFB71" s="2"/>
      <c r="XFC71" s="2"/>
      <c r="XFD71" s="2"/>
    </row>
    <row r="72" s="1" customFormat="1" ht="14.25" spans="16382:16384">
      <c r="XFB72" s="2"/>
      <c r="XFC72" s="2"/>
      <c r="XFD72" s="2"/>
    </row>
    <row r="73" s="1" customFormat="1" ht="14.25" spans="16382:16384">
      <c r="XFB73" s="2"/>
      <c r="XFC73" s="2"/>
      <c r="XFD73" s="2"/>
    </row>
    <row r="74" s="1" customFormat="1" ht="14.25" spans="16382:16384">
      <c r="XFB74" s="2"/>
      <c r="XFC74" s="2"/>
      <c r="XFD74" s="2"/>
    </row>
    <row r="75" s="1" customFormat="1" ht="14.25" spans="16382:16384">
      <c r="XFB75" s="2"/>
      <c r="XFC75" s="2"/>
      <c r="XFD75" s="2"/>
    </row>
    <row r="76" s="1" customFormat="1" ht="14.25" spans="16382:16384">
      <c r="XFB76" s="2"/>
      <c r="XFC76" s="2"/>
      <c r="XFD76" s="2"/>
    </row>
    <row r="77" s="1" customFormat="1" ht="14.25" spans="16382:16384">
      <c r="XFB77" s="2"/>
      <c r="XFC77" s="2"/>
      <c r="XFD77" s="2"/>
    </row>
    <row r="78" s="1" customFormat="1" ht="14.25" spans="16382:16384">
      <c r="XFB78" s="2"/>
      <c r="XFC78" s="2"/>
      <c r="XFD78" s="2"/>
    </row>
    <row r="79" s="1" customFormat="1" ht="14.25" spans="16382:16384">
      <c r="XFB79" s="2"/>
      <c r="XFC79" s="2"/>
      <c r="XFD79" s="2"/>
    </row>
    <row r="80" s="1" customFormat="1" ht="14.25" spans="16382:16384">
      <c r="XFB80" s="2"/>
      <c r="XFC80" s="2"/>
      <c r="XFD80" s="2"/>
    </row>
    <row r="81" s="1" customFormat="1" ht="14.25" spans="16382:16384">
      <c r="XFB81" s="2"/>
      <c r="XFC81" s="2"/>
      <c r="XFD81" s="2"/>
    </row>
    <row r="82" s="1" customFormat="1" ht="14.25" spans="16382:16384">
      <c r="XFB82" s="2"/>
      <c r="XFC82" s="2"/>
      <c r="XFD82" s="2"/>
    </row>
    <row r="83" s="1" customFormat="1" ht="14.25" spans="16382:16384">
      <c r="XFB83" s="2"/>
      <c r="XFC83" s="2"/>
      <c r="XFD83" s="2"/>
    </row>
    <row r="84" s="1" customFormat="1" ht="14.25" spans="16382:16384">
      <c r="XFB84" s="2"/>
      <c r="XFC84" s="2"/>
      <c r="XFD84" s="2"/>
    </row>
    <row r="85" s="1" customFormat="1" ht="14.25" spans="16382:16384">
      <c r="XFB85" s="2"/>
      <c r="XFC85" s="2"/>
      <c r="XFD85" s="2"/>
    </row>
    <row r="86" s="1" customFormat="1" ht="14.25" hidden="1" spans="16382:16384">
      <c r="XFB86" s="2"/>
      <c r="XFC86" s="2"/>
      <c r="XFD86" s="2"/>
    </row>
    <row r="87" s="1" customFormat="1" ht="14.25" hidden="1" spans="16382:16384">
      <c r="XFB87" s="2"/>
      <c r="XFC87" s="2"/>
      <c r="XFD87" s="2"/>
    </row>
    <row r="88" s="1" customFormat="1" ht="14.25" hidden="1" spans="16382:16384">
      <c r="XFB88" s="2"/>
      <c r="XFC88" s="2"/>
      <c r="XFD88" s="2"/>
    </row>
    <row r="89" s="1" customFormat="1" ht="14.25" hidden="1" spans="16382:16384">
      <c r="XFB89" s="2"/>
      <c r="XFC89" s="2"/>
      <c r="XFD89" s="2"/>
    </row>
    <row r="90" s="1" customFormat="1" ht="14.25" hidden="1" spans="16382:16384">
      <c r="XFB90" s="2"/>
      <c r="XFC90" s="2"/>
      <c r="XFD90" s="2"/>
    </row>
    <row r="91" s="1" customFormat="1" ht="14.25" hidden="1" spans="16382:16384">
      <c r="XFB91" s="2"/>
      <c r="XFC91" s="2"/>
      <c r="XFD91" s="2"/>
    </row>
    <row r="92" s="1" customFormat="1" ht="14.25" hidden="1" spans="16382:16384">
      <c r="XFB92" s="2"/>
      <c r="XFC92" s="2"/>
      <c r="XFD92" s="2"/>
    </row>
    <row r="93" s="1" customFormat="1" ht="14.25" hidden="1" spans="16382:16384">
      <c r="XFB93" s="2"/>
      <c r="XFC93" s="2"/>
      <c r="XFD93" s="2"/>
    </row>
    <row r="94" s="1" customFormat="1" ht="14.25" hidden="1" spans="16382:16384">
      <c r="XFB94" s="2"/>
      <c r="XFC94" s="2"/>
      <c r="XFD94" s="2"/>
    </row>
    <row r="95" s="1" customFormat="1" ht="14.25" hidden="1" spans="16382:16384">
      <c r="XFB95" s="2"/>
      <c r="XFC95" s="2"/>
      <c r="XFD95" s="2"/>
    </row>
    <row r="96" s="1" customFormat="1" ht="14.25" hidden="1" spans="16382:16384">
      <c r="XFB96" s="2"/>
      <c r="XFC96" s="2"/>
      <c r="XFD96" s="2"/>
    </row>
    <row r="97" s="1" customFormat="1" ht="14.25" hidden="1" spans="16382:16384">
      <c r="XFB97" s="2"/>
      <c r="XFC97" s="2"/>
      <c r="XFD97" s="2"/>
    </row>
    <row r="98" s="1" customFormat="1" ht="14.25" hidden="1" spans="16382:16384">
      <c r="XFB98" s="2"/>
      <c r="XFC98" s="2"/>
      <c r="XFD98" s="2"/>
    </row>
    <row r="99" s="1" customFormat="1" ht="14.25" hidden="1" spans="16382:16384">
      <c r="XFB99" s="2"/>
      <c r="XFC99" s="2"/>
      <c r="XFD99" s="2"/>
    </row>
    <row r="100" s="1" customFormat="1" ht="14.25" hidden="1" spans="16382:16384">
      <c r="XFB100" s="2"/>
      <c r="XFC100" s="2"/>
      <c r="XFD100" s="2"/>
    </row>
    <row r="101" s="1" customFormat="1" ht="14.25" hidden="1" spans="16382:16384">
      <c r="XFB101" s="2"/>
      <c r="XFC101" s="2"/>
      <c r="XFD101" s="2"/>
    </row>
    <row r="102" s="1" customFormat="1" ht="14.25" hidden="1" spans="16382:16384">
      <c r="XFB102" s="2"/>
      <c r="XFC102" s="2"/>
      <c r="XFD102" s="2"/>
    </row>
    <row r="103" s="1" customFormat="1" ht="14.25" hidden="1" spans="16382:16384">
      <c r="XFB103" s="2"/>
      <c r="XFC103" s="2"/>
      <c r="XFD103" s="2"/>
    </row>
    <row r="104" s="1" customFormat="1" ht="14.25" hidden="1" spans="16382:16384">
      <c r="XFB104" s="2"/>
      <c r="XFC104" s="2"/>
      <c r="XFD104" s="2"/>
    </row>
    <row r="105" s="1" customFormat="1" ht="14.25" hidden="1" spans="16382:16384">
      <c r="XFB105" s="2"/>
      <c r="XFC105" s="2"/>
      <c r="XFD105" s="2"/>
    </row>
    <row r="106" s="1" customFormat="1" ht="14.25" hidden="1" spans="16382:16384">
      <c r="XFB106" s="2"/>
      <c r="XFC106" s="2"/>
      <c r="XFD106" s="2"/>
    </row>
    <row r="107" s="1" customFormat="1" ht="14.25" hidden="1" spans="16382:16384">
      <c r="XFB107" s="2"/>
      <c r="XFC107" s="2"/>
      <c r="XFD107" s="2"/>
    </row>
    <row r="108" s="1" customFormat="1" ht="14.25" hidden="1" spans="16382:16384">
      <c r="XFB108" s="2"/>
      <c r="XFC108" s="2"/>
      <c r="XFD108" s="2"/>
    </row>
    <row r="109" s="1" customFormat="1" ht="14.25" hidden="1" spans="16382:16384">
      <c r="XFB109" s="2"/>
      <c r="XFC109" s="2"/>
      <c r="XFD109" s="2"/>
    </row>
    <row r="110" s="1" customFormat="1" ht="14.25" hidden="1" spans="16382:16384">
      <c r="XFB110" s="2"/>
      <c r="XFC110" s="2"/>
      <c r="XFD110" s="2"/>
    </row>
    <row r="111" s="1" customFormat="1" ht="14.25" hidden="1" spans="16382:16384">
      <c r="XFB111" s="2"/>
      <c r="XFC111" s="2"/>
      <c r="XFD111" s="2"/>
    </row>
    <row r="112" s="1" customFormat="1" ht="14.25" hidden="1" spans="16382:16384">
      <c r="XFB112" s="2"/>
      <c r="XFC112" s="2"/>
      <c r="XFD112" s="2"/>
    </row>
    <row r="113" s="1" customFormat="1" ht="14.25" hidden="1" spans="16382:16384">
      <c r="XFB113" s="2"/>
      <c r="XFC113" s="2"/>
      <c r="XFD113" s="2"/>
    </row>
    <row r="114" s="1" customFormat="1" ht="14.25" hidden="1" spans="16382:16384">
      <c r="XFB114" s="2"/>
      <c r="XFC114" s="2"/>
      <c r="XFD114" s="2"/>
    </row>
    <row r="115" s="1" customFormat="1" ht="14.25" hidden="1" spans="16382:16384">
      <c r="XFB115" s="2"/>
      <c r="XFC115" s="2"/>
      <c r="XFD115" s="2"/>
    </row>
    <row r="116" s="1" customFormat="1" ht="14.25" hidden="1" spans="16382:16384">
      <c r="XFB116" s="2"/>
      <c r="XFC116" s="2"/>
      <c r="XFD116" s="2"/>
    </row>
    <row r="117" s="1" customFormat="1" ht="14.25" hidden="1" spans="16382:16384">
      <c r="XFB117" s="2"/>
      <c r="XFC117" s="2"/>
      <c r="XFD117" s="2"/>
    </row>
    <row r="118" s="1" customFormat="1" ht="14.25" hidden="1" spans="16382:16384">
      <c r="XFB118" s="2"/>
      <c r="XFC118" s="2"/>
      <c r="XFD118" s="2"/>
    </row>
    <row r="119" s="1" customFormat="1" ht="14.25" hidden="1" spans="16382:16384">
      <c r="XFB119" s="2"/>
      <c r="XFC119" s="2"/>
      <c r="XFD119" s="2"/>
    </row>
    <row r="120" s="1" customFormat="1" ht="14.25" hidden="1" spans="16382:16384">
      <c r="XFB120" s="2"/>
      <c r="XFC120" s="2"/>
      <c r="XFD120" s="2"/>
    </row>
    <row r="121" s="1" customFormat="1" ht="14.25" hidden="1" spans="16382:16384">
      <c r="XFB121" s="2"/>
      <c r="XFC121" s="2"/>
      <c r="XFD121" s="2"/>
    </row>
    <row r="122" s="1" customFormat="1" ht="14.25" hidden="1" spans="16382:16384">
      <c r="XFB122" s="2"/>
      <c r="XFC122" s="2"/>
      <c r="XFD122" s="2"/>
    </row>
    <row r="123" s="1" customFormat="1" ht="14.25" hidden="1" spans="16382:16384">
      <c r="XFB123" s="2"/>
      <c r="XFC123" s="2"/>
      <c r="XFD123" s="2"/>
    </row>
    <row r="124" s="1" customFormat="1" ht="14.25" hidden="1" spans="16382:16384">
      <c r="XFB124" s="2"/>
      <c r="XFC124" s="2"/>
      <c r="XFD124" s="2"/>
    </row>
    <row r="125" s="1" customFormat="1" ht="14.25" hidden="1" spans="16382:16384">
      <c r="XFB125" s="2"/>
      <c r="XFC125" s="2"/>
      <c r="XFD125" s="2"/>
    </row>
    <row r="126" s="1" customFormat="1" ht="14.25" hidden="1" spans="16382:16384">
      <c r="XFB126" s="2"/>
      <c r="XFC126" s="2"/>
      <c r="XFD126" s="2"/>
    </row>
    <row r="127" s="1" customFormat="1" ht="14.25" hidden="1" spans="16382:16384">
      <c r="XFB127" s="2"/>
      <c r="XFC127" s="2"/>
      <c r="XFD127" s="2"/>
    </row>
    <row r="128" s="1" customFormat="1" ht="14.25" hidden="1" spans="16382:16384">
      <c r="XFB128" s="2"/>
      <c r="XFC128" s="2"/>
      <c r="XFD128" s="2"/>
    </row>
    <row r="129" s="1" customFormat="1" ht="14.25" hidden="1" spans="16382:16384">
      <c r="XFB129" s="2"/>
      <c r="XFC129" s="2"/>
      <c r="XFD129" s="2"/>
    </row>
    <row r="130" s="1" customFormat="1" ht="14.25" hidden="1" spans="16382:16384">
      <c r="XFB130" s="2"/>
      <c r="XFC130" s="2"/>
      <c r="XFD130" s="2"/>
    </row>
    <row r="131" s="1" customFormat="1" ht="14.25" hidden="1" spans="16382:16384">
      <c r="XFB131" s="2"/>
      <c r="XFC131" s="2"/>
      <c r="XFD131" s="2"/>
    </row>
    <row r="132" s="1" customFormat="1" ht="14.25" hidden="1" spans="16382:16384">
      <c r="XFB132" s="2"/>
      <c r="XFC132" s="2"/>
      <c r="XFD132" s="2"/>
    </row>
    <row r="133" s="1" customFormat="1" ht="14.25" hidden="1" spans="16382:16384">
      <c r="XFB133" s="2"/>
      <c r="XFC133" s="2"/>
      <c r="XFD133" s="2"/>
    </row>
    <row r="134" s="1" customFormat="1" ht="14.25" hidden="1" spans="16382:16384">
      <c r="XFB134" s="2"/>
      <c r="XFC134" s="2"/>
      <c r="XFD134" s="2"/>
    </row>
    <row r="135" s="1" customFormat="1" ht="14.25" hidden="1" spans="16382:16384">
      <c r="XFB135" s="2"/>
      <c r="XFC135" s="2"/>
      <c r="XFD135" s="2"/>
    </row>
    <row r="136" s="1" customFormat="1" ht="14.25" hidden="1" spans="16382:16384">
      <c r="XFB136" s="2"/>
      <c r="XFC136" s="2"/>
      <c r="XFD136" s="2"/>
    </row>
    <row r="137" s="1" customFormat="1" ht="14.25" hidden="1" spans="16382:16384">
      <c r="XFB137" s="2"/>
      <c r="XFC137" s="2"/>
      <c r="XFD137" s="2"/>
    </row>
    <row r="138" s="1" customFormat="1" ht="14.25" hidden="1" spans="16382:16384">
      <c r="XFB138" s="2"/>
      <c r="XFC138" s="2"/>
      <c r="XFD138" s="2"/>
    </row>
    <row r="139" s="1" customFormat="1" ht="14.25" hidden="1" spans="16382:16384">
      <c r="XFB139" s="2"/>
      <c r="XFC139" s="2"/>
      <c r="XFD139" s="2"/>
    </row>
    <row r="140" s="1" customFormat="1" ht="14.25" hidden="1" spans="16382:16384">
      <c r="XFB140" s="2"/>
      <c r="XFC140" s="2"/>
      <c r="XFD140" s="2"/>
    </row>
    <row r="141" s="1" customFormat="1" ht="14.25" hidden="1" spans="16382:16384">
      <c r="XFB141" s="2"/>
      <c r="XFC141" s="2"/>
      <c r="XFD141" s="2"/>
    </row>
    <row r="142" s="1" customFormat="1" ht="14.25" hidden="1" spans="16382:16384">
      <c r="XFB142" s="2"/>
      <c r="XFC142" s="2"/>
      <c r="XFD142" s="2"/>
    </row>
    <row r="143" s="1" customFormat="1" ht="14.25" hidden="1" spans="16382:16384">
      <c r="XFB143" s="2"/>
      <c r="XFC143" s="2"/>
      <c r="XFD143" s="2"/>
    </row>
    <row r="144" s="1" customFormat="1" ht="14.25" hidden="1" spans="16382:16384">
      <c r="XFB144" s="2"/>
      <c r="XFC144" s="2"/>
      <c r="XFD144" s="2"/>
    </row>
    <row r="145" s="1" customFormat="1" ht="14.25" hidden="1" spans="16382:16384">
      <c r="XFB145" s="2"/>
      <c r="XFC145" s="2"/>
      <c r="XFD145" s="2"/>
    </row>
    <row r="146" s="1" customFormat="1" ht="14.25" hidden="1" spans="16382:16384">
      <c r="XFB146" s="2"/>
      <c r="XFC146" s="2"/>
      <c r="XFD146" s="2"/>
    </row>
    <row r="147" s="1" customFormat="1" ht="14.25" hidden="1" spans="16382:16384">
      <c r="XFB147" s="2"/>
      <c r="XFC147" s="2"/>
      <c r="XFD147" s="2"/>
    </row>
    <row r="148" s="1" customFormat="1" ht="14.25" hidden="1" spans="16382:16384">
      <c r="XFB148" s="2"/>
      <c r="XFC148" s="2"/>
      <c r="XFD148" s="2"/>
    </row>
    <row r="149" s="1" customFormat="1" ht="14.25" hidden="1" spans="16382:16384">
      <c r="XFB149" s="2"/>
      <c r="XFC149" s="2"/>
      <c r="XFD149" s="2"/>
    </row>
    <row r="150" s="1" customFormat="1" ht="14.25" hidden="1" spans="16382:16384">
      <c r="XFB150" s="2"/>
      <c r="XFC150" s="2"/>
      <c r="XFD150" s="2"/>
    </row>
    <row r="151" s="1" customFormat="1" ht="14.25" hidden="1" spans="16382:16384">
      <c r="XFB151" s="2"/>
      <c r="XFC151" s="2"/>
      <c r="XFD151" s="2"/>
    </row>
    <row r="152" s="1" customFormat="1" ht="14.25" hidden="1" spans="16382:16384">
      <c r="XFB152" s="2"/>
      <c r="XFC152" s="2"/>
      <c r="XFD152" s="2"/>
    </row>
    <row r="153" s="1" customFormat="1" ht="14.25" hidden="1" spans="16382:16384">
      <c r="XFB153" s="2"/>
      <c r="XFC153" s="2"/>
      <c r="XFD153" s="2"/>
    </row>
    <row r="154" s="1" customFormat="1" ht="14.25" hidden="1" spans="16382:16384">
      <c r="XFB154" s="2"/>
      <c r="XFC154" s="2"/>
      <c r="XFD154" s="2"/>
    </row>
    <row r="155" s="1" customFormat="1" ht="14.25" hidden="1" spans="16382:16384">
      <c r="XFB155" s="2"/>
      <c r="XFC155" s="2"/>
      <c r="XFD155" s="2"/>
    </row>
    <row r="156" s="1" customFormat="1" ht="14.25" hidden="1" spans="16382:16384">
      <c r="XFB156" s="2"/>
      <c r="XFC156" s="2"/>
      <c r="XFD156" s="2"/>
    </row>
    <row r="157" s="1" customFormat="1" ht="14.25" hidden="1" spans="16382:16384">
      <c r="XFB157" s="2"/>
      <c r="XFC157" s="2"/>
      <c r="XFD157" s="2"/>
    </row>
    <row r="158" s="1" customFormat="1" ht="14.25" hidden="1" spans="16382:16384">
      <c r="XFB158" s="2"/>
      <c r="XFC158" s="2"/>
      <c r="XFD158" s="2"/>
    </row>
    <row r="159" s="1" customFormat="1" ht="14.25" hidden="1" spans="16382:16384">
      <c r="XFB159" s="2"/>
      <c r="XFC159" s="2"/>
      <c r="XFD159" s="2"/>
    </row>
    <row r="160" s="1" customFormat="1" ht="14.25" hidden="1" spans="16382:16384">
      <c r="XFB160" s="2"/>
      <c r="XFC160" s="2"/>
      <c r="XFD160" s="2"/>
    </row>
    <row r="161" s="1" customFormat="1" ht="14.25" hidden="1" spans="16382:16384">
      <c r="XFB161" s="2"/>
      <c r="XFC161" s="2"/>
      <c r="XFD161" s="2"/>
    </row>
    <row r="162" s="1" customFormat="1" ht="14.25" hidden="1" spans="16382:16384">
      <c r="XFB162" s="2"/>
      <c r="XFC162" s="2"/>
      <c r="XFD162" s="2"/>
    </row>
    <row r="163" s="1" customFormat="1" ht="14.25" hidden="1" spans="16382:16384">
      <c r="XFB163" s="2"/>
      <c r="XFC163" s="2"/>
      <c r="XFD163" s="2"/>
    </row>
    <row r="164" s="1" customFormat="1" ht="14.25" hidden="1" spans="16382:16384">
      <c r="XFB164" s="2"/>
      <c r="XFC164" s="2"/>
      <c r="XFD164" s="2"/>
    </row>
    <row r="165" s="1" customFormat="1" ht="14.25" hidden="1" spans="16382:16384">
      <c r="XFB165" s="2"/>
      <c r="XFC165" s="2"/>
      <c r="XFD165" s="2"/>
    </row>
    <row r="166" s="1" customFormat="1" ht="14.25" hidden="1" spans="16382:16384">
      <c r="XFB166" s="2"/>
      <c r="XFC166" s="2"/>
      <c r="XFD166" s="2"/>
    </row>
    <row r="167" s="1" customFormat="1" ht="14.25" hidden="1" spans="16382:16384">
      <c r="XFB167" s="2"/>
      <c r="XFC167" s="2"/>
      <c r="XFD167" s="2"/>
    </row>
    <row r="168" s="1" customFormat="1" ht="14.25" hidden="1" spans="16382:16384">
      <c r="XFB168" s="2"/>
      <c r="XFC168" s="2"/>
      <c r="XFD168" s="2"/>
    </row>
    <row r="169" s="1" customFormat="1" ht="14.25" hidden="1" spans="16382:16384">
      <c r="XFB169" s="2"/>
      <c r="XFC169" s="2"/>
      <c r="XFD169" s="2"/>
    </row>
    <row r="170" s="1" customFormat="1" ht="14.25" hidden="1" spans="16382:16384">
      <c r="XFB170" s="2"/>
      <c r="XFC170" s="2"/>
      <c r="XFD170" s="2"/>
    </row>
    <row r="171" s="1" customFormat="1" ht="14.25" hidden="1" spans="16382:16384">
      <c r="XFB171" s="2"/>
      <c r="XFC171" s="2"/>
      <c r="XFD171" s="2"/>
    </row>
    <row r="172" s="1" customFormat="1" ht="14.25" hidden="1" spans="16382:16384">
      <c r="XFB172" s="2"/>
      <c r="XFC172" s="2"/>
      <c r="XFD172" s="2"/>
    </row>
    <row r="173" s="1" customFormat="1" ht="14.25" hidden="1" spans="16382:16384">
      <c r="XFB173" s="2"/>
      <c r="XFC173" s="2"/>
      <c r="XFD173" s="2"/>
    </row>
    <row r="174" s="1" customFormat="1" ht="14.25" hidden="1" spans="16382:16384">
      <c r="XFB174" s="2"/>
      <c r="XFC174" s="2"/>
      <c r="XFD174" s="2"/>
    </row>
    <row r="175" s="1" customFormat="1" ht="14.25" hidden="1" spans="16382:16384">
      <c r="XFB175" s="2"/>
      <c r="XFC175" s="2"/>
      <c r="XFD175" s="2"/>
    </row>
    <row r="176" s="1" customFormat="1" ht="14.25" hidden="1" spans="16382:16384">
      <c r="XFB176" s="2"/>
      <c r="XFC176" s="2"/>
      <c r="XFD176" s="2"/>
    </row>
    <row r="177" s="1" customFormat="1" ht="14.25" hidden="1" spans="16382:16384">
      <c r="XFB177" s="2"/>
      <c r="XFC177" s="2"/>
      <c r="XFD177" s="2"/>
    </row>
    <row r="178" s="1" customFormat="1" ht="14.25" hidden="1" spans="16382:16384">
      <c r="XFB178" s="2"/>
      <c r="XFC178" s="2"/>
      <c r="XFD178" s="2"/>
    </row>
    <row r="179" s="1" customFormat="1" ht="14.25" hidden="1" spans="16382:16384">
      <c r="XFB179" s="2"/>
      <c r="XFC179" s="2"/>
      <c r="XFD179" s="2"/>
    </row>
    <row r="180" s="1" customFormat="1" ht="14.25" hidden="1" spans="16382:16384">
      <c r="XFB180" s="2"/>
      <c r="XFC180" s="2"/>
      <c r="XFD180" s="2"/>
    </row>
    <row r="181" s="1" customFormat="1" ht="14.25" hidden="1" spans="16382:16384">
      <c r="XFB181" s="2"/>
      <c r="XFC181" s="2"/>
      <c r="XFD181" s="2"/>
    </row>
    <row r="182" s="1" customFormat="1" ht="14.25" hidden="1" spans="16382:16384">
      <c r="XFB182" s="2"/>
      <c r="XFC182" s="2"/>
      <c r="XFD182" s="2"/>
    </row>
    <row r="183" s="1" customFormat="1" ht="14.25" hidden="1" spans="16382:16384">
      <c r="XFB183" s="2"/>
      <c r="XFC183" s="2"/>
      <c r="XFD183" s="2"/>
    </row>
    <row r="184" s="1" customFormat="1" ht="14.25" hidden="1" spans="16382:16384">
      <c r="XFB184" s="2"/>
      <c r="XFC184" s="2"/>
      <c r="XFD184" s="2"/>
    </row>
    <row r="185" s="1" customFormat="1" ht="14.25" hidden="1" spans="16382:16384">
      <c r="XFB185" s="2"/>
      <c r="XFC185" s="2"/>
      <c r="XFD185" s="2"/>
    </row>
    <row r="186" s="1" customFormat="1" ht="14.25" hidden="1" spans="16382:16384">
      <c r="XFB186" s="2"/>
      <c r="XFC186" s="2"/>
      <c r="XFD186" s="2"/>
    </row>
    <row r="187" s="1" customFormat="1" ht="14.25" hidden="1" spans="16382:16384">
      <c r="XFB187" s="2"/>
      <c r="XFC187" s="2"/>
      <c r="XFD187" s="2"/>
    </row>
    <row r="188" s="1" customFormat="1" ht="14.25" hidden="1" spans="16382:16384">
      <c r="XFB188" s="2"/>
      <c r="XFC188" s="2"/>
      <c r="XFD188" s="2"/>
    </row>
    <row r="189" s="1" customFormat="1" ht="14.25" hidden="1" spans="16382:16384">
      <c r="XFB189" s="2"/>
      <c r="XFC189" s="2"/>
      <c r="XFD189" s="2"/>
    </row>
    <row r="190" s="1" customFormat="1" ht="14.25" hidden="1" spans="16382:16384">
      <c r="XFB190" s="2"/>
      <c r="XFC190" s="2"/>
      <c r="XFD190" s="2"/>
    </row>
    <row r="191" s="1" customFormat="1" ht="14.25" hidden="1" spans="16382:16384">
      <c r="XFB191" s="2"/>
      <c r="XFC191" s="2"/>
      <c r="XFD191" s="2"/>
    </row>
    <row r="192" s="1" customFormat="1" ht="14.25" hidden="1" spans="16382:16384">
      <c r="XFB192" s="2"/>
      <c r="XFC192" s="2"/>
      <c r="XFD192" s="2"/>
    </row>
    <row r="193" s="1" customFormat="1" ht="14.25" hidden="1" spans="16382:16384">
      <c r="XFB193" s="2"/>
      <c r="XFC193" s="2"/>
      <c r="XFD193" s="2"/>
    </row>
    <row r="194" s="1" customFormat="1" ht="14.25" hidden="1" spans="16382:16384">
      <c r="XFB194" s="2"/>
      <c r="XFC194" s="2"/>
      <c r="XFD194" s="2"/>
    </row>
    <row r="195" s="1" customFormat="1" ht="14.25" hidden="1" spans="16382:16384">
      <c r="XFB195" s="2"/>
      <c r="XFC195" s="2"/>
      <c r="XFD195" s="2"/>
    </row>
    <row r="196" s="1" customFormat="1" ht="14.25" hidden="1" spans="16382:16384">
      <c r="XFB196" s="2"/>
      <c r="XFC196" s="2"/>
      <c r="XFD196" s="2"/>
    </row>
    <row r="197" s="1" customFormat="1" ht="14.25" hidden="1" spans="16382:16384">
      <c r="XFB197" s="2"/>
      <c r="XFC197" s="2"/>
      <c r="XFD197" s="2"/>
    </row>
    <row r="198" s="1" customFormat="1" ht="14.25" hidden="1" spans="16382:16384">
      <c r="XFB198" s="2"/>
      <c r="XFC198" s="2"/>
      <c r="XFD198" s="2"/>
    </row>
    <row r="199" s="1" customFormat="1" ht="14.25" hidden="1" spans="16382:16384">
      <c r="XFB199" s="2"/>
      <c r="XFC199" s="2"/>
      <c r="XFD199" s="2"/>
    </row>
    <row r="200" s="1" customFormat="1" ht="14.25" hidden="1" spans="16382:16384">
      <c r="XFB200" s="2"/>
      <c r="XFC200" s="2"/>
      <c r="XFD200" s="2"/>
    </row>
    <row r="201" s="1" customFormat="1" ht="14.25" hidden="1" spans="16382:16384">
      <c r="XFB201" s="2"/>
      <c r="XFC201" s="2"/>
      <c r="XFD201" s="2"/>
    </row>
    <row r="202" s="1" customFormat="1" ht="14.25" hidden="1" spans="16382:16384">
      <c r="XFB202" s="2"/>
      <c r="XFC202" s="2"/>
      <c r="XFD202" s="2"/>
    </row>
    <row r="203" s="1" customFormat="1" ht="14.25" hidden="1" spans="16382:16384">
      <c r="XFB203" s="2"/>
      <c r="XFC203" s="2"/>
      <c r="XFD203" s="2"/>
    </row>
    <row r="204" s="1" customFormat="1" ht="14.25" hidden="1" spans="16382:16384">
      <c r="XFB204" s="2"/>
      <c r="XFC204" s="2"/>
      <c r="XFD204" s="2"/>
    </row>
    <row r="205" s="1" customFormat="1" ht="14.25" hidden="1" spans="16382:16384">
      <c r="XFB205" s="2"/>
      <c r="XFC205" s="2"/>
      <c r="XFD205" s="2"/>
    </row>
    <row r="206" s="1" customFormat="1" ht="14.25" hidden="1" spans="16382:16384">
      <c r="XFB206" s="2"/>
      <c r="XFC206" s="2"/>
      <c r="XFD206" s="2"/>
    </row>
    <row r="207" s="1" customFormat="1" ht="14.25" hidden="1" spans="16382:16384">
      <c r="XFB207" s="2"/>
      <c r="XFC207" s="2"/>
      <c r="XFD207" s="2"/>
    </row>
    <row r="208" s="1" customFormat="1" ht="14.25" hidden="1" spans="16382:16384">
      <c r="XFB208" s="2"/>
      <c r="XFC208" s="2"/>
      <c r="XFD208" s="2"/>
    </row>
    <row r="209" s="1" customFormat="1" ht="14.25" hidden="1" spans="16382:16384">
      <c r="XFB209" s="2"/>
      <c r="XFC209" s="2"/>
      <c r="XFD209" s="2"/>
    </row>
    <row r="210" s="1" customFormat="1" ht="14.25" hidden="1" spans="16382:16384">
      <c r="XFB210" s="2"/>
      <c r="XFC210" s="2"/>
      <c r="XFD210" s="2"/>
    </row>
    <row r="211" s="1" customFormat="1" ht="14.25" hidden="1" spans="16382:16384">
      <c r="XFB211" s="2"/>
      <c r="XFC211" s="2"/>
      <c r="XFD211" s="2"/>
    </row>
    <row r="212" s="1" customFormat="1" ht="14.25" hidden="1" spans="16382:16384">
      <c r="XFB212" s="2"/>
      <c r="XFC212" s="2"/>
      <c r="XFD212" s="2"/>
    </row>
    <row r="213" s="1" customFormat="1" ht="14.25" hidden="1" spans="16382:16384">
      <c r="XFB213" s="2"/>
      <c r="XFC213" s="2"/>
      <c r="XFD213" s="2"/>
    </row>
    <row r="214" s="1" customFormat="1" ht="14.25" hidden="1" spans="16382:16384">
      <c r="XFB214" s="2"/>
      <c r="XFC214" s="2"/>
      <c r="XFD214" s="2"/>
    </row>
    <row r="215" s="1" customFormat="1" ht="14.25" hidden="1" spans="16382:16384">
      <c r="XFB215" s="2"/>
      <c r="XFC215" s="2"/>
      <c r="XFD215" s="2"/>
    </row>
    <row r="216" s="1" customFormat="1" ht="14.25" hidden="1" spans="16382:16384">
      <c r="XFB216" s="2"/>
      <c r="XFC216" s="2"/>
      <c r="XFD216" s="2"/>
    </row>
    <row r="217" s="1" customFormat="1" ht="14.25" hidden="1" spans="16382:16384">
      <c r="XFB217" s="2"/>
      <c r="XFC217" s="2"/>
      <c r="XFD217" s="2"/>
    </row>
    <row r="218" s="1" customFormat="1" ht="14.25" hidden="1" spans="16382:16384">
      <c r="XFB218" s="2"/>
      <c r="XFC218" s="2"/>
      <c r="XFD218" s="2"/>
    </row>
    <row r="219" s="1" customFormat="1" ht="14.25" hidden="1" spans="16382:16384">
      <c r="XFB219" s="2"/>
      <c r="XFC219" s="2"/>
      <c r="XFD219" s="2"/>
    </row>
    <row r="220" s="1" customFormat="1" ht="14.25" hidden="1" spans="16382:16384">
      <c r="XFB220" s="2"/>
      <c r="XFC220" s="2"/>
      <c r="XFD220" s="2"/>
    </row>
    <row r="221" s="1" customFormat="1" ht="14.25" hidden="1" spans="16382:16384">
      <c r="XFB221" s="2"/>
      <c r="XFC221" s="2"/>
      <c r="XFD221" s="2"/>
    </row>
    <row r="222" s="1" customFormat="1" ht="14.25" hidden="1" spans="16382:16384">
      <c r="XFB222" s="2"/>
      <c r="XFC222" s="2"/>
      <c r="XFD222" s="2"/>
    </row>
    <row r="223" s="1" customFormat="1" ht="14.25" hidden="1" spans="16382:16384">
      <c r="XFB223" s="2"/>
      <c r="XFC223" s="2"/>
      <c r="XFD223" s="2"/>
    </row>
    <row r="224" s="1" customFormat="1" ht="14.25" hidden="1" spans="16382:16384">
      <c r="XFB224" s="2"/>
      <c r="XFC224" s="2"/>
      <c r="XFD224" s="2"/>
    </row>
    <row r="225" s="1" customFormat="1" ht="14.25" hidden="1" spans="16382:16384">
      <c r="XFB225" s="2"/>
      <c r="XFC225" s="2"/>
      <c r="XFD225" s="2"/>
    </row>
    <row r="226" s="1" customFormat="1" ht="14.25" hidden="1" spans="16382:16384">
      <c r="XFB226" s="2"/>
      <c r="XFC226" s="2"/>
      <c r="XFD226" s="2"/>
    </row>
    <row r="227" s="1" customFormat="1" ht="14.25" hidden="1" spans="16382:16384">
      <c r="XFB227" s="2"/>
      <c r="XFC227" s="2"/>
      <c r="XFD227" s="2"/>
    </row>
    <row r="228" s="1" customFormat="1" ht="14.25" hidden="1" spans="16382:16384">
      <c r="XFB228" s="2"/>
      <c r="XFC228" s="2"/>
      <c r="XFD228" s="2"/>
    </row>
    <row r="229" s="1" customFormat="1" ht="14.25" hidden="1" spans="16382:16384">
      <c r="XFB229" s="2"/>
      <c r="XFC229" s="2"/>
      <c r="XFD229" s="2"/>
    </row>
    <row r="230" s="1" customFormat="1" ht="14.25" hidden="1" spans="16382:16384">
      <c r="XFB230" s="2"/>
      <c r="XFC230" s="2"/>
      <c r="XFD230" s="2"/>
    </row>
    <row r="231" s="1" customFormat="1" ht="14.25" hidden="1" spans="16382:16384">
      <c r="XFB231" s="2"/>
      <c r="XFC231" s="2"/>
      <c r="XFD231" s="2"/>
    </row>
    <row r="232" s="1" customFormat="1" ht="14.25" hidden="1" spans="16382:16384">
      <c r="XFB232" s="2"/>
      <c r="XFC232" s="2"/>
      <c r="XFD232" s="2"/>
    </row>
    <row r="233" s="1" customFormat="1" ht="14.25" hidden="1" spans="16382:16384">
      <c r="XFB233" s="2"/>
      <c r="XFC233" s="2"/>
      <c r="XFD233" s="2"/>
    </row>
    <row r="234" s="1" customFormat="1" ht="14.25" hidden="1" spans="16382:16384">
      <c r="XFB234" s="2"/>
      <c r="XFC234" s="2"/>
      <c r="XFD234" s="2"/>
    </row>
    <row r="235" s="1" customFormat="1" ht="14.25" hidden="1" spans="16382:16384">
      <c r="XFB235" s="2"/>
      <c r="XFC235" s="2"/>
      <c r="XFD235" s="2"/>
    </row>
    <row r="236" s="1" customFormat="1" ht="14.25" hidden="1" spans="16382:16384">
      <c r="XFB236" s="2"/>
      <c r="XFC236" s="2"/>
      <c r="XFD236" s="2"/>
    </row>
    <row r="237" s="1" customFormat="1" ht="14.25" hidden="1" spans="16382:16384">
      <c r="XFB237" s="2"/>
      <c r="XFC237" s="2"/>
      <c r="XFD237" s="2"/>
    </row>
    <row r="238" s="1" customFormat="1" ht="14.25" hidden="1" spans="16382:16384">
      <c r="XFB238" s="2"/>
      <c r="XFC238" s="2"/>
      <c r="XFD238" s="2"/>
    </row>
    <row r="239" s="1" customFormat="1" ht="14.25" hidden="1" spans="16382:16384">
      <c r="XFB239" s="2"/>
      <c r="XFC239" s="2"/>
      <c r="XFD239" s="2"/>
    </row>
    <row r="240" s="1" customFormat="1" ht="14.25" hidden="1" spans="16382:16384">
      <c r="XFB240" s="2"/>
      <c r="XFC240" s="2"/>
      <c r="XFD240" s="2"/>
    </row>
    <row r="241" s="1" customFormat="1" ht="14.25" hidden="1" spans="16382:16384">
      <c r="XFB241" s="2"/>
      <c r="XFC241" s="2"/>
      <c r="XFD241" s="2"/>
    </row>
    <row r="242" s="1" customFormat="1" ht="14.25" hidden="1" spans="16382:16384">
      <c r="XFB242" s="2"/>
      <c r="XFC242" s="2"/>
      <c r="XFD242" s="2"/>
    </row>
    <row r="243" s="1" customFormat="1" ht="14.25" hidden="1" spans="16382:16384">
      <c r="XFB243" s="2"/>
      <c r="XFC243" s="2"/>
      <c r="XFD243" s="2"/>
    </row>
    <row r="244" s="1" customFormat="1" ht="14.25" hidden="1" spans="16382:16384">
      <c r="XFB244" s="2"/>
      <c r="XFC244" s="2"/>
      <c r="XFD244" s="2"/>
    </row>
    <row r="245" s="1" customFormat="1" ht="14.25" hidden="1" spans="16382:16384">
      <c r="XFB245" s="2"/>
      <c r="XFC245" s="2"/>
      <c r="XFD245" s="2"/>
    </row>
    <row r="246" s="1" customFormat="1" ht="14.25" hidden="1" spans="16382:16384">
      <c r="XFB246" s="2"/>
      <c r="XFC246" s="2"/>
      <c r="XFD246" s="2"/>
    </row>
    <row r="247" s="1" customFormat="1" ht="14.25" hidden="1" spans="16382:16384">
      <c r="XFB247" s="2"/>
      <c r="XFC247" s="2"/>
      <c r="XFD247" s="2"/>
    </row>
    <row r="248" s="1" customFormat="1" ht="14.25" hidden="1" spans="16382:16384">
      <c r="XFB248" s="2"/>
      <c r="XFC248" s="2"/>
      <c r="XFD248" s="2"/>
    </row>
    <row r="249" s="1" customFormat="1" ht="14.25" hidden="1" spans="16382:16384">
      <c r="XFB249" s="2"/>
      <c r="XFC249" s="2"/>
      <c r="XFD249" s="2"/>
    </row>
    <row r="250" s="1" customFormat="1" ht="14.25" hidden="1" spans="16382:16384">
      <c r="XFB250" s="2"/>
      <c r="XFC250" s="2"/>
      <c r="XFD250" s="2"/>
    </row>
    <row r="251" s="1" customFormat="1" ht="14.25" hidden="1" spans="16382:16384">
      <c r="XFB251" s="2"/>
      <c r="XFC251" s="2"/>
      <c r="XFD251" s="2"/>
    </row>
    <row r="252" s="1" customFormat="1" ht="14.25" hidden="1" spans="16382:16384">
      <c r="XFB252" s="2"/>
      <c r="XFC252" s="2"/>
      <c r="XFD252" s="2"/>
    </row>
    <row r="253" s="1" customFormat="1" ht="14.25" hidden="1" spans="16382:16384">
      <c r="XFB253" s="2"/>
      <c r="XFC253" s="2"/>
      <c r="XFD253" s="2"/>
    </row>
    <row r="254" s="1" customFormat="1" ht="14.25" hidden="1" spans="16382:16384">
      <c r="XFB254" s="2"/>
      <c r="XFC254" s="2"/>
      <c r="XFD254" s="2"/>
    </row>
    <row r="255" s="1" customFormat="1" ht="14.25" hidden="1" spans="16382:16384">
      <c r="XFB255" s="2"/>
      <c r="XFC255" s="2"/>
      <c r="XFD255" s="2"/>
    </row>
    <row r="256" s="1" customFormat="1" ht="14.25" hidden="1" spans="16382:16384">
      <c r="XFB256" s="2"/>
      <c r="XFC256" s="2"/>
      <c r="XFD256" s="2"/>
    </row>
    <row r="257" s="1" customFormat="1" ht="14.25" hidden="1" spans="16382:16384">
      <c r="XFB257" s="2"/>
      <c r="XFC257" s="2"/>
      <c r="XFD257" s="2"/>
    </row>
    <row r="258" s="1" customFormat="1" ht="14.25" hidden="1" spans="16382:16384">
      <c r="XFB258" s="2"/>
      <c r="XFC258" s="2"/>
      <c r="XFD258" s="2"/>
    </row>
    <row r="259" s="1" customFormat="1" ht="14.25" hidden="1" spans="16382:16384">
      <c r="XFB259" s="2"/>
      <c r="XFC259" s="2"/>
      <c r="XFD259" s="2"/>
    </row>
    <row r="260" s="1" customFormat="1" ht="14.25" hidden="1" spans="16382:16384">
      <c r="XFB260" s="2"/>
      <c r="XFC260" s="2"/>
      <c r="XFD260" s="2"/>
    </row>
    <row r="261" s="1" customFormat="1" ht="14.25" hidden="1" spans="16382:16384">
      <c r="XFB261" s="2"/>
      <c r="XFC261" s="2"/>
      <c r="XFD261" s="2"/>
    </row>
    <row r="262" s="1" customFormat="1" ht="14.25" hidden="1" spans="16382:16384">
      <c r="XFB262" s="2"/>
      <c r="XFC262" s="2"/>
      <c r="XFD262" s="2"/>
    </row>
    <row r="263" s="1" customFormat="1" ht="14.25" hidden="1" spans="16382:16384">
      <c r="XFB263" s="2"/>
      <c r="XFC263" s="2"/>
      <c r="XFD263" s="2"/>
    </row>
    <row r="264" s="1" customFormat="1" ht="14.25" hidden="1" spans="16382:16384">
      <c r="XFB264" s="2"/>
      <c r="XFC264" s="2"/>
      <c r="XFD264" s="2"/>
    </row>
    <row r="265" s="1" customFormat="1" ht="14.25" hidden="1" spans="16382:16384">
      <c r="XFB265" s="2"/>
      <c r="XFC265" s="2"/>
      <c r="XFD265" s="2"/>
    </row>
    <row r="266" s="1" customFormat="1" ht="14.25" hidden="1" spans="16382:16384">
      <c r="XFB266" s="2"/>
      <c r="XFC266" s="2"/>
      <c r="XFD266" s="2"/>
    </row>
    <row r="267" s="1" customFormat="1" ht="14.25" hidden="1" spans="16382:16384">
      <c r="XFB267" s="2"/>
      <c r="XFC267" s="2"/>
      <c r="XFD267" s="2"/>
    </row>
    <row r="268" s="1" customFormat="1" ht="14.25" hidden="1" spans="16382:16384">
      <c r="XFB268" s="2"/>
      <c r="XFC268" s="2"/>
      <c r="XFD268" s="2"/>
    </row>
    <row r="269" s="1" customFormat="1" ht="14.25" hidden="1" spans="16382:16384">
      <c r="XFB269" s="2"/>
      <c r="XFC269" s="2"/>
      <c r="XFD269" s="2"/>
    </row>
    <row r="270" s="1" customFormat="1" ht="14.25" hidden="1" spans="16382:16384">
      <c r="XFB270" s="2"/>
      <c r="XFC270" s="2"/>
      <c r="XFD270" s="2"/>
    </row>
    <row r="271" s="1" customFormat="1" ht="14.25" hidden="1" spans="16382:16384">
      <c r="XFB271" s="2"/>
      <c r="XFC271" s="2"/>
      <c r="XFD271" s="2"/>
    </row>
    <row r="272" s="1" customFormat="1" ht="14.25" hidden="1" spans="16382:16384">
      <c r="XFB272" s="2"/>
      <c r="XFC272" s="2"/>
      <c r="XFD272" s="2"/>
    </row>
    <row r="273" s="1" customFormat="1" ht="14.25" hidden="1" spans="16382:16384">
      <c r="XFB273" s="2"/>
      <c r="XFC273" s="2"/>
      <c r="XFD273" s="2"/>
    </row>
    <row r="274" s="1" customFormat="1" ht="14.25" hidden="1" spans="16382:16384">
      <c r="XFB274" s="2"/>
      <c r="XFC274" s="2"/>
      <c r="XFD274" s="2"/>
    </row>
    <row r="275" s="1" customFormat="1" ht="14.25" hidden="1" spans="16382:16384">
      <c r="XFB275" s="2"/>
      <c r="XFC275" s="2"/>
      <c r="XFD275" s="2"/>
    </row>
    <row r="276" s="1" customFormat="1" ht="14.25" hidden="1" spans="16382:16384">
      <c r="XFB276" s="2"/>
      <c r="XFC276" s="2"/>
      <c r="XFD276" s="2"/>
    </row>
    <row r="277" s="1" customFormat="1" ht="14.25" hidden="1" spans="16382:16384">
      <c r="XFB277" s="2"/>
      <c r="XFC277" s="2"/>
      <c r="XFD277" s="2"/>
    </row>
    <row r="278" s="1" customFormat="1" ht="14.25" hidden="1" spans="16382:16384">
      <c r="XFB278" s="2"/>
      <c r="XFC278" s="2"/>
      <c r="XFD278" s="2"/>
    </row>
    <row r="279" s="1" customFormat="1" ht="14.25" hidden="1" spans="16382:16384">
      <c r="XFB279" s="2"/>
      <c r="XFC279" s="2"/>
      <c r="XFD279" s="2"/>
    </row>
    <row r="280" s="1" customFormat="1" ht="14.25" hidden="1" spans="16382:16384">
      <c r="XFB280" s="2"/>
      <c r="XFC280" s="2"/>
      <c r="XFD280" s="2"/>
    </row>
    <row r="281" s="1" customFormat="1" ht="14.25" hidden="1" spans="16382:16384">
      <c r="XFB281" s="2"/>
      <c r="XFC281" s="2"/>
      <c r="XFD281" s="2"/>
    </row>
    <row r="282" s="1" customFormat="1" ht="14.25" hidden="1" spans="16382:16384">
      <c r="XFB282" s="2"/>
      <c r="XFC282" s="2"/>
      <c r="XFD282" s="2"/>
    </row>
    <row r="283" s="1" customFormat="1" ht="14.25" hidden="1" spans="16382:16384">
      <c r="XFB283" s="2"/>
      <c r="XFC283" s="2"/>
      <c r="XFD283" s="2"/>
    </row>
    <row r="284" s="1" customFormat="1" ht="14.25" hidden="1" spans="16382:16384">
      <c r="XFB284" s="2"/>
      <c r="XFC284" s="2"/>
      <c r="XFD284" s="2"/>
    </row>
    <row r="285" s="1" customFormat="1" ht="14.25" hidden="1" spans="16382:16384">
      <c r="XFB285" s="2"/>
      <c r="XFC285" s="2"/>
      <c r="XFD285" s="2"/>
    </row>
    <row r="286" s="1" customFormat="1" ht="14.25" hidden="1" spans="16382:16384">
      <c r="XFB286" s="2"/>
      <c r="XFC286" s="2"/>
      <c r="XFD286" s="2"/>
    </row>
    <row r="287" s="1" customFormat="1" ht="14.25" hidden="1" spans="16382:16384">
      <c r="XFB287" s="2"/>
      <c r="XFC287" s="2"/>
      <c r="XFD287" s="2"/>
    </row>
    <row r="288" s="1" customFormat="1" ht="14.25" hidden="1" spans="16382:16384">
      <c r="XFB288" s="2"/>
      <c r="XFC288" s="2"/>
      <c r="XFD288" s="2"/>
    </row>
    <row r="289" s="1" customFormat="1" ht="14.25" hidden="1" spans="16382:16384">
      <c r="XFB289" s="2"/>
      <c r="XFC289" s="2"/>
      <c r="XFD289" s="2"/>
    </row>
    <row r="290" s="1" customFormat="1" ht="14.25" hidden="1" spans="16382:16384">
      <c r="XFB290" s="2"/>
      <c r="XFC290" s="2"/>
      <c r="XFD290" s="2"/>
    </row>
    <row r="291" s="1" customFormat="1" ht="14.25" hidden="1" spans="16382:16384">
      <c r="XFB291" s="2"/>
      <c r="XFC291" s="2"/>
      <c r="XFD291" s="2"/>
    </row>
    <row r="292" s="1" customFormat="1" ht="14.25" hidden="1" spans="16382:16384">
      <c r="XFB292" s="2"/>
      <c r="XFC292" s="2"/>
      <c r="XFD292" s="2"/>
    </row>
    <row r="293" s="1" customFormat="1" ht="14.25" hidden="1" spans="16382:16384">
      <c r="XFB293" s="2"/>
      <c r="XFC293" s="2"/>
      <c r="XFD293" s="2"/>
    </row>
    <row r="294" s="1" customFormat="1" ht="14.25" hidden="1" spans="16382:16384">
      <c r="XFB294" s="2"/>
      <c r="XFC294" s="2"/>
      <c r="XFD294" s="2"/>
    </row>
    <row r="295" s="1" customFormat="1" ht="14.25" hidden="1" spans="16382:16384">
      <c r="XFB295" s="2"/>
      <c r="XFC295" s="2"/>
      <c r="XFD295" s="2"/>
    </row>
    <row r="296" s="1" customFormat="1" ht="14.25" hidden="1" spans="16382:16384">
      <c r="XFB296" s="2"/>
      <c r="XFC296" s="2"/>
      <c r="XFD296" s="2"/>
    </row>
    <row r="297" s="1" customFormat="1" ht="14.25" hidden="1" spans="16382:16384">
      <c r="XFB297" s="2"/>
      <c r="XFC297" s="2"/>
      <c r="XFD297" s="2"/>
    </row>
    <row r="298" s="1" customFormat="1" ht="14.25" hidden="1" spans="16382:16384">
      <c r="XFB298" s="2"/>
      <c r="XFC298" s="2"/>
      <c r="XFD298" s="2"/>
    </row>
    <row r="299" s="1" customFormat="1" ht="14.25" hidden="1" spans="16382:16384">
      <c r="XFB299" s="2"/>
      <c r="XFC299" s="2"/>
      <c r="XFD299" s="2"/>
    </row>
    <row r="300" s="1" customFormat="1" ht="14.25" hidden="1" spans="16382:16384">
      <c r="XFB300" s="2"/>
      <c r="XFC300" s="2"/>
      <c r="XFD300" s="2"/>
    </row>
    <row r="301" s="1" customFormat="1" ht="14.25" hidden="1" spans="16382:16384">
      <c r="XFB301" s="2"/>
      <c r="XFC301" s="2"/>
      <c r="XFD301" s="2"/>
    </row>
    <row r="302" s="1" customFormat="1" ht="14.25" hidden="1" spans="16382:16384">
      <c r="XFB302" s="2"/>
      <c r="XFC302" s="2"/>
      <c r="XFD302" s="2"/>
    </row>
    <row r="303" s="1" customFormat="1" ht="14.25" hidden="1" spans="16382:16384">
      <c r="XFB303" s="2"/>
      <c r="XFC303" s="2"/>
      <c r="XFD303" s="2"/>
    </row>
    <row r="304" s="1" customFormat="1" ht="14.25" hidden="1" spans="16382:16384">
      <c r="XFB304" s="2"/>
      <c r="XFC304" s="2"/>
      <c r="XFD304" s="2"/>
    </row>
    <row r="305" s="1" customFormat="1" ht="14.25" hidden="1" spans="16382:16384">
      <c r="XFB305" s="2"/>
      <c r="XFC305" s="2"/>
      <c r="XFD305" s="2"/>
    </row>
    <row r="306" s="1" customFormat="1" ht="14.25" hidden="1" spans="16382:16384">
      <c r="XFB306" s="2"/>
      <c r="XFC306" s="2"/>
      <c r="XFD306" s="2"/>
    </row>
    <row r="307" s="1" customFormat="1" ht="14.25" hidden="1" spans="16382:16384">
      <c r="XFB307" s="2"/>
      <c r="XFC307" s="2"/>
      <c r="XFD307" s="2"/>
    </row>
    <row r="308" s="1" customFormat="1" ht="14.25" hidden="1" spans="16382:16384">
      <c r="XFB308" s="2"/>
      <c r="XFC308" s="2"/>
      <c r="XFD308" s="2"/>
    </row>
    <row r="309" s="1" customFormat="1" ht="14.25" hidden="1" spans="16382:16384">
      <c r="XFB309" s="2"/>
      <c r="XFC309" s="2"/>
      <c r="XFD309" s="2"/>
    </row>
    <row r="310" s="1" customFormat="1" ht="14.25" hidden="1" spans="16382:16384">
      <c r="XFB310" s="2"/>
      <c r="XFC310" s="2"/>
      <c r="XFD310" s="2"/>
    </row>
    <row r="311" s="1" customFormat="1" ht="14.25" hidden="1" spans="16382:16384">
      <c r="XFB311" s="2"/>
      <c r="XFC311" s="2"/>
      <c r="XFD311" s="2"/>
    </row>
    <row r="312" s="1" customFormat="1" ht="14.25" hidden="1" spans="16382:16384">
      <c r="XFB312" s="2"/>
      <c r="XFC312" s="2"/>
      <c r="XFD312" s="2"/>
    </row>
    <row r="313" s="1" customFormat="1" ht="14.25" hidden="1" spans="16382:16384">
      <c r="XFB313" s="2"/>
      <c r="XFC313" s="2"/>
      <c r="XFD313" s="2"/>
    </row>
    <row r="314" s="1" customFormat="1" ht="14.25" hidden="1" spans="16382:16384">
      <c r="XFB314" s="2"/>
      <c r="XFC314" s="2"/>
      <c r="XFD314" s="2"/>
    </row>
    <row r="315" s="1" customFormat="1" ht="14.25" hidden="1" spans="16382:16384">
      <c r="XFB315" s="2"/>
      <c r="XFC315" s="2"/>
      <c r="XFD315" s="2"/>
    </row>
    <row r="316" s="1" customFormat="1" ht="14.25" hidden="1" spans="16382:16384">
      <c r="XFB316" s="2"/>
      <c r="XFC316" s="2"/>
      <c r="XFD316" s="2"/>
    </row>
    <row r="317" s="1" customFormat="1" ht="14.25" hidden="1" spans="16382:16384">
      <c r="XFB317" s="2"/>
      <c r="XFC317" s="2"/>
      <c r="XFD317" s="2"/>
    </row>
    <row r="318" s="1" customFormat="1" ht="14.25" hidden="1" spans="16382:16384">
      <c r="XFB318" s="2"/>
      <c r="XFC318" s="2"/>
      <c r="XFD318" s="2"/>
    </row>
    <row r="319" s="1" customFormat="1" ht="14.25" hidden="1" spans="16382:16384">
      <c r="XFB319" s="2"/>
      <c r="XFC319" s="2"/>
      <c r="XFD319" s="2"/>
    </row>
    <row r="320" s="1" customFormat="1" ht="14.25" hidden="1" spans="16382:16384">
      <c r="XFB320" s="2"/>
      <c r="XFC320" s="2"/>
      <c r="XFD320" s="2"/>
    </row>
    <row r="321" s="1" customFormat="1" ht="14.25" hidden="1" spans="16382:16384">
      <c r="XFB321" s="2"/>
      <c r="XFC321" s="2"/>
      <c r="XFD321" s="2"/>
    </row>
    <row r="322" s="1" customFormat="1" ht="14.25" hidden="1" spans="16382:16384">
      <c r="XFB322" s="2"/>
      <c r="XFC322" s="2"/>
      <c r="XFD322" s="2"/>
    </row>
    <row r="323" s="1" customFormat="1" ht="14.25" hidden="1" spans="16382:16384">
      <c r="XFB323" s="2"/>
      <c r="XFC323" s="2"/>
      <c r="XFD323" s="2"/>
    </row>
    <row r="324" s="1" customFormat="1" ht="14.25" hidden="1" spans="16382:16384">
      <c r="XFB324" s="2"/>
      <c r="XFC324" s="2"/>
      <c r="XFD324" s="2"/>
    </row>
    <row r="325" s="1" customFormat="1" ht="14.25" hidden="1" spans="16382:16384">
      <c r="XFB325" s="2"/>
      <c r="XFC325" s="2"/>
      <c r="XFD325" s="2"/>
    </row>
    <row r="326" s="1" customFormat="1" ht="14.25" hidden="1" spans="16382:16384">
      <c r="XFB326" s="2"/>
      <c r="XFC326" s="2"/>
      <c r="XFD326" s="2"/>
    </row>
    <row r="327" s="1" customFormat="1" ht="14.25" hidden="1" spans="16382:16384">
      <c r="XFB327" s="2"/>
      <c r="XFC327" s="2"/>
      <c r="XFD327" s="2"/>
    </row>
    <row r="328" s="1" customFormat="1" ht="14.25" hidden="1" spans="16382:16384">
      <c r="XFB328" s="2"/>
      <c r="XFC328" s="2"/>
      <c r="XFD328" s="2"/>
    </row>
    <row r="329" s="1" customFormat="1" ht="14.25" hidden="1" spans="16382:16384">
      <c r="XFB329" s="2"/>
      <c r="XFC329" s="2"/>
      <c r="XFD329" s="2"/>
    </row>
    <row r="330" s="1" customFormat="1" ht="14.25" hidden="1" spans="16382:16384">
      <c r="XFB330" s="2"/>
      <c r="XFC330" s="2"/>
      <c r="XFD330" s="2"/>
    </row>
    <row r="331" s="1" customFormat="1" ht="14.25" hidden="1" spans="16382:16384">
      <c r="XFB331" s="2"/>
      <c r="XFC331" s="2"/>
      <c r="XFD331" s="2"/>
    </row>
    <row r="332" s="1" customFormat="1" ht="14.25" hidden="1" spans="16382:16384">
      <c r="XFB332" s="2"/>
      <c r="XFC332" s="2"/>
      <c r="XFD332" s="2"/>
    </row>
    <row r="333" s="1" customFormat="1" ht="14.25" hidden="1" spans="16382:16384">
      <c r="XFB333" s="2"/>
      <c r="XFC333" s="2"/>
      <c r="XFD333" s="2"/>
    </row>
    <row r="334" s="1" customFormat="1" ht="14.25" hidden="1" spans="16382:16384">
      <c r="XFB334" s="2"/>
      <c r="XFC334" s="2"/>
      <c r="XFD334" s="2"/>
    </row>
    <row r="335" s="1" customFormat="1" ht="14.25" hidden="1" spans="16382:16384">
      <c r="XFB335" s="2"/>
      <c r="XFC335" s="2"/>
      <c r="XFD335" s="2"/>
    </row>
    <row r="336" s="1" customFormat="1" ht="14.25" hidden="1" spans="16382:16384">
      <c r="XFB336" s="2"/>
      <c r="XFC336" s="2"/>
      <c r="XFD336" s="2"/>
    </row>
    <row r="337" s="1" customFormat="1" ht="14.25" hidden="1" spans="16382:16384">
      <c r="XFB337" s="2"/>
      <c r="XFC337" s="2"/>
      <c r="XFD337" s="2"/>
    </row>
    <row r="338" s="1" customFormat="1" ht="14.25" hidden="1" spans="16382:16384">
      <c r="XFB338" s="2"/>
      <c r="XFC338" s="2"/>
      <c r="XFD338" s="2"/>
    </row>
    <row r="339" s="1" customFormat="1" ht="14.25" hidden="1" spans="16382:16384">
      <c r="XFB339" s="2"/>
      <c r="XFC339" s="2"/>
      <c r="XFD339" s="2"/>
    </row>
    <row r="340" s="1" customFormat="1" ht="14.25" hidden="1" spans="16382:16384">
      <c r="XFB340" s="2"/>
      <c r="XFC340" s="2"/>
      <c r="XFD340" s="2"/>
    </row>
    <row r="341" s="1" customFormat="1" ht="14.25" hidden="1" spans="16382:16384">
      <c r="XFB341" s="2"/>
      <c r="XFC341" s="2"/>
      <c r="XFD341" s="2"/>
    </row>
    <row r="342" s="1" customFormat="1" ht="14.25" hidden="1" spans="16382:16384">
      <c r="XFB342" s="2"/>
      <c r="XFC342" s="2"/>
      <c r="XFD342" s="2"/>
    </row>
    <row r="343" s="1" customFormat="1" ht="14.25" hidden="1" spans="16382:16384">
      <c r="XFB343" s="2"/>
      <c r="XFC343" s="2"/>
      <c r="XFD343" s="2"/>
    </row>
    <row r="344" s="1" customFormat="1" ht="14.25" hidden="1" spans="16382:16384">
      <c r="XFB344" s="2"/>
      <c r="XFC344" s="2"/>
      <c r="XFD344" s="2"/>
    </row>
    <row r="345" s="1" customFormat="1" ht="14.25" hidden="1" spans="16382:16384">
      <c r="XFB345" s="2"/>
      <c r="XFC345" s="2"/>
      <c r="XFD345" s="2"/>
    </row>
    <row r="346" s="1" customFormat="1" ht="14.25" hidden="1" spans="16382:16384">
      <c r="XFB346" s="2"/>
      <c r="XFC346" s="2"/>
      <c r="XFD346" s="2"/>
    </row>
    <row r="347" s="1" customFormat="1" ht="14.25" hidden="1" spans="16382:16384">
      <c r="XFB347" s="2"/>
      <c r="XFC347" s="2"/>
      <c r="XFD347" s="2"/>
    </row>
    <row r="348" s="1" customFormat="1" ht="14.25" hidden="1" spans="16382:16384">
      <c r="XFB348" s="2"/>
      <c r="XFC348" s="2"/>
      <c r="XFD348" s="2"/>
    </row>
    <row r="349" s="1" customFormat="1" ht="14.25" hidden="1" spans="16382:16384">
      <c r="XFB349" s="2"/>
      <c r="XFC349" s="2"/>
      <c r="XFD349" s="2"/>
    </row>
    <row r="350" s="1" customFormat="1" ht="14.25" hidden="1" spans="16382:16384">
      <c r="XFB350" s="2"/>
      <c r="XFC350" s="2"/>
      <c r="XFD350" s="2"/>
    </row>
    <row r="351" s="1" customFormat="1" ht="14.25" hidden="1" spans="16382:16384">
      <c r="XFB351" s="2"/>
      <c r="XFC351" s="2"/>
      <c r="XFD351" s="2"/>
    </row>
    <row r="352" s="1" customFormat="1" ht="14.25" hidden="1" spans="16382:16384">
      <c r="XFB352" s="2"/>
      <c r="XFC352" s="2"/>
      <c r="XFD352" s="2"/>
    </row>
    <row r="353" s="1" customFormat="1" ht="14.25" hidden="1" spans="16382:16384">
      <c r="XFB353" s="2"/>
      <c r="XFC353" s="2"/>
      <c r="XFD353" s="2"/>
    </row>
    <row r="354" s="1" customFormat="1" ht="14.25" hidden="1" spans="16382:16384">
      <c r="XFB354" s="2"/>
      <c r="XFC354" s="2"/>
      <c r="XFD354" s="2"/>
    </row>
    <row r="355" s="1" customFormat="1" ht="14.25" hidden="1" spans="16382:16384">
      <c r="XFB355" s="2"/>
      <c r="XFC355" s="2"/>
      <c r="XFD355" s="2"/>
    </row>
    <row r="356" s="1" customFormat="1" ht="14.25" hidden="1" spans="16382:16384">
      <c r="XFB356" s="2"/>
      <c r="XFC356" s="2"/>
      <c r="XFD356" s="2"/>
    </row>
    <row r="357" s="1" customFormat="1" ht="14.25" hidden="1" spans="16382:16384">
      <c r="XFB357" s="2"/>
      <c r="XFC357" s="2"/>
      <c r="XFD357" s="2"/>
    </row>
    <row r="358" s="1" customFormat="1" ht="14.25" hidden="1" spans="16382:16384">
      <c r="XFB358" s="2"/>
      <c r="XFC358" s="2"/>
      <c r="XFD358" s="2"/>
    </row>
    <row r="359" s="1" customFormat="1" ht="14.25" hidden="1" spans="16382:16384">
      <c r="XFB359" s="2"/>
      <c r="XFC359" s="2"/>
      <c r="XFD359" s="2"/>
    </row>
    <row r="360" s="1" customFormat="1" ht="14.25" hidden="1" spans="16382:16384">
      <c r="XFB360" s="2"/>
      <c r="XFC360" s="2"/>
      <c r="XFD360" s="2"/>
    </row>
    <row r="361" s="1" customFormat="1" ht="14.25" hidden="1" spans="16382:16384">
      <c r="XFB361" s="2"/>
      <c r="XFC361" s="2"/>
      <c r="XFD361" s="2"/>
    </row>
    <row r="362" s="1" customFormat="1" ht="14.25" hidden="1" spans="16382:16384">
      <c r="XFB362" s="2"/>
      <c r="XFC362" s="2"/>
      <c r="XFD362" s="2"/>
    </row>
    <row r="363" s="1" customFormat="1" ht="14.25" hidden="1" spans="16382:16384">
      <c r="XFB363" s="2"/>
      <c r="XFC363" s="2"/>
      <c r="XFD363" s="2"/>
    </row>
    <row r="364" s="1" customFormat="1" ht="14.25" hidden="1" spans="16382:16384">
      <c r="XFB364" s="2"/>
      <c r="XFC364" s="2"/>
      <c r="XFD364" s="2"/>
    </row>
    <row r="365" s="1" customFormat="1" ht="14.25" hidden="1" spans="16382:16384">
      <c r="XFB365" s="2"/>
      <c r="XFC365" s="2"/>
      <c r="XFD365" s="2"/>
    </row>
    <row r="366" s="1" customFormat="1" ht="14.25" hidden="1" spans="16382:16384">
      <c r="XFB366" s="2"/>
      <c r="XFC366" s="2"/>
      <c r="XFD366" s="2"/>
    </row>
    <row r="367" s="1" customFormat="1" ht="14.25" hidden="1" spans="16382:16384">
      <c r="XFB367" s="2"/>
      <c r="XFC367" s="2"/>
      <c r="XFD367" s="2"/>
    </row>
    <row r="368" s="1" customFormat="1" ht="14.25" hidden="1" spans="16382:16384">
      <c r="XFB368" s="2"/>
      <c r="XFC368" s="2"/>
      <c r="XFD368" s="2"/>
    </row>
    <row r="369" s="1" customFormat="1" ht="14.25" hidden="1" spans="16382:16384">
      <c r="XFB369" s="2"/>
      <c r="XFC369" s="2"/>
      <c r="XFD369" s="2"/>
    </row>
    <row r="370" s="1" customFormat="1" ht="14.25" hidden="1" spans="16382:16384">
      <c r="XFB370" s="2"/>
      <c r="XFC370" s="2"/>
      <c r="XFD370" s="2"/>
    </row>
    <row r="371" s="1" customFormat="1" ht="14.25" hidden="1" spans="16382:16384">
      <c r="XFB371" s="2"/>
      <c r="XFC371" s="2"/>
      <c r="XFD371" s="2"/>
    </row>
    <row r="372" s="1" customFormat="1" ht="14.25" hidden="1" spans="16382:16384">
      <c r="XFB372" s="2"/>
      <c r="XFC372" s="2"/>
      <c r="XFD372" s="2"/>
    </row>
    <row r="373" s="1" customFormat="1" ht="14.25" hidden="1" spans="16382:16384">
      <c r="XFB373" s="2"/>
      <c r="XFC373" s="2"/>
      <c r="XFD373" s="2"/>
    </row>
    <row r="374" s="1" customFormat="1" ht="14.25" hidden="1" spans="16382:16384">
      <c r="XFB374" s="2"/>
      <c r="XFC374" s="2"/>
      <c r="XFD374" s="2"/>
    </row>
    <row r="375" s="1" customFormat="1" ht="14.25" hidden="1" spans="16382:16384">
      <c r="XFB375" s="2"/>
      <c r="XFC375" s="2"/>
      <c r="XFD375" s="2"/>
    </row>
    <row r="376" s="1" customFormat="1" ht="14.25" hidden="1" spans="16382:16384">
      <c r="XFB376" s="2"/>
      <c r="XFC376" s="2"/>
      <c r="XFD376" s="2"/>
    </row>
    <row r="377" s="1" customFormat="1" ht="14.25" hidden="1" spans="16382:16384">
      <c r="XFB377" s="2"/>
      <c r="XFC377" s="2"/>
      <c r="XFD377" s="2"/>
    </row>
    <row r="378" s="1" customFormat="1" ht="14.25" hidden="1" spans="16382:16384">
      <c r="XFB378" s="2"/>
      <c r="XFC378" s="2"/>
      <c r="XFD378" s="2"/>
    </row>
    <row r="379" s="1" customFormat="1" ht="14.25" hidden="1" spans="16382:16384">
      <c r="XFB379" s="2"/>
      <c r="XFC379" s="2"/>
      <c r="XFD379" s="2"/>
    </row>
    <row r="380" s="1" customFormat="1" ht="14.25" hidden="1" spans="16382:16384">
      <c r="XFB380" s="2"/>
      <c r="XFC380" s="2"/>
      <c r="XFD380" s="2"/>
    </row>
    <row r="381" s="1" customFormat="1" ht="14.25" hidden="1" spans="16382:16384">
      <c r="XFB381" s="2"/>
      <c r="XFC381" s="2"/>
      <c r="XFD381" s="2"/>
    </row>
    <row r="382" s="1" customFormat="1" ht="14.25" hidden="1" spans="16382:16384">
      <c r="XFB382" s="2"/>
      <c r="XFC382" s="2"/>
      <c r="XFD382" s="2"/>
    </row>
    <row r="383" s="1" customFormat="1" ht="14.25" hidden="1" spans="16382:16384">
      <c r="XFB383" s="2"/>
      <c r="XFC383" s="2"/>
      <c r="XFD383" s="2"/>
    </row>
    <row r="384" s="1" customFormat="1" ht="14.25" hidden="1" spans="16382:16384">
      <c r="XFB384" s="2"/>
      <c r="XFC384" s="2"/>
      <c r="XFD384" s="2"/>
    </row>
    <row r="385" s="1" customFormat="1" ht="14.25" hidden="1" spans="16382:16384">
      <c r="XFB385" s="2"/>
      <c r="XFC385" s="2"/>
      <c r="XFD385" s="2"/>
    </row>
    <row r="386" s="1" customFormat="1" ht="14.25" hidden="1" spans="16382:16384">
      <c r="XFB386" s="2"/>
      <c r="XFC386" s="2"/>
      <c r="XFD386" s="2"/>
    </row>
    <row r="387" s="1" customFormat="1" ht="14.25" hidden="1" spans="16382:16384">
      <c r="XFB387" s="2"/>
      <c r="XFC387" s="2"/>
      <c r="XFD387" s="2"/>
    </row>
    <row r="388" s="1" customFormat="1" ht="14.25" hidden="1" spans="16382:16384">
      <c r="XFB388" s="2"/>
      <c r="XFC388" s="2"/>
      <c r="XFD388" s="2"/>
    </row>
    <row r="389" s="1" customFormat="1" ht="14.25" hidden="1" spans="16382:16384">
      <c r="XFB389" s="2"/>
      <c r="XFC389" s="2"/>
      <c r="XFD389" s="2"/>
    </row>
    <row r="390" s="1" customFormat="1" ht="14.25" hidden="1" spans="16382:16384">
      <c r="XFB390" s="2"/>
      <c r="XFC390" s="2"/>
      <c r="XFD390" s="2"/>
    </row>
    <row r="391" s="1" customFormat="1" ht="14.25" hidden="1" spans="16382:16384">
      <c r="XFB391" s="2"/>
      <c r="XFC391" s="2"/>
      <c r="XFD391" s="2"/>
    </row>
    <row r="392" s="1" customFormat="1" ht="14.25" hidden="1" spans="16382:16384">
      <c r="XFB392" s="2"/>
      <c r="XFC392" s="2"/>
      <c r="XFD392" s="2"/>
    </row>
    <row r="393" s="1" customFormat="1" ht="14.25" hidden="1" spans="16382:16384">
      <c r="XFB393" s="2"/>
      <c r="XFC393" s="2"/>
      <c r="XFD393" s="2"/>
    </row>
    <row r="394" s="1" customFormat="1" ht="14.25" hidden="1" spans="16382:16384">
      <c r="XFB394" s="2"/>
      <c r="XFC394" s="2"/>
      <c r="XFD394" s="2"/>
    </row>
    <row r="395" s="1" customFormat="1" ht="14.25" hidden="1" spans="16382:16384">
      <c r="XFB395" s="2"/>
      <c r="XFC395" s="2"/>
      <c r="XFD395" s="2"/>
    </row>
    <row r="396" s="1" customFormat="1" ht="14.25" hidden="1" spans="16382:16384">
      <c r="XFB396" s="2"/>
      <c r="XFC396" s="2"/>
      <c r="XFD396" s="2"/>
    </row>
    <row r="397" s="1" customFormat="1" ht="14.25" hidden="1" spans="16382:16384">
      <c r="XFB397" s="2"/>
      <c r="XFC397" s="2"/>
      <c r="XFD397" s="2"/>
    </row>
    <row r="398" s="1" customFormat="1" ht="14.25" hidden="1" spans="16382:16384">
      <c r="XFB398" s="2"/>
      <c r="XFC398" s="2"/>
      <c r="XFD398" s="2"/>
    </row>
    <row r="399" s="1" customFormat="1" ht="14.25" hidden="1" spans="16382:16384">
      <c r="XFB399" s="2"/>
      <c r="XFC399" s="2"/>
      <c r="XFD399" s="2"/>
    </row>
    <row r="400" s="1" customFormat="1" ht="14.25" hidden="1" spans="16382:16384">
      <c r="XFB400" s="2"/>
      <c r="XFC400" s="2"/>
      <c r="XFD400" s="2"/>
    </row>
    <row r="401" s="1" customFormat="1" ht="14.25" hidden="1" spans="16382:16384">
      <c r="XFB401" s="2"/>
      <c r="XFC401" s="2"/>
      <c r="XFD401" s="2"/>
    </row>
    <row r="402" s="1" customFormat="1" ht="14.25" hidden="1" spans="16382:16384">
      <c r="XFB402" s="2"/>
      <c r="XFC402" s="2"/>
      <c r="XFD402" s="2"/>
    </row>
    <row r="403" s="1" customFormat="1" ht="14.25" hidden="1" spans="16382:16384">
      <c r="XFB403" s="2"/>
      <c r="XFC403" s="2"/>
      <c r="XFD403" s="2"/>
    </row>
    <row r="404" s="1" customFormat="1" ht="14.25" hidden="1" spans="16382:16384">
      <c r="XFB404" s="2"/>
      <c r="XFC404" s="2"/>
      <c r="XFD404" s="2"/>
    </row>
    <row r="405" s="1" customFormat="1" ht="14.25" hidden="1" spans="16382:16384">
      <c r="XFB405" s="2"/>
      <c r="XFC405" s="2"/>
      <c r="XFD405" s="2"/>
    </row>
    <row r="406" s="1" customFormat="1" ht="14.25" hidden="1" spans="16382:16384">
      <c r="XFB406" s="2"/>
      <c r="XFC406" s="2"/>
      <c r="XFD406" s="2"/>
    </row>
    <row r="407" s="1" customFormat="1" ht="14.25" hidden="1" spans="16382:16384">
      <c r="XFB407" s="2"/>
      <c r="XFC407" s="2"/>
      <c r="XFD407" s="2"/>
    </row>
    <row r="408" s="1" customFormat="1" ht="14.25" hidden="1" spans="16382:16384">
      <c r="XFB408" s="2"/>
      <c r="XFC408" s="2"/>
      <c r="XFD408" s="2"/>
    </row>
    <row r="409" s="1" customFormat="1" ht="14.25" hidden="1" spans="16382:16384">
      <c r="XFB409" s="2"/>
      <c r="XFC409" s="2"/>
      <c r="XFD409" s="2"/>
    </row>
    <row r="410" s="1" customFormat="1" ht="14.25" hidden="1" spans="16382:16384">
      <c r="XFB410" s="2"/>
      <c r="XFC410" s="2"/>
      <c r="XFD410" s="2"/>
    </row>
    <row r="411" s="1" customFormat="1" ht="14.25" hidden="1" spans="16382:16384">
      <c r="XFB411" s="2"/>
      <c r="XFC411" s="2"/>
      <c r="XFD411" s="2"/>
    </row>
    <row r="412" s="1" customFormat="1" ht="14.25" hidden="1" spans="16382:16384">
      <c r="XFB412" s="2"/>
      <c r="XFC412" s="2"/>
      <c r="XFD412" s="2"/>
    </row>
    <row r="413" s="1" customFormat="1" ht="14.25" hidden="1" spans="16382:16384">
      <c r="XFB413" s="2"/>
      <c r="XFC413" s="2"/>
      <c r="XFD413" s="2"/>
    </row>
    <row r="414" s="1" customFormat="1" ht="14.25" hidden="1" spans="16382:16384">
      <c r="XFB414" s="2"/>
      <c r="XFC414" s="2"/>
      <c r="XFD414" s="2"/>
    </row>
    <row r="415" s="1" customFormat="1" ht="14.25" hidden="1" spans="16382:16384">
      <c r="XFB415" s="2"/>
      <c r="XFC415" s="2"/>
      <c r="XFD415" s="2"/>
    </row>
    <row r="416" s="1" customFormat="1" ht="14.25" hidden="1" spans="16382:16384">
      <c r="XFB416" s="2"/>
      <c r="XFC416" s="2"/>
      <c r="XFD416" s="2"/>
    </row>
    <row r="417" s="1" customFormat="1" ht="14.25" hidden="1" spans="16382:16384">
      <c r="XFB417" s="2"/>
      <c r="XFC417" s="2"/>
      <c r="XFD417" s="2"/>
    </row>
    <row r="418" s="1" customFormat="1" ht="14.25" hidden="1" spans="16382:16384">
      <c r="XFB418" s="2"/>
      <c r="XFC418" s="2"/>
      <c r="XFD418" s="2"/>
    </row>
    <row r="419" s="1" customFormat="1" ht="14.25" hidden="1" spans="16382:16384">
      <c r="XFB419" s="2"/>
      <c r="XFC419" s="2"/>
      <c r="XFD419" s="2"/>
    </row>
    <row r="420" s="1" customFormat="1" ht="14.25" hidden="1" spans="16382:16384">
      <c r="XFB420" s="2"/>
      <c r="XFC420" s="2"/>
      <c r="XFD420" s="2"/>
    </row>
    <row r="421" s="1" customFormat="1" ht="14.25" hidden="1" spans="16382:16384">
      <c r="XFB421" s="2"/>
      <c r="XFC421" s="2"/>
      <c r="XFD421" s="2"/>
    </row>
    <row r="422" s="1" customFormat="1" ht="14.25" hidden="1" spans="16382:16384">
      <c r="XFB422" s="2"/>
      <c r="XFC422" s="2"/>
      <c r="XFD422" s="2"/>
    </row>
    <row r="423" s="1" customFormat="1" ht="14.25" hidden="1" spans="16382:16384">
      <c r="XFB423" s="2"/>
      <c r="XFC423" s="2"/>
      <c r="XFD423" s="2"/>
    </row>
    <row r="424" s="1" customFormat="1" ht="14.25" hidden="1" spans="16382:16384">
      <c r="XFB424" s="2"/>
      <c r="XFC424" s="2"/>
      <c r="XFD424" s="2"/>
    </row>
    <row r="425" s="1" customFormat="1" ht="14.25" hidden="1" spans="16382:16384">
      <c r="XFB425" s="2"/>
      <c r="XFC425" s="2"/>
      <c r="XFD425" s="2"/>
    </row>
    <row r="426" s="1" customFormat="1" ht="14.25" hidden="1" spans="16382:16384">
      <c r="XFB426" s="2"/>
      <c r="XFC426" s="2"/>
      <c r="XFD426" s="2"/>
    </row>
    <row r="427" s="1" customFormat="1" ht="14.25" hidden="1" spans="16382:16384">
      <c r="XFB427" s="2"/>
      <c r="XFC427" s="2"/>
      <c r="XFD427" s="2"/>
    </row>
    <row r="428" s="1" customFormat="1" ht="14.25" hidden="1" spans="16382:16384">
      <c r="XFB428" s="2"/>
      <c r="XFC428" s="2"/>
      <c r="XFD428" s="2"/>
    </row>
    <row r="429" s="1" customFormat="1" ht="14.25" hidden="1" spans="16382:16384">
      <c r="XFB429" s="2"/>
      <c r="XFC429" s="2"/>
      <c r="XFD429" s="2"/>
    </row>
    <row r="430" s="1" customFormat="1" ht="14.25" hidden="1" spans="16382:16384">
      <c r="XFB430" s="2"/>
      <c r="XFC430" s="2"/>
      <c r="XFD430" s="2"/>
    </row>
    <row r="431" s="1" customFormat="1" ht="14.25" hidden="1" spans="16382:16384">
      <c r="XFB431" s="2"/>
      <c r="XFC431" s="2"/>
      <c r="XFD431" s="2"/>
    </row>
    <row r="432" s="1" customFormat="1" ht="14.25" hidden="1" spans="16382:16384">
      <c r="XFB432" s="2"/>
      <c r="XFC432" s="2"/>
      <c r="XFD432" s="2"/>
    </row>
    <row r="433" s="1" customFormat="1" ht="14.25" hidden="1" spans="16382:16384">
      <c r="XFB433" s="2"/>
      <c r="XFC433" s="2"/>
      <c r="XFD433" s="2"/>
    </row>
    <row r="434" s="1" customFormat="1" ht="14.25" hidden="1" spans="16382:16384">
      <c r="XFB434" s="2"/>
      <c r="XFC434" s="2"/>
      <c r="XFD434" s="2"/>
    </row>
    <row r="435" s="1" customFormat="1" ht="14.25" hidden="1" spans="16382:16384">
      <c r="XFB435" s="2"/>
      <c r="XFC435" s="2"/>
      <c r="XFD435" s="2"/>
    </row>
    <row r="436" s="1" customFormat="1" ht="14.25" hidden="1" spans="16382:16384">
      <c r="XFB436" s="2"/>
      <c r="XFC436" s="2"/>
      <c r="XFD436" s="2"/>
    </row>
    <row r="437" s="1" customFormat="1" ht="14.25" hidden="1" spans="16382:16384">
      <c r="XFB437" s="2"/>
      <c r="XFC437" s="2"/>
      <c r="XFD437" s="2"/>
    </row>
    <row r="438" s="1" customFormat="1" ht="14.25" hidden="1" spans="16382:16384">
      <c r="XFB438" s="2"/>
      <c r="XFC438" s="2"/>
      <c r="XFD438" s="2"/>
    </row>
    <row r="439" s="1" customFormat="1" ht="14.25" hidden="1" spans="16382:16384">
      <c r="XFB439" s="2"/>
      <c r="XFC439" s="2"/>
      <c r="XFD439" s="2"/>
    </row>
    <row r="440" s="1" customFormat="1" ht="14.25" hidden="1" spans="16382:16384">
      <c r="XFB440" s="2"/>
      <c r="XFC440" s="2"/>
      <c r="XFD440" s="2"/>
    </row>
    <row r="441" s="1" customFormat="1" ht="14.25" hidden="1" spans="16382:16384">
      <c r="XFB441" s="2"/>
      <c r="XFC441" s="2"/>
      <c r="XFD441" s="2"/>
    </row>
    <row r="442" s="1" customFormat="1" ht="14.25" hidden="1" spans="16382:16384">
      <c r="XFB442" s="2"/>
      <c r="XFC442" s="2"/>
      <c r="XFD442" s="2"/>
    </row>
    <row r="443" s="1" customFormat="1" ht="14.25" hidden="1" spans="16382:16384">
      <c r="XFB443" s="2"/>
      <c r="XFC443" s="2"/>
      <c r="XFD443" s="2"/>
    </row>
    <row r="444" s="1" customFormat="1" ht="14.25" hidden="1" spans="16382:16384">
      <c r="XFB444" s="2"/>
      <c r="XFC444" s="2"/>
      <c r="XFD444" s="2"/>
    </row>
    <row r="445" s="1" customFormat="1" ht="14.25" hidden="1" spans="16382:16384">
      <c r="XFB445" s="2"/>
      <c r="XFC445" s="2"/>
      <c r="XFD445" s="2"/>
    </row>
    <row r="446" s="1" customFormat="1" ht="14.25" hidden="1" spans="16382:16384">
      <c r="XFB446" s="2"/>
      <c r="XFC446" s="2"/>
      <c r="XFD446" s="2"/>
    </row>
    <row r="447" s="1" customFormat="1" ht="14.25" hidden="1" spans="16382:16384">
      <c r="XFB447" s="2"/>
      <c r="XFC447" s="2"/>
      <c r="XFD447" s="2"/>
    </row>
    <row r="448" s="1" customFormat="1" ht="14.25" hidden="1" spans="16382:16384">
      <c r="XFB448" s="2"/>
      <c r="XFC448" s="2"/>
      <c r="XFD448" s="2"/>
    </row>
    <row r="449" s="1" customFormat="1" ht="14.25" hidden="1" spans="16382:16384">
      <c r="XFB449" s="2"/>
      <c r="XFC449" s="2"/>
      <c r="XFD449" s="2"/>
    </row>
    <row r="450" s="1" customFormat="1" ht="14.25" hidden="1" spans="16382:16384">
      <c r="XFB450" s="2"/>
      <c r="XFC450" s="2"/>
      <c r="XFD450" s="2"/>
    </row>
    <row r="451" s="1" customFormat="1" ht="14.25" hidden="1" spans="16382:16384">
      <c r="XFB451" s="2"/>
      <c r="XFC451" s="2"/>
      <c r="XFD451" s="2"/>
    </row>
    <row r="452" s="1" customFormat="1" ht="14.25" hidden="1" spans="16382:16384">
      <c r="XFB452" s="2"/>
      <c r="XFC452" s="2"/>
      <c r="XFD452" s="2"/>
    </row>
    <row r="453" s="1" customFormat="1" ht="14.25" hidden="1" spans="16382:16384">
      <c r="XFB453" s="2"/>
      <c r="XFC453" s="2"/>
      <c r="XFD453" s="2"/>
    </row>
    <row r="454" s="1" customFormat="1" ht="14.25" hidden="1" spans="16382:16384">
      <c r="XFB454" s="2"/>
      <c r="XFC454" s="2"/>
      <c r="XFD454" s="2"/>
    </row>
    <row r="455" s="1" customFormat="1" ht="14.25" hidden="1" spans="16382:16384">
      <c r="XFB455" s="2"/>
      <c r="XFC455" s="2"/>
      <c r="XFD455" s="2"/>
    </row>
    <row r="456" s="1" customFormat="1" ht="14.25" hidden="1" spans="16382:16384">
      <c r="XFB456" s="2"/>
      <c r="XFC456" s="2"/>
      <c r="XFD456" s="2"/>
    </row>
    <row r="457" s="1" customFormat="1" ht="14.25" hidden="1" spans="16382:16384">
      <c r="XFB457" s="2"/>
      <c r="XFC457" s="2"/>
      <c r="XFD457" s="2"/>
    </row>
    <row r="458" s="1" customFormat="1" ht="14.25" hidden="1" spans="16382:16384">
      <c r="XFB458" s="2"/>
      <c r="XFC458" s="2"/>
      <c r="XFD458" s="2"/>
    </row>
    <row r="459" s="1" customFormat="1" ht="14.25" hidden="1" spans="16382:16384">
      <c r="XFB459" s="2"/>
      <c r="XFC459" s="2"/>
      <c r="XFD459" s="2"/>
    </row>
    <row r="460" s="1" customFormat="1" ht="14.25" hidden="1" spans="16382:16384">
      <c r="XFB460" s="2"/>
      <c r="XFC460" s="2"/>
      <c r="XFD460" s="2"/>
    </row>
    <row r="461" s="1" customFormat="1" ht="14.25" hidden="1" spans="16382:16384">
      <c r="XFB461" s="2"/>
      <c r="XFC461" s="2"/>
      <c r="XFD461" s="2"/>
    </row>
    <row r="462" s="1" customFormat="1" ht="14.25" hidden="1" spans="16382:16384">
      <c r="XFB462" s="2"/>
      <c r="XFC462" s="2"/>
      <c r="XFD462" s="2"/>
    </row>
    <row r="463" s="1" customFormat="1" ht="14.25" hidden="1" spans="16382:16384">
      <c r="XFB463" s="2"/>
      <c r="XFC463" s="2"/>
      <c r="XFD463" s="2"/>
    </row>
    <row r="464" s="1" customFormat="1" ht="14.25" hidden="1" spans="16382:16384">
      <c r="XFB464" s="2"/>
      <c r="XFC464" s="2"/>
      <c r="XFD464" s="2"/>
    </row>
    <row r="465" s="1" customFormat="1" ht="14.25" hidden="1" spans="16382:16384">
      <c r="XFB465" s="2"/>
      <c r="XFC465" s="2"/>
      <c r="XFD465" s="2"/>
    </row>
    <row r="466" s="1" customFormat="1" ht="14.25" hidden="1" spans="16382:16384">
      <c r="XFB466" s="2"/>
      <c r="XFC466" s="2"/>
      <c r="XFD466" s="2"/>
    </row>
    <row r="467" s="1" customFormat="1" ht="14.25" hidden="1" spans="16382:16384">
      <c r="XFB467" s="2"/>
      <c r="XFC467" s="2"/>
      <c r="XFD467" s="2"/>
    </row>
    <row r="468" s="1" customFormat="1" ht="14.25" hidden="1" spans="16382:16384">
      <c r="XFB468" s="2"/>
      <c r="XFC468" s="2"/>
      <c r="XFD468" s="2"/>
    </row>
    <row r="469" s="1" customFormat="1" ht="14.25" hidden="1" spans="16382:16384">
      <c r="XFB469" s="2"/>
      <c r="XFC469" s="2"/>
      <c r="XFD469" s="2"/>
    </row>
    <row r="470" s="1" customFormat="1" ht="14.25" hidden="1" spans="16382:16384">
      <c r="XFB470" s="2"/>
      <c r="XFC470" s="2"/>
      <c r="XFD470" s="2"/>
    </row>
    <row r="471" s="1" customFormat="1" ht="14.25" hidden="1" spans="16382:16384">
      <c r="XFB471" s="2"/>
      <c r="XFC471" s="2"/>
      <c r="XFD471" s="2"/>
    </row>
    <row r="472" s="1" customFormat="1" ht="14.25" hidden="1" spans="16382:16384">
      <c r="XFB472" s="2"/>
      <c r="XFC472" s="2"/>
      <c r="XFD472" s="2"/>
    </row>
    <row r="473" s="1" customFormat="1" ht="14.25" hidden="1" spans="16382:16384">
      <c r="XFB473" s="2"/>
      <c r="XFC473" s="2"/>
      <c r="XFD473" s="2"/>
    </row>
    <row r="474" s="1" customFormat="1" ht="14.25" hidden="1" spans="16382:16384">
      <c r="XFB474" s="2"/>
      <c r="XFC474" s="2"/>
      <c r="XFD474" s="2"/>
    </row>
    <row r="475" s="1" customFormat="1" ht="14.25" hidden="1" spans="16382:16384">
      <c r="XFB475" s="2"/>
      <c r="XFC475" s="2"/>
      <c r="XFD475" s="2"/>
    </row>
    <row r="476" s="1" customFormat="1" ht="14.25" hidden="1" spans="16382:16384">
      <c r="XFB476" s="2"/>
      <c r="XFC476" s="2"/>
      <c r="XFD476" s="2"/>
    </row>
    <row r="477" s="1" customFormat="1" ht="14.25" hidden="1" spans="16382:16384">
      <c r="XFB477" s="2"/>
      <c r="XFC477" s="2"/>
      <c r="XFD477" s="2"/>
    </row>
    <row r="478" s="1" customFormat="1" ht="14.25" hidden="1" spans="16382:16384">
      <c r="XFB478" s="2"/>
      <c r="XFC478" s="2"/>
      <c r="XFD478" s="2"/>
    </row>
    <row r="479" s="1" customFormat="1" ht="14.25" hidden="1" spans="16382:16384">
      <c r="XFB479" s="2"/>
      <c r="XFC479" s="2"/>
      <c r="XFD479" s="2"/>
    </row>
    <row r="480" s="1" customFormat="1" ht="14.25" hidden="1" spans="16382:16384">
      <c r="XFB480" s="2"/>
      <c r="XFC480" s="2"/>
      <c r="XFD480" s="2"/>
    </row>
    <row r="481" s="1" customFormat="1" ht="14.25" hidden="1" spans="16382:16384">
      <c r="XFB481" s="2"/>
      <c r="XFC481" s="2"/>
      <c r="XFD481" s="2"/>
    </row>
    <row r="482" s="1" customFormat="1" ht="14.25" hidden="1" spans="16382:16384">
      <c r="XFB482" s="2"/>
      <c r="XFC482" s="2"/>
      <c r="XFD482" s="2"/>
    </row>
    <row r="483" s="1" customFormat="1" ht="14.25" hidden="1" spans="16382:16384">
      <c r="XFB483" s="2"/>
      <c r="XFC483" s="2"/>
      <c r="XFD483" s="2"/>
    </row>
    <row r="484" s="1" customFormat="1" ht="14.25" hidden="1" spans="16382:16384">
      <c r="XFB484" s="2"/>
      <c r="XFC484" s="2"/>
      <c r="XFD484" s="2"/>
    </row>
    <row r="485" s="1" customFormat="1" ht="14.25" hidden="1" spans="16382:16384">
      <c r="XFB485" s="2"/>
      <c r="XFC485" s="2"/>
      <c r="XFD485" s="2"/>
    </row>
    <row r="486" s="1" customFormat="1" ht="14.25" hidden="1" spans="16382:16384">
      <c r="XFB486" s="2"/>
      <c r="XFC486" s="2"/>
      <c r="XFD486" s="2"/>
    </row>
    <row r="487" s="1" customFormat="1" ht="14.25" hidden="1" spans="16382:16384">
      <c r="XFB487" s="2"/>
      <c r="XFC487" s="2"/>
      <c r="XFD487" s="2"/>
    </row>
    <row r="488" s="1" customFormat="1" ht="14.25" hidden="1" spans="16382:16384">
      <c r="XFB488" s="2"/>
      <c r="XFC488" s="2"/>
      <c r="XFD488" s="2"/>
    </row>
    <row r="489" s="1" customFormat="1" ht="14.25" hidden="1" spans="16382:16384">
      <c r="XFB489" s="2"/>
      <c r="XFC489" s="2"/>
      <c r="XFD489" s="2"/>
    </row>
    <row r="490" s="1" customFormat="1" ht="14.25" hidden="1" spans="16382:16384">
      <c r="XFB490" s="2"/>
      <c r="XFC490" s="2"/>
      <c r="XFD490" s="2"/>
    </row>
    <row r="491" s="1" customFormat="1" ht="14.25" hidden="1" spans="16382:16384">
      <c r="XFB491" s="2"/>
      <c r="XFC491" s="2"/>
      <c r="XFD491" s="2"/>
    </row>
    <row r="492" s="1" customFormat="1" ht="14.25" hidden="1" spans="16382:16384">
      <c r="XFB492" s="2"/>
      <c r="XFC492" s="2"/>
      <c r="XFD492" s="2"/>
    </row>
    <row r="493" s="1" customFormat="1" ht="14.25" hidden="1" spans="16382:16384">
      <c r="XFB493" s="2"/>
      <c r="XFC493" s="2"/>
      <c r="XFD493" s="2"/>
    </row>
    <row r="494" s="1" customFormat="1" ht="14.25" hidden="1" spans="16382:16384">
      <c r="XFB494" s="2"/>
      <c r="XFC494" s="2"/>
      <c r="XFD494" s="2"/>
    </row>
    <row r="495" s="1" customFormat="1" ht="14.25" hidden="1" spans="16382:16384">
      <c r="XFB495" s="2"/>
      <c r="XFC495" s="2"/>
      <c r="XFD495" s="2"/>
    </row>
    <row r="496" s="1" customFormat="1" ht="14.25" hidden="1" spans="16382:16384">
      <c r="XFB496" s="2"/>
      <c r="XFC496" s="2"/>
      <c r="XFD496" s="2"/>
    </row>
    <row r="497" s="1" customFormat="1" ht="14.25" hidden="1" spans="16382:16384">
      <c r="XFB497" s="2"/>
      <c r="XFC497" s="2"/>
      <c r="XFD497" s="2"/>
    </row>
    <row r="498" s="1" customFormat="1" ht="14.25" hidden="1" spans="16382:16384">
      <c r="XFB498" s="2"/>
      <c r="XFC498" s="2"/>
      <c r="XFD498" s="2"/>
    </row>
    <row r="499" s="1" customFormat="1" ht="14.25" hidden="1" spans="16382:16384">
      <c r="XFB499" s="2"/>
      <c r="XFC499" s="2"/>
      <c r="XFD499" s="2"/>
    </row>
    <row r="500" s="1" customFormat="1" ht="14.25" hidden="1" spans="16382:16384">
      <c r="XFB500" s="2"/>
      <c r="XFC500" s="2"/>
      <c r="XFD500" s="2"/>
    </row>
    <row r="501" s="1" customFormat="1" ht="14.25" hidden="1" spans="16382:16384">
      <c r="XFB501" s="2"/>
      <c r="XFC501" s="2"/>
      <c r="XFD501" s="2"/>
    </row>
    <row r="502" s="1" customFormat="1" ht="14.25" hidden="1" spans="16382:16384">
      <c r="XFB502" s="2"/>
      <c r="XFC502" s="2"/>
      <c r="XFD502" s="2"/>
    </row>
    <row r="503" s="1" customFormat="1" ht="14.25" hidden="1" spans="16382:16384">
      <c r="XFB503" s="2"/>
      <c r="XFC503" s="2"/>
      <c r="XFD503" s="2"/>
    </row>
    <row r="504" s="1" customFormat="1" ht="14.25" hidden="1" spans="16382:16384">
      <c r="XFB504" s="2"/>
      <c r="XFC504" s="2"/>
      <c r="XFD504" s="2"/>
    </row>
    <row r="505" s="1" customFormat="1" ht="14.25" hidden="1" spans="16382:16384">
      <c r="XFB505" s="2"/>
      <c r="XFC505" s="2"/>
      <c r="XFD505" s="2"/>
    </row>
    <row r="506" s="1" customFormat="1" ht="14.25" hidden="1" spans="16382:16384">
      <c r="XFB506" s="2"/>
      <c r="XFC506" s="2"/>
      <c r="XFD506" s="2"/>
    </row>
    <row r="507" s="1" customFormat="1" ht="14.25" hidden="1" spans="16382:16384">
      <c r="XFB507" s="2"/>
      <c r="XFC507" s="2"/>
      <c r="XFD507" s="2"/>
    </row>
    <row r="508" s="1" customFormat="1" ht="14.25" hidden="1" spans="16382:16384">
      <c r="XFB508" s="2"/>
      <c r="XFC508" s="2"/>
      <c r="XFD508" s="2"/>
    </row>
    <row r="509" s="1" customFormat="1" ht="14.25" hidden="1" spans="16382:16384">
      <c r="XFB509" s="2"/>
      <c r="XFC509" s="2"/>
      <c r="XFD509" s="2"/>
    </row>
    <row r="510" s="1" customFormat="1" ht="14.25" hidden="1" spans="16382:16384">
      <c r="XFB510" s="2"/>
      <c r="XFC510" s="2"/>
      <c r="XFD510" s="2"/>
    </row>
    <row r="511" s="1" customFormat="1" ht="14.25" hidden="1" spans="16382:16384">
      <c r="XFB511" s="2"/>
      <c r="XFC511" s="2"/>
      <c r="XFD511" s="2"/>
    </row>
    <row r="512" s="1" customFormat="1" ht="14.25" hidden="1" spans="16382:16384">
      <c r="XFB512" s="2"/>
      <c r="XFC512" s="2"/>
      <c r="XFD512" s="2"/>
    </row>
    <row r="513" s="1" customFormat="1" ht="14.25" hidden="1" spans="16382:16384">
      <c r="XFB513" s="2"/>
      <c r="XFC513" s="2"/>
      <c r="XFD513" s="2"/>
    </row>
    <row r="514" s="1" customFormat="1" ht="14.25" hidden="1" spans="16382:16384">
      <c r="XFB514" s="2"/>
      <c r="XFC514" s="2"/>
      <c r="XFD514" s="2"/>
    </row>
    <row r="515" s="1" customFormat="1" ht="14.25" hidden="1" spans="16382:16384">
      <c r="XFB515" s="2"/>
      <c r="XFC515" s="2"/>
      <c r="XFD515" s="2"/>
    </row>
    <row r="516" s="1" customFormat="1" ht="14.25" hidden="1" spans="16382:16384">
      <c r="XFB516" s="2"/>
      <c r="XFC516" s="2"/>
      <c r="XFD516" s="2"/>
    </row>
    <row r="517" s="1" customFormat="1" ht="14.25" hidden="1" spans="16382:16384">
      <c r="XFB517" s="2"/>
      <c r="XFC517" s="2"/>
      <c r="XFD517" s="2"/>
    </row>
    <row r="518" s="1" customFormat="1" ht="14.25" hidden="1" spans="16382:16384">
      <c r="XFB518" s="2"/>
      <c r="XFC518" s="2"/>
      <c r="XFD518" s="2"/>
    </row>
    <row r="519" s="1" customFormat="1" ht="14.25" hidden="1" spans="16382:16384">
      <c r="XFB519" s="2"/>
      <c r="XFC519" s="2"/>
      <c r="XFD519" s="2"/>
    </row>
    <row r="520" s="1" customFormat="1" ht="14.25" hidden="1" spans="16382:16384">
      <c r="XFB520" s="2"/>
      <c r="XFC520" s="2"/>
      <c r="XFD520" s="2"/>
    </row>
    <row r="521" s="1" customFormat="1" ht="14.25" hidden="1" spans="16382:16384">
      <c r="XFB521" s="2"/>
      <c r="XFC521" s="2"/>
      <c r="XFD521" s="2"/>
    </row>
    <row r="522" s="1" customFormat="1" ht="14.25" hidden="1" spans="16382:16384">
      <c r="XFB522" s="2"/>
      <c r="XFC522" s="2"/>
      <c r="XFD522" s="2"/>
    </row>
    <row r="523" s="1" customFormat="1" ht="14.25" hidden="1" spans="16382:16384">
      <c r="XFB523" s="2"/>
      <c r="XFC523" s="2"/>
      <c r="XFD523" s="2"/>
    </row>
    <row r="524" s="1" customFormat="1" ht="14.25" hidden="1" spans="16382:16384">
      <c r="XFB524" s="2"/>
      <c r="XFC524" s="2"/>
      <c r="XFD524" s="2"/>
    </row>
    <row r="525" s="1" customFormat="1" ht="14.25" hidden="1" spans="16382:16384">
      <c r="XFB525" s="2"/>
      <c r="XFC525" s="2"/>
      <c r="XFD525" s="2"/>
    </row>
    <row r="526" s="1" customFormat="1" ht="14.25" hidden="1" spans="16382:16384">
      <c r="XFB526" s="2"/>
      <c r="XFC526" s="2"/>
      <c r="XFD526" s="2"/>
    </row>
    <row r="527" s="1" customFormat="1" ht="14.25" hidden="1" spans="16382:16384">
      <c r="XFB527" s="2"/>
      <c r="XFC527" s="2"/>
      <c r="XFD527" s="2"/>
    </row>
    <row r="528" s="1" customFormat="1" ht="14.25" hidden="1" spans="16382:16384">
      <c r="XFB528" s="2"/>
      <c r="XFC528" s="2"/>
      <c r="XFD528" s="2"/>
    </row>
    <row r="529" s="1" customFormat="1" ht="14.25" hidden="1" spans="16382:16384">
      <c r="XFB529" s="2"/>
      <c r="XFC529" s="2"/>
      <c r="XFD529" s="2"/>
    </row>
    <row r="530" s="1" customFormat="1" ht="14.25" hidden="1" spans="16382:16384">
      <c r="XFB530" s="2"/>
      <c r="XFC530" s="2"/>
      <c r="XFD530" s="2"/>
    </row>
    <row r="531" s="1" customFormat="1" ht="14.25" hidden="1" spans="16382:16384">
      <c r="XFB531" s="2"/>
      <c r="XFC531" s="2"/>
      <c r="XFD531" s="2"/>
    </row>
    <row r="532" s="1" customFormat="1" ht="14.25" hidden="1" spans="16382:16384">
      <c r="XFB532" s="2"/>
      <c r="XFC532" s="2"/>
      <c r="XFD532" s="2"/>
    </row>
    <row r="533" s="1" customFormat="1" ht="14.25" hidden="1" spans="16382:16384">
      <c r="XFB533" s="2"/>
      <c r="XFC533" s="2"/>
      <c r="XFD533" s="2"/>
    </row>
    <row r="534" s="1" customFormat="1" ht="14.25" hidden="1" spans="16382:16384">
      <c r="XFB534" s="2"/>
      <c r="XFC534" s="2"/>
      <c r="XFD534" s="2"/>
    </row>
    <row r="535" s="1" customFormat="1" ht="14.25" hidden="1" spans="16382:16384">
      <c r="XFB535" s="2"/>
      <c r="XFC535" s="2"/>
      <c r="XFD535" s="2"/>
    </row>
    <row r="536" s="1" customFormat="1" ht="14.25" hidden="1" spans="16382:16384">
      <c r="XFB536" s="2"/>
      <c r="XFC536" s="2"/>
      <c r="XFD536" s="2"/>
    </row>
    <row r="537" s="1" customFormat="1" ht="14.25" hidden="1" spans="16382:16384">
      <c r="XFB537" s="2"/>
      <c r="XFC537" s="2"/>
      <c r="XFD537" s="2"/>
    </row>
    <row r="538" s="1" customFormat="1" ht="14.25" hidden="1" spans="16382:16384">
      <c r="XFB538" s="2"/>
      <c r="XFC538" s="2"/>
      <c r="XFD538" s="2"/>
    </row>
    <row r="539" s="1" customFormat="1" ht="14.25" hidden="1" spans="16382:16384">
      <c r="XFB539" s="2"/>
      <c r="XFC539" s="2"/>
      <c r="XFD539" s="2"/>
    </row>
    <row r="540" s="1" customFormat="1" ht="14.25" hidden="1" spans="16382:16384">
      <c r="XFB540" s="2"/>
      <c r="XFC540" s="2"/>
      <c r="XFD540" s="2"/>
    </row>
    <row r="541" s="1" customFormat="1" ht="14.25" hidden="1" spans="16382:16384">
      <c r="XFB541" s="2"/>
      <c r="XFC541" s="2"/>
      <c r="XFD541" s="2"/>
    </row>
    <row r="542" s="1" customFormat="1" ht="14.25" hidden="1" spans="16382:16384">
      <c r="XFB542" s="2"/>
      <c r="XFC542" s="2"/>
      <c r="XFD542" s="2"/>
    </row>
    <row r="543" s="1" customFormat="1" ht="14.25" hidden="1" spans="16382:16384">
      <c r="XFB543" s="2"/>
      <c r="XFC543" s="2"/>
      <c r="XFD543" s="2"/>
    </row>
    <row r="544" s="1" customFormat="1" ht="14.25" hidden="1" spans="16382:16384">
      <c r="XFB544" s="2"/>
      <c r="XFC544" s="2"/>
      <c r="XFD544" s="2"/>
    </row>
    <row r="545" s="1" customFormat="1" ht="14.25" hidden="1" spans="16382:16384">
      <c r="XFB545" s="2"/>
      <c r="XFC545" s="2"/>
      <c r="XFD545" s="2"/>
    </row>
    <row r="546" s="1" customFormat="1" ht="14.25" hidden="1" spans="16382:16384">
      <c r="XFB546" s="2"/>
      <c r="XFC546" s="2"/>
      <c r="XFD546" s="2"/>
    </row>
    <row r="547" s="1" customFormat="1" ht="14.25" hidden="1" spans="16382:16384">
      <c r="XFB547" s="2"/>
      <c r="XFC547" s="2"/>
      <c r="XFD547" s="2"/>
    </row>
    <row r="548" s="1" customFormat="1" ht="14.25" hidden="1" spans="16382:16384">
      <c r="XFB548" s="2"/>
      <c r="XFC548" s="2"/>
      <c r="XFD548" s="2"/>
    </row>
    <row r="549" s="1" customFormat="1" ht="14.25" hidden="1" spans="16382:16384">
      <c r="XFB549" s="2"/>
      <c r="XFC549" s="2"/>
      <c r="XFD549" s="2"/>
    </row>
    <row r="550" s="1" customFormat="1" ht="14.25" hidden="1" spans="16382:16384">
      <c r="XFB550" s="2"/>
      <c r="XFC550" s="2"/>
      <c r="XFD550" s="2"/>
    </row>
    <row r="551" s="1" customFormat="1" ht="14.25" hidden="1" spans="16382:16384">
      <c r="XFB551" s="2"/>
      <c r="XFC551" s="2"/>
      <c r="XFD551" s="2"/>
    </row>
    <row r="552" s="1" customFormat="1" ht="14.25" hidden="1" spans="16382:16384">
      <c r="XFB552" s="2"/>
      <c r="XFC552" s="2"/>
      <c r="XFD552" s="2"/>
    </row>
    <row r="553" s="1" customFormat="1" ht="14.25" hidden="1" spans="16382:16384">
      <c r="XFB553" s="2"/>
      <c r="XFC553" s="2"/>
      <c r="XFD553" s="2"/>
    </row>
    <row r="554" s="1" customFormat="1" ht="14.25" hidden="1" spans="16382:16384">
      <c r="XFB554" s="2"/>
      <c r="XFC554" s="2"/>
      <c r="XFD554" s="2"/>
    </row>
    <row r="555" s="1" customFormat="1" ht="14.25" hidden="1" spans="16382:16384">
      <c r="XFB555" s="2"/>
      <c r="XFC555" s="2"/>
      <c r="XFD555" s="2"/>
    </row>
    <row r="556" s="1" customFormat="1" ht="14.25" hidden="1" spans="16382:16384">
      <c r="XFB556" s="2"/>
      <c r="XFC556" s="2"/>
      <c r="XFD556" s="2"/>
    </row>
    <row r="557" s="1" customFormat="1" ht="14.25" hidden="1" spans="16382:16384">
      <c r="XFB557" s="2"/>
      <c r="XFC557" s="2"/>
      <c r="XFD557" s="2"/>
    </row>
    <row r="558" s="1" customFormat="1" ht="14.25" hidden="1" spans="16382:16384">
      <c r="XFB558" s="2"/>
      <c r="XFC558" s="2"/>
      <c r="XFD558" s="2"/>
    </row>
    <row r="559" s="1" customFormat="1" ht="14.25" hidden="1" spans="16382:16384">
      <c r="XFB559" s="2"/>
      <c r="XFC559" s="2"/>
      <c r="XFD559" s="2"/>
    </row>
    <row r="560" s="1" customFormat="1" ht="14.25" hidden="1" spans="16382:16384">
      <c r="XFB560" s="2"/>
      <c r="XFC560" s="2"/>
      <c r="XFD560" s="2"/>
    </row>
    <row r="561" s="1" customFormat="1" ht="14.25" hidden="1" spans="16382:16384">
      <c r="XFB561" s="2"/>
      <c r="XFC561" s="2"/>
      <c r="XFD561" s="2"/>
    </row>
    <row r="562" s="1" customFormat="1" ht="14.25" hidden="1" spans="16382:16384">
      <c r="XFB562" s="2"/>
      <c r="XFC562" s="2"/>
      <c r="XFD562" s="2"/>
    </row>
    <row r="563" s="1" customFormat="1" ht="14.25" hidden="1" spans="16382:16384">
      <c r="XFB563" s="2"/>
      <c r="XFC563" s="2"/>
      <c r="XFD563" s="2"/>
    </row>
    <row r="564" s="1" customFormat="1" ht="14.25" hidden="1" spans="16382:16384">
      <c r="XFB564" s="2"/>
      <c r="XFC564" s="2"/>
      <c r="XFD564" s="2"/>
    </row>
    <row r="565" s="1" customFormat="1" ht="14.25" hidden="1" spans="16382:16384">
      <c r="XFB565" s="2"/>
      <c r="XFC565" s="2"/>
      <c r="XFD565" s="2"/>
    </row>
    <row r="566" s="1" customFormat="1" ht="14.25" hidden="1" spans="16382:16384">
      <c r="XFB566" s="2"/>
      <c r="XFC566" s="2"/>
      <c r="XFD566" s="2"/>
    </row>
    <row r="567" s="1" customFormat="1" ht="14.25" hidden="1" spans="16382:16384">
      <c r="XFB567" s="2"/>
      <c r="XFC567" s="2"/>
      <c r="XFD567" s="2"/>
    </row>
    <row r="568" s="1" customFormat="1" ht="14.25" hidden="1" spans="16382:16384">
      <c r="XFB568" s="2"/>
      <c r="XFC568" s="2"/>
      <c r="XFD568" s="2"/>
    </row>
    <row r="569" s="1" customFormat="1" ht="14.25" hidden="1" spans="16382:16384">
      <c r="XFB569" s="2"/>
      <c r="XFC569" s="2"/>
      <c r="XFD569" s="2"/>
    </row>
    <row r="570" s="1" customFormat="1" ht="14.25" hidden="1" spans="16382:16384">
      <c r="XFB570" s="2"/>
      <c r="XFC570" s="2"/>
      <c r="XFD570" s="2"/>
    </row>
    <row r="571" s="1" customFormat="1" ht="14.25" hidden="1" spans="16382:16384">
      <c r="XFB571" s="2"/>
      <c r="XFC571" s="2"/>
      <c r="XFD571" s="2"/>
    </row>
    <row r="572" s="1" customFormat="1" ht="14.25" hidden="1" spans="16382:16384">
      <c r="XFB572" s="2"/>
      <c r="XFC572" s="2"/>
      <c r="XFD572" s="2"/>
    </row>
    <row r="573" s="1" customFormat="1" ht="14.25" hidden="1" spans="16382:16384">
      <c r="XFB573" s="2"/>
      <c r="XFC573" s="2"/>
      <c r="XFD573" s="2"/>
    </row>
    <row r="574" s="1" customFormat="1" ht="14.25" hidden="1" spans="16382:16384">
      <c r="XFB574" s="2"/>
      <c r="XFC574" s="2"/>
      <c r="XFD574" s="2"/>
    </row>
    <row r="575" s="1" customFormat="1" ht="14.25" hidden="1" spans="16382:16384">
      <c r="XFB575" s="2"/>
      <c r="XFC575" s="2"/>
      <c r="XFD575" s="2"/>
    </row>
    <row r="576" s="1" customFormat="1" ht="14.25" hidden="1" spans="16382:16384">
      <c r="XFB576" s="2"/>
      <c r="XFC576" s="2"/>
      <c r="XFD576" s="2"/>
    </row>
    <row r="577" s="1" customFormat="1" ht="14.25" hidden="1" spans="16382:16384">
      <c r="XFB577" s="2"/>
      <c r="XFC577" s="2"/>
      <c r="XFD577" s="2"/>
    </row>
    <row r="578" s="1" customFormat="1" ht="14.25" hidden="1" spans="16382:16384">
      <c r="XFB578" s="2"/>
      <c r="XFC578" s="2"/>
      <c r="XFD578" s="2"/>
    </row>
    <row r="579" s="1" customFormat="1" ht="14.25" hidden="1" spans="16382:16384">
      <c r="XFB579" s="2"/>
      <c r="XFC579" s="2"/>
      <c r="XFD579" s="2"/>
    </row>
    <row r="580" s="1" customFormat="1" ht="14.25" hidden="1" spans="16382:16384">
      <c r="XFB580" s="2"/>
      <c r="XFC580" s="2"/>
      <c r="XFD580" s="2"/>
    </row>
    <row r="581" s="1" customFormat="1" ht="14.25" hidden="1" spans="16382:16384">
      <c r="XFB581" s="2"/>
      <c r="XFC581" s="2"/>
      <c r="XFD581" s="2"/>
    </row>
    <row r="582" s="1" customFormat="1" ht="14.25" hidden="1" spans="16382:16384">
      <c r="XFB582" s="2"/>
      <c r="XFC582" s="2"/>
      <c r="XFD582" s="2"/>
    </row>
    <row r="583" s="1" customFormat="1" ht="14.25" hidden="1" spans="16382:16384">
      <c r="XFB583" s="2"/>
      <c r="XFC583" s="2"/>
      <c r="XFD583" s="2"/>
    </row>
    <row r="584" s="1" customFormat="1" ht="14.25" hidden="1" spans="16382:16384">
      <c r="XFB584" s="2"/>
      <c r="XFC584" s="2"/>
      <c r="XFD584" s="2"/>
    </row>
    <row r="585" s="1" customFormat="1" ht="14.25" hidden="1" spans="16382:16384">
      <c r="XFB585" s="2"/>
      <c r="XFC585" s="2"/>
      <c r="XFD585" s="2"/>
    </row>
    <row r="586" s="1" customFormat="1" ht="14.25" hidden="1" spans="16382:16384">
      <c r="XFB586" s="2"/>
      <c r="XFC586" s="2"/>
      <c r="XFD586" s="2"/>
    </row>
    <row r="587" s="1" customFormat="1" ht="14.25" hidden="1" spans="16382:16384">
      <c r="XFB587" s="2"/>
      <c r="XFC587" s="2"/>
      <c r="XFD587" s="2"/>
    </row>
    <row r="588" s="1" customFormat="1" ht="14.25" hidden="1" spans="16382:16384">
      <c r="XFB588" s="2"/>
      <c r="XFC588" s="2"/>
      <c r="XFD588" s="2"/>
    </row>
    <row r="589" s="1" customFormat="1" ht="14.25" hidden="1" spans="16382:16384">
      <c r="XFB589" s="2"/>
      <c r="XFC589" s="2"/>
      <c r="XFD589" s="2"/>
    </row>
    <row r="590" s="1" customFormat="1" ht="14.25" hidden="1" spans="16382:16384">
      <c r="XFB590" s="2"/>
      <c r="XFC590" s="2"/>
      <c r="XFD590" s="2"/>
    </row>
    <row r="591" s="1" customFormat="1" ht="14.25" hidden="1" spans="16382:16384">
      <c r="XFB591" s="2"/>
      <c r="XFC591" s="2"/>
      <c r="XFD591" s="2"/>
    </row>
    <row r="592" s="1" customFormat="1" ht="14.25" hidden="1" spans="16382:16384">
      <c r="XFB592" s="2"/>
      <c r="XFC592" s="2"/>
      <c r="XFD592" s="2"/>
    </row>
    <row r="593" s="1" customFormat="1" ht="14.25" hidden="1" spans="16382:16384">
      <c r="XFB593" s="2"/>
      <c r="XFC593" s="2"/>
      <c r="XFD593" s="2"/>
    </row>
    <row r="594" s="1" customFormat="1" ht="14.25" hidden="1" spans="16382:16384">
      <c r="XFB594" s="2"/>
      <c r="XFC594" s="2"/>
      <c r="XFD594" s="2"/>
    </row>
    <row r="595" s="1" customFormat="1" ht="14.25" hidden="1" spans="16382:16384">
      <c r="XFB595" s="2"/>
      <c r="XFC595" s="2"/>
      <c r="XFD595" s="2"/>
    </row>
    <row r="596" s="1" customFormat="1" ht="14.25" hidden="1" spans="16382:16384">
      <c r="XFB596" s="2"/>
      <c r="XFC596" s="2"/>
      <c r="XFD596" s="2"/>
    </row>
    <row r="597" s="1" customFormat="1" ht="14.25" hidden="1" spans="16382:16384">
      <c r="XFB597" s="2"/>
      <c r="XFC597" s="2"/>
      <c r="XFD597" s="2"/>
    </row>
    <row r="598" s="1" customFormat="1" ht="14.25" hidden="1" spans="16382:16384">
      <c r="XFB598" s="2"/>
      <c r="XFC598" s="2"/>
      <c r="XFD598" s="2"/>
    </row>
    <row r="599" s="1" customFormat="1" ht="14.25" hidden="1" spans="16382:16384">
      <c r="XFB599" s="2"/>
      <c r="XFC599" s="2"/>
      <c r="XFD599" s="2"/>
    </row>
    <row r="600" s="1" customFormat="1" ht="14.25" hidden="1" spans="16382:16384">
      <c r="XFB600" s="2"/>
      <c r="XFC600" s="2"/>
      <c r="XFD600" s="2"/>
    </row>
    <row r="601" s="1" customFormat="1" ht="14.25" hidden="1" spans="16382:16384">
      <c r="XFB601" s="2"/>
      <c r="XFC601" s="2"/>
      <c r="XFD601" s="2"/>
    </row>
    <row r="602" s="1" customFormat="1" ht="14.25" hidden="1" spans="16382:16384">
      <c r="XFB602" s="2"/>
      <c r="XFC602" s="2"/>
      <c r="XFD602" s="2"/>
    </row>
    <row r="603" s="1" customFormat="1" ht="14.25" hidden="1" spans="16382:16384">
      <c r="XFB603" s="2"/>
      <c r="XFC603" s="2"/>
      <c r="XFD603" s="2"/>
    </row>
    <row r="604" s="1" customFormat="1" ht="14.25" hidden="1" spans="16382:16384">
      <c r="XFB604" s="2"/>
      <c r="XFC604" s="2"/>
      <c r="XFD604" s="2"/>
    </row>
    <row r="605" s="1" customFormat="1" ht="14.25" hidden="1" spans="16382:16384">
      <c r="XFB605" s="2"/>
      <c r="XFC605" s="2"/>
      <c r="XFD605" s="2"/>
    </row>
    <row r="606" s="1" customFormat="1" ht="14.25" hidden="1" spans="16382:16384">
      <c r="XFB606" s="2"/>
      <c r="XFC606" s="2"/>
      <c r="XFD606" s="2"/>
    </row>
    <row r="607" s="1" customFormat="1" ht="14.25" hidden="1" spans="16382:16384">
      <c r="XFB607" s="2"/>
      <c r="XFC607" s="2"/>
      <c r="XFD607" s="2"/>
    </row>
    <row r="608" s="1" customFormat="1" ht="14.25" hidden="1" spans="16382:16384">
      <c r="XFB608" s="2"/>
      <c r="XFC608" s="2"/>
      <c r="XFD608" s="2"/>
    </row>
    <row r="609" s="1" customFormat="1" ht="14.25" hidden="1" spans="16382:16384">
      <c r="XFB609" s="2"/>
      <c r="XFC609" s="2"/>
      <c r="XFD609" s="2"/>
    </row>
    <row r="610" s="1" customFormat="1" ht="14.25" hidden="1" spans="16382:16384">
      <c r="XFB610" s="2"/>
      <c r="XFC610" s="2"/>
      <c r="XFD610" s="2"/>
    </row>
    <row r="611" s="1" customFormat="1" ht="14.25" hidden="1" spans="16382:16384">
      <c r="XFB611" s="2"/>
      <c r="XFC611" s="2"/>
      <c r="XFD611" s="2"/>
    </row>
    <row r="612" s="1" customFormat="1" ht="14.25" hidden="1" spans="16382:16384">
      <c r="XFB612" s="2"/>
      <c r="XFC612" s="2"/>
      <c r="XFD612" s="2"/>
    </row>
    <row r="613" s="1" customFormat="1" ht="14.25" hidden="1" spans="16382:16384">
      <c r="XFB613" s="2"/>
      <c r="XFC613" s="2"/>
      <c r="XFD613" s="2"/>
    </row>
    <row r="614" s="1" customFormat="1" ht="14.25" hidden="1" spans="16382:16384">
      <c r="XFB614" s="2"/>
      <c r="XFC614" s="2"/>
      <c r="XFD614" s="2"/>
    </row>
    <row r="615" s="1" customFormat="1" ht="14.25" hidden="1" spans="16382:16384">
      <c r="XFB615" s="2"/>
      <c r="XFC615" s="2"/>
      <c r="XFD615" s="2"/>
    </row>
    <row r="616" s="1" customFormat="1" ht="14.25" hidden="1" spans="16382:16384">
      <c r="XFB616" s="2"/>
      <c r="XFC616" s="2"/>
      <c r="XFD616" s="2"/>
    </row>
    <row r="617" s="1" customFormat="1" ht="14.25" hidden="1" spans="16382:16384">
      <c r="XFB617" s="2"/>
      <c r="XFC617" s="2"/>
      <c r="XFD617" s="2"/>
    </row>
    <row r="618" s="1" customFormat="1" ht="14.25" hidden="1" spans="16382:16384">
      <c r="XFB618" s="2"/>
      <c r="XFC618" s="2"/>
      <c r="XFD618" s="2"/>
    </row>
    <row r="619" s="1" customFormat="1" ht="14.25" hidden="1" spans="16382:16384">
      <c r="XFB619" s="2"/>
      <c r="XFC619" s="2"/>
      <c r="XFD619" s="2"/>
    </row>
    <row r="620" s="1" customFormat="1" ht="14.25" hidden="1" spans="16382:16384">
      <c r="XFB620" s="2"/>
      <c r="XFC620" s="2"/>
      <c r="XFD620" s="2"/>
    </row>
    <row r="621" s="1" customFormat="1" ht="14.25" hidden="1" spans="16382:16384">
      <c r="XFB621" s="2"/>
      <c r="XFC621" s="2"/>
      <c r="XFD621" s="2"/>
    </row>
    <row r="622" s="1" customFormat="1" ht="14.25" hidden="1" spans="16382:16384">
      <c r="XFB622" s="2"/>
      <c r="XFC622" s="2"/>
      <c r="XFD622" s="2"/>
    </row>
    <row r="623" s="1" customFormat="1" ht="14.25" hidden="1" spans="16382:16384">
      <c r="XFB623" s="2"/>
      <c r="XFC623" s="2"/>
      <c r="XFD623" s="2"/>
    </row>
    <row r="624" s="1" customFormat="1" ht="14.25" hidden="1" spans="16382:16384">
      <c r="XFB624" s="2"/>
      <c r="XFC624" s="2"/>
      <c r="XFD624" s="2"/>
    </row>
    <row r="625" s="1" customFormat="1" ht="14.25" hidden="1" spans="16382:16384">
      <c r="XFB625" s="2"/>
      <c r="XFC625" s="2"/>
      <c r="XFD625" s="2"/>
    </row>
    <row r="626" s="1" customFormat="1" ht="14.25" hidden="1" spans="16382:16384">
      <c r="XFB626" s="2"/>
      <c r="XFC626" s="2"/>
      <c r="XFD626" s="2"/>
    </row>
    <row r="627" s="1" customFormat="1" ht="14.25" hidden="1" spans="16382:16384">
      <c r="XFB627" s="2"/>
      <c r="XFC627" s="2"/>
      <c r="XFD627" s="2"/>
    </row>
    <row r="628" s="1" customFormat="1" ht="14.25" hidden="1" spans="16382:16384">
      <c r="XFB628" s="2"/>
      <c r="XFC628" s="2"/>
      <c r="XFD628" s="2"/>
    </row>
    <row r="629" s="1" customFormat="1" ht="14.25" hidden="1" spans="16382:16384">
      <c r="XFB629" s="2"/>
      <c r="XFC629" s="2"/>
      <c r="XFD629" s="2"/>
    </row>
    <row r="630" s="1" customFormat="1" ht="14.25" hidden="1" spans="16382:16384">
      <c r="XFB630" s="2"/>
      <c r="XFC630" s="2"/>
      <c r="XFD630" s="2"/>
    </row>
    <row r="631" s="1" customFormat="1" ht="14.25" hidden="1" spans="16382:16384">
      <c r="XFB631" s="2"/>
      <c r="XFC631" s="2"/>
      <c r="XFD631" s="2"/>
    </row>
    <row r="632" s="1" customFormat="1" ht="14.25" hidden="1" spans="16382:16384">
      <c r="XFB632" s="2"/>
      <c r="XFC632" s="2"/>
      <c r="XFD632" s="2"/>
    </row>
    <row r="633" s="1" customFormat="1" ht="14.25" hidden="1" spans="16382:16384">
      <c r="XFB633" s="2"/>
      <c r="XFC633" s="2"/>
      <c r="XFD633" s="2"/>
    </row>
    <row r="634" s="1" customFormat="1" ht="14.25" hidden="1" spans="16382:16384">
      <c r="XFB634" s="2"/>
      <c r="XFC634" s="2"/>
      <c r="XFD634" s="2"/>
    </row>
    <row r="635" s="1" customFormat="1" ht="14.25" hidden="1" spans="16382:16384">
      <c r="XFB635" s="2"/>
      <c r="XFC635" s="2"/>
      <c r="XFD635" s="2"/>
    </row>
    <row r="636" s="1" customFormat="1" ht="14.25" hidden="1" spans="16382:16384">
      <c r="XFB636" s="2"/>
      <c r="XFC636" s="2"/>
      <c r="XFD636" s="2"/>
    </row>
    <row r="637" s="1" customFormat="1" ht="14.25" hidden="1" spans="16382:16384">
      <c r="XFB637" s="2"/>
      <c r="XFC637" s="2"/>
      <c r="XFD637" s="2"/>
    </row>
    <row r="638" s="1" customFormat="1" ht="14.25" hidden="1" spans="16382:16384">
      <c r="XFB638" s="2"/>
      <c r="XFC638" s="2"/>
      <c r="XFD638" s="2"/>
    </row>
    <row r="639" s="1" customFormat="1" ht="14.25" hidden="1" spans="16382:16384">
      <c r="XFB639" s="2"/>
      <c r="XFC639" s="2"/>
      <c r="XFD639" s="2"/>
    </row>
    <row r="640" s="1" customFormat="1" ht="14.25" hidden="1" spans="16382:16384">
      <c r="XFB640" s="2"/>
      <c r="XFC640" s="2"/>
      <c r="XFD640" s="2"/>
    </row>
    <row r="641" s="1" customFormat="1" ht="14.25" hidden="1" spans="16382:16384">
      <c r="XFB641" s="2"/>
      <c r="XFC641" s="2"/>
      <c r="XFD641" s="2"/>
    </row>
    <row r="642" s="1" customFormat="1" ht="14.25" hidden="1" spans="16382:16384">
      <c r="XFB642" s="2"/>
      <c r="XFC642" s="2"/>
      <c r="XFD642" s="2"/>
    </row>
    <row r="643" s="1" customFormat="1" ht="14.25" hidden="1" spans="16382:16384">
      <c r="XFB643" s="2"/>
      <c r="XFC643" s="2"/>
      <c r="XFD643" s="2"/>
    </row>
    <row r="644" s="1" customFormat="1" ht="14.25" hidden="1" spans="16382:16384">
      <c r="XFB644" s="2"/>
      <c r="XFC644" s="2"/>
      <c r="XFD644" s="2"/>
    </row>
    <row r="645" s="1" customFormat="1" ht="14.25" hidden="1" spans="16382:16384">
      <c r="XFB645" s="2"/>
      <c r="XFC645" s="2"/>
      <c r="XFD645" s="2"/>
    </row>
    <row r="646" s="1" customFormat="1" ht="14.25" hidden="1" spans="16382:16384">
      <c r="XFB646" s="2"/>
      <c r="XFC646" s="2"/>
      <c r="XFD646" s="2"/>
    </row>
    <row r="647" s="1" customFormat="1" ht="14.25" hidden="1" spans="16382:16384">
      <c r="XFB647" s="2"/>
      <c r="XFC647" s="2"/>
      <c r="XFD647" s="2"/>
    </row>
    <row r="648" s="1" customFormat="1" ht="14.25" hidden="1" spans="16382:16384">
      <c r="XFB648" s="2"/>
      <c r="XFC648" s="2"/>
      <c r="XFD648" s="2"/>
    </row>
    <row r="649" s="1" customFormat="1" ht="14.25" hidden="1" spans="16382:16384">
      <c r="XFB649" s="2"/>
      <c r="XFC649" s="2"/>
      <c r="XFD649" s="2"/>
    </row>
    <row r="650" s="1" customFormat="1" ht="14.25" hidden="1" spans="16382:16384">
      <c r="XFB650" s="2"/>
      <c r="XFC650" s="2"/>
      <c r="XFD650" s="2"/>
    </row>
    <row r="651" s="1" customFormat="1" ht="14.25" hidden="1" spans="16382:16384">
      <c r="XFB651" s="2"/>
      <c r="XFC651" s="2"/>
      <c r="XFD651" s="2"/>
    </row>
    <row r="652" s="1" customFormat="1" ht="14.25" hidden="1" spans="16382:16384">
      <c r="XFB652" s="2"/>
      <c r="XFC652" s="2"/>
      <c r="XFD652" s="2"/>
    </row>
    <row r="653" s="1" customFormat="1" ht="14.25" hidden="1" spans="16382:16384">
      <c r="XFB653" s="2"/>
      <c r="XFC653" s="2"/>
      <c r="XFD653" s="2"/>
    </row>
    <row r="654" s="1" customFormat="1" ht="14.25" hidden="1" spans="16382:16384">
      <c r="XFB654" s="2"/>
      <c r="XFC654" s="2"/>
      <c r="XFD654" s="2"/>
    </row>
    <row r="655" s="1" customFormat="1" ht="14.25" hidden="1" spans="16382:16384">
      <c r="XFB655" s="2"/>
      <c r="XFC655" s="2"/>
      <c r="XFD655" s="2"/>
    </row>
    <row r="656" s="1" customFormat="1" ht="14.25" hidden="1" spans="16382:16384">
      <c r="XFB656" s="2"/>
      <c r="XFC656" s="2"/>
      <c r="XFD656" s="2"/>
    </row>
    <row r="657" s="1" customFormat="1" ht="14.25" hidden="1" spans="16382:16384">
      <c r="XFB657" s="2"/>
      <c r="XFC657" s="2"/>
      <c r="XFD657" s="2"/>
    </row>
    <row r="658" s="1" customFormat="1" ht="14.25" hidden="1" spans="16382:16384">
      <c r="XFB658" s="2"/>
      <c r="XFC658" s="2"/>
      <c r="XFD658" s="2"/>
    </row>
    <row r="659" s="1" customFormat="1" ht="14.25" hidden="1" spans="16382:16384">
      <c r="XFB659" s="2"/>
      <c r="XFC659" s="2"/>
      <c r="XFD659" s="2"/>
    </row>
    <row r="660" s="1" customFormat="1" ht="14.25" hidden="1" spans="16382:16384">
      <c r="XFB660" s="2"/>
      <c r="XFC660" s="2"/>
      <c r="XFD660" s="2"/>
    </row>
    <row r="661" s="1" customFormat="1" ht="14.25" hidden="1" spans="16382:16384">
      <c r="XFB661" s="2"/>
      <c r="XFC661" s="2"/>
      <c r="XFD661" s="2"/>
    </row>
    <row r="662" s="1" customFormat="1" ht="14.25" hidden="1" spans="16382:16384">
      <c r="XFB662" s="2"/>
      <c r="XFC662" s="2"/>
      <c r="XFD662" s="2"/>
    </row>
    <row r="663" s="1" customFormat="1" ht="14.25" hidden="1" spans="16382:16384">
      <c r="XFB663" s="2"/>
      <c r="XFC663" s="2"/>
      <c r="XFD663" s="2"/>
    </row>
    <row r="664" s="1" customFormat="1" ht="14.25" hidden="1" spans="16382:16384">
      <c r="XFB664" s="2"/>
      <c r="XFC664" s="2"/>
      <c r="XFD664" s="2"/>
    </row>
    <row r="665" s="1" customFormat="1" ht="14.25" hidden="1" spans="16382:16384">
      <c r="XFB665" s="2"/>
      <c r="XFC665" s="2"/>
      <c r="XFD665" s="2"/>
    </row>
    <row r="666" s="1" customFormat="1" ht="14.25" hidden="1" spans="16382:16384">
      <c r="XFB666" s="2"/>
      <c r="XFC666" s="2"/>
      <c r="XFD666" s="2"/>
    </row>
    <row r="667" s="1" customFormat="1" ht="14.25" hidden="1" spans="16382:16384">
      <c r="XFB667" s="2"/>
      <c r="XFC667" s="2"/>
      <c r="XFD667" s="2"/>
    </row>
    <row r="668" s="1" customFormat="1" ht="14.25" hidden="1" spans="16382:16384">
      <c r="XFB668" s="2"/>
      <c r="XFC668" s="2"/>
      <c r="XFD668" s="2"/>
    </row>
    <row r="669" s="1" customFormat="1" ht="14.25" hidden="1" spans="16382:16384">
      <c r="XFB669" s="2"/>
      <c r="XFC669" s="2"/>
      <c r="XFD669" s="2"/>
    </row>
    <row r="670" s="1" customFormat="1" ht="14.25" hidden="1" spans="16382:16384">
      <c r="XFB670" s="2"/>
      <c r="XFC670" s="2"/>
      <c r="XFD670" s="2"/>
    </row>
    <row r="671" s="1" customFormat="1" ht="14.25" hidden="1" spans="16382:16384">
      <c r="XFB671" s="2"/>
      <c r="XFC671" s="2"/>
      <c r="XFD671" s="2"/>
    </row>
    <row r="672" s="1" customFormat="1" ht="14.25" hidden="1" spans="16382:16384">
      <c r="XFB672" s="2"/>
      <c r="XFC672" s="2"/>
      <c r="XFD672" s="2"/>
    </row>
    <row r="673" s="1" customFormat="1" ht="14.25" hidden="1" spans="16382:16384">
      <c r="XFB673" s="2"/>
      <c r="XFC673" s="2"/>
      <c r="XFD673" s="2"/>
    </row>
    <row r="674" s="1" customFormat="1" ht="14.25" hidden="1" spans="16382:16384">
      <c r="XFB674" s="2"/>
      <c r="XFC674" s="2"/>
      <c r="XFD674" s="2"/>
    </row>
    <row r="675" s="1" customFormat="1" ht="14.25" hidden="1" spans="16382:16384">
      <c r="XFB675" s="2"/>
      <c r="XFC675" s="2"/>
      <c r="XFD675" s="2"/>
    </row>
    <row r="676" s="1" customFormat="1" ht="14.25" hidden="1" spans="16382:16384">
      <c r="XFB676" s="2"/>
      <c r="XFC676" s="2"/>
      <c r="XFD676" s="2"/>
    </row>
    <row r="677" s="1" customFormat="1" ht="14.25" hidden="1" spans="16382:16384">
      <c r="XFB677" s="2"/>
      <c r="XFC677" s="2"/>
      <c r="XFD677" s="2"/>
    </row>
    <row r="678" s="1" customFormat="1" ht="14.25" hidden="1" spans="16382:16384">
      <c r="XFB678" s="2"/>
      <c r="XFC678" s="2"/>
      <c r="XFD678" s="2"/>
    </row>
    <row r="679" s="1" customFormat="1" ht="14.25" hidden="1" spans="16382:16384">
      <c r="XFB679" s="2"/>
      <c r="XFC679" s="2"/>
      <c r="XFD679" s="2"/>
    </row>
    <row r="680" s="1" customFormat="1" ht="14.25" hidden="1" spans="16382:16384">
      <c r="XFB680" s="2"/>
      <c r="XFC680" s="2"/>
      <c r="XFD680" s="2"/>
    </row>
    <row r="681" s="1" customFormat="1" ht="14.25" hidden="1" spans="16382:16384">
      <c r="XFB681" s="2"/>
      <c r="XFC681" s="2"/>
      <c r="XFD681" s="2"/>
    </row>
    <row r="682" s="1" customFormat="1" ht="14.25" hidden="1" spans="16382:16384">
      <c r="XFB682" s="2"/>
      <c r="XFC682" s="2"/>
      <c r="XFD682" s="2"/>
    </row>
    <row r="683" s="1" customFormat="1" ht="14.25" hidden="1" spans="16382:16384">
      <c r="XFB683" s="2"/>
      <c r="XFC683" s="2"/>
      <c r="XFD683" s="2"/>
    </row>
    <row r="684" s="1" customFormat="1" ht="14.25" hidden="1" spans="16382:16384">
      <c r="XFB684" s="2"/>
      <c r="XFC684" s="2"/>
      <c r="XFD684" s="2"/>
    </row>
    <row r="685" s="1" customFormat="1" ht="14.25" hidden="1" spans="16382:16384">
      <c r="XFB685" s="2"/>
      <c r="XFC685" s="2"/>
      <c r="XFD685" s="2"/>
    </row>
    <row r="686" s="1" customFormat="1" ht="14.25" hidden="1" spans="16382:16384">
      <c r="XFB686" s="2"/>
      <c r="XFC686" s="2"/>
      <c r="XFD686" s="2"/>
    </row>
    <row r="687" s="1" customFormat="1" ht="14.25" hidden="1" spans="16382:16384">
      <c r="XFB687" s="2"/>
      <c r="XFC687" s="2"/>
      <c r="XFD687" s="2"/>
    </row>
    <row r="688" s="1" customFormat="1" ht="14.25" hidden="1" spans="16382:16384">
      <c r="XFB688" s="2"/>
      <c r="XFC688" s="2"/>
      <c r="XFD688" s="2"/>
    </row>
    <row r="689" s="1" customFormat="1" ht="14.25" hidden="1" spans="16382:16384">
      <c r="XFB689" s="2"/>
      <c r="XFC689" s="2"/>
      <c r="XFD689" s="2"/>
    </row>
    <row r="690" s="1" customFormat="1" ht="14.25" hidden="1" spans="16382:16384">
      <c r="XFB690" s="2"/>
      <c r="XFC690" s="2"/>
      <c r="XFD690" s="2"/>
    </row>
    <row r="691" s="1" customFormat="1" ht="14.25" hidden="1" spans="16382:16384">
      <c r="XFB691" s="2"/>
      <c r="XFC691" s="2"/>
      <c r="XFD691" s="2"/>
    </row>
    <row r="692" s="1" customFormat="1" ht="14.25" hidden="1" spans="16382:16384">
      <c r="XFB692" s="2"/>
      <c r="XFC692" s="2"/>
      <c r="XFD692" s="2"/>
    </row>
    <row r="693" s="1" customFormat="1" ht="14.25" hidden="1" spans="16382:16384">
      <c r="XFB693" s="2"/>
      <c r="XFC693" s="2"/>
      <c r="XFD693" s="2"/>
    </row>
    <row r="694" s="1" customFormat="1" ht="14.25" hidden="1" spans="16382:16384">
      <c r="XFB694" s="2"/>
      <c r="XFC694" s="2"/>
      <c r="XFD694" s="2"/>
    </row>
    <row r="695" s="1" customFormat="1" ht="14.25" hidden="1" spans="16382:16384">
      <c r="XFB695" s="2"/>
      <c r="XFC695" s="2"/>
      <c r="XFD695" s="2"/>
    </row>
    <row r="696" s="1" customFormat="1" ht="14.25" hidden="1" spans="16382:16384">
      <c r="XFB696" s="2"/>
      <c r="XFC696" s="2"/>
      <c r="XFD696" s="2"/>
    </row>
    <row r="697" s="1" customFormat="1" ht="14.25" hidden="1" spans="16382:16384">
      <c r="XFB697" s="2"/>
      <c r="XFC697" s="2"/>
      <c r="XFD697" s="2"/>
    </row>
    <row r="698" s="1" customFormat="1" ht="14.25" hidden="1" spans="16382:16384">
      <c r="XFB698" s="2"/>
      <c r="XFC698" s="2"/>
      <c r="XFD698" s="2"/>
    </row>
    <row r="699" s="1" customFormat="1" ht="14.25" hidden="1" spans="16382:16384">
      <c r="XFB699" s="2"/>
      <c r="XFC699" s="2"/>
      <c r="XFD699" s="2"/>
    </row>
    <row r="700" s="1" customFormat="1" ht="14.25" hidden="1" spans="16382:16384">
      <c r="XFB700" s="2"/>
      <c r="XFC700" s="2"/>
      <c r="XFD700" s="2"/>
    </row>
    <row r="701" s="1" customFormat="1" ht="14.25" hidden="1" spans="16382:16384">
      <c r="XFB701" s="2"/>
      <c r="XFC701" s="2"/>
      <c r="XFD701" s="2"/>
    </row>
    <row r="702" s="1" customFormat="1" ht="14.25" hidden="1" spans="16382:16384">
      <c r="XFB702" s="2"/>
      <c r="XFC702" s="2"/>
      <c r="XFD702" s="2"/>
    </row>
    <row r="703" s="1" customFormat="1" ht="14.25" hidden="1" spans="16382:16384">
      <c r="XFB703" s="2"/>
      <c r="XFC703" s="2"/>
      <c r="XFD703" s="2"/>
    </row>
    <row r="704" s="1" customFormat="1" ht="14.25" hidden="1" spans="16382:16384">
      <c r="XFB704" s="2"/>
      <c r="XFC704" s="2"/>
      <c r="XFD704" s="2"/>
    </row>
    <row r="705" s="1" customFormat="1" ht="14.25" hidden="1" spans="16382:16384">
      <c r="XFB705" s="2"/>
      <c r="XFC705" s="2"/>
      <c r="XFD705" s="2"/>
    </row>
    <row r="706" s="1" customFormat="1" ht="14.25" hidden="1" spans="16382:16384">
      <c r="XFB706" s="2"/>
      <c r="XFC706" s="2"/>
      <c r="XFD706" s="2"/>
    </row>
    <row r="707" s="1" customFormat="1" ht="14.25" hidden="1" spans="16382:16384">
      <c r="XFB707" s="2"/>
      <c r="XFC707" s="2"/>
      <c r="XFD707" s="2"/>
    </row>
    <row r="708" s="1" customFormat="1" ht="14.25" hidden="1" spans="16382:16384">
      <c r="XFB708" s="2"/>
      <c r="XFC708" s="2"/>
      <c r="XFD708" s="2"/>
    </row>
    <row r="709" s="1" customFormat="1" ht="14.25" hidden="1" spans="16382:16384">
      <c r="XFB709" s="2"/>
      <c r="XFC709" s="2"/>
      <c r="XFD709" s="2"/>
    </row>
    <row r="710" s="1" customFormat="1" ht="14.25" hidden="1" spans="16382:16384">
      <c r="XFB710" s="2"/>
      <c r="XFC710" s="2"/>
      <c r="XFD710" s="2"/>
    </row>
    <row r="711" s="1" customFormat="1" ht="14.25" hidden="1" spans="16382:16384">
      <c r="XFB711" s="2"/>
      <c r="XFC711" s="2"/>
      <c r="XFD711" s="2"/>
    </row>
    <row r="712" s="1" customFormat="1" ht="14.25" hidden="1" spans="16382:16384">
      <c r="XFB712" s="2"/>
      <c r="XFC712" s="2"/>
      <c r="XFD712" s="2"/>
    </row>
    <row r="713" s="1" customFormat="1" ht="14.25" hidden="1" spans="16382:16384">
      <c r="XFB713" s="2"/>
      <c r="XFC713" s="2"/>
      <c r="XFD713" s="2"/>
    </row>
    <row r="714" s="1" customFormat="1" ht="14.25" hidden="1" spans="16382:16384">
      <c r="XFB714" s="2"/>
      <c r="XFC714" s="2"/>
      <c r="XFD714" s="2"/>
    </row>
    <row r="715" s="1" customFormat="1" ht="14.25" hidden="1" spans="16382:16384">
      <c r="XFB715" s="2"/>
      <c r="XFC715" s="2"/>
      <c r="XFD715" s="2"/>
    </row>
    <row r="716" s="1" customFormat="1" ht="14.25" hidden="1" spans="16382:16384">
      <c r="XFB716" s="2"/>
      <c r="XFC716" s="2"/>
      <c r="XFD716" s="2"/>
    </row>
    <row r="717" s="1" customFormat="1" ht="14.25" hidden="1" spans="16382:16384">
      <c r="XFB717" s="2"/>
      <c r="XFC717" s="2"/>
      <c r="XFD717" s="2"/>
    </row>
    <row r="718" s="1" customFormat="1" ht="14.25" hidden="1" spans="16382:16384">
      <c r="XFB718" s="2"/>
      <c r="XFC718" s="2"/>
      <c r="XFD718" s="2"/>
    </row>
    <row r="719" s="1" customFormat="1" ht="14.25" hidden="1" spans="16382:16384">
      <c r="XFB719" s="2"/>
      <c r="XFC719" s="2"/>
      <c r="XFD719" s="2"/>
    </row>
    <row r="720" s="1" customFormat="1" ht="14.25" hidden="1" spans="16382:16384">
      <c r="XFB720" s="2"/>
      <c r="XFC720" s="2"/>
      <c r="XFD720" s="2"/>
    </row>
    <row r="721" s="1" customFormat="1" ht="14.25" hidden="1" spans="16382:16384">
      <c r="XFB721" s="2"/>
      <c r="XFC721" s="2"/>
      <c r="XFD721" s="2"/>
    </row>
    <row r="722" s="1" customFormat="1" ht="14.25" hidden="1" spans="16382:16384">
      <c r="XFB722" s="2"/>
      <c r="XFC722" s="2"/>
      <c r="XFD722" s="2"/>
    </row>
    <row r="723" s="1" customFormat="1" ht="14.25" hidden="1" spans="16382:16384">
      <c r="XFB723" s="2"/>
      <c r="XFC723" s="2"/>
      <c r="XFD723" s="2"/>
    </row>
    <row r="724" s="1" customFormat="1" ht="14.25" hidden="1" spans="16382:16384">
      <c r="XFB724" s="2"/>
      <c r="XFC724" s="2"/>
      <c r="XFD724" s="2"/>
    </row>
    <row r="725" s="1" customFormat="1" ht="14.25" hidden="1" spans="16382:16384">
      <c r="XFB725" s="2"/>
      <c r="XFC725" s="2"/>
      <c r="XFD725" s="2"/>
    </row>
    <row r="726" s="1" customFormat="1" ht="14.25" hidden="1" spans="16382:16384">
      <c r="XFB726" s="2"/>
      <c r="XFC726" s="2"/>
      <c r="XFD726" s="2"/>
    </row>
    <row r="727" s="1" customFormat="1" ht="14.25" hidden="1" spans="16382:16384">
      <c r="XFB727" s="2"/>
      <c r="XFC727" s="2"/>
      <c r="XFD727" s="2"/>
    </row>
    <row r="728" s="1" customFormat="1" ht="14.25" hidden="1" spans="16382:16384">
      <c r="XFB728" s="2"/>
      <c r="XFC728" s="2"/>
      <c r="XFD728" s="2"/>
    </row>
    <row r="729" s="1" customFormat="1" ht="14.25" hidden="1" spans="16382:16384">
      <c r="XFB729" s="2"/>
      <c r="XFC729" s="2"/>
      <c r="XFD729" s="2"/>
    </row>
    <row r="730" s="1" customFormat="1" ht="14.25" hidden="1" spans="16382:16384">
      <c r="XFB730" s="2"/>
      <c r="XFC730" s="2"/>
      <c r="XFD730" s="2"/>
    </row>
    <row r="731" s="1" customFormat="1" ht="14.25" hidden="1" spans="16382:16384">
      <c r="XFB731" s="2"/>
      <c r="XFC731" s="2"/>
      <c r="XFD731" s="2"/>
    </row>
    <row r="732" s="1" customFormat="1" ht="14.25" hidden="1" spans="16382:16384">
      <c r="XFB732" s="2"/>
      <c r="XFC732" s="2"/>
      <c r="XFD732" s="2"/>
    </row>
    <row r="733" s="1" customFormat="1" ht="14.25" hidden="1" spans="16382:16384">
      <c r="XFB733" s="2"/>
      <c r="XFC733" s="2"/>
      <c r="XFD733" s="2"/>
    </row>
    <row r="734" s="1" customFormat="1" ht="14.25" hidden="1" spans="16382:16384">
      <c r="XFB734" s="2"/>
      <c r="XFC734" s="2"/>
      <c r="XFD734" s="2"/>
    </row>
    <row r="735" s="1" customFormat="1" ht="14.25" hidden="1" spans="16382:16384">
      <c r="XFB735" s="2"/>
      <c r="XFC735" s="2"/>
      <c r="XFD735" s="2"/>
    </row>
    <row r="736" s="1" customFormat="1" ht="14.25" hidden="1" spans="16382:16384">
      <c r="XFB736" s="2"/>
      <c r="XFC736" s="2"/>
      <c r="XFD736" s="2"/>
    </row>
    <row r="737" s="1" customFormat="1" ht="14.25" hidden="1" spans="16382:16384">
      <c r="XFB737" s="2"/>
      <c r="XFC737" s="2"/>
      <c r="XFD737" s="2"/>
    </row>
    <row r="738" s="1" customFormat="1" ht="14.25" hidden="1" spans="16382:16384">
      <c r="XFB738" s="2"/>
      <c r="XFC738" s="2"/>
      <c r="XFD738" s="2"/>
    </row>
    <row r="739" s="1" customFormat="1" ht="14.25" hidden="1" spans="16382:16384">
      <c r="XFB739" s="2"/>
      <c r="XFC739" s="2"/>
      <c r="XFD739" s="2"/>
    </row>
    <row r="740" s="1" customFormat="1" ht="14.25" hidden="1" spans="16382:16384">
      <c r="XFB740" s="2"/>
      <c r="XFC740" s="2"/>
      <c r="XFD740" s="2"/>
    </row>
    <row r="741" s="1" customFormat="1" ht="14.25" hidden="1" spans="16382:16384">
      <c r="XFB741" s="2"/>
      <c r="XFC741" s="2"/>
      <c r="XFD741" s="2"/>
    </row>
    <row r="742" s="1" customFormat="1" ht="14.25" hidden="1" spans="16382:16384">
      <c r="XFB742" s="2"/>
      <c r="XFC742" s="2"/>
      <c r="XFD742" s="2"/>
    </row>
    <row r="743" s="1" customFormat="1" ht="14.25" hidden="1" spans="16382:16384">
      <c r="XFB743" s="2"/>
      <c r="XFC743" s="2"/>
      <c r="XFD743" s="2"/>
    </row>
    <row r="744" s="1" customFormat="1" ht="14.25" hidden="1" spans="16382:16384">
      <c r="XFB744" s="2"/>
      <c r="XFC744" s="2"/>
      <c r="XFD744" s="2"/>
    </row>
    <row r="745" s="1" customFormat="1" ht="14.25" hidden="1" spans="16382:16384">
      <c r="XFB745" s="2"/>
      <c r="XFC745" s="2"/>
      <c r="XFD745" s="2"/>
    </row>
    <row r="746" s="1" customFormat="1" ht="14.25" hidden="1" spans="16382:16384">
      <c r="XFB746" s="2"/>
      <c r="XFC746" s="2"/>
      <c r="XFD746" s="2"/>
    </row>
    <row r="747" s="1" customFormat="1" ht="14.25" hidden="1" spans="16382:16384">
      <c r="XFB747" s="2"/>
      <c r="XFC747" s="2"/>
      <c r="XFD747" s="2"/>
    </row>
    <row r="748" s="1" customFormat="1" ht="14.25" hidden="1" spans="16382:16384">
      <c r="XFB748" s="2"/>
      <c r="XFC748" s="2"/>
      <c r="XFD748" s="2"/>
    </row>
    <row r="749" s="1" customFormat="1" ht="14.25" hidden="1" spans="16382:16384">
      <c r="XFB749" s="2"/>
      <c r="XFC749" s="2"/>
      <c r="XFD749" s="2"/>
    </row>
    <row r="750" s="1" customFormat="1" ht="14.25" hidden="1" spans="16382:16384">
      <c r="XFB750" s="2"/>
      <c r="XFC750" s="2"/>
      <c r="XFD750" s="2"/>
    </row>
    <row r="751" s="1" customFormat="1" ht="14.25" hidden="1" spans="16382:16384">
      <c r="XFB751" s="2"/>
      <c r="XFC751" s="2"/>
      <c r="XFD751" s="2"/>
    </row>
    <row r="752" s="1" customFormat="1" ht="14.25" hidden="1" spans="16382:16384">
      <c r="XFB752" s="2"/>
      <c r="XFC752" s="2"/>
      <c r="XFD752" s="2"/>
    </row>
    <row r="753" s="1" customFormat="1" ht="14.25" hidden="1" spans="16382:16384">
      <c r="XFB753" s="2"/>
      <c r="XFC753" s="2"/>
      <c r="XFD753" s="2"/>
    </row>
    <row r="754" s="1" customFormat="1" ht="14.25" hidden="1" spans="16382:16384">
      <c r="XFB754" s="2"/>
      <c r="XFC754" s="2"/>
      <c r="XFD754" s="2"/>
    </row>
    <row r="755" s="1" customFormat="1" ht="14.25" hidden="1" spans="16382:16384">
      <c r="XFB755" s="2"/>
      <c r="XFC755" s="2"/>
      <c r="XFD755" s="2"/>
    </row>
    <row r="756" s="1" customFormat="1" ht="14.25" hidden="1" spans="16382:16384">
      <c r="XFB756" s="2"/>
      <c r="XFC756" s="2"/>
      <c r="XFD756" s="2"/>
    </row>
    <row r="757" s="1" customFormat="1" ht="14.25" hidden="1" spans="16382:16384">
      <c r="XFB757" s="2"/>
      <c r="XFC757" s="2"/>
      <c r="XFD757" s="2"/>
    </row>
    <row r="758" s="1" customFormat="1" ht="14.25" hidden="1" spans="16382:16384">
      <c r="XFB758" s="2"/>
      <c r="XFC758" s="2"/>
      <c r="XFD758" s="2"/>
    </row>
    <row r="759" s="1" customFormat="1" ht="14.25" hidden="1" spans="16382:16384">
      <c r="XFB759" s="2"/>
      <c r="XFC759" s="2"/>
      <c r="XFD759" s="2"/>
    </row>
    <row r="760" s="1" customFormat="1" ht="14.25" hidden="1" spans="16382:16384">
      <c r="XFB760" s="2"/>
      <c r="XFC760" s="2"/>
      <c r="XFD760" s="2"/>
    </row>
    <row r="761" s="1" customFormat="1" ht="14.25" hidden="1" spans="16382:16384">
      <c r="XFB761" s="2"/>
      <c r="XFC761" s="2"/>
      <c r="XFD761" s="2"/>
    </row>
    <row r="762" s="1" customFormat="1" ht="14.25" hidden="1" spans="16382:16384">
      <c r="XFB762" s="2"/>
      <c r="XFC762" s="2"/>
      <c r="XFD762" s="2"/>
    </row>
    <row r="763" s="1" customFormat="1" ht="14.25" hidden="1" spans="16382:16384">
      <c r="XFB763" s="2"/>
      <c r="XFC763" s="2"/>
      <c r="XFD763" s="2"/>
    </row>
    <row r="764" s="1" customFormat="1" ht="14.25" hidden="1" spans="16382:16384">
      <c r="XFB764" s="2"/>
      <c r="XFC764" s="2"/>
      <c r="XFD764" s="2"/>
    </row>
    <row r="765" s="1" customFormat="1" ht="14.25" hidden="1" spans="16382:16384">
      <c r="XFB765" s="2"/>
      <c r="XFC765" s="2"/>
      <c r="XFD765" s="2"/>
    </row>
    <row r="766" s="1" customFormat="1" ht="14.25" hidden="1" spans="16382:16384">
      <c r="XFB766" s="2"/>
      <c r="XFC766" s="2"/>
      <c r="XFD766" s="2"/>
    </row>
    <row r="767" s="1" customFormat="1" ht="14.25" hidden="1" spans="16382:16384">
      <c r="XFB767" s="2"/>
      <c r="XFC767" s="2"/>
      <c r="XFD767" s="2"/>
    </row>
    <row r="768" s="1" customFormat="1" ht="14.25" hidden="1" spans="16382:16384">
      <c r="XFB768" s="2"/>
      <c r="XFC768" s="2"/>
      <c r="XFD768" s="2"/>
    </row>
    <row r="769" s="1" customFormat="1" ht="14.25" hidden="1" spans="16382:16384">
      <c r="XFB769" s="2"/>
      <c r="XFC769" s="2"/>
      <c r="XFD769" s="2"/>
    </row>
    <row r="770" s="1" customFormat="1" ht="14.25" hidden="1" spans="16382:16384">
      <c r="XFB770" s="2"/>
      <c r="XFC770" s="2"/>
      <c r="XFD770" s="2"/>
    </row>
    <row r="771" s="1" customFormat="1" ht="14.25" hidden="1" spans="16382:16384">
      <c r="XFB771" s="2"/>
      <c r="XFC771" s="2"/>
      <c r="XFD771" s="2"/>
    </row>
    <row r="772" s="1" customFormat="1" ht="14.25" hidden="1" spans="16382:16384">
      <c r="XFB772" s="2"/>
      <c r="XFC772" s="2"/>
      <c r="XFD772" s="2"/>
    </row>
    <row r="773" s="1" customFormat="1" ht="14.25" hidden="1" spans="16382:16384">
      <c r="XFB773" s="2"/>
      <c r="XFC773" s="2"/>
      <c r="XFD773" s="2"/>
    </row>
    <row r="774" s="1" customFormat="1" ht="14.25" hidden="1" spans="16382:16384">
      <c r="XFB774" s="2"/>
      <c r="XFC774" s="2"/>
      <c r="XFD774" s="2"/>
    </row>
    <row r="775" s="1" customFormat="1" ht="14.25" hidden="1" spans="16382:16384">
      <c r="XFB775" s="2"/>
      <c r="XFC775" s="2"/>
      <c r="XFD775" s="2"/>
    </row>
    <row r="776" s="1" customFormat="1" ht="14.25" hidden="1" spans="16382:16384">
      <c r="XFB776" s="2"/>
      <c r="XFC776" s="2"/>
      <c r="XFD776" s="2"/>
    </row>
    <row r="777" s="1" customFormat="1" ht="14.25" hidden="1" spans="16382:16384">
      <c r="XFB777" s="2"/>
      <c r="XFC777" s="2"/>
      <c r="XFD777" s="2"/>
    </row>
    <row r="778" s="1" customFormat="1" ht="14.25" hidden="1" spans="16382:16384">
      <c r="XFB778" s="2"/>
      <c r="XFC778" s="2"/>
      <c r="XFD778" s="2"/>
    </row>
    <row r="779" s="1" customFormat="1" ht="14.25" hidden="1" spans="16382:16384">
      <c r="XFB779" s="2"/>
      <c r="XFC779" s="2"/>
      <c r="XFD779" s="2"/>
    </row>
    <row r="780" s="1" customFormat="1" ht="14.25" hidden="1" spans="16382:16384">
      <c r="XFB780" s="2"/>
      <c r="XFC780" s="2"/>
      <c r="XFD780" s="2"/>
    </row>
    <row r="781" s="1" customFormat="1" ht="14.25" hidden="1" spans="16382:16384">
      <c r="XFB781" s="2"/>
      <c r="XFC781" s="2"/>
      <c r="XFD781" s="2"/>
    </row>
    <row r="782" s="1" customFormat="1" ht="14.25" hidden="1" spans="16382:16384">
      <c r="XFB782" s="2"/>
      <c r="XFC782" s="2"/>
      <c r="XFD782" s="2"/>
    </row>
    <row r="783" s="1" customFormat="1" ht="14.25" hidden="1" spans="16382:16384">
      <c r="XFB783" s="2"/>
      <c r="XFC783" s="2"/>
      <c r="XFD783" s="2"/>
    </row>
    <row r="784" s="1" customFormat="1" ht="14.25" hidden="1" spans="16382:16384">
      <c r="XFB784" s="2"/>
      <c r="XFC784" s="2"/>
      <c r="XFD784" s="2"/>
    </row>
    <row r="785" s="1" customFormat="1" ht="14.25" hidden="1" spans="16382:16384">
      <c r="XFB785" s="2"/>
      <c r="XFC785" s="2"/>
      <c r="XFD785" s="2"/>
    </row>
    <row r="786" s="1" customFormat="1" ht="14.25" hidden="1" spans="16382:16384">
      <c r="XFB786" s="2"/>
      <c r="XFC786" s="2"/>
      <c r="XFD786" s="2"/>
    </row>
    <row r="787" s="1" customFormat="1" ht="14.25" hidden="1" spans="16382:16384">
      <c r="XFB787" s="2"/>
      <c r="XFC787" s="2"/>
      <c r="XFD787" s="2"/>
    </row>
    <row r="788" s="1" customFormat="1" ht="14.25" hidden="1" spans="16382:16384">
      <c r="XFB788" s="2"/>
      <c r="XFC788" s="2"/>
      <c r="XFD788" s="2"/>
    </row>
    <row r="789" s="1" customFormat="1" ht="14.25" hidden="1" spans="16382:16384">
      <c r="XFB789" s="2"/>
      <c r="XFC789" s="2"/>
      <c r="XFD789" s="2"/>
    </row>
    <row r="790" s="1" customFormat="1" ht="14.25" hidden="1" spans="16382:16384">
      <c r="XFB790" s="2"/>
      <c r="XFC790" s="2"/>
      <c r="XFD790" s="2"/>
    </row>
    <row r="791" s="1" customFormat="1" ht="14.25" hidden="1" spans="16382:16384">
      <c r="XFB791" s="2"/>
      <c r="XFC791" s="2"/>
      <c r="XFD791" s="2"/>
    </row>
    <row r="792" s="1" customFormat="1" ht="14.25" hidden="1" spans="16382:16384">
      <c r="XFB792" s="2"/>
      <c r="XFC792" s="2"/>
      <c r="XFD792" s="2"/>
    </row>
    <row r="793" s="1" customFormat="1" ht="14.25" hidden="1" spans="16382:16384">
      <c r="XFB793" s="2"/>
      <c r="XFC793" s="2"/>
      <c r="XFD793" s="2"/>
    </row>
    <row r="794" s="1" customFormat="1" ht="14.25" hidden="1" spans="16382:16384">
      <c r="XFB794" s="2"/>
      <c r="XFC794" s="2"/>
      <c r="XFD794" s="2"/>
    </row>
    <row r="795" s="1" customFormat="1" ht="14.25" hidden="1" spans="16382:16384">
      <c r="XFB795" s="2"/>
      <c r="XFC795" s="2"/>
      <c r="XFD795" s="2"/>
    </row>
    <row r="796" s="1" customFormat="1" ht="14.25" hidden="1" spans="16382:16384">
      <c r="XFB796" s="2"/>
      <c r="XFC796" s="2"/>
      <c r="XFD796" s="2"/>
    </row>
    <row r="797" s="1" customFormat="1" ht="14.25" hidden="1" spans="16382:16384">
      <c r="XFB797" s="2"/>
      <c r="XFC797" s="2"/>
      <c r="XFD797" s="2"/>
    </row>
    <row r="798" s="1" customFormat="1" ht="14.25" hidden="1" spans="16382:16384">
      <c r="XFB798" s="2"/>
      <c r="XFC798" s="2"/>
      <c r="XFD798" s="2"/>
    </row>
    <row r="799" s="1" customFormat="1" ht="14.25" hidden="1" spans="16382:16384">
      <c r="XFB799" s="2"/>
      <c r="XFC799" s="2"/>
      <c r="XFD799" s="2"/>
    </row>
    <row r="800" s="1" customFormat="1" ht="14.25" hidden="1" spans="16382:16384">
      <c r="XFB800" s="2"/>
      <c r="XFC800" s="2"/>
      <c r="XFD800" s="2"/>
    </row>
    <row r="801" s="1" customFormat="1" ht="14.25" hidden="1" spans="16382:16384">
      <c r="XFB801" s="2"/>
      <c r="XFC801" s="2"/>
      <c r="XFD801" s="2"/>
    </row>
    <row r="802" s="1" customFormat="1" ht="14.25" hidden="1" spans="16382:16384">
      <c r="XFB802" s="2"/>
      <c r="XFC802" s="2"/>
      <c r="XFD802" s="2"/>
    </row>
    <row r="803" s="1" customFormat="1" ht="14.25" hidden="1" spans="16382:16384">
      <c r="XFB803" s="2"/>
      <c r="XFC803" s="2"/>
      <c r="XFD803" s="2"/>
    </row>
    <row r="804" s="1" customFormat="1" ht="14.25" hidden="1" spans="16382:16384">
      <c r="XFB804" s="2"/>
      <c r="XFC804" s="2"/>
      <c r="XFD804" s="2"/>
    </row>
    <row r="805" s="1" customFormat="1" ht="14.25" hidden="1" spans="16382:16384">
      <c r="XFB805" s="2"/>
      <c r="XFC805" s="2"/>
      <c r="XFD805" s="2"/>
    </row>
    <row r="806" s="1" customFormat="1" ht="14.25" hidden="1" spans="16382:16384">
      <c r="XFB806" s="2"/>
      <c r="XFC806" s="2"/>
      <c r="XFD806" s="2"/>
    </row>
    <row r="807" s="1" customFormat="1" ht="14.25" hidden="1" spans="16382:16384">
      <c r="XFB807" s="2"/>
      <c r="XFC807" s="2"/>
      <c r="XFD807" s="2"/>
    </row>
    <row r="808" s="1" customFormat="1" ht="14.25" hidden="1" spans="16382:16384">
      <c r="XFB808" s="2"/>
      <c r="XFC808" s="2"/>
      <c r="XFD808" s="2"/>
    </row>
    <row r="809" s="1" customFormat="1" ht="14.25" hidden="1" spans="16382:16384">
      <c r="XFB809" s="2"/>
      <c r="XFC809" s="2"/>
      <c r="XFD809" s="2"/>
    </row>
    <row r="810" s="1" customFormat="1" ht="14.25" hidden="1" spans="16382:16384">
      <c r="XFB810" s="2"/>
      <c r="XFC810" s="2"/>
      <c r="XFD810" s="2"/>
    </row>
    <row r="811" s="1" customFormat="1" ht="14.25" hidden="1" spans="16382:16384">
      <c r="XFB811" s="2"/>
      <c r="XFC811" s="2"/>
      <c r="XFD811" s="2"/>
    </row>
    <row r="812" s="1" customFormat="1" ht="14.25" hidden="1" spans="16382:16384">
      <c r="XFB812" s="2"/>
      <c r="XFC812" s="2"/>
      <c r="XFD812" s="2"/>
    </row>
    <row r="813" s="1" customFormat="1" ht="14.25" hidden="1" spans="16382:16384">
      <c r="XFB813" s="2"/>
      <c r="XFC813" s="2"/>
      <c r="XFD813" s="2"/>
    </row>
    <row r="814" s="1" customFormat="1" ht="14.25" hidden="1" spans="16382:16384">
      <c r="XFB814" s="2"/>
      <c r="XFC814" s="2"/>
      <c r="XFD814" s="2"/>
    </row>
    <row r="815" s="1" customFormat="1" ht="14.25" hidden="1" spans="16382:16384">
      <c r="XFB815" s="2"/>
      <c r="XFC815" s="2"/>
      <c r="XFD815" s="2"/>
    </row>
    <row r="816" s="1" customFormat="1" ht="14.25" hidden="1" spans="16382:16384">
      <c r="XFB816" s="2"/>
      <c r="XFC816" s="2"/>
      <c r="XFD816" s="2"/>
    </row>
    <row r="817" s="1" customFormat="1" ht="14.25" hidden="1" spans="16382:16384">
      <c r="XFB817" s="2"/>
      <c r="XFC817" s="2"/>
      <c r="XFD817" s="2"/>
    </row>
    <row r="818" s="1" customFormat="1" ht="14.25" hidden="1" spans="16382:16384">
      <c r="XFB818" s="2"/>
      <c r="XFC818" s="2"/>
      <c r="XFD818" s="2"/>
    </row>
    <row r="819" s="1" customFormat="1" ht="14.25" hidden="1" spans="16382:16384">
      <c r="XFB819" s="2"/>
      <c r="XFC819" s="2"/>
      <c r="XFD819" s="2"/>
    </row>
    <row r="820" s="1" customFormat="1" ht="14.25" hidden="1" spans="16382:16384">
      <c r="XFB820" s="2"/>
      <c r="XFC820" s="2"/>
      <c r="XFD820" s="2"/>
    </row>
    <row r="821" s="1" customFormat="1" ht="14.25" hidden="1" spans="16382:16384">
      <c r="XFB821" s="2"/>
      <c r="XFC821" s="2"/>
      <c r="XFD821" s="2"/>
    </row>
    <row r="822" s="1" customFormat="1" ht="14.25" hidden="1" spans="16382:16384">
      <c r="XFB822" s="2"/>
      <c r="XFC822" s="2"/>
      <c r="XFD822" s="2"/>
    </row>
    <row r="823" s="1" customFormat="1" ht="14.25" hidden="1" spans="16382:16384">
      <c r="XFB823" s="2"/>
      <c r="XFC823" s="2"/>
      <c r="XFD823" s="2"/>
    </row>
    <row r="824" s="1" customFormat="1" ht="14.25" hidden="1" spans="16382:16384">
      <c r="XFB824" s="2"/>
      <c r="XFC824" s="2"/>
      <c r="XFD824" s="2"/>
    </row>
    <row r="825" s="1" customFormat="1" ht="14.25" hidden="1" spans="16382:16384">
      <c r="XFB825" s="2"/>
      <c r="XFC825" s="2"/>
      <c r="XFD825" s="2"/>
    </row>
    <row r="826" s="1" customFormat="1" ht="14.25" hidden="1" spans="16382:16384">
      <c r="XFB826" s="2"/>
      <c r="XFC826" s="2"/>
      <c r="XFD826" s="2"/>
    </row>
    <row r="827" s="1" customFormat="1" ht="14.25" hidden="1" spans="16382:16384">
      <c r="XFB827" s="2"/>
      <c r="XFC827" s="2"/>
      <c r="XFD827" s="2"/>
    </row>
    <row r="828" s="1" customFormat="1" ht="14.25" hidden="1" spans="16382:16384">
      <c r="XFB828" s="2"/>
      <c r="XFC828" s="2"/>
      <c r="XFD828" s="2"/>
    </row>
    <row r="829" s="1" customFormat="1" ht="14.25" hidden="1" spans="16382:16384">
      <c r="XFB829" s="2"/>
      <c r="XFC829" s="2"/>
      <c r="XFD829" s="2"/>
    </row>
    <row r="830" s="1" customFormat="1" ht="14.25" hidden="1" spans="16382:16384">
      <c r="XFB830" s="2"/>
      <c r="XFC830" s="2"/>
      <c r="XFD830" s="2"/>
    </row>
    <row r="831" s="1" customFormat="1" ht="14.25" hidden="1" spans="16382:16384">
      <c r="XFB831" s="2"/>
      <c r="XFC831" s="2"/>
      <c r="XFD831" s="2"/>
    </row>
    <row r="832" s="1" customFormat="1" ht="14.25" hidden="1" spans="16382:16384">
      <c r="XFB832" s="2"/>
      <c r="XFC832" s="2"/>
      <c r="XFD832" s="2"/>
    </row>
    <row r="833" s="1" customFormat="1" ht="14.25" hidden="1" spans="16382:16384">
      <c r="XFB833" s="2"/>
      <c r="XFC833" s="2"/>
      <c r="XFD833" s="2"/>
    </row>
    <row r="834" s="1" customFormat="1" ht="14.25" hidden="1" spans="16382:16384">
      <c r="XFB834" s="2"/>
      <c r="XFC834" s="2"/>
      <c r="XFD834" s="2"/>
    </row>
    <row r="835" s="1" customFormat="1" ht="14.25" hidden="1" spans="16382:16384">
      <c r="XFB835" s="2"/>
      <c r="XFC835" s="2"/>
      <c r="XFD835" s="2"/>
    </row>
    <row r="836" s="1" customFormat="1" ht="14.25" hidden="1" spans="16382:16384">
      <c r="XFB836" s="2"/>
      <c r="XFC836" s="2"/>
      <c r="XFD836" s="2"/>
    </row>
    <row r="837" s="1" customFormat="1" ht="14.25" hidden="1" spans="16382:16384">
      <c r="XFB837" s="2"/>
      <c r="XFC837" s="2"/>
      <c r="XFD837" s="2"/>
    </row>
    <row r="838" s="1" customFormat="1" ht="14.25" hidden="1" spans="16382:16384">
      <c r="XFB838" s="2"/>
      <c r="XFC838" s="2"/>
      <c r="XFD838" s="2"/>
    </row>
    <row r="839" s="1" customFormat="1" ht="14.25" hidden="1" spans="16382:16384">
      <c r="XFB839" s="2"/>
      <c r="XFC839" s="2"/>
      <c r="XFD839" s="2"/>
    </row>
    <row r="840" s="1" customFormat="1" ht="14.25" hidden="1" spans="16382:16384">
      <c r="XFB840" s="2"/>
      <c r="XFC840" s="2"/>
      <c r="XFD840" s="2"/>
    </row>
    <row r="841" s="1" customFormat="1" ht="14.25" hidden="1" spans="16382:16384">
      <c r="XFB841" s="2"/>
      <c r="XFC841" s="2"/>
      <c r="XFD841" s="2"/>
    </row>
    <row r="842" s="1" customFormat="1" ht="14.25" hidden="1" spans="16382:16384">
      <c r="XFB842" s="2"/>
      <c r="XFC842" s="2"/>
      <c r="XFD842" s="2"/>
    </row>
    <row r="843" s="1" customFormat="1" ht="14.25" hidden="1" spans="16382:16384">
      <c r="XFB843" s="2"/>
      <c r="XFC843" s="2"/>
      <c r="XFD843" s="2"/>
    </row>
    <row r="844" s="1" customFormat="1" ht="14.25" hidden="1" spans="16382:16384">
      <c r="XFB844" s="2"/>
      <c r="XFC844" s="2"/>
      <c r="XFD844" s="2"/>
    </row>
    <row r="845" s="1" customFormat="1" ht="14.25" hidden="1" spans="16382:16384">
      <c r="XFB845" s="2"/>
      <c r="XFC845" s="2"/>
      <c r="XFD845" s="2"/>
    </row>
    <row r="846" s="1" customFormat="1" ht="14.25" hidden="1" spans="16382:16384">
      <c r="XFB846" s="2"/>
      <c r="XFC846" s="2"/>
      <c r="XFD846" s="2"/>
    </row>
    <row r="847" s="1" customFormat="1" ht="14.25" hidden="1" spans="16382:16384">
      <c r="XFB847" s="2"/>
      <c r="XFC847" s="2"/>
      <c r="XFD847" s="2"/>
    </row>
    <row r="848" s="1" customFormat="1" ht="14.25" hidden="1" spans="16382:16384">
      <c r="XFB848" s="2"/>
      <c r="XFC848" s="2"/>
      <c r="XFD848" s="2"/>
    </row>
    <row r="849" s="1" customFormat="1" ht="14.25" hidden="1" spans="16382:16384">
      <c r="XFB849" s="2"/>
      <c r="XFC849" s="2"/>
      <c r="XFD849" s="2"/>
    </row>
    <row r="850" s="1" customFormat="1" ht="14.25" hidden="1" spans="16382:16384">
      <c r="XFB850" s="2"/>
      <c r="XFC850" s="2"/>
      <c r="XFD850" s="2"/>
    </row>
    <row r="851" s="1" customFormat="1" ht="14.25" hidden="1" spans="16382:16384">
      <c r="XFB851" s="2"/>
      <c r="XFC851" s="2"/>
      <c r="XFD851" s="2"/>
    </row>
    <row r="852" s="1" customFormat="1" ht="14.25" hidden="1" spans="16382:16384">
      <c r="XFB852" s="2"/>
      <c r="XFC852" s="2"/>
      <c r="XFD852" s="2"/>
    </row>
    <row r="853" s="1" customFormat="1" ht="14.25" hidden="1" spans="16382:16384">
      <c r="XFB853" s="2"/>
      <c r="XFC853" s="2"/>
      <c r="XFD853" s="2"/>
    </row>
    <row r="854" s="1" customFormat="1" ht="14.25" hidden="1" spans="16382:16384">
      <c r="XFB854" s="2"/>
      <c r="XFC854" s="2"/>
      <c r="XFD854" s="2"/>
    </row>
    <row r="855" s="1" customFormat="1" ht="14.25" hidden="1" spans="16382:16384">
      <c r="XFB855" s="2"/>
      <c r="XFC855" s="2"/>
      <c r="XFD855" s="2"/>
    </row>
    <row r="856" s="1" customFormat="1" ht="14.25" hidden="1" spans="16382:16384">
      <c r="XFB856" s="2"/>
      <c r="XFC856" s="2"/>
      <c r="XFD856" s="2"/>
    </row>
    <row r="857" s="1" customFormat="1" ht="14.25" hidden="1" spans="16382:16384">
      <c r="XFB857" s="2"/>
      <c r="XFC857" s="2"/>
      <c r="XFD857" s="2"/>
    </row>
    <row r="858" s="1" customFormat="1" ht="14.25" hidden="1" spans="16382:16384">
      <c r="XFB858" s="2"/>
      <c r="XFC858" s="2"/>
      <c r="XFD858" s="2"/>
    </row>
    <row r="859" s="1" customFormat="1" ht="14.25" hidden="1" spans="16382:16384">
      <c r="XFB859" s="2"/>
      <c r="XFC859" s="2"/>
      <c r="XFD859" s="2"/>
    </row>
    <row r="860" s="1" customFormat="1" ht="14.25" hidden="1" spans="16382:16384">
      <c r="XFB860" s="2"/>
      <c r="XFC860" s="2"/>
      <c r="XFD860" s="2"/>
    </row>
    <row r="861" s="1" customFormat="1" ht="14.25" hidden="1" spans="16382:16384">
      <c r="XFB861" s="2"/>
      <c r="XFC861" s="2"/>
      <c r="XFD861" s="2"/>
    </row>
    <row r="862" s="1" customFormat="1" ht="14.25" hidden="1" spans="16382:16384">
      <c r="XFB862" s="2"/>
      <c r="XFC862" s="2"/>
      <c r="XFD862" s="2"/>
    </row>
    <row r="863" s="1" customFormat="1" ht="14.25" hidden="1" spans="16382:16384">
      <c r="XFB863" s="2"/>
      <c r="XFC863" s="2"/>
      <c r="XFD863" s="2"/>
    </row>
    <row r="864" s="1" customFormat="1" ht="14.25" hidden="1" spans="16382:16384">
      <c r="XFB864" s="2"/>
      <c r="XFC864" s="2"/>
      <c r="XFD864" s="2"/>
    </row>
    <row r="865" s="1" customFormat="1" ht="14.25" hidden="1" spans="16382:16384">
      <c r="XFB865" s="2"/>
      <c r="XFC865" s="2"/>
      <c r="XFD865" s="2"/>
    </row>
    <row r="866" s="1" customFormat="1" ht="14.25" hidden="1" spans="16382:16384">
      <c r="XFB866" s="2"/>
      <c r="XFC866" s="2"/>
      <c r="XFD866" s="2"/>
    </row>
    <row r="867" s="1" customFormat="1" ht="14.25" hidden="1" spans="16382:16384">
      <c r="XFB867" s="2"/>
      <c r="XFC867" s="2"/>
      <c r="XFD867" s="2"/>
    </row>
    <row r="868" s="1" customFormat="1" ht="14.25" hidden="1" spans="16382:16384">
      <c r="XFB868" s="2"/>
      <c r="XFC868" s="2"/>
      <c r="XFD868" s="2"/>
    </row>
    <row r="869" s="1" customFormat="1" ht="14.25" hidden="1" spans="16382:16384">
      <c r="XFB869" s="2"/>
      <c r="XFC869" s="2"/>
      <c r="XFD869" s="2"/>
    </row>
    <row r="870" s="1" customFormat="1" ht="14.25" hidden="1" spans="16382:16384">
      <c r="XFB870" s="2"/>
      <c r="XFC870" s="2"/>
      <c r="XFD870" s="2"/>
    </row>
    <row r="871" s="1" customFormat="1" ht="14.25" hidden="1" spans="16382:16384">
      <c r="XFB871" s="2"/>
      <c r="XFC871" s="2"/>
      <c r="XFD871" s="2"/>
    </row>
    <row r="872" s="1" customFormat="1" ht="14.25" hidden="1" spans="16382:16384">
      <c r="XFB872" s="2"/>
      <c r="XFC872" s="2"/>
      <c r="XFD872" s="2"/>
    </row>
    <row r="873" s="1" customFormat="1" ht="14.25" hidden="1" spans="16382:16384">
      <c r="XFB873" s="2"/>
      <c r="XFC873" s="2"/>
      <c r="XFD873" s="2"/>
    </row>
    <row r="874" s="1" customFormat="1" ht="14.25" hidden="1" spans="16382:16384">
      <c r="XFB874" s="2"/>
      <c r="XFC874" s="2"/>
      <c r="XFD874" s="2"/>
    </row>
    <row r="875" s="1" customFormat="1" ht="14.25" hidden="1" spans="16382:16384">
      <c r="XFB875" s="2"/>
      <c r="XFC875" s="2"/>
      <c r="XFD875" s="2"/>
    </row>
    <row r="876" s="1" customFormat="1" ht="14.25" hidden="1" spans="16382:16384">
      <c r="XFB876" s="2"/>
      <c r="XFC876" s="2"/>
      <c r="XFD876" s="2"/>
    </row>
    <row r="877" s="1" customFormat="1" ht="14.25" hidden="1" spans="16382:16384">
      <c r="XFB877" s="2"/>
      <c r="XFC877" s="2"/>
      <c r="XFD877" s="2"/>
    </row>
    <row r="878" s="1" customFormat="1" ht="14.25" hidden="1" spans="16382:16384">
      <c r="XFB878" s="2"/>
      <c r="XFC878" s="2"/>
      <c r="XFD878" s="2"/>
    </row>
    <row r="879" s="1" customFormat="1" ht="14.25" hidden="1" spans="16382:16384">
      <c r="XFB879" s="2"/>
      <c r="XFC879" s="2"/>
      <c r="XFD879" s="2"/>
    </row>
    <row r="880" s="1" customFormat="1" ht="14.25" hidden="1" spans="16382:16384">
      <c r="XFB880" s="2"/>
      <c r="XFC880" s="2"/>
      <c r="XFD880" s="2"/>
    </row>
    <row r="881" s="1" customFormat="1" ht="14.25" hidden="1" spans="16382:16384">
      <c r="XFB881" s="2"/>
      <c r="XFC881" s="2"/>
      <c r="XFD881" s="2"/>
    </row>
    <row r="882" s="1" customFormat="1" ht="14.25" hidden="1" spans="16382:16384">
      <c r="XFB882" s="2"/>
      <c r="XFC882" s="2"/>
      <c r="XFD882" s="2"/>
    </row>
    <row r="883" s="1" customFormat="1" ht="14.25" hidden="1" spans="16382:16384">
      <c r="XFB883" s="2"/>
      <c r="XFC883" s="2"/>
      <c r="XFD883" s="2"/>
    </row>
    <row r="884" s="1" customFormat="1" ht="14.25" hidden="1" spans="16382:16384">
      <c r="XFB884" s="2"/>
      <c r="XFC884" s="2"/>
      <c r="XFD884" s="2"/>
    </row>
    <row r="885" s="1" customFormat="1" ht="14.25" hidden="1" spans="16382:16384">
      <c r="XFB885" s="2"/>
      <c r="XFC885" s="2"/>
      <c r="XFD885" s="2"/>
    </row>
    <row r="886" s="1" customFormat="1" ht="14.25" hidden="1" spans="16382:16384">
      <c r="XFB886" s="2"/>
      <c r="XFC886" s="2"/>
      <c r="XFD886" s="2"/>
    </row>
    <row r="887" s="1" customFormat="1" ht="14.25" hidden="1" spans="16382:16384">
      <c r="XFB887" s="2"/>
      <c r="XFC887" s="2"/>
      <c r="XFD887" s="2"/>
    </row>
    <row r="888" s="1" customFormat="1" ht="14.25" hidden="1" spans="16382:16384">
      <c r="XFB888" s="2"/>
      <c r="XFC888" s="2"/>
      <c r="XFD888" s="2"/>
    </row>
    <row r="889" s="1" customFormat="1" ht="14.25" hidden="1" spans="16382:16384">
      <c r="XFB889" s="2"/>
      <c r="XFC889" s="2"/>
      <c r="XFD889" s="2"/>
    </row>
    <row r="890" s="1" customFormat="1" ht="14.25" hidden="1" spans="16382:16384">
      <c r="XFB890" s="2"/>
      <c r="XFC890" s="2"/>
      <c r="XFD890" s="2"/>
    </row>
    <row r="891" s="1" customFormat="1" ht="14.25" hidden="1" spans="16382:16384">
      <c r="XFB891" s="2"/>
      <c r="XFC891" s="2"/>
      <c r="XFD891" s="2"/>
    </row>
    <row r="892" s="1" customFormat="1" ht="14.25" hidden="1" spans="16382:16384">
      <c r="XFB892" s="2"/>
      <c r="XFC892" s="2"/>
      <c r="XFD892" s="2"/>
    </row>
    <row r="893" s="1" customFormat="1" ht="14.25" hidden="1" spans="16382:16384">
      <c r="XFB893" s="2"/>
      <c r="XFC893" s="2"/>
      <c r="XFD893" s="2"/>
    </row>
    <row r="894" s="1" customFormat="1" ht="14.25" hidden="1" spans="16382:16384">
      <c r="XFB894" s="2"/>
      <c r="XFC894" s="2"/>
      <c r="XFD894" s="2"/>
    </row>
    <row r="895" s="1" customFormat="1" ht="14.25" hidden="1" spans="16382:16384">
      <c r="XFB895" s="2"/>
      <c r="XFC895" s="2"/>
      <c r="XFD895" s="2"/>
    </row>
    <row r="896" s="1" customFormat="1" ht="14.25" hidden="1" spans="16382:16384">
      <c r="XFB896" s="2"/>
      <c r="XFC896" s="2"/>
      <c r="XFD896" s="2"/>
    </row>
    <row r="897" s="1" customFormat="1" ht="14.25" hidden="1" spans="16382:16384">
      <c r="XFB897" s="2"/>
      <c r="XFC897" s="2"/>
      <c r="XFD897" s="2"/>
    </row>
    <row r="898" s="1" customFormat="1" ht="14.25" hidden="1" spans="16382:16384">
      <c r="XFB898" s="2"/>
      <c r="XFC898" s="2"/>
      <c r="XFD898" s="2"/>
    </row>
    <row r="899" s="1" customFormat="1" ht="14.25" hidden="1" spans="16382:16384">
      <c r="XFB899" s="2"/>
      <c r="XFC899" s="2"/>
      <c r="XFD899" s="2"/>
    </row>
    <row r="900" s="1" customFormat="1" ht="14.25" hidden="1" spans="16382:16384">
      <c r="XFB900" s="2"/>
      <c r="XFC900" s="2"/>
      <c r="XFD900" s="2"/>
    </row>
    <row r="901" s="1" customFormat="1" ht="14.25" hidden="1" spans="16382:16384">
      <c r="XFB901" s="2"/>
      <c r="XFC901" s="2"/>
      <c r="XFD901" s="2"/>
    </row>
    <row r="902" s="1" customFormat="1" ht="14.25" hidden="1" spans="16382:16384">
      <c r="XFB902" s="2"/>
      <c r="XFC902" s="2"/>
      <c r="XFD902" s="2"/>
    </row>
    <row r="903" s="1" customFormat="1" ht="14.25" hidden="1" spans="16382:16384">
      <c r="XFB903" s="2"/>
      <c r="XFC903" s="2"/>
      <c r="XFD903" s="2"/>
    </row>
    <row r="904" s="1" customFormat="1" ht="14.25" hidden="1" spans="16382:16384">
      <c r="XFB904" s="2"/>
      <c r="XFC904" s="2"/>
      <c r="XFD904" s="2"/>
    </row>
    <row r="905" s="1" customFormat="1" ht="14.25" hidden="1" spans="16382:16384">
      <c r="XFB905" s="2"/>
      <c r="XFC905" s="2"/>
      <c r="XFD905" s="2"/>
    </row>
    <row r="906" s="1" customFormat="1" ht="14.25" hidden="1" spans="16382:16384">
      <c r="XFB906" s="2"/>
      <c r="XFC906" s="2"/>
      <c r="XFD906" s="2"/>
    </row>
    <row r="907" s="1" customFormat="1" ht="14.25" hidden="1" spans="16382:16384">
      <c r="XFB907" s="2"/>
      <c r="XFC907" s="2"/>
      <c r="XFD907" s="2"/>
    </row>
    <row r="908" s="1" customFormat="1" ht="14.25" hidden="1" spans="16382:16384">
      <c r="XFB908" s="2"/>
      <c r="XFC908" s="2"/>
      <c r="XFD908" s="2"/>
    </row>
    <row r="909" s="1" customFormat="1" ht="14.25" hidden="1" spans="16382:16384">
      <c r="XFB909" s="2"/>
      <c r="XFC909" s="2"/>
      <c r="XFD909" s="2"/>
    </row>
    <row r="910" s="1" customFormat="1" ht="14.25" hidden="1" spans="16382:16384">
      <c r="XFB910" s="2"/>
      <c r="XFC910" s="2"/>
      <c r="XFD910" s="2"/>
    </row>
    <row r="911" s="1" customFormat="1" ht="14.25" hidden="1" spans="16382:16384">
      <c r="XFB911" s="2"/>
      <c r="XFC911" s="2"/>
      <c r="XFD911" s="2"/>
    </row>
    <row r="912" s="1" customFormat="1" ht="14.25" hidden="1" spans="16382:16384">
      <c r="XFB912" s="2"/>
      <c r="XFC912" s="2"/>
      <c r="XFD912" s="2"/>
    </row>
    <row r="913" s="1" customFormat="1" ht="14.25" hidden="1" spans="16382:16384">
      <c r="XFB913" s="2"/>
      <c r="XFC913" s="2"/>
      <c r="XFD913" s="2"/>
    </row>
    <row r="914" s="1" customFormat="1" ht="14.25" hidden="1" spans="16382:16384">
      <c r="XFB914" s="2"/>
      <c r="XFC914" s="2"/>
      <c r="XFD914" s="2"/>
    </row>
    <row r="915" s="1" customFormat="1" ht="14.25" hidden="1" spans="16382:16384">
      <c r="XFB915" s="2"/>
      <c r="XFC915" s="2"/>
      <c r="XFD915" s="2"/>
    </row>
    <row r="916" s="1" customFormat="1" ht="14.25" hidden="1" spans="16382:16384">
      <c r="XFB916" s="2"/>
      <c r="XFC916" s="2"/>
      <c r="XFD916" s="2"/>
    </row>
    <row r="917" s="1" customFormat="1" ht="14.25" hidden="1" spans="16382:16384">
      <c r="XFB917" s="2"/>
      <c r="XFC917" s="2"/>
      <c r="XFD917" s="2"/>
    </row>
    <row r="918" s="1" customFormat="1" ht="14.25" hidden="1" spans="16382:16384">
      <c r="XFB918" s="2"/>
      <c r="XFC918" s="2"/>
      <c r="XFD918" s="2"/>
    </row>
    <row r="919" s="1" customFormat="1" ht="14.25" hidden="1" spans="16382:16384">
      <c r="XFB919" s="2"/>
      <c r="XFC919" s="2"/>
      <c r="XFD919" s="2"/>
    </row>
    <row r="920" s="1" customFormat="1" ht="14.25" hidden="1" spans="16382:16384">
      <c r="XFB920" s="2"/>
      <c r="XFC920" s="2"/>
      <c r="XFD920" s="2"/>
    </row>
    <row r="921" s="1" customFormat="1" ht="14.25" hidden="1" spans="16382:16384">
      <c r="XFB921" s="2"/>
      <c r="XFC921" s="2"/>
      <c r="XFD921" s="2"/>
    </row>
    <row r="922" s="1" customFormat="1" ht="14.25" hidden="1" spans="16382:16384">
      <c r="XFB922" s="2"/>
      <c r="XFC922" s="2"/>
      <c r="XFD922" s="2"/>
    </row>
    <row r="923" s="1" customFormat="1" ht="14.25" hidden="1" spans="16382:16384">
      <c r="XFB923" s="2"/>
      <c r="XFC923" s="2"/>
      <c r="XFD923" s="2"/>
    </row>
    <row r="924" s="1" customFormat="1" ht="14.25" hidden="1" spans="16382:16384">
      <c r="XFB924" s="2"/>
      <c r="XFC924" s="2"/>
      <c r="XFD924" s="2"/>
    </row>
    <row r="925" s="1" customFormat="1" ht="14.25" hidden="1" spans="16382:16384">
      <c r="XFB925" s="2"/>
      <c r="XFC925" s="2"/>
      <c r="XFD925" s="2"/>
    </row>
    <row r="926" s="1" customFormat="1" ht="14.25" hidden="1" spans="16382:16384">
      <c r="XFB926" s="2"/>
      <c r="XFC926" s="2"/>
      <c r="XFD926" s="2"/>
    </row>
    <row r="927" s="1" customFormat="1" ht="14.25" hidden="1" spans="16382:16384">
      <c r="XFB927" s="2"/>
      <c r="XFC927" s="2"/>
      <c r="XFD927" s="2"/>
    </row>
    <row r="928" s="1" customFormat="1" ht="14.25" hidden="1" spans="16382:16384">
      <c r="XFB928" s="2"/>
      <c r="XFC928" s="2"/>
      <c r="XFD928" s="2"/>
    </row>
    <row r="929" s="1" customFormat="1" ht="14.25" hidden="1" spans="16382:16384">
      <c r="XFB929" s="2"/>
      <c r="XFC929" s="2"/>
      <c r="XFD929" s="2"/>
    </row>
    <row r="930" s="1" customFormat="1" ht="14.25" hidden="1" spans="16382:16384">
      <c r="XFB930" s="2"/>
      <c r="XFC930" s="2"/>
      <c r="XFD930" s="2"/>
    </row>
    <row r="931" s="1" customFormat="1" ht="14.25" hidden="1" spans="16382:16384">
      <c r="XFB931" s="2"/>
      <c r="XFC931" s="2"/>
      <c r="XFD931" s="2"/>
    </row>
    <row r="932" s="1" customFormat="1" ht="14.25" hidden="1" spans="16382:16384">
      <c r="XFB932" s="2"/>
      <c r="XFC932" s="2"/>
      <c r="XFD932" s="2"/>
    </row>
    <row r="933" s="1" customFormat="1" ht="14.25" hidden="1" spans="16382:16384">
      <c r="XFB933" s="2"/>
      <c r="XFC933" s="2"/>
      <c r="XFD933" s="2"/>
    </row>
    <row r="934" s="1" customFormat="1" ht="14.25" hidden="1" spans="16382:16384">
      <c r="XFB934" s="2"/>
      <c r="XFC934" s="2"/>
      <c r="XFD934" s="2"/>
    </row>
    <row r="935" s="1" customFormat="1" ht="14.25" hidden="1" spans="16382:16384">
      <c r="XFB935" s="2"/>
      <c r="XFC935" s="2"/>
      <c r="XFD935" s="2"/>
    </row>
    <row r="936" s="1" customFormat="1" ht="14.25" hidden="1" spans="16382:16384">
      <c r="XFB936" s="2"/>
      <c r="XFC936" s="2"/>
      <c r="XFD936" s="2"/>
    </row>
    <row r="937" s="1" customFormat="1" ht="14.25" hidden="1" spans="16382:16384">
      <c r="XFB937" s="2"/>
      <c r="XFC937" s="2"/>
      <c r="XFD937" s="2"/>
    </row>
    <row r="938" s="1" customFormat="1" ht="14.25" hidden="1" spans="16382:16384">
      <c r="XFB938" s="2"/>
      <c r="XFC938" s="2"/>
      <c r="XFD938" s="2"/>
    </row>
    <row r="939" s="1" customFormat="1" ht="14.25" hidden="1" spans="16382:16384">
      <c r="XFB939" s="2"/>
      <c r="XFC939" s="2"/>
      <c r="XFD939" s="2"/>
    </row>
    <row r="940" s="1" customFormat="1" ht="14.25" hidden="1" spans="16382:16384">
      <c r="XFB940" s="2"/>
      <c r="XFC940" s="2"/>
      <c r="XFD940" s="2"/>
    </row>
    <row r="941" s="1" customFormat="1" ht="14.25" hidden="1" spans="16382:16384">
      <c r="XFB941" s="2"/>
      <c r="XFC941" s="2"/>
      <c r="XFD941" s="2"/>
    </row>
    <row r="942" s="1" customFormat="1" ht="14.25" hidden="1" spans="16382:16384">
      <c r="XFB942" s="2"/>
      <c r="XFC942" s="2"/>
      <c r="XFD942" s="2"/>
    </row>
    <row r="943" s="1" customFormat="1" ht="14.25" hidden="1" spans="16382:16384">
      <c r="XFB943" s="2"/>
      <c r="XFC943" s="2"/>
      <c r="XFD943" s="2"/>
    </row>
    <row r="944" s="1" customFormat="1" ht="14.25" hidden="1" spans="16382:16384">
      <c r="XFB944" s="2"/>
      <c r="XFC944" s="2"/>
      <c r="XFD944" s="2"/>
    </row>
    <row r="945" s="1" customFormat="1" ht="14.25" hidden="1" spans="16382:16384">
      <c r="XFB945" s="2"/>
      <c r="XFC945" s="2"/>
      <c r="XFD945" s="2"/>
    </row>
    <row r="946" s="1" customFormat="1" ht="14.25" hidden="1" spans="16382:16384">
      <c r="XFB946" s="2"/>
      <c r="XFC946" s="2"/>
      <c r="XFD946" s="2"/>
    </row>
    <row r="947" s="1" customFormat="1" ht="14.25" hidden="1" spans="16382:16384">
      <c r="XFB947" s="2"/>
      <c r="XFC947" s="2"/>
      <c r="XFD947" s="2"/>
    </row>
    <row r="948" s="1" customFormat="1" ht="14.25" hidden="1" spans="16382:16384">
      <c r="XFB948" s="2"/>
      <c r="XFC948" s="2"/>
      <c r="XFD948" s="2"/>
    </row>
    <row r="949" s="1" customFormat="1" ht="14.25" hidden="1" spans="16382:16384">
      <c r="XFB949" s="2"/>
      <c r="XFC949" s="2"/>
      <c r="XFD949" s="2"/>
    </row>
    <row r="950" s="1" customFormat="1" ht="14.25" hidden="1" spans="16382:16384">
      <c r="XFB950" s="2"/>
      <c r="XFC950" s="2"/>
      <c r="XFD950" s="2"/>
    </row>
    <row r="951" s="1" customFormat="1" ht="14.25" hidden="1" spans="16382:16384">
      <c r="XFB951" s="2"/>
      <c r="XFC951" s="2"/>
      <c r="XFD951" s="2"/>
    </row>
    <row r="952" s="1" customFormat="1" ht="14.25" hidden="1" spans="16382:16384">
      <c r="XFB952" s="2"/>
      <c r="XFC952" s="2"/>
      <c r="XFD952" s="2"/>
    </row>
    <row r="953" s="1" customFormat="1" ht="14.25" hidden="1" spans="16382:16384">
      <c r="XFB953" s="2"/>
      <c r="XFC953" s="2"/>
      <c r="XFD953" s="2"/>
    </row>
    <row r="954" s="1" customFormat="1" ht="14.25" hidden="1" spans="16382:16384">
      <c r="XFB954" s="2"/>
      <c r="XFC954" s="2"/>
      <c r="XFD954" s="2"/>
    </row>
    <row r="955" s="1" customFormat="1" ht="14.25" hidden="1" spans="16382:16384">
      <c r="XFB955" s="2"/>
      <c r="XFC955" s="2"/>
      <c r="XFD955" s="2"/>
    </row>
    <row r="956" s="1" customFormat="1" ht="14.25" hidden="1" spans="16382:16384">
      <c r="XFB956" s="2"/>
      <c r="XFC956" s="2"/>
      <c r="XFD956" s="2"/>
    </row>
    <row r="957" s="1" customFormat="1" ht="14.25" hidden="1" spans="16382:16384">
      <c r="XFB957" s="2"/>
      <c r="XFC957" s="2"/>
      <c r="XFD957" s="2"/>
    </row>
    <row r="958" s="1" customFormat="1" ht="14.25" hidden="1" spans="16382:16384">
      <c r="XFB958" s="2"/>
      <c r="XFC958" s="2"/>
      <c r="XFD958" s="2"/>
    </row>
    <row r="959" s="1" customFormat="1" ht="14.25" hidden="1" spans="16382:16384">
      <c r="XFB959" s="2"/>
      <c r="XFC959" s="2"/>
      <c r="XFD959" s="2"/>
    </row>
    <row r="960" s="1" customFormat="1" ht="14.25" hidden="1" spans="16382:16384">
      <c r="XFB960" s="2"/>
      <c r="XFC960" s="2"/>
      <c r="XFD960" s="2"/>
    </row>
    <row r="961" s="1" customFormat="1" ht="14.25" hidden="1" spans="16382:16384">
      <c r="XFB961" s="2"/>
      <c r="XFC961" s="2"/>
      <c r="XFD961" s="2"/>
    </row>
    <row r="962" s="1" customFormat="1" ht="14.25" hidden="1" spans="16382:16384">
      <c r="XFB962" s="2"/>
      <c r="XFC962" s="2"/>
      <c r="XFD962" s="2"/>
    </row>
    <row r="963" s="1" customFormat="1" ht="14.25" hidden="1" spans="16382:16384">
      <c r="XFB963" s="2"/>
      <c r="XFC963" s="2"/>
      <c r="XFD963" s="2"/>
    </row>
    <row r="964" s="1" customFormat="1" ht="14.25" hidden="1" spans="16382:16384">
      <c r="XFB964" s="2"/>
      <c r="XFC964" s="2"/>
      <c r="XFD964" s="2"/>
    </row>
    <row r="965" s="1" customFormat="1" ht="14.25" hidden="1" spans="16382:16384">
      <c r="XFB965" s="2"/>
      <c r="XFC965" s="2"/>
      <c r="XFD965" s="2"/>
    </row>
    <row r="966" s="1" customFormat="1" ht="14.25" hidden="1" spans="16382:16384">
      <c r="XFB966" s="2"/>
      <c r="XFC966" s="2"/>
      <c r="XFD966" s="2"/>
    </row>
    <row r="967" s="1" customFormat="1" ht="14.25" hidden="1" spans="16382:16384">
      <c r="XFB967" s="2"/>
      <c r="XFC967" s="2"/>
      <c r="XFD967" s="2"/>
    </row>
    <row r="968" s="1" customFormat="1" ht="14.25" hidden="1" spans="16382:16384">
      <c r="XFB968" s="2"/>
      <c r="XFC968" s="2"/>
      <c r="XFD968" s="2"/>
    </row>
    <row r="969" s="1" customFormat="1" ht="14.25" hidden="1" spans="16382:16384">
      <c r="XFB969" s="2"/>
      <c r="XFC969" s="2"/>
      <c r="XFD969" s="2"/>
    </row>
    <row r="970" s="1" customFormat="1" ht="14.25" hidden="1" spans="16382:16384">
      <c r="XFB970" s="2"/>
      <c r="XFC970" s="2"/>
      <c r="XFD970" s="2"/>
    </row>
    <row r="971" s="1" customFormat="1" ht="14.25" hidden="1" spans="16382:16384">
      <c r="XFB971" s="2"/>
      <c r="XFC971" s="2"/>
      <c r="XFD971" s="2"/>
    </row>
    <row r="972" s="1" customFormat="1" ht="14.25" hidden="1" spans="16382:16384">
      <c r="XFB972" s="2"/>
      <c r="XFC972" s="2"/>
      <c r="XFD972" s="2"/>
    </row>
    <row r="973" s="1" customFormat="1" ht="14.25" hidden="1" spans="16382:16384">
      <c r="XFB973" s="2"/>
      <c r="XFC973" s="2"/>
      <c r="XFD973" s="2"/>
    </row>
    <row r="974" s="1" customFormat="1" ht="14.25" hidden="1" spans="16382:16384">
      <c r="XFB974" s="2"/>
      <c r="XFC974" s="2"/>
      <c r="XFD974" s="2"/>
    </row>
    <row r="975" s="1" customFormat="1" ht="14.25" hidden="1" spans="16382:16384">
      <c r="XFB975" s="2"/>
      <c r="XFC975" s="2"/>
      <c r="XFD975" s="2"/>
    </row>
    <row r="976" s="1" customFormat="1" ht="14.25" hidden="1" spans="16382:16384">
      <c r="XFB976" s="2"/>
      <c r="XFC976" s="2"/>
      <c r="XFD976" s="2"/>
    </row>
    <row r="977" s="1" customFormat="1" ht="14.25" hidden="1" spans="16382:16384">
      <c r="XFB977" s="2"/>
      <c r="XFC977" s="2"/>
      <c r="XFD977" s="2"/>
    </row>
    <row r="978" s="1" customFormat="1" ht="14.25" hidden="1" spans="16382:16384">
      <c r="XFB978" s="2"/>
      <c r="XFC978" s="2"/>
      <c r="XFD978" s="2"/>
    </row>
    <row r="979" s="1" customFormat="1" ht="14.25" hidden="1" spans="16382:16384">
      <c r="XFB979" s="2"/>
      <c r="XFC979" s="2"/>
      <c r="XFD979" s="2"/>
    </row>
    <row r="980" s="1" customFormat="1" ht="14.25" hidden="1" spans="16382:16384">
      <c r="XFB980" s="2"/>
      <c r="XFC980" s="2"/>
      <c r="XFD980" s="2"/>
    </row>
    <row r="981" s="1" customFormat="1" ht="14.25" hidden="1" spans="16382:16384">
      <c r="XFB981" s="2"/>
      <c r="XFC981" s="2"/>
      <c r="XFD981" s="2"/>
    </row>
    <row r="982" s="1" customFormat="1" ht="14.25" hidden="1" spans="16382:16384">
      <c r="XFB982" s="2"/>
      <c r="XFC982" s="2"/>
      <c r="XFD982" s="2"/>
    </row>
    <row r="983" s="1" customFormat="1" ht="14.25" hidden="1" spans="16382:16384">
      <c r="XFB983" s="2"/>
      <c r="XFC983" s="2"/>
      <c r="XFD983" s="2"/>
    </row>
    <row r="984" s="1" customFormat="1" ht="14.25" hidden="1" spans="16382:16384">
      <c r="XFB984" s="2"/>
      <c r="XFC984" s="2"/>
      <c r="XFD984" s="2"/>
    </row>
    <row r="985" s="1" customFormat="1" ht="14.25" hidden="1" spans="16382:16384">
      <c r="XFB985" s="2"/>
      <c r="XFC985" s="2"/>
      <c r="XFD985" s="2"/>
    </row>
    <row r="986" s="1" customFormat="1" ht="14.25" hidden="1" spans="16382:16384">
      <c r="XFB986" s="2"/>
      <c r="XFC986" s="2"/>
      <c r="XFD986" s="2"/>
    </row>
    <row r="987" s="1" customFormat="1" ht="14.25" hidden="1" spans="16382:16384">
      <c r="XFB987" s="2"/>
      <c r="XFC987" s="2"/>
      <c r="XFD987" s="2"/>
    </row>
    <row r="988" s="1" customFormat="1" ht="14.25" hidden="1" spans="16382:16384">
      <c r="XFB988" s="2"/>
      <c r="XFC988" s="2"/>
      <c r="XFD988" s="2"/>
    </row>
    <row r="989" s="1" customFormat="1" ht="14.25" hidden="1" spans="16382:16384">
      <c r="XFB989" s="2"/>
      <c r="XFC989" s="2"/>
      <c r="XFD989" s="2"/>
    </row>
    <row r="990" s="1" customFormat="1" ht="14.25" hidden="1" spans="16382:16384">
      <c r="XFB990" s="2"/>
      <c r="XFC990" s="2"/>
      <c r="XFD990" s="2"/>
    </row>
    <row r="991" s="1" customFormat="1" ht="14.25" hidden="1" spans="16382:16384">
      <c r="XFB991" s="2"/>
      <c r="XFC991" s="2"/>
      <c r="XFD991" s="2"/>
    </row>
    <row r="992" s="1" customFormat="1" ht="14.25" hidden="1" spans="16382:16384">
      <c r="XFB992" s="2"/>
      <c r="XFC992" s="2"/>
      <c r="XFD992" s="2"/>
    </row>
    <row r="993" s="1" customFormat="1" ht="14.25" hidden="1" spans="16382:16384">
      <c r="XFB993" s="2"/>
      <c r="XFC993" s="2"/>
      <c r="XFD993" s="2"/>
    </row>
    <row r="994" s="1" customFormat="1" ht="14.25" hidden="1" spans="16382:16384">
      <c r="XFB994" s="2"/>
      <c r="XFC994" s="2"/>
      <c r="XFD994" s="2"/>
    </row>
    <row r="995" s="1" customFormat="1" ht="14.25" hidden="1" spans="16382:16384">
      <c r="XFB995" s="2"/>
      <c r="XFC995" s="2"/>
      <c r="XFD995" s="2"/>
    </row>
    <row r="996" s="1" customFormat="1" ht="14.25" hidden="1" spans="16382:16384">
      <c r="XFB996" s="2"/>
      <c r="XFC996" s="2"/>
      <c r="XFD996" s="2"/>
    </row>
    <row r="997" s="1" customFormat="1" ht="14.25" hidden="1" spans="16382:16384">
      <c r="XFB997" s="2"/>
      <c r="XFC997" s="2"/>
      <c r="XFD997" s="2"/>
    </row>
    <row r="998" s="1" customFormat="1" ht="14.25" hidden="1" spans="16382:16384">
      <c r="XFB998" s="2"/>
      <c r="XFC998" s="2"/>
      <c r="XFD998" s="2"/>
    </row>
    <row r="999" s="1" customFormat="1" ht="14.25" hidden="1" spans="16382:16384">
      <c r="XFB999" s="2"/>
      <c r="XFC999" s="2"/>
      <c r="XFD999" s="2"/>
    </row>
    <row r="1000" s="1" customFormat="1" ht="14.25" hidden="1" spans="16382:16384">
      <c r="XFB1000" s="2"/>
      <c r="XFC1000" s="2"/>
      <c r="XFD1000" s="2"/>
    </row>
    <row r="1001" s="1" customFormat="1" ht="14.25" hidden="1" spans="16382:16384">
      <c r="XFB1001" s="2"/>
      <c r="XFC1001" s="2"/>
      <c r="XFD1001" s="2"/>
    </row>
    <row r="1002" s="1" customFormat="1" ht="14.25" hidden="1" spans="16382:16384">
      <c r="XFB1002" s="2"/>
      <c r="XFC1002" s="2"/>
      <c r="XFD1002" s="2"/>
    </row>
    <row r="1003" s="1" customFormat="1" ht="14.25" hidden="1" spans="16382:16384">
      <c r="XFB1003" s="2"/>
      <c r="XFC1003" s="2"/>
      <c r="XFD1003" s="2"/>
    </row>
    <row r="1004" s="1" customFormat="1" ht="14.25" hidden="1" spans="16382:16384">
      <c r="XFB1004" s="2"/>
      <c r="XFC1004" s="2"/>
      <c r="XFD1004" s="2"/>
    </row>
    <row r="1005" s="1" customFormat="1" ht="14.25" hidden="1" spans="16382:16384">
      <c r="XFB1005" s="2"/>
      <c r="XFC1005" s="2"/>
      <c r="XFD1005" s="2"/>
    </row>
    <row r="1006" s="1" customFormat="1" ht="14.25" hidden="1" spans="16382:16384">
      <c r="XFB1006" s="2"/>
      <c r="XFC1006" s="2"/>
      <c r="XFD1006" s="2"/>
    </row>
    <row r="1007" s="1" customFormat="1" ht="14.25" hidden="1" spans="16382:16384">
      <c r="XFB1007" s="2"/>
      <c r="XFC1007" s="2"/>
      <c r="XFD1007" s="2"/>
    </row>
    <row r="1008" s="1" customFormat="1" ht="14.25" hidden="1" spans="16382:16384">
      <c r="XFB1008" s="2"/>
      <c r="XFC1008" s="2"/>
      <c r="XFD1008" s="2"/>
    </row>
    <row r="1009" s="1" customFormat="1" ht="14.25" hidden="1" spans="16382:16384">
      <c r="XFB1009" s="2"/>
      <c r="XFC1009" s="2"/>
      <c r="XFD1009" s="2"/>
    </row>
    <row r="1010" s="1" customFormat="1" ht="14.25" hidden="1" spans="16382:16384">
      <c r="XFB1010" s="2"/>
      <c r="XFC1010" s="2"/>
      <c r="XFD1010" s="2"/>
    </row>
    <row r="1011" s="1" customFormat="1" ht="14.25" hidden="1" spans="16382:16384">
      <c r="XFB1011" s="2"/>
      <c r="XFC1011" s="2"/>
      <c r="XFD1011" s="2"/>
    </row>
    <row r="1012" s="1" customFormat="1" ht="14.25" hidden="1" spans="16382:16384">
      <c r="XFB1012" s="2"/>
      <c r="XFC1012" s="2"/>
      <c r="XFD1012" s="2"/>
    </row>
    <row r="1013" s="1" customFormat="1" ht="14.25" hidden="1" spans="16382:16384">
      <c r="XFB1013" s="2"/>
      <c r="XFC1013" s="2"/>
      <c r="XFD1013" s="2"/>
    </row>
    <row r="1014" s="1" customFormat="1" ht="14.25" hidden="1" spans="16382:16384">
      <c r="XFB1014" s="2"/>
      <c r="XFC1014" s="2"/>
      <c r="XFD1014" s="2"/>
    </row>
    <row r="1015" s="1" customFormat="1" ht="14.25" hidden="1" spans="16382:16384">
      <c r="XFB1015" s="2"/>
      <c r="XFC1015" s="2"/>
      <c r="XFD1015" s="2"/>
    </row>
    <row r="1016" s="1" customFormat="1" ht="14.25" hidden="1" spans="16382:16384">
      <c r="XFB1016" s="2"/>
      <c r="XFC1016" s="2"/>
      <c r="XFD1016" s="2"/>
    </row>
    <row r="1017" s="1" customFormat="1" ht="14.25" hidden="1" spans="16382:16384">
      <c r="XFB1017" s="2"/>
      <c r="XFC1017" s="2"/>
      <c r="XFD1017" s="2"/>
    </row>
    <row r="1018" s="1" customFormat="1" ht="14.25" hidden="1" spans="16382:16384">
      <c r="XFB1018" s="2"/>
      <c r="XFC1018" s="2"/>
      <c r="XFD1018" s="2"/>
    </row>
    <row r="1019" s="1" customFormat="1" ht="14.25" hidden="1" spans="16382:16384">
      <c r="XFB1019" s="2"/>
      <c r="XFC1019" s="2"/>
      <c r="XFD1019" s="2"/>
    </row>
    <row r="1020" s="1" customFormat="1" ht="14.25" hidden="1" spans="16382:16384">
      <c r="XFB1020" s="2"/>
      <c r="XFC1020" s="2"/>
      <c r="XFD1020" s="2"/>
    </row>
    <row r="1021" s="1" customFormat="1" ht="14.25" hidden="1" spans="16382:16384">
      <c r="XFB1021" s="2"/>
      <c r="XFC1021" s="2"/>
      <c r="XFD1021" s="2"/>
    </row>
    <row r="1022" s="1" customFormat="1" ht="14.25" hidden="1" spans="16382:16384">
      <c r="XFB1022" s="2"/>
      <c r="XFC1022" s="2"/>
      <c r="XFD1022" s="2"/>
    </row>
    <row r="1023" s="1" customFormat="1" ht="14.25" hidden="1" spans="16382:16384">
      <c r="XFB1023" s="2"/>
      <c r="XFC1023" s="2"/>
      <c r="XFD1023" s="2"/>
    </row>
    <row r="1024" s="1" customFormat="1" ht="14.25" hidden="1" spans="16382:16384">
      <c r="XFB1024" s="2"/>
      <c r="XFC1024" s="2"/>
      <c r="XFD1024" s="2"/>
    </row>
  </sheetData>
  <conditionalFormatting sqref="B8:B22">
    <cfRule type="top10" dxfId="8" priority="17" percent="1" rank="10"/>
  </conditionalFormatting>
  <conditionalFormatting sqref="B8:B23">
    <cfRule type="top10" dxfId="7" priority="8" percent="1" bottom="1" rank="10"/>
  </conditionalFormatting>
  <conditionalFormatting sqref="C8:C22">
    <cfRule type="top10" dxfId="8" priority="16" percent="1" rank="10"/>
  </conditionalFormatting>
  <conditionalFormatting sqref="C8:C23">
    <cfRule type="top10" dxfId="7" priority="7" percent="1" bottom="1" rank="10"/>
  </conditionalFormatting>
  <conditionalFormatting sqref="D8:D22">
    <cfRule type="top10" dxfId="8" priority="15" percent="1" rank="10"/>
  </conditionalFormatting>
  <conditionalFormatting sqref="D8:D23">
    <cfRule type="top10" dxfId="7" priority="6" percent="1" bottom="1" rank="10"/>
  </conditionalFormatting>
  <conditionalFormatting sqref="E8:E22">
    <cfRule type="top10" dxfId="8" priority="14" percent="1" rank="10"/>
    <cfRule type="top10" dxfId="8" priority="9" percent="1" rank="10"/>
  </conditionalFormatting>
  <conditionalFormatting sqref="E8:E23">
    <cfRule type="top10" dxfId="7" priority="5" percent="1" bottom="1" rank="10"/>
  </conditionalFormatting>
  <conditionalFormatting sqref="F8:F22">
    <cfRule type="top10" dxfId="8" priority="13" percent="1" rank="10"/>
  </conditionalFormatting>
  <conditionalFormatting sqref="F8:F23">
    <cfRule type="top10" dxfId="7" priority="4" percent="1" bottom="1" rank="10"/>
  </conditionalFormatting>
  <conditionalFormatting sqref="G8:G22">
    <cfRule type="top10" dxfId="8" priority="12" percent="1" rank="10"/>
  </conditionalFormatting>
  <conditionalFormatting sqref="G8:G23">
    <cfRule type="top10" dxfId="7" priority="3" percent="1" bottom="1" rank="10"/>
  </conditionalFormatting>
  <conditionalFormatting sqref="H8:H22">
    <cfRule type="top10" dxfId="8" priority="11" percent="1" rank="10"/>
  </conditionalFormatting>
  <conditionalFormatting sqref="H8:H23">
    <cfRule type="top10" dxfId="7" priority="2" percent="1" bottom="1" rank="10"/>
  </conditionalFormatting>
  <conditionalFormatting sqref="I8:I22">
    <cfRule type="top10" dxfId="8" priority="10" percent="1" rank="10"/>
  </conditionalFormatting>
  <conditionalFormatting sqref="I8:I23">
    <cfRule type="top10" dxfId="7" priority="1" percent="1" bottom="1" rank="10"/>
  </conditionalFormatting>
  <pageMargins left="0.75" right="0.75" top="1" bottom="1" header="0.5" footer="0.5"/>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8">
    <comment s:ref="B2" rgbClr="EAC430"/>
    <comment s:ref="K4" rgbClr="EAC430"/>
    <comment s:ref="C7" rgbClr="EAC430"/>
    <comment s:ref="D7" rgbClr="EAC430"/>
    <comment s:ref="H7" rgbClr="EAC430"/>
    <comment s:ref="F8" rgbClr="EAC430"/>
    <comment s:ref="G8" rgbClr="EAC430"/>
    <comment s:ref="F9" rgbClr="EAC430"/>
    <comment s:ref="G9" rgbClr="EAC430"/>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9月直播平台数据(视频号）</vt:lpstr>
      <vt:lpstr>视频号数据源</vt:lpstr>
      <vt:lpstr>9月直播商品数据（视频号）</vt:lpstr>
      <vt:lpstr>视频号商品数据源</vt:lpstr>
      <vt:lpstr>9月直播用户数据（有赞）</vt:lpstr>
      <vt:lpstr>有赞透视</vt:lpstr>
      <vt:lpstr>有赞数据源</vt:lpstr>
      <vt:lpstr>8月直播用户数据（有赞）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dc:creator>
  <cp:lastModifiedBy>Administrator</cp:lastModifiedBy>
  <dcterms:created xsi:type="dcterms:W3CDTF">2022-09-05T00:23:00Z</dcterms:created>
  <dcterms:modified xsi:type="dcterms:W3CDTF">2022-09-29T06:50:13Z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2052-11.1.0.12313</vt:lpwstr>
  </property>
  <property fmtid="{D5CDD505-2E9C-101B-9397-08002B2CF9AE}" pid="3" name="ICV">
    <vt:lpwstr>89C380FE90E2455D8070FFF384F5F5D9</vt:lpwstr>
  </property>
</Properties>
</file>