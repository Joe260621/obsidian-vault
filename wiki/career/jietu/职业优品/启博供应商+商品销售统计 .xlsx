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325" tabRatio="949" firstSheet="1" activeTab="2"/>
  </bookViews>
  <sheets>
    <sheet name="启博+有赞供应商销售汇总表（2208）" sheetId="9" r:id="rId1"/>
    <sheet name="供应商销售统计-启博（2208 ）" sheetId="7" r:id="rId2"/>
    <sheet name="供应商销售统计-有赞（2208）" sheetId="10" r:id="rId3"/>
    <sheet name="启博+有赞商品销售统计（2208）" sheetId="8" r:id="rId4"/>
    <sheet name="秋冬款服饰规划草纲" sheetId="14" r:id="rId5"/>
    <sheet name="供应商名称整理" sheetId="6" r:id="rId6"/>
  </sheets>
  <definedNames>
    <definedName name="_xlnm._FilterDatabase" localSheetId="0" hidden="1">'启博+有赞供应商销售汇总表（2208）'!$N$5:$T$129</definedName>
    <definedName name="_xlnm._FilterDatabase" localSheetId="1" hidden="1">'供应商销售统计-启博（2208 ）'!$A$5:$F$53</definedName>
    <definedName name="_xlnm._FilterDatabase" localSheetId="2" hidden="1">'供应商销售统计-有赞（2208）'!$A$5:$H$83</definedName>
    <definedName name="_xlnm._FilterDatabase" localSheetId="5" hidden="1">供应商名称整理!$J$1:$K$119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剔除退货退款、交易关闭订单
</t>
        </r>
      </text>
    </comment>
    <comment ref="O5" authorId="0">
      <text>
        <r>
          <rPr>
            <sz val="9"/>
            <rFont val="宋体"/>
            <charset val="134"/>
          </rPr>
          <t xml:space="preserve">统计时间内销量最好的类目
</t>
        </r>
      </text>
    </comment>
    <comment ref="P5" authorId="0">
      <text>
        <r>
          <rPr>
            <sz val="9"/>
            <rFont val="宋体"/>
            <charset val="134"/>
          </rPr>
          <t xml:space="preserve">剔除订单关闭和退货中状态订单
</t>
        </r>
      </text>
    </comment>
    <comment ref="N6" authorId="0">
      <text>
        <r>
          <rPr>
            <sz val="9"/>
            <rFont val="宋体"/>
            <charset val="134"/>
          </rPr>
          <t xml:space="preserve">标绿为启博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5" authorId="0">
      <text>
        <r>
          <rPr>
            <sz val="9"/>
            <rFont val="宋体"/>
            <charset val="134"/>
          </rPr>
          <t xml:space="preserve">剔除订单关闭和退货中状态订单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5" authorId="0">
      <text>
        <r>
          <rPr>
            <sz val="9"/>
            <rFont val="宋体"/>
            <charset val="134"/>
          </rPr>
          <t xml:space="preserve">统计时间内销量最好的类目
</t>
        </r>
      </text>
    </comment>
    <comment ref="D5" authorId="0">
      <text>
        <r>
          <rPr>
            <sz val="9"/>
            <rFont val="宋体"/>
            <charset val="134"/>
          </rPr>
          <t xml:space="preserve">剔除交易关闭订单
</t>
        </r>
      </text>
    </comment>
  </commentList>
</comments>
</file>

<file path=xl/sharedStrings.xml><?xml version="1.0" encoding="utf-8"?>
<sst xmlns="http://schemas.openxmlformats.org/spreadsheetml/2006/main" count="1961" uniqueCount="760">
  <si>
    <t>8月份（启博+有赞供应商销售统计）</t>
  </si>
  <si>
    <t>下单供应商数量</t>
  </si>
  <si>
    <t>商品下单总金额</t>
  </si>
  <si>
    <t>支付订单数</t>
  </si>
  <si>
    <t>退货订单数</t>
  </si>
  <si>
    <t>退款订单占比</t>
  </si>
  <si>
    <t>供应商</t>
  </si>
  <si>
    <t>主营/主销类目</t>
  </si>
  <si>
    <t>订单实付金额</t>
  </si>
  <si>
    <t>实付金额占比</t>
  </si>
  <si>
    <t>退货订单占比</t>
  </si>
  <si>
    <t>备注</t>
  </si>
  <si>
    <t>主营品类</t>
  </si>
  <si>
    <t>主营类目</t>
  </si>
  <si>
    <t>订单金额占比</t>
  </si>
  <si>
    <t>订单退货率</t>
  </si>
  <si>
    <t>兰即服饰</t>
  </si>
  <si>
    <t>职业女士套装/连衣裙</t>
  </si>
  <si>
    <t>厂多，质量参差不齐</t>
  </si>
  <si>
    <t>红月奴</t>
  </si>
  <si>
    <t>西服/小西装</t>
  </si>
  <si>
    <t>免看样</t>
  </si>
  <si>
    <t>职业套装/衬衫</t>
  </si>
  <si>
    <t>尚美婷</t>
  </si>
  <si>
    <t>内裤</t>
  </si>
  <si>
    <t>意梵希</t>
  </si>
  <si>
    <t>女士包袋</t>
  </si>
  <si>
    <t>茵媛服饰</t>
  </si>
  <si>
    <t>西裤</t>
  </si>
  <si>
    <t>求和项:订单实付金额</t>
  </si>
  <si>
    <t>求和项:支付订单数</t>
  </si>
  <si>
    <t>求和项:退货订单数</t>
  </si>
  <si>
    <t>屏西</t>
  </si>
  <si>
    <t>连衣裙</t>
  </si>
  <si>
    <t>欧米诗</t>
  </si>
  <si>
    <t>皮鞋</t>
  </si>
  <si>
    <t>纤姿态</t>
  </si>
  <si>
    <t>女鞋</t>
  </si>
  <si>
    <t>职业女士套装</t>
  </si>
  <si>
    <t>乔黛姿</t>
  </si>
  <si>
    <t>其他靴子</t>
  </si>
  <si>
    <t>女子丫</t>
  </si>
  <si>
    <t>套装</t>
  </si>
  <si>
    <t>萨迪</t>
  </si>
  <si>
    <t>西服/衬衫</t>
  </si>
  <si>
    <t>和顺圣</t>
  </si>
  <si>
    <t>荣发</t>
  </si>
  <si>
    <t>打底</t>
  </si>
  <si>
    <t>西裙</t>
  </si>
  <si>
    <t>岱妮妃</t>
  </si>
  <si>
    <t>文胸</t>
  </si>
  <si>
    <t>三十秋</t>
  </si>
  <si>
    <t>男士西裤</t>
  </si>
  <si>
    <t>源德羊绒</t>
  </si>
  <si>
    <t>衬衫打底针织</t>
  </si>
  <si>
    <t>玉娟红服饰</t>
  </si>
  <si>
    <t>以莫</t>
  </si>
  <si>
    <t>男士衬衫</t>
  </si>
  <si>
    <t>茗樱</t>
  </si>
  <si>
    <t>衬衫</t>
  </si>
  <si>
    <t>晨欣晨逸</t>
  </si>
  <si>
    <t>西裙/休闲裤/其他</t>
  </si>
  <si>
    <t>梯子云</t>
  </si>
  <si>
    <t>雅兰</t>
  </si>
  <si>
    <t>丽雅行</t>
  </si>
  <si>
    <t>金利福JLF</t>
  </si>
  <si>
    <t>男鞋</t>
  </si>
  <si>
    <t>半身裙</t>
  </si>
  <si>
    <t>佰秀</t>
  </si>
  <si>
    <t>金贝贝</t>
  </si>
  <si>
    <t>女士包包</t>
  </si>
  <si>
    <t>曼妮卡</t>
  </si>
  <si>
    <t>吊带</t>
  </si>
  <si>
    <t>维特丝</t>
  </si>
  <si>
    <t>洗发水</t>
  </si>
  <si>
    <t>泽布</t>
  </si>
  <si>
    <t>西装裤/正装裤</t>
  </si>
  <si>
    <t>欧佩</t>
  </si>
  <si>
    <t>面部护理套装</t>
  </si>
  <si>
    <t>嘉恒</t>
  </si>
  <si>
    <t>戴拉</t>
  </si>
  <si>
    <t>耳饰</t>
  </si>
  <si>
    <t>蒂铭</t>
  </si>
  <si>
    <t>休闲裤</t>
  </si>
  <si>
    <t>伊凯妃</t>
  </si>
  <si>
    <t>内衣内裤</t>
  </si>
  <si>
    <t>鑫佳煌女鞋</t>
  </si>
  <si>
    <t>君豪</t>
  </si>
  <si>
    <t>其他</t>
  </si>
  <si>
    <t>姿瑟</t>
  </si>
  <si>
    <t>华芝琳</t>
  </si>
  <si>
    <t>爱秀针织AX</t>
  </si>
  <si>
    <t>内衣</t>
  </si>
  <si>
    <t>蓝梦琳</t>
  </si>
  <si>
    <t>万颐</t>
  </si>
  <si>
    <t>东苗皮具DM</t>
  </si>
  <si>
    <t>男士腰带</t>
  </si>
  <si>
    <t>汐灿</t>
  </si>
  <si>
    <t>针织</t>
  </si>
  <si>
    <t>丹曼儿</t>
  </si>
  <si>
    <t>瑜伽内衣</t>
  </si>
  <si>
    <t>虹迪</t>
  </si>
  <si>
    <t>T恤</t>
  </si>
  <si>
    <t>熊刚</t>
  </si>
  <si>
    <t>配饰</t>
  </si>
  <si>
    <t>美臣</t>
  </si>
  <si>
    <t>恒饶饰品</t>
  </si>
  <si>
    <t>洗护专区</t>
  </si>
  <si>
    <t>蚕蝶</t>
  </si>
  <si>
    <t>遮阳帽/沙滩帽</t>
  </si>
  <si>
    <t>宣菲</t>
  </si>
  <si>
    <t>韵之源</t>
  </si>
  <si>
    <t>百迈</t>
  </si>
  <si>
    <t>鑫亿晨旭</t>
  </si>
  <si>
    <t>亿尔路</t>
  </si>
  <si>
    <t>内衣内裤专区</t>
  </si>
  <si>
    <t>追色</t>
  </si>
  <si>
    <t>防晒霜</t>
  </si>
  <si>
    <t>宝狄妍</t>
  </si>
  <si>
    <t>护肤专区</t>
  </si>
  <si>
    <t>绍兴谦寻</t>
  </si>
  <si>
    <t>吊带/背心</t>
  </si>
  <si>
    <t>永丰</t>
  </si>
  <si>
    <t>袁发纺织</t>
  </si>
  <si>
    <t>短袜子</t>
  </si>
  <si>
    <t>子晞</t>
  </si>
  <si>
    <t>福衣特</t>
  </si>
  <si>
    <t>瑜伽长裤</t>
  </si>
  <si>
    <t>乾英智</t>
  </si>
  <si>
    <t>防晒喷雾</t>
  </si>
  <si>
    <t>睡衣/家居服套装</t>
  </si>
  <si>
    <t>乐米</t>
  </si>
  <si>
    <t>颈饰</t>
  </si>
  <si>
    <t>昕潮</t>
  </si>
  <si>
    <t>蕾丝衫/雪纺衫</t>
  </si>
  <si>
    <t>水鸭仔</t>
  </si>
  <si>
    <t>菜菜家</t>
  </si>
  <si>
    <t>洗护套装</t>
  </si>
  <si>
    <t>围巾/丝巾/披肩</t>
  </si>
  <si>
    <t>佳源</t>
  </si>
  <si>
    <t>颠旭</t>
  </si>
  <si>
    <t>腰带/皮带/腰链</t>
  </si>
  <si>
    <t>雅氏</t>
  </si>
  <si>
    <t>止汗露</t>
  </si>
  <si>
    <t>太阳镜</t>
  </si>
  <si>
    <t>太阳眼镜</t>
  </si>
  <si>
    <t>圣绒</t>
  </si>
  <si>
    <t>针织衫/毛衣</t>
  </si>
  <si>
    <t>WTS维特丝</t>
  </si>
  <si>
    <t>御胜</t>
  </si>
  <si>
    <t>驱蚊喷雾/走珠</t>
  </si>
  <si>
    <t>名颜</t>
  </si>
  <si>
    <t>常规洗衣液</t>
  </si>
  <si>
    <t>围艺</t>
  </si>
  <si>
    <t>右后</t>
  </si>
  <si>
    <t>耳钉</t>
  </si>
  <si>
    <t>欧博</t>
  </si>
  <si>
    <t>洁面</t>
  </si>
  <si>
    <t>果果</t>
  </si>
  <si>
    <t>总计</t>
  </si>
  <si>
    <t>速干裤</t>
  </si>
  <si>
    <t>FYT</t>
  </si>
  <si>
    <t>胸针</t>
  </si>
  <si>
    <t>TWS</t>
  </si>
  <si>
    <t>RB</t>
  </si>
  <si>
    <t>OB</t>
  </si>
  <si>
    <t>(启博）</t>
  </si>
  <si>
    <t>外套</t>
  </si>
  <si>
    <t>2208（有赞）</t>
  </si>
  <si>
    <t>供应商代码</t>
  </si>
  <si>
    <t>主销类目</t>
  </si>
  <si>
    <t>RG</t>
  </si>
  <si>
    <t>SMT</t>
  </si>
  <si>
    <t>PX</t>
  </si>
  <si>
    <t>DNF</t>
  </si>
  <si>
    <t>YD</t>
  </si>
  <si>
    <t>源德</t>
  </si>
  <si>
    <t>QZT</t>
  </si>
  <si>
    <t>NZY</t>
  </si>
  <si>
    <t>HYN</t>
  </si>
  <si>
    <t>CY</t>
  </si>
  <si>
    <t>晨逸</t>
  </si>
  <si>
    <t>RF</t>
  </si>
  <si>
    <t>WTS</t>
  </si>
  <si>
    <t>BYHZP</t>
  </si>
  <si>
    <t>YY</t>
  </si>
  <si>
    <t>茵媛</t>
  </si>
  <si>
    <t>DL</t>
  </si>
  <si>
    <t>YKF</t>
  </si>
  <si>
    <t>MNK</t>
  </si>
  <si>
    <t>LML</t>
  </si>
  <si>
    <t>HSS</t>
  </si>
  <si>
    <t>YJH</t>
  </si>
  <si>
    <t>玉娟红</t>
  </si>
  <si>
    <t>JBB</t>
  </si>
  <si>
    <t>TZY</t>
  </si>
  <si>
    <t>DME</t>
  </si>
  <si>
    <t>JHFS</t>
  </si>
  <si>
    <t>MY</t>
  </si>
  <si>
    <t>CD</t>
  </si>
  <si>
    <t>YM</t>
  </si>
  <si>
    <t>DM</t>
  </si>
  <si>
    <t>YL</t>
  </si>
  <si>
    <t>XJH</t>
  </si>
  <si>
    <t>鑫佳煌</t>
  </si>
  <si>
    <t>WY</t>
  </si>
  <si>
    <t>DM裤</t>
  </si>
  <si>
    <t>DM腰</t>
  </si>
  <si>
    <t>东苗</t>
  </si>
  <si>
    <t>LYH</t>
  </si>
  <si>
    <t>ZSHZP</t>
  </si>
  <si>
    <t>SX</t>
  </si>
  <si>
    <t>BX</t>
  </si>
  <si>
    <t>ZX</t>
  </si>
  <si>
    <t>ZS</t>
  </si>
  <si>
    <t>QYZ</t>
  </si>
  <si>
    <t>YZY</t>
  </si>
  <si>
    <t>XC</t>
  </si>
  <si>
    <t>LM</t>
  </si>
  <si>
    <t>BM</t>
  </si>
  <si>
    <t>ZB</t>
  </si>
  <si>
    <t>XYCX</t>
  </si>
  <si>
    <t>AX袜</t>
  </si>
  <si>
    <t>爱秀</t>
  </si>
  <si>
    <t>丝袜</t>
  </si>
  <si>
    <t>SYZ</t>
  </si>
  <si>
    <t>CCJ</t>
  </si>
  <si>
    <t>SSQ</t>
  </si>
  <si>
    <t>JH</t>
  </si>
  <si>
    <t>DX</t>
  </si>
  <si>
    <t>YS</t>
  </si>
  <si>
    <t>QDZ</t>
  </si>
  <si>
    <t>WD</t>
  </si>
  <si>
    <t>HD</t>
  </si>
  <si>
    <t>JLF</t>
  </si>
  <si>
    <t>金利福</t>
  </si>
  <si>
    <t>JY</t>
  </si>
  <si>
    <t>OMS</t>
  </si>
  <si>
    <t>XG</t>
  </si>
  <si>
    <t>WY丝巾</t>
  </si>
  <si>
    <t>HR</t>
  </si>
  <si>
    <t>恒饶</t>
  </si>
  <si>
    <t>GG</t>
  </si>
  <si>
    <t>2207-2208</t>
  </si>
  <si>
    <t>启博平台</t>
  </si>
  <si>
    <t>有赞平台</t>
  </si>
  <si>
    <t>启博前10类目明细</t>
  </si>
  <si>
    <t>排名</t>
  </si>
  <si>
    <t>商品类目</t>
  </si>
  <si>
    <t>启博商品实际成交金额</t>
  </si>
  <si>
    <t>金额占比</t>
  </si>
  <si>
    <t>有赞商品实际成交金额</t>
  </si>
  <si>
    <t>成交金额</t>
  </si>
  <si>
    <t>【垂顺感斜缎 不易皱 2种风格7码】高档洋气小衫短袖气质职业衬衫11兰即服饰6988+6990</t>
  </si>
  <si>
    <t>优雅时尚名媛五分袖西服 弹力薄款遮内显瘦连衣裙套21兰即服饰6908</t>
  </si>
  <si>
    <t>超高回购微喇裤 3种风格7码  职业弹力西裤YY-F9885四面弹哥弟纹</t>
  </si>
  <si>
    <t>新款职业装女纯色连衣裙春夏小个子YL-211</t>
  </si>
  <si>
    <t>两穿踩跟细跟尖头高跟鞋女 款四季单鞋纤姿态-198</t>
  </si>
  <si>
    <t>气质职业洋气包臀西装一步裙子11兰即服饰1096</t>
  </si>
  <si>
    <t>百搭短款小个子西服 2色 中袖/长袖YJH-EL82</t>
  </si>
  <si>
    <t>基础爆款镇店之宝大码商务纯色修身短袖/长袖男士衬衫YM-男士衬衫</t>
  </si>
  <si>
    <t>冰爽懒人休闲大码家居服睡衣套装（90-150斤）ZB52102#</t>
  </si>
  <si>
    <t>真皮波士顿大容量女士包百搭手提单肩斜挎包MNK-Z54</t>
  </si>
  <si>
    <t>丝滑质感 垂感抗皱 通勤小众气质衬衫05兰即服饰665</t>
  </si>
  <si>
    <t>女神范条纹西装气质女神范上班正装西服11兰即服饰9958</t>
  </si>
  <si>
    <t>冰丝六七分裙裤女 阔腿裤薄款裤裙和顺圣-2373-6</t>
  </si>
  <si>
    <t>包头凉鞋女粗跟珍珠中跟温柔玛丽珍单鞋纤姿态211-19</t>
  </si>
  <si>
    <t>高腰显瘦a字伞裙优雅气质通勤中长款半身裙PX-W26Q50914</t>
  </si>
  <si>
    <t>天丝薄款西装外套女夏季感时尚休闲七分袖衫雪纺西服30兰即服饰2206</t>
  </si>
  <si>
    <t>莫代尔棉 平纹面料 透气舒适 干练稳重 职场精英男女同款衬衫49兰即服饰8808+8818</t>
  </si>
  <si>
    <t>外穿美背V领打底衫荣发7793</t>
  </si>
  <si>
    <t>时尚手提包潮流简约单肩斜跨包大容量三件套女托特包JBB-21526</t>
  </si>
  <si>
    <t>西裤（裤子）</t>
  </si>
  <si>
    <t>高端系列  长袖气质刺绣衬衣 典雅大方HYN2040</t>
  </si>
  <si>
    <t>夏装休闲减龄炸街洋气小西装两件套NZY-KL932</t>
  </si>
  <si>
    <t>冰丝显瘦高腰女小个子垂感直筒阔腿裤YY-Z963</t>
  </si>
  <si>
    <t>醋酸缎高级感假两件显瘦遮肚连衣裙 抗皱免烫中袖/短袖包臀裙28兰即服饰620</t>
  </si>
  <si>
    <t>粗跟方头皮鞋女士高跟鞋百搭软底舒适工作鞋纤姿态-159-1</t>
  </si>
  <si>
    <t>宽松雪纺不规则裙子 带内衬 不走光 舒适面料 鱼尾裙女中裙TZY-A2106</t>
  </si>
  <si>
    <t>白色雪纺休闲西装外套薄款小个子短款小西服套装红月奴1642</t>
  </si>
  <si>
    <t>冰丝短袖衬衫男士无痕免烫高弹商务修身衬衣SSQ-CQ889</t>
  </si>
  <si>
    <t>垂感打底吊带 肩带可调节  女细肩带修身内搭荣发1889</t>
  </si>
  <si>
    <t>子母包大气三件套单肩斜跨手提女包金贝贝-A2003</t>
  </si>
  <si>
    <t>简约时尚西装外套女新款休闲通勤气质韩版职业装10兰即服饰22920</t>
  </si>
  <si>
    <t>高端男士商务西裤弹力免烫休闲裤男长裤SSQ-VK119</t>
  </si>
  <si>
    <t>新款时尚修身显瘦高端西装套裙06兰即服饰8902</t>
  </si>
  <si>
    <t>超舒适 全牛皮粗跟单鞋 方头真皮女鞋百搭纤姿态-H228真皮</t>
  </si>
  <si>
    <t>【弹力高腰包臀裙 好版型 做工好  多色可选 M-3XL】单排扣侧开叉短裙子TZY-A2141</t>
  </si>
  <si>
    <t>2022夏季新款名媛范气质休闲薄款西服女上衣30兰即服饰2216</t>
  </si>
  <si>
    <t>无痕压胶男士商务竹纤维休闲衬衣YM-589-1</t>
  </si>
  <si>
    <t>【V领/圆领打底背心  85-155斤】百搭时尚气质内搭上衣小衫荣发2281+2282</t>
  </si>
  <si>
    <t>豆腐包女时尚经典box包复古小方包单肩斜跨ZS1001</t>
  </si>
  <si>
    <t>减龄时尚洋气两件套小个子中袖西服62兰即服饰8617B</t>
  </si>
  <si>
    <t>哈伦裤女宽松休闲裤萝卜女裤九分西装裤子YY K8121</t>
  </si>
  <si>
    <t>西装领职业连衣裙 收腰修身A字连衣裙YL-2116</t>
  </si>
  <si>
    <t>仙女风夏季粗跟中跟配裙子低跟一字带凉鞋纤姿态-66</t>
  </si>
  <si>
    <t>高腰碎花雪纺鱼尾半身裙 女不规则荷叶边中长裙CY-SY-2156</t>
  </si>
  <si>
    <t>时尚简约百搭收腰小西服碎花吊带裙NZY-BY6319</t>
  </si>
  <si>
    <t>保罗衫翻领短袖T恤英伦风刺绣SSQ-DDH2003</t>
  </si>
  <si>
    <t>打底背心女气质修身职业正装内搭上衣设计感荣发7792</t>
  </si>
  <si>
    <t>买一得三！！新款女包简约大气单肩子母包手提包JBB-5190</t>
  </si>
  <si>
    <t>精细做工 柔顺面料  透气拼接衬衫 洋气设计感上衣MY5063</t>
  </si>
  <si>
    <t>垂感白色显瘦小脚裤 九分裤中腰休闲女裤【MM】09兰即服饰C301</t>
  </si>
  <si>
    <t>拼接时尚连衣裙 轻熟收腰显瘦气质设计感裙子11兰即服饰019</t>
  </si>
  <si>
    <t>复古单鞋一鞋两穿懒人鞋赫本风真皮仙女鞋晚晚风低跟鞋纤姿态-1020-5</t>
  </si>
  <si>
    <t>【丝滑飘逸 女神范气质半身裙 3色7码】韩版时尚中长款显瘦A字裙NZY-863</t>
  </si>
  <si>
    <t>七分袖不规则双排扣减龄 收腰遮肉 西服正装29兰即服饰1907</t>
  </si>
  <si>
    <t>竖条纹短袖衬衫时尚商务休闲衬衣SSQ-FCY-21PD2108</t>
  </si>
  <si>
    <t>纯色V领吊带上衣 小背心双肩吊带 外穿内搭法式上衣荣发-6630</t>
  </si>
  <si>
    <t>买1得4 ！！ 时尚通勤大容量包包 单肩斜挎子母包金贝贝-21516</t>
  </si>
  <si>
    <t>V领百搭衬衫  微弹透气性好 舒适清凉职业衬衫LYH9285+9185</t>
  </si>
  <si>
    <t>高端职业套装气质女神范短袖西装套裙MY8220</t>
  </si>
  <si>
    <t>高腰八分裤女150小个子OL通勤西装裤显瘦弹力YY8026</t>
  </si>
  <si>
    <t>V领褶皱减龄连衣裙 4色 气质收腰显瘦纯色高腰女裙30兰即服饰529</t>
  </si>
  <si>
    <t>软皮软底职业中跟高跟鞋细跟久站工作鞋纤姿态-222-3-5</t>
  </si>
  <si>
    <t>春夏半身裙松紧腰A字裙纽扣装饰包臀裙TZY-A2198</t>
  </si>
  <si>
    <t>燕尾小西装 抗皱面料 七分袖外套韩版时尚气质女装YJH-EL859</t>
  </si>
  <si>
    <t>42%棉 平纹面料 透气舒适 干练稳重 职场精英 男女同款衬衫49兰即服饰302+312</t>
  </si>
  <si>
    <t>无袖缎面蕾丝背心  垂感缎面外穿吊带打底内搭荣发1993</t>
  </si>
  <si>
    <t>新款超火菱格链条小包高级感单肩斜跨包时尚小包MNK-HX/9627</t>
  </si>
  <si>
    <t>【团购爆款 大码V领 35-43】40%棉女士短袖/长袖职业衬衣工作衬衫YM-女士衬衫</t>
  </si>
  <si>
    <t>chic中袖休闲西服 减龄洋气时尚气质小西装/套装08兰即服饰88235</t>
  </si>
  <si>
    <t>微弹料犀牛褶男士西裤商务西装裤WY-116西裤</t>
  </si>
  <si>
    <t>优雅得体 弹力鱼尾/包臀连衣裙显瘦通勤女人味一体裙BX6080</t>
  </si>
  <si>
    <t>真皮粗跟单鞋女气质方头中跟软皮 法式瓢鞋豆豆鞋纤姿态-V8-5真皮</t>
  </si>
  <si>
    <t>遮胯裙子显瘦半身裙高腰钉珠开叉性感一步裙05兰即服饰553</t>
  </si>
  <si>
    <t>时尚新款英伦风女休闲气质小西服外套29兰即服饰20138</t>
  </si>
  <si>
    <t>竹纤维免烫长袖职业装衬衣男女同款YJH-EK698CX</t>
  </si>
  <si>
    <t>莫代尔棉V领女长袖打底 打底衫气质百搭纯色上衣荣发0752+0755</t>
  </si>
  <si>
    <t>鱼子酱包包 大容量菱格链条包 软皮单肩斜挎大包MNK1007</t>
  </si>
  <si>
    <t>雪纺V领职业衬衫女气质缎面垂感衬衣NZY-NKR2311</t>
  </si>
  <si>
    <t>【镇店之宝 经典款不挑身材 限时送衬衣】英伦风时尚女士职业网纹西装套装NZY-1712</t>
  </si>
  <si>
    <t>职业西装裤女士春秋女工装西裤垂感弹力裤11兰即服饰8112</t>
  </si>
  <si>
    <t>法式气质女神范修身职业装连衣裙21兰即服饰2902</t>
  </si>
  <si>
    <t>新款法式浅口女尖头软皮细跟百搭高跟鞋纤姿态-166</t>
  </si>
  <si>
    <t>【中长款半身裙 S-4XL】微弹包臀裙过膝百搭西裙YJH0891-2</t>
  </si>
  <si>
    <t>薄款七分袖洋气短款小个子印花西服女30兰即服饰302</t>
  </si>
  <si>
    <t>超细旦竹纤维免烫商务男女正装白衬衣YEL-1811</t>
  </si>
  <si>
    <t>气质弹力缎面内搭吊带背心女修身上衣正装打底衫荣发88010</t>
  </si>
  <si>
    <t>大容量手提单肩包潮流腋下水桶包HD6069</t>
  </si>
  <si>
    <t>高级感醋酸缎丝滑女衬衫 洋气时尚职业气质衬衣红月奴-2129</t>
  </si>
  <si>
    <t>时尚条纹气质小西装外套 配连衣裙休闲套装11兰即服饰9658</t>
  </si>
  <si>
    <t>新款女式时尚百搭宽松显瘦休闲小西裤嘉恒-DC2495</t>
  </si>
  <si>
    <t>系带收腰印花连衣裙中长款11兰即服饰039</t>
  </si>
  <si>
    <t>新款金属扣细跟尖头浅口时尚百搭高跟鞋纤姿态-777</t>
  </si>
  <si>
    <t>新款休闲开叉高腰中长款显瘦职业包裙CY-AZR6761</t>
  </si>
  <si>
    <t>薄款防晒雪纺外套 小个子女七分袖休闲小个子西服女30兰即服饰2105</t>
  </si>
  <si>
    <t>【竹纤维弹力 棉平板面  7色7码】男女同款衬衫男长袖衬衫49兰即服饰1308+1318</t>
  </si>
  <si>
    <t>弹力吊带小背心女 气质通勤内搭V领无袖上衣荣发2289</t>
  </si>
  <si>
    <t>女包新款简约时尚大容量通勤斜挎手提包大包HD-2746</t>
  </si>
  <si>
    <t>套装连衣裙</t>
  </si>
  <si>
    <t>醋酸缎面西装套装 时尚气质女神高端职业装41兰即服饰9608</t>
  </si>
  <si>
    <t>微喇叭裤高腰薄显瘦弹力垂感九分裤和顺圣2361</t>
  </si>
  <si>
    <t>弹力名媛女神范收腰鱼尾连衣裙BX1051</t>
  </si>
  <si>
    <t>久站舒适不累脚 软皮高跟细跟6cm尖头职业单鞋HZL161</t>
  </si>
  <si>
    <t>【弹力高腰半身裙  2色  M-3XL】舒适面料 好版型 后开叉高腰中裙TZYA1139</t>
  </si>
  <si>
    <t>韩版修身休闲时尚商务小西装外套16兰即服饰2205</t>
  </si>
  <si>
    <t>弹力竹纤维男女同款职业衬衣长袖工作服正装衬衫JH3055</t>
  </si>
  <si>
    <t>【波点蕾丝边吊带  肩带可调节  85-145斤】百搭时尚内搭上衣小衫荣发1572</t>
  </si>
  <si>
    <t>新款梅花锁小香风菱格链条包包MNK-PP/2644</t>
  </si>
  <si>
    <t>高级感时尚轻熟风衬衫 套头白衬衫女08兰即服饰8081</t>
  </si>
  <si>
    <t>职业装商务粘纤春秋高端西装男女同款两件套 LYH-692-2</t>
  </si>
  <si>
    <t>小直筒正装弹力西裤 大码垂坠显瘦高腰DM1810</t>
  </si>
  <si>
    <t>弹力简约纯色连衣裙 4色可选遮肉中长款裙子62兰即服饰922</t>
  </si>
  <si>
    <t>舒适不累脚 漆皮细跟尖头单鞋中跟5CM裸色HZL150</t>
  </si>
  <si>
    <t>高腰显瘦包臀a字荷叶边中长款鱼尾裙CY-YS8809</t>
  </si>
  <si>
    <t>法式小西服小个子设计感小众时尚潮流缎面丝滑13兰即服饰6237</t>
  </si>
  <si>
    <t>竹纤维免烫弹力透气衬衫 男士商务纯色衬衫LYH8181</t>
  </si>
  <si>
    <t>【蕾丝美背无袖上衣 85-155斤】通勒无袖打底百搭黑白色小吊带荣发1863+2066</t>
  </si>
  <si>
    <t>新款复古法式麻花辫珍珠单肩斜挎包MNK-LBJ/21609</t>
  </si>
  <si>
    <t>v领飘带丝光缎面衬衣 显瘦显高 通勤灯笼袖衬衣30兰即服饰0005</t>
  </si>
  <si>
    <t>时尚气质秋季新款职业装西服外套裤子工作服11兰即服饰9678</t>
  </si>
  <si>
    <t>高腰直筒裤弹力特大码长裤子和顺圣2085</t>
  </si>
  <si>
    <t>小个子黑色连衣裙气质时尚西装打底内搭小黑裙10兰即服饰22803</t>
  </si>
  <si>
    <t>一字扣小香风玛丽珍凉鞋 粗跟圆头法式单鞋纤姿态-007-21</t>
  </si>
  <si>
    <t>高端系列 鱼尾裙a字半身裙中长款职业包臀裙伞裙红月奴1075</t>
  </si>
  <si>
    <t>亚麻暗条薄款小西服   时尚/百搭/通勤七分袖薄款外套13兰即服饰8917</t>
  </si>
  <si>
    <t>男女同款职业衬衣长袖修身工作服正装衬衫JH221</t>
  </si>
  <si>
    <t>设计感醋酸缎面气质打底上衣荣发9935</t>
  </si>
  <si>
    <t>时尚手提包潮流简约单肩斜跨包大容量三件套女托特包金贝贝-21526</t>
  </si>
  <si>
    <t>通勤七分袖衬衫 宽松设计感休闲气质上衣10兰即服饰22605</t>
  </si>
  <si>
    <t>新款春夏休闲时尚女轻熟风职业套装裙11兰即服饰6896</t>
  </si>
  <si>
    <t>微喇叭裤女高腰休闲大码裤针织弹力裤和顺圣2086</t>
  </si>
  <si>
    <t>法式衬衫连衣裙女 收腰显瘦气质短袖裙子22兰即服饰903</t>
  </si>
  <si>
    <t>春季方扣单鞋软羊皮踩跟尖头浅口女鞋XJH998-5</t>
  </si>
  <si>
    <t>中长款网纱条纹拼接时尚A字裙气质半身裙CY-JY-2211-L</t>
  </si>
  <si>
    <t>高级感白色薄款西装外套女 中袖西服休闲时尚职业气质HYN-1627</t>
  </si>
  <si>
    <t>【荷叶边百搭背心 85-145斤 4色可选】 高弹纯色无袖简约上衣荣发0771+0770</t>
  </si>
  <si>
    <t>复古腋下包法棍包包百搭手提单肩MNK-金J-001</t>
  </si>
  <si>
    <t>雪纺缎面中袖上衣春季新款外穿百搭圆领衬衣10兰即服饰21615</t>
  </si>
  <si>
    <t>不规则双排扣减龄 收腰遮肉时尚气质长袖工作服29兰即服饰1906</t>
  </si>
  <si>
    <t>【九分 好版型 两色】韩版小脚新款时尚职业西裤（偏小一码）兰即服饰-B55</t>
  </si>
  <si>
    <t>假两件显瘦修身连衣裙 短袖气质职业裙06兰即服饰2062</t>
  </si>
  <si>
    <t>水钻方扣小众设计感女细跟羊皮尖头高跟鞋XJH-3289-9</t>
  </si>
  <si>
    <t>时尚包臀半身裙气质开叉显瘦高腰一步职业裙CY-JYM-55179</t>
  </si>
  <si>
    <t>薄款中袖职业装气质干练短款七分袖韩版西服42兰即服饰308-1</t>
  </si>
  <si>
    <t>绸缎面上衣女长袖V领修身薄款套头上衣打底荣发33</t>
  </si>
  <si>
    <t>男士套装</t>
  </si>
  <si>
    <t>减龄衬衣设计感洋气中袖衬衣宽松遮肚时尚05兰即服饰6618</t>
  </si>
  <si>
    <t>牛油果绿色七分袖小西装修身显瘦西服职业套装11兰即服饰9629</t>
  </si>
  <si>
    <t>【九分 好版型 两色】韩版小脚新款时尚职业西裤（偏小一码兰即服饰-B55</t>
  </si>
  <si>
    <t>夏季职业连衣裙女气质ol修身显瘦中长裙06兰即服饰2063</t>
  </si>
  <si>
    <t>仙女风细跟女尖头蝴蝶结水钻珍珠羊皮高跟鞋XJH-3289-23</t>
  </si>
  <si>
    <t>弹力网纱半身裙显瘦A字中裙高腰拼接XY2060</t>
  </si>
  <si>
    <t>【中长遮臀显瘦 多色可选 S-4XL】休闲百搭气质小西装时尚上衣02兰即服饰606</t>
  </si>
  <si>
    <t>【百搭打底衫 黑 白  S-4XL】女士背心设计感小众内搭无袖上衣荣发93082</t>
  </si>
  <si>
    <t>男士T恤</t>
  </si>
  <si>
    <t>英伦风蓝条衬衣  职业短袖时尚修身衬衫09兰即服饰3158</t>
  </si>
  <si>
    <t>高级感醋酸缎面 仿 真丝西装女夏季薄款30兰即服饰306</t>
  </si>
  <si>
    <t>高腰魔术贴西裤收褶哈伦裤显瘦休闲九分裤和顺圣-9078</t>
  </si>
  <si>
    <t>【高端V领显瘦遮肚连衣裙  3色 S-4XL】抗皱免烫中袖包臀裙28兰即服饰620</t>
  </si>
  <si>
    <t>百搭尖头晚晚鞋温柔风低跟浅口真皮玛丽珍单鞋纤姿态-1020-3</t>
  </si>
  <si>
    <t>咖色半身裙 新款百褶裙中长款a字裙气质显瘦半裙CY-8090-9832</t>
  </si>
  <si>
    <t>咖色七分袖雪纺薄款防晒休闲小西装外套42兰即服饰582</t>
  </si>
  <si>
    <t>双面穿白色背心女 通勤内搭吊带上衣荣发8830</t>
  </si>
  <si>
    <t>七分袖米白色气质小西装外套修身显瘦时尚西装套10兰即服饰22905</t>
  </si>
  <si>
    <t>夏季薄款男士牛奶丝透气纯色正装手感柔软长裤SSQ-WK-623</t>
  </si>
  <si>
    <t>高端职业装连衣裙2021春秋气质女神范七分袖工装62兰即服饰925</t>
  </si>
  <si>
    <t>一字带绒面中空细跟单鞋尖头时尚凉鞋女纤姿态-192</t>
  </si>
  <si>
    <t>高腰口袋百褶裙松紧腰中裙 黑色半身伞裙TZY-A2196</t>
  </si>
  <si>
    <t>高级感小个子洋气休闲西服 7色可选 流行时尚女上衣03兰即服饰2126</t>
  </si>
  <si>
    <t>弹力修身内搭上衣 职业装打底衫荣发8808</t>
  </si>
  <si>
    <t>套装外套</t>
  </si>
  <si>
    <t>时尚套装</t>
  </si>
  <si>
    <t>新款气质雪纺白衬衣韩版OL通勤套装06兰即服饰3581</t>
  </si>
  <si>
    <t>男式休闲裤 亚麻混纺男长裤SSQ-SD1020</t>
  </si>
  <si>
    <t>假两件显瘦连衣裙 职业连衣裙秋MC8163</t>
  </si>
  <si>
    <t>高腰包臀裙子气质中裙显瘦西裙半身裙HYN1067</t>
  </si>
  <si>
    <t>【雪纺小西装外套 薄款防晒 S-4XL】垂感 收腰七分袖薄款西服42兰即服饰203</t>
  </si>
  <si>
    <t>油亮性感钢丝面膜袜子光腿神器AX-马油袜</t>
  </si>
  <si>
    <t>凉鞋</t>
  </si>
  <si>
    <t>加绒加厚长袖V领衬衣女士韩版修身显瘦大码正装衬衫NZY1532</t>
  </si>
  <si>
    <t>【御姐轻熟个性套装  薄款  2色7码】时尚气时尚版型 修身显瘦30兰即服饰531</t>
  </si>
  <si>
    <t>新款时尚百搭女宽松显瘦休闲小西裤嘉恒-DC2463</t>
  </si>
  <si>
    <t>韩版时尚气质女修身高腰百褶西装打底裙06兰即服饰2111</t>
  </si>
  <si>
    <t>限时送腰带！！简约百搭中长款半身裙高腰裙女士MY3013</t>
  </si>
  <si>
    <t>短款小西装外套女薄款 夏七分袖上衣小个子西服08兰即服饰88279</t>
  </si>
  <si>
    <t>长袖V领打底衫 三气质百搭打底上衣女荣发0988A+B+C</t>
  </si>
  <si>
    <t>塑身美体裤</t>
  </si>
  <si>
    <t>蝴蝶结衬衫女休闲中袖上衣06兰即服饰3579</t>
  </si>
  <si>
    <t>高端商务正装暗纹面料 时尚气质总裁西服02兰即服饰692</t>
  </si>
  <si>
    <t>【一穿直降5℃】冰氧速干青柠裤 男女同款 时尚百搭 运动休闲 吸汗透气 冰爽舒适BM- 2211-2200</t>
  </si>
  <si>
    <t>商务名媛气质裙子职业连衣裙OL正装工作服BX6008</t>
  </si>
  <si>
    <t>弹力高腰包臀裙 好版型一步裙OL工装裙TZY-A2177</t>
  </si>
  <si>
    <t>衬衫/男士T恤</t>
  </si>
  <si>
    <t>高级感醋酸缎丝滑女衬衫 洋气时尚职业气质衬衣HYN-2129</t>
  </si>
  <si>
    <t>新款时尚干练气质女白领职业套装NZY-LY8341</t>
  </si>
  <si>
    <t>夏季透气显瘦女裤时尚萝卜裤宽松显瘦哈伦裤休闲裤JHFS-DC2239</t>
  </si>
  <si>
    <t>韩版知性文艺女修身中长款连衣裙06兰即服饰2115</t>
  </si>
  <si>
    <t>雪纺紧腰半裙 碎花百褶裙女A字裙大摆半身裙TZYA1801</t>
  </si>
  <si>
    <t>西装</t>
  </si>
  <si>
    <t>手洗洗衣液</t>
  </si>
  <si>
    <t>波点衬衫女设计感洋气蝴蝶结高级感衬衣11兰即服饰6657</t>
  </si>
  <si>
    <t>高端商务气质西服 优质面料 时尚ol总裁工作服42兰即服饰166</t>
  </si>
  <si>
    <t>新款高腰开叉喇叭裤女气质显瘦阔腿裤嘉恒-2899</t>
  </si>
  <si>
    <t>双排扣西装连衣裙气质女神范职业裙子13兰即服饰3905</t>
  </si>
  <si>
    <t>高端醋酸缎面衬衫短袖洋气v领上衣雪纺衬衣NZY-GS851</t>
  </si>
  <si>
    <t>时尚气质职业装套装 七分袖修身小西装13兰即服饰6813</t>
  </si>
  <si>
    <t>高端系列 垂感九分裤 显瘦黑色裤小脚裤 显瘦显高HYN6633</t>
  </si>
  <si>
    <t>法式收腰系带职业通勤小香风V领西装连衣裙08兰即服饰5057</t>
  </si>
  <si>
    <t>睡衣套装</t>
  </si>
  <si>
    <t>洋气不规则时尚套装  配阔腿/小脚裤 高端薄款时髦OL气质套装05兰即服饰9158</t>
  </si>
  <si>
    <t>高腰垂感阔腿九分裤 夏报薄款休闲裤和顺圣-2576</t>
  </si>
  <si>
    <t>韩版时尚气质女修身中长款V领连衣裙06兰即服饰2106</t>
  </si>
  <si>
    <t>女士腰带</t>
  </si>
  <si>
    <t>中袖/短袖 时尚洋气微弹衬衫 免烫 舒适凉爽透气上衣08兰即服饰0029</t>
  </si>
  <si>
    <t>孔雀蓝简约时尚西服套装 公务员工作服11兰即服饰9620</t>
  </si>
  <si>
    <t>【面料升级免烫西裤 男女同款】团购优惠 品质保证职业商务西装裤NZY-188</t>
  </si>
  <si>
    <t>韩版时尚气质女士高腰中长款西装打底裙06兰即服饰2117</t>
  </si>
  <si>
    <t>衬衫男士T恤</t>
  </si>
  <si>
    <t>优雅雪纺宽松衬衫展现优雅好身姿百搭衬衣女16兰即服饰2038</t>
  </si>
  <si>
    <t>限时送吊带！女神范夏季薄款七分袖正装小西服套装YJH-EX8051</t>
  </si>
  <si>
    <t>高腰垂感阔腿裤女西装裤子薄款休闲百搭直筒女裤DM-9307</t>
  </si>
  <si>
    <t>淑女知性优雅气质连衣裙一字领BX1056</t>
  </si>
  <si>
    <t>V领套头毛衣2新款女秋针织衫初秋长袖打底衫YD-LIND001</t>
  </si>
  <si>
    <t>商务干练 真实口袋 薄款一粒扣修身显瘦套裙/套裤21兰即服饰6901</t>
  </si>
  <si>
    <t>喇叭裤女中腰显瘦垂感休闲女裤黑色弹力微喇NZY5027</t>
  </si>
  <si>
    <t>高端优雅名媛气质裙子 翻领款收腰显瘦衬衫连衣裙PX-W26Q34289</t>
  </si>
  <si>
    <t>衬衫/男士衬衫</t>
  </si>
  <si>
    <t>低帮鞋</t>
  </si>
  <si>
    <t>雪纺v领春季设计感时尚洋气职业衬衣HYN2071</t>
  </si>
  <si>
    <t>春夏七分袖小西装外套女士工作服正装修身显瘦13兰即服饰6828</t>
  </si>
  <si>
    <t>坠感显瘦大码职业百搭外穿工装裤子11兰即服饰8096</t>
  </si>
  <si>
    <t>气质赫本风女修身显瘦a字v领连衣裙06兰即服饰2108</t>
  </si>
  <si>
    <t>运动文胸</t>
  </si>
  <si>
    <t>高端显瘦翻领设计感薄款 不规则洋气衬衣05兰即服饰686</t>
  </si>
  <si>
    <t>【高端英伦风套装  2色  S-4XL】修身显瘦 气质时尚 版型好09兰即服饰608</t>
  </si>
  <si>
    <t>垂坠感西裤女 阳光珠高腰通勤宽松阔腿裤CY-HYH8717</t>
  </si>
  <si>
    <t>韩版时尚气质女中长款高腰修身连衣裙06兰即服饰2107</t>
  </si>
  <si>
    <t>V领套头毛衣2新款女秋针织衫初秋长袖打底衫YD-L IND001</t>
  </si>
  <si>
    <t>气质时尚新款女高级感西服套装02兰即服饰6180</t>
  </si>
  <si>
    <t>棉麻薄款冰爽女裤  百搭遮肉休闲宽筒松紧阔腿女裤YY-Y2290</t>
  </si>
  <si>
    <t>西装连衣裙女 收腰显瘦名媛气质轻熟风女神范职业裙子06兰即服饰2089</t>
  </si>
  <si>
    <t>小众法式甜美衬衫泡泡袖气质通勤女短袖衬衫【MM】22兰即服饰6662</t>
  </si>
  <si>
    <t>高端小西装女时尚通勤职业套装两件套11兰即服饰9639</t>
  </si>
  <si>
    <t>松紧腰哈伦裤女夏薄款宽松九分裤子YY-ML6268</t>
  </si>
  <si>
    <t>【大码120-200斤】洋气减龄拼接显瘦大码连衣裙 遮肚子赫本风裤子YZY-6659</t>
  </si>
  <si>
    <t>沐浴露</t>
  </si>
  <si>
    <t>减龄喇叭袖雪纺优雅衬衫  薄款  时尚气质洋气时尚上衣29兰即服饰0565</t>
  </si>
  <si>
    <t>男女同款特厚款职业西装马甲商务通勤套装JH851</t>
  </si>
  <si>
    <t>【爆款 不起球 不缩水 S-4XL】薄款/常规款 职业女西裤兰即服饰西裤</t>
  </si>
  <si>
    <t>不规则裙摆碎花连衣裙时尚中长款裙子02兰即服饰A838</t>
  </si>
  <si>
    <t>耳环</t>
  </si>
  <si>
    <t>有赞前10类目明细</t>
  </si>
  <si>
    <t>商品实际成交金额</t>
  </si>
  <si>
    <t>休闲套装</t>
  </si>
  <si>
    <t>【穿出“苹果臀”】茧墨 玻尿酸高腰收腹苹果内裤 3条装 冰丝凉感 舒适透气 滋养润肤 呵护私处健康SMT-86213</t>
  </si>
  <si>
    <t>法式高级感polo领收腰显瘦设计感小众气质连衣裙PX-W26Q41218</t>
  </si>
  <si>
    <t>醋酸西装外套女薄款休闲小个子七分袖小西服连衣裙套装08RG88286</t>
  </si>
  <si>
    <t>人气爆款 小香女神范西服不规则时尚女西装套装NZY-XN9836</t>
  </si>
  <si>
    <t>雪纺衬衫女时尚设计感蝴蝶结v领洋气上衣泡泡袖衬衣06RG3579</t>
  </si>
  <si>
    <t>买一送一 无钢圈舒适收副乳调整型文胸 乳胶杯性感内衣DNF-417+1824</t>
  </si>
  <si>
    <t>重磅女式圆领缎面短袖T恤女绸缎短款印花上衣女YD-DMR</t>
  </si>
  <si>
    <t>显瘦宽松A字裤裙休闲雪纺裙裤CY-SY-2155</t>
  </si>
  <si>
    <t>高腰魔术贴西裤收褶哈伦裤显瘦休闲九分裤HSS-9078</t>
  </si>
  <si>
    <t>性感蕾丝磁疗高腰塑身收腹内裤女士美体束身提臀桑蚕丝裆内裤女SMT-2168</t>
  </si>
  <si>
    <t>时尚假两件V领显瘦时尚连衣裙 4色可选30RG539</t>
  </si>
  <si>
    <t>简约时尚西装外套女新款休闲通勤气质韩版职业装10RG22920</t>
  </si>
  <si>
    <t>七分袖减龄夏季薄款西装套装小个子职业气质套装62RG8617B</t>
  </si>
  <si>
    <t>第二件39元！40%棉 免烫职业装V领商务短袖衬衫 显瘦工装衬衣YM-女士衬衫</t>
  </si>
  <si>
    <t>高级感醋酸缎面仿真丝西装女夏季薄款30RG306</t>
  </si>
  <si>
    <t>买1送1 ！薄而不露  舒氧夏季极薄款内衣 透气蕾丝无钢圈兔耳朵无痕文胸DNF-370+327</t>
  </si>
  <si>
    <t>【醋酸短袖 】 手感细腻 透气性良好 轻柔舒适 缎面质感T恤YD-LWD35</t>
  </si>
  <si>
    <t>超高回购微喇裤 3种风格7码 职业弹力西裤YY-F9885四面弹哥弟纹</t>
  </si>
  <si>
    <t>【蕾丝收腹抑jun提臀内裤4条装】舒适无痕高腰收腹 蕾丝花边  纯色精致 大小码可选SMT-86041</t>
  </si>
  <si>
    <t>高端V领显瘦遮肚连衣裙 抗皱免烫中袖包臀裙28RG620（不含腰带）</t>
  </si>
  <si>
    <t>【 100%纯棉 超舒适透气】宽松版型无缝设计亲肤家庭情侣T恤SD0021</t>
  </si>
  <si>
    <t>商务白领通勤女职业装修身职业工服时尚套装11RG9679</t>
  </si>
  <si>
    <t>高级感天丝薄款外套 透气防晒休闲七分袖短款小西服外套42RG639</t>
  </si>
  <si>
    <t>2件更划算！ 无磁大码内衣薄款调整型文胸无钢圈内衣大胸显小文胸聚拢文胸DNF-568</t>
  </si>
  <si>
    <t>羊毛混纺时尚小众上衣 羊毛短款针织小衫T恤YD-DMR261</t>
  </si>
  <si>
    <t>新款高腰宽松薄款女九分直筒休闲阔腿裤CY-HYH8701</t>
  </si>
  <si>
    <t>4条装【冰丝无痕 提臀收腹】透气干爽 轻薄丝滑  服帖不夹臀 记忆回弹 可伸展不勒 抗菌裆女式内裤SMT-86135</t>
  </si>
  <si>
    <t>法式通勤纯色连衣裙 夏 气质收腰显瘦休闲中长裙PX-W26Q22331</t>
  </si>
  <si>
    <t>【御姐轻熟个性套装 薄款 2色7码】时尚气时尚版型 修身显瘦30RG531</t>
  </si>
  <si>
    <t>牛油果绿长袖职业套装时尚气质小西装女显瘦西服套装11RG9671</t>
  </si>
  <si>
    <t>醋酸缎翻领短袖衬衫 新款OL职业衬衣女21RG8209</t>
  </si>
  <si>
    <t>薄款中袖职业装气质干练短款七分袖韩版西服42RG308-1</t>
  </si>
  <si>
    <t>轻氧无痕呼吸内衣 一片式无痕无钢圈YKF2002#</t>
  </si>
  <si>
    <t>百搭时尚气质内搭上衣打底小衫RF2281</t>
  </si>
  <si>
    <t>垂感阔腿裤女士九分薄款高腰直筒裤宽松休闲裤DM-9181</t>
  </si>
  <si>
    <t>薄款高腰垂感白色西装裤直筒裤宽松显瘦10RG22206</t>
  </si>
  <si>
    <t>超值6条！「蚕丝冰感内裤」米吉琳裸感无痕 冰丝内裤 蚕丝氨基酸内裆 丝滑面料 360°透气 无惧闷热 久洗不掉色LML-874</t>
  </si>
  <si>
    <t>法式复古收腰显瘦轻奢设计感小众气质裙子PX-W26Q26371</t>
  </si>
  <si>
    <t>职业西装外套醋酸缎面时尚名媛吊带裙HYN1622</t>
  </si>
  <si>
    <t>高端春夏季新款短袖时尚气质正装26RG2911</t>
  </si>
  <si>
    <t>职业V领衬衫女秋季长袖气质白衬衣工作服21RG8280</t>
  </si>
  <si>
    <t>不规则薄款设计感西装 个性 减龄 时尚职业西装套40RG880</t>
  </si>
  <si>
    <t>一体式固定杯大码蕾丝背心文胸聚拢性感美背蕾丝打底背心文胸YKF-2208</t>
  </si>
  <si>
    <t>桑蚕丝双面丝光棉短袖T恤 圆领/V领简约修身显瘦纯色t恤DX-蚕丝T恤</t>
  </si>
  <si>
    <t>宽松垂感显瘦五分裤 西装短裤 休闲高腰中裤 CY-SFZS3016</t>
  </si>
  <si>
    <t>职业西裤 女工作服大码直筒长裤职业正装裤RG-K302</t>
  </si>
  <si>
    <t>【穿出“苹果臀”】茧墨 玻尿酸高腰收腹苹果内裤 2条装 冰丝凉感 舒适透气 滋养润肤 呵护私处健康SMT-86213</t>
  </si>
  <si>
    <t>改良版旗袍修身减龄复古优雅气质高级感裙子PX-W26Q24667</t>
  </si>
  <si>
    <t>新款金属扣细跟尖头浅口时尚百搭高跟鞋QZT-777</t>
  </si>
  <si>
    <t>气质简约休闲修身女神范职业装11RG9639</t>
  </si>
  <si>
    <t>别致设计感长袖衬衫 时尚气质复古衬衣宽松显瘦上衣02RG8103</t>
  </si>
  <si>
    <t>【法式蕾丝美背内衣】聚拢透气棉内垫，柔软透气，无钢圈抹胸，法式u型调整型文胸DNF-188</t>
  </si>
  <si>
    <t>外穿美背V领打底衫内搭RF7793</t>
  </si>
  <si>
    <t>雪纺九分高腰垂感休闲裤 时尚百搭直筒夏季宽松裤子DM-9924</t>
  </si>
  <si>
    <t>高腰直筒裤弹力特大码长裤子HSS2085</t>
  </si>
  <si>
    <t>面部磨砂/去角质</t>
  </si>
  <si>
    <t>2条装！蜂巢安全裤无缝塑身纯棉裤 夏季女士平角内裤SMT-S022</t>
  </si>
  <si>
    <t>法式连衣裙高级感白色度假风收腰减龄气质碎花裙子女PX-W26Q25215</t>
  </si>
  <si>
    <t>优雅知性温柔纯色气质小众单穿内搭V领精品连衣裙PX-W26Q60292</t>
  </si>
  <si>
    <t>夏季新款时尚套装短袖职业装两件套21RG6109</t>
  </si>
  <si>
    <t>高级感西装领衬衣五分袖港味春夏衬衫06RG3568</t>
  </si>
  <si>
    <t>薄款西装外套女夏季中袖休闲时尚女士小西服上衣29RG2616</t>
  </si>
  <si>
    <t>第二件更划算！无痕宽肩带裸感内衣 温变固定杯内衣 辣木籽温变感杯 抑jun透气 修饰背部 睡眠运动无感一片式YKF-2202</t>
  </si>
  <si>
    <t>吊带雪纺打底衫百搭内搭上衣小衫RF1576</t>
  </si>
  <si>
    <t>宽松阔腿裤女夏季高腰显瘦气质休闲裤长裤CY-HYH8717</t>
  </si>
  <si>
    <t>高腰烟管九分裤小脚显瘦休闲修身长裤02RGB86+87</t>
  </si>
  <si>
    <t>电动车防晒衣/披肩</t>
  </si>
  <si>
    <t>桑蚕丝内裤蚕丝抑菌内裤女高腰无痕内裤女士内裤3条装YKF-2270</t>
  </si>
  <si>
    <t>韩版V领短袖连衣裙中长款一步裙NZY-HN3308</t>
  </si>
  <si>
    <t>荷叶下摆遮腹显瘦免烫西装套装MY-8221</t>
  </si>
  <si>
    <t>气质女神范时尚酒店短袖西服正装套装42RG288</t>
  </si>
  <si>
    <t>醋酸缎透气衬衫女夏季时尚高端洋气职业气质衬衣HYN-2143</t>
  </si>
  <si>
    <t>时尚夏天短款小西装外套工作服薄西服09RG9186</t>
  </si>
  <si>
    <t>高弹纯色无袖内搭简约上衣打底RF0771+0770</t>
  </si>
  <si>
    <t>高腰坠感开叉喇叭裤 时尚休闲显瘦微喇裤DM2175</t>
  </si>
  <si>
    <t>坠感显瘦大码职业百搭外穿工装裤子11RG8096</t>
  </si>
  <si>
    <t>【呵护男性健康】 冰丝轻薄无痕吸汗透气 平角四角裤 紫杉醇抑菌裆SMT-58018</t>
  </si>
  <si>
    <t>白色V领不对称荷叶边高端短袖不规则鱼尾裙连衣裙PX-W26Q7B2352</t>
  </si>
  <si>
    <t>咖色七分袖雪纺薄款防晒休闲小西装外套42RG582</t>
  </si>
  <si>
    <t>白色职业装套装女名媛小香风气质短袖西装工作服05RG9158</t>
  </si>
  <si>
    <t>V领百搭衬衫 微弹透气性好 舒适清凉职业衬衫LYH9285</t>
  </si>
  <si>
    <t>女士短款外套HYN1630</t>
  </si>
  <si>
    <t>遮肉显瘦小脚裤85斤-170斤分割装饰线裤子JHFS-2768</t>
  </si>
  <si>
    <t>职业西装裤女士春秋女工装西裤垂感弹力裤11RG8112</t>
  </si>
  <si>
    <t>3条装 薄款男士无痕平角内裤 玛咖养护苦参抑菌四角内裤YKF苦参玛咖内裤</t>
  </si>
  <si>
    <t>夏季新款气质白领女神范短袖包臀连衣裙30RG529</t>
  </si>
  <si>
    <t>短款小西装外套女薄款 夏七分袖上衣小个子西服08RG88279</t>
  </si>
  <si>
    <t>红色小西装外套女 时尚气质白领大码职业装套装10RG22981</t>
  </si>
  <si>
    <t>新品百搭通勤衬衣 女职业装长袖修身时尚上衣11RG6701</t>
  </si>
  <si>
    <t>七分袖时尚薄款西服 韩版气质修身上衣HYN1637</t>
  </si>
  <si>
    <t>商务宽松休闲裤薄款男士直筒纯色时尚弹力西裤SSQ-BB-3920</t>
  </si>
  <si>
    <t>高腰烟管九分裤小脚显瘦休闲修身长裤02RG-B86+87</t>
  </si>
  <si>
    <t>【绸缎贵妇中高腰内裤】轻柔网纱 光面冰丝 高回弹力 告别勒痕 天生软糯 吸湿透气 柔软亲肤 持久舒适 天然环保CQSD-523</t>
  </si>
  <si>
    <t>纯色翻领连衣裙短袖气质通勤收腰显瘦复古百搭中长裙PX-W26Q22639</t>
  </si>
  <si>
    <t>正装职业套装女西装套裙夏短袖薄款工装NZY-KL926</t>
  </si>
  <si>
    <t>职业套装女士时尚气质通勤一粒扣修身百搭62RG8917B</t>
  </si>
  <si>
    <t>高级感洋气衬衫女 中袖时尚职业气质衬衣HYN-2129</t>
  </si>
  <si>
    <t>经典爆款 英伦风 偏小半码 S-5XL时尚女士职业套装西装NZY-1712</t>
  </si>
  <si>
    <t>帅气潇洒利落气质飒爽感H型显瘦高腰直筒五分裤PX-W26K60225</t>
  </si>
  <si>
    <t>紫杉醇抑菌内裤 奢华缎棉冰丝女士无痕蕾丝边大码内裤SMT-86239</t>
  </si>
  <si>
    <t>雪纺时尚女神范 优雅仙女A字大摆连衣裙06RG2115</t>
  </si>
  <si>
    <t>减龄喇叭袖雪纺优雅衬衫 薄款 时尚气质洋气时尚上衣29RG0565</t>
  </si>
  <si>
    <t>荷叶边显瘦夏装职业套装 通勤简约小西装套29RG1882短袖</t>
  </si>
  <si>
    <t>v领格子女气质休闲洋气法式通勤衬衫NZY-KR-2316</t>
  </si>
  <si>
    <t>春夏七分袖小西装外套女士工作服正装修身显瘦13RG6828</t>
  </si>
  <si>
    <t>【预售】棉麻薄款冰爽女裤  百搭遮肉休闲宽筒松紧阔腿女裤YY-Y2290</t>
  </si>
  <si>
    <t>其它彩妆</t>
  </si>
  <si>
    <t>西装连衣裙女 收腰显瘦气质轻熟风裙 06RG2089</t>
  </si>
  <si>
    <t>时尚休闲西服洋气减龄两件套职业套装01RG2907</t>
  </si>
  <si>
    <t>纯色女士短袖衬衫OL通勤职业女09RG3201</t>
  </si>
  <si>
    <t>2022年春装新款韩版修身7分袖小外套09RGA675</t>
  </si>
  <si>
    <t>高端系列 垂感九分裤 显瘦黑色裤小脚裤 显瘦显高 HYN6633</t>
  </si>
  <si>
    <t>面部彩妆</t>
  </si>
  <si>
    <t>假两件短袖圆领吊带连衣裙设计感小众收腰显瘦复古中长裙女PX-W26Q22646</t>
  </si>
  <si>
    <t>软皮软底职业中跟高跟鞋细跟久站工作鞋QZT-222-3-5</t>
  </si>
  <si>
    <t>女神范设计感蓝色西装职业套装气质正装YJH-EY8210</t>
  </si>
  <si>
    <t>新款时尚长袖洋气职业衬衣气质暗扣雪纺衬衫女士21RG8068</t>
  </si>
  <si>
    <t>高级薄款西装外套气质工作服职业套装夏款30RG2202</t>
  </si>
  <si>
    <t>阿胶膏/固元膏</t>
  </si>
  <si>
    <t>高级感圆领连衣裙女春时尚气质裙子PX-W26Q7A0642</t>
  </si>
  <si>
    <t>高端金丝暗条双排扣长袖职业西装套裤YJH-EY22816</t>
  </si>
  <si>
    <t>时尚气质职业装套装 七分袖修身小西装13RG6813</t>
  </si>
  <si>
    <t>瘦脸V领飘带衬衫 短袖微弹面料 不起球不掉色衬衣11RG6969</t>
  </si>
  <si>
    <t>休闲百搭气质小西装时尚上衣02RG606</t>
  </si>
  <si>
    <t>新款韩版胖MM气质通勤时尚腰头织带装饰长裤JHFS-DC2749</t>
  </si>
  <si>
    <t>轻奢大牌复古法式裙子高级感连衣裙轻熟风气质名媛PX-W26Q24968</t>
  </si>
  <si>
    <t>高级感小个子洋气休闲西服 7色可选 流行时尚女上衣03RG2126</t>
  </si>
  <si>
    <t>气质时尚新款女高级感西服套装02RG6180</t>
  </si>
  <si>
    <t>时尚休闲春夏季中袖衬衫白领上班工装10RG22610</t>
  </si>
  <si>
    <t>高级感人字纹灰色西装外套 修身休闲小西服43RG673</t>
  </si>
  <si>
    <t>新款高腰开叉喇叭裤女气质显瘦阔腿裤JHFS-2899</t>
  </si>
  <si>
    <t>短外套</t>
  </si>
  <si>
    <t>法式复古收腰显瘦名媛气质高端中长款连衣裙PX-W26Q34291</t>
  </si>
  <si>
    <t>新款女式时尚百搭宽松显瘦休闲小西裤JHFS-DC2495</t>
  </si>
  <si>
    <t>夏新小个子款短袖西装套女 薄款气质洋气职业装21RG6206</t>
  </si>
  <si>
    <t>减龄甜美印花立领蝙蝠袖衬衫女短袖30RG0617</t>
  </si>
  <si>
    <t>高级感灰色加厚休闲气质毛呢西服外套02RG1031</t>
  </si>
  <si>
    <t>高腰哈伦九分裤 垂坠感显瘦裤子JHFS-DC2751</t>
  </si>
  <si>
    <t>法式polo连衣裙 轻熟风休闲工装别致收腰裙子PX-W26Q41199</t>
  </si>
  <si>
    <t>时尚百搭套装短袖衬衫职业套装22RG6666</t>
  </si>
  <si>
    <t>醋酸西装套装女高端时尚气质工作服NZY-KL933</t>
  </si>
  <si>
    <t>雪纺衬衫女立领职业衬衣气质有垂感上衣02RG983</t>
  </si>
  <si>
    <t>新款设计感女小众春夏感西装外套29RG2217</t>
  </si>
  <si>
    <t>冰丝六七分裙裤女 阔腿裤薄款裤裙HSS-2373-6</t>
  </si>
  <si>
    <t>卸妆</t>
  </si>
  <si>
    <t>法式收腰高级感收腰显瘦干练利落垂感轻熟风连衣裙PX-W26Q30809</t>
  </si>
  <si>
    <t>新款韩版时尚粉色飘带女通勤气质职业套装11RG6899</t>
  </si>
  <si>
    <t>孔雀蓝短袖金色扣子装饰西装套装 时尚OL正装41RG6608</t>
  </si>
  <si>
    <t>粉色系带长袖衬衫 休闲气质高级感法式衬衣13RG587</t>
  </si>
  <si>
    <t>薄款防晒雪纺外套 小个子女七分袖休闲小个子西服女30RG2105</t>
  </si>
  <si>
    <t>高腰微喇裤商务通勤工作裤时尚个性蕾丝裤脚XY8052</t>
  </si>
  <si>
    <t>眉笔/眉粉/眉膏</t>
  </si>
  <si>
    <t>高端轻奢蛋糕蓬蓬裙气质法式温柔优雅裙子PX- W26Q24807</t>
  </si>
  <si>
    <t>OL通勤名媛风拼网纱短袖衬衫22RG6673</t>
  </si>
  <si>
    <t>经典爆款英伦风偏小半码S-4XL时尚女士职业套装西装NZY-1712</t>
  </si>
  <si>
    <t>【 荷叶领时尚洋气衬衫 S-4XL】夏 薄款衬衣收腰时尚上衣42RG2087</t>
  </si>
  <si>
    <t>杏色格子西装外套英伦风长袖西服10RG19921</t>
  </si>
  <si>
    <t>高腰哈伦裤女夏季宽松显瘦九分烟管裤DM-9303</t>
  </si>
  <si>
    <t>轻奢连衣裙长袖气质高端复古大牌宽松显瘦碎花裙子PX-W26Q34422</t>
  </si>
  <si>
    <t>波点雪纺衬衫新款蝴蝶结设计感小众衬衣05RG6619</t>
  </si>
  <si>
    <t>V领条纹显瘦洋气衬衣女春夏职业中袖上衣衬衫12RG5209</t>
  </si>
  <si>
    <t>绿色显肤色西装女轻熟外套七分袖西服上衣YJH-EM605</t>
  </si>
  <si>
    <t>黑色西裤女九分垂感春夏季小脚休闲裤子HYN6636</t>
  </si>
  <si>
    <t>精细做工 柔顺面料 透气拼接衬衫 洋气设计感上衣MY5063</t>
  </si>
  <si>
    <t>时尚修身条纹外套天丝薄款小西装女13RG8213</t>
  </si>
  <si>
    <t>西装领职业连衣裙 收腰修身A字裙YL-2116</t>
  </si>
  <si>
    <t>高端职业套装减龄短袖衬衫半身裙两件套22RG6661</t>
  </si>
  <si>
    <t>短款休闲小个子西服 薄款七分袖外套女41RG6519</t>
  </si>
  <si>
    <t>收腰百褶连衣裙 法式气质飘逸渐变显瘦系带松紧裙22RG931</t>
  </si>
  <si>
    <t>法式经典水钻方扣粗跟单鞋女绸缎真丝低跟平底鞋气质羊皮XJH-7318-1</t>
  </si>
  <si>
    <t>法式高级感通勤衬衫 职业v领气质长袖上衣06RG6589</t>
  </si>
  <si>
    <t>七分袖蕾丝镂空小西装时尚中袖西服42RG290</t>
  </si>
  <si>
    <t>圆领优雅气质通勤时尚百搭高级感系带连衣裙PX-W26Q34221</t>
  </si>
  <si>
    <t>高级感别致职业气质衬衫 通勤女士简约上衣06RG6591</t>
  </si>
  <si>
    <t>好版型 百搭一扣西服外套 短/长款可选 显瘦中袖小西装03RG9823+9820</t>
  </si>
  <si>
    <t>醋酸打底吊带连衣裙女 正装内搭长款修身无袖背心裙RF060</t>
  </si>
  <si>
    <t>防晒开衫女小披肩外套 外搭空调衫长袖薄款冰丝针织衫YD-NJR1908</t>
  </si>
  <si>
    <t>时尚休闲长袖气质法式上衣 白衬衣16RG3303</t>
  </si>
  <si>
    <t>薄款OL西服中袖休闲小西装外套女11RG9956</t>
  </si>
  <si>
    <t>西装领轻熟弹力双排扣修身包臀连衣裙BX6058</t>
  </si>
  <si>
    <t>【限时秒杀】7.5社群福利</t>
  </si>
  <si>
    <t>设计感上衣时尚高端飘带职业衬衣10RG21665</t>
  </si>
  <si>
    <t>法式复古收腰显瘦名媛气质高端中长款连衣裙PX-W26Q41199</t>
  </si>
  <si>
    <t>韩版时尚修身小西装职业装外套06RG8856</t>
  </si>
  <si>
    <t>【新品】时尚洋气蝴蝶结领结宽松垂感衬衣05RG6201</t>
  </si>
  <si>
    <t>法式气质女神范修身职业装连衣裙21RG2902</t>
  </si>
  <si>
    <t>韩方五谷生姜防脱去屑洗发控油去屑柔顺洗头膏WTS-HFST158</t>
  </si>
  <si>
    <t>竹纤维V领衬衣男女同款商务修身免烫LYH9285</t>
  </si>
  <si>
    <t>纯色圆领短袖连衣裙设计感小众气质复古收腰显瘦长裙PX-W26Q22663</t>
  </si>
  <si>
    <t>法式西装吊带连衣裙 减龄洋气显瘦10RG21920</t>
  </si>
  <si>
    <t>竹纤维长短袖免烫职业装衬衫 职业装团购LYH-Q9185+9285</t>
  </si>
  <si>
    <t>茶歇裙法式碎花优雅设计感十足V领连衣裙PX- W26Q60289</t>
  </si>
  <si>
    <t>薄款流苏职业衬衫女短袖设计感上衣YJH-EL8327</t>
  </si>
  <si>
    <t>气质时尚修身连衣裙06RG2107</t>
  </si>
  <si>
    <t>小个子丝滑垂坠感高腰女直筒休闲西装裤JHFS-2900</t>
  </si>
  <si>
    <t>新款韩版宽松气质女七分袖设计感衬衫09RG-B3202</t>
  </si>
  <si>
    <t>法式高端轻奢气质薄款连衣裙收腰显瘦长袖纯色PX-W26Q7D0013</t>
  </si>
  <si>
    <t>休闲开叉半身裙高腰裙中长款一步裙显瘦职业包裙CY-AZR6761</t>
  </si>
  <si>
    <t>第二件39元！基础爆款镇店之宝大码商务纯色修身短袖/长袖男士衬衫YM-男士衬衫</t>
  </si>
  <si>
    <t>法系V领印花气质优雅松紧收腰茶歇裙长裙PX-W26Q7A0008</t>
  </si>
  <si>
    <t>全牛皮粗跟单鞋方头百搭QZT-H228高跟鞋</t>
  </si>
  <si>
    <t>V领飘带垂感上衣 长袖白衬衫女士 衬衫职业修身衬衣11RG6999</t>
  </si>
  <si>
    <t>风衣中长款连衣裙英伦风高级感收腰裙子PX-W26Q23149</t>
  </si>
  <si>
    <t>高腰气质包臀裙荷叶边包裙中长款10RG21301</t>
  </si>
  <si>
    <t>减龄波点漂亮洋气小衫 通勤立领透气衬衫30RG0612</t>
  </si>
  <si>
    <t>小香风冰丝A字小黑裙 拼接网纱袖长款针织连衣裙女XC-8708</t>
  </si>
  <si>
    <t>雪纺衬衫女 时尚洋气炸街减龄名媛轻熟风 NZY-6651</t>
  </si>
  <si>
    <t>百搭经典 8色可选职业小众长袖气质衬衫女NZYG1801</t>
  </si>
  <si>
    <t>碎花短袖连衣裙 设计感收腰显瘦复古气质中长裙女PX-W26Q32579</t>
  </si>
  <si>
    <t>时尚洋气休闲设计感飘带上衣10RG21619</t>
  </si>
  <si>
    <t>时尚气质百搭衬衣10RG22651</t>
  </si>
  <si>
    <t>轻熟风连衣裙V领高端奢华开叉中长款高级感裙子PX-W26Q24942</t>
  </si>
  <si>
    <t>棉感暗条纹女长袖宽松显瘦休闲衬衫10RG21653</t>
  </si>
  <si>
    <t>高级感轻奢无袖别致气质连衣裙收腰背心裙子女PX-W26Q24917</t>
  </si>
  <si>
    <t>绿色休闲气质衬衫 秋 正装职业工作13RG585</t>
  </si>
  <si>
    <t>新款韩版长袖系带收腰连衣裙打底碎花裙11RG038</t>
  </si>
  <si>
    <t>雪纺缎面中袖上衣春季新款外穿百搭圆领衬衣10RG21615</t>
  </si>
  <si>
    <t>新款别致设计感气质女时尚洋气衬衫NZY-KR-2317</t>
  </si>
  <si>
    <t>【大码女装】 长袖小雏菊雪纺裙中长款收腰碎花雪纺连衣裙YZY-20508-1</t>
  </si>
  <si>
    <t>缎面衬衫轻熟港风V领飘带垂感中袖衬衣HYN2140</t>
  </si>
  <si>
    <t>小香风冰丝连衣裙女 韩版短袖高腰A字针织小黑裙子XC-8580</t>
  </si>
  <si>
    <t>免烫百搭纯色长袖衬衫 商务职业女士衬衣修身11RG666</t>
  </si>
  <si>
    <t>圆领纯色衬衫宽松短袖雪纺衬衣22RG6663</t>
  </si>
  <si>
    <t>服装类目秋冬品类布局</t>
  </si>
  <si>
    <t>上装：毛针织衫、衬衫、T恤、卫衣、绒衫</t>
  </si>
  <si>
    <t>裙装：连衣裙、半身裙</t>
  </si>
  <si>
    <t>裤装：裤子、牛仔裤</t>
  </si>
  <si>
    <t>外套：短外套、西装、风衣</t>
  </si>
  <si>
    <t>其他：内衣裤系列、塑身衣系列、居家服系列、服饰周边系列</t>
  </si>
  <si>
    <t>毛针织衫的市场份额随着月份变化逐渐扩大。外套类(短外套、西装、毛呢外套.风衣)从8月开始逐步扩大市场份额。</t>
  </si>
  <si>
    <t>毛针织衫、工作制服、卫衣绒衫，基本上是明星品类，市场份额大，且增速快，秋新还会持续增长。</t>
  </si>
  <si>
    <t>西装、大码女装、皮草、马夹、皮衣，相对增速快，市场相对垂直，秋新还会持续增长，可酌情增加供给。</t>
  </si>
  <si>
    <t>连衣裙、裤子、衬衫、 T恤，市场份额大，但是增速相对稳定，可重点关注品类下细分趋势寻求成交突破。</t>
  </si>
  <si>
    <t>第一阶段，7-9月，处理夏装库存，准备秋冬款。</t>
  </si>
  <si>
    <t>夏装款式，基本可以卖到9月初。不论到时效果如何，到了9月后，即便夏装库存很大，也不能再推夏装，必须主打秋冬款。8月秋装已经可以上架测试了。</t>
  </si>
  <si>
    <t>第二阶段，9~10月，秋款推广，冬款测试预热。</t>
  </si>
  <si>
    <t>9月开始主推秋装，秋装销售周期相对有限，10月为秋装的旺季</t>
  </si>
  <si>
    <t>第三阶段 11月正式启动冬装销售</t>
  </si>
  <si>
    <t>第四阶段，元旦后到春节前</t>
  </si>
  <si>
    <t>元旦后，是女装销售的另一波机会。从类目指数来看，市场的需求并没有太多提升，这个机会点是来自于竞争的减弱。</t>
  </si>
  <si>
    <t>供应商名称</t>
  </si>
  <si>
    <t>供应商编码</t>
  </si>
  <si>
    <t>AX</t>
  </si>
  <si>
    <t>兰即</t>
  </si>
  <si>
    <t>HZL</t>
  </si>
  <si>
    <t>MC</t>
  </si>
  <si>
    <t>XY</t>
  </si>
  <si>
    <t>YEL</t>
  </si>
  <si>
    <t>汐灿/昕潮</t>
  </si>
  <si>
    <t>连衣裙/衬衫</t>
  </si>
  <si>
    <t>YNR</t>
  </si>
  <si>
    <t>燕奈儿</t>
  </si>
  <si>
    <t>SR</t>
  </si>
  <si>
    <t>尊洛莎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</si>
</sst>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￥&quot;#,##0.00_);[Red]\(&quot;￥&quot;#,##0.00\)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1D1D1F"/>
      <name val="Helvetica"/>
      <charset val="134"/>
    </font>
    <font>
      <b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4" fillId="14" borderId="9" applyNumberFormat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6" fillId="1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0" borderId="0"/>
  </cellStyleXfs>
  <cellXfs count="6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 applyBorder="1" applyAlignment="1">
      <alignment horizontal="left" vertical="center" indent="1"/>
    </xf>
    <xf numFmtId="0" fontId="0" fillId="3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6" borderId="1" xfId="0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0" fontId="0" fillId="0" borderId="1" xfId="3" applyNumberFormat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10" fontId="1" fillId="4" borderId="1" xfId="3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Border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7" borderId="1" xfId="0" applyFont="1" applyFill="1" applyBorder="1">
      <alignment vertical="center"/>
    </xf>
    <xf numFmtId="176" fontId="1" fillId="7" borderId="1" xfId="0" applyNumberFormat="1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10" fontId="0" fillId="0" borderId="1" xfId="3" applyNumberFormat="1" applyFont="1" applyBorder="1" applyAlignment="1">
      <alignment horizontal="left" vertical="center"/>
    </xf>
    <xf numFmtId="0" fontId="1" fillId="6" borderId="1" xfId="0" applyFont="1" applyFill="1" applyBorder="1">
      <alignment vertical="center"/>
    </xf>
    <xf numFmtId="0" fontId="0" fillId="8" borderId="1" xfId="0" applyFill="1" applyBorder="1">
      <alignment vertical="center"/>
    </xf>
    <xf numFmtId="176" fontId="0" fillId="8" borderId="1" xfId="0" applyNumberFormat="1" applyFill="1" applyBorder="1" applyAlignment="1">
      <alignment horizontal="left" vertical="center"/>
    </xf>
    <xf numFmtId="10" fontId="0" fillId="8" borderId="1" xfId="3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>
      <alignment vertical="center"/>
    </xf>
    <xf numFmtId="176" fontId="0" fillId="9" borderId="1" xfId="0" applyNumberFormat="1" applyFill="1" applyBorder="1" applyAlignment="1">
      <alignment horizontal="left" vertical="center"/>
    </xf>
    <xf numFmtId="10" fontId="0" fillId="9" borderId="1" xfId="3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>
      <alignment vertical="center"/>
    </xf>
    <xf numFmtId="176" fontId="0" fillId="10" borderId="1" xfId="0" applyNumberFormat="1" applyFill="1" applyBorder="1" applyAlignment="1">
      <alignment horizontal="left" vertical="center"/>
    </xf>
    <xf numFmtId="10" fontId="0" fillId="10" borderId="1" xfId="3" applyNumberForma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0" fillId="11" borderId="1" xfId="0" applyFont="1" applyFill="1" applyBorder="1">
      <alignment vertical="center"/>
    </xf>
    <xf numFmtId="176" fontId="0" fillId="11" borderId="1" xfId="0" applyNumberFormat="1" applyFont="1" applyFill="1" applyBorder="1" applyAlignment="1">
      <alignment horizontal="left" vertical="center"/>
    </xf>
    <xf numFmtId="10" fontId="0" fillId="11" borderId="1" xfId="3" applyNumberFormat="1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26.4758217593" refreshedBy="Administrator" recordCount="124">
  <cacheSource type="worksheet">
    <worksheetSource ref="N5:T129" sheet="启博+有赞供应商销售汇总表（2208）"/>
  </cacheSource>
  <cacheFields count="7">
    <cacheField name="供应商" numFmtId="0">
      <sharedItems count="78">
        <s v="兰即服饰"/>
        <s v="茵媛服饰"/>
        <s v="纤姿态"/>
        <s v="女子丫"/>
        <s v="红月奴"/>
        <s v="和顺圣"/>
        <s v="荣发"/>
        <s v="三十秋"/>
        <s v="玉娟红服饰"/>
        <s v="以莫"/>
        <s v="茗樱"/>
        <s v="梯子云"/>
        <s v="雅兰"/>
        <s v="丽雅行"/>
        <s v="金利福JLF"/>
        <s v="佰秀"/>
        <s v="金贝贝"/>
        <s v="晨欣晨逸"/>
        <s v="曼妮卡"/>
        <s v="泽布"/>
        <s v="屏西"/>
        <s v="源德羊绒"/>
        <s v="嘉恒"/>
        <s v="蒂铭"/>
        <s v="鑫佳煌女鞋"/>
        <s v="君豪"/>
        <s v="姿瑟"/>
        <s v="华芝琳"/>
        <s v="爱秀针织AX"/>
        <s v="万颐"/>
        <s v="东苗皮具DM"/>
        <s v="汐灿"/>
        <s v="虹迪"/>
        <s v="熊刚"/>
        <s v="美臣"/>
        <s v="恒饶饰品"/>
        <s v="宣菲"/>
        <s v="韵之源"/>
        <s v="百迈"/>
        <s v="鑫亿晨旭"/>
        <s v="亿尔路"/>
        <s v="T恤"/>
        <s v="伊凯妃"/>
        <s v="宝狄妍"/>
        <s v="戴拉"/>
        <s v="永丰"/>
        <s v="维特丝"/>
        <s v="尚美婷"/>
        <s v="岱妮妃"/>
        <s v="欧佩"/>
        <s v="蓝梦琳"/>
        <s v="丹曼儿"/>
        <s v="蚕蝶"/>
        <s v="追色"/>
        <s v="绍兴谦寻"/>
        <s v="袁发纺织"/>
        <s v="子晞"/>
        <s v="FYT"/>
        <s v="乾英智"/>
        <s v="乐米"/>
        <s v="昕潮"/>
        <s v="水鸭仔"/>
        <s v="菜菜家"/>
        <s v="颠旭"/>
        <s v="雅氏"/>
        <s v="乔黛姿"/>
        <s v="太阳镜"/>
        <s v="圣绒"/>
        <s v="佳源"/>
        <s v="欧米诗"/>
        <s v="TWS"/>
        <s v="RB"/>
        <s v="名颜"/>
        <s v="围艺"/>
        <s v="右后"/>
        <s v="OB"/>
        <s v="果果"/>
        <s v="金利福" u="1"/>
      </sharedItems>
    </cacheField>
    <cacheField name="主营类目" numFmtId="0">
      <sharedItems count="60">
        <s v="职业套装/衬衫"/>
        <s v="西裤"/>
        <s v="女鞋"/>
        <s v="套装"/>
        <s v="西服/衬衫"/>
        <s v="打底"/>
        <s v="男士西裤"/>
        <s v="西服/小西装"/>
        <s v="男士衬衫"/>
        <s v="衬衫"/>
        <s v="西裙"/>
        <s v="连衣裙"/>
        <s v="男鞋"/>
        <s v="女士包包"/>
        <s v="西裙/休闲裤/其他"/>
        <s v="衬衫打底针织"/>
        <s v="内衣"/>
        <s v="男士腰带"/>
        <s v="针织"/>
        <s v="配饰"/>
        <s v="半身裙"/>
        <s v="内衣内裤专区"/>
        <s v="护肤专区"/>
        <s v="洗护专区"/>
        <s v="职业女士套装"/>
        <s v="内裤"/>
        <s v="文胸"/>
        <s v="皮鞋"/>
        <s v="吊带"/>
        <s v="洗发水"/>
        <s v="面部护理套装"/>
        <s v="耳饰"/>
        <s v="女士包袋"/>
        <s v="西装裤/正装裤"/>
        <s v="瑜伽内衣"/>
        <s v="休闲裤"/>
        <s v="其他"/>
        <s v="遮阳帽/沙滩帽"/>
        <s v="围巾/丝巾/披肩"/>
        <s v="腰带/皮带/腰链"/>
        <s v="防晒霜"/>
        <s v="吊带/背心"/>
        <s v="短袜子"/>
        <s v="瑜伽长裤"/>
        <s v="防晒喷雾"/>
        <s v="颈饰"/>
        <s v="速干裤"/>
        <s v="睡衣/家居服套装"/>
        <s v="蕾丝衫/雪纺衫"/>
        <s v="洗护套装"/>
        <s v="T恤"/>
        <s v="止汗露"/>
        <s v="其他靴子"/>
        <s v="太阳眼镜"/>
        <s v="针织衫/毛衣"/>
        <s v="驱蚊喷雾/走珠"/>
        <s v="胸针"/>
        <s v="常规洗衣液"/>
        <s v="耳钉"/>
        <s v="洁面"/>
      </sharedItems>
    </cacheField>
    <cacheField name="订单实付金额" numFmtId="177">
      <sharedItems containsSemiMixedTypes="0" containsString="0" containsNumber="1" minValue="0" maxValue="44622" count="123">
        <n v="44622"/>
        <n v="7697"/>
        <n v="7030"/>
        <n v="5944"/>
        <n v="5543"/>
        <n v="3665"/>
        <n v="3498"/>
        <n v="3333"/>
        <n v="2487"/>
        <n v="2447"/>
        <n v="2362"/>
        <n v="2131"/>
        <n v="1993"/>
        <n v="1925"/>
        <n v="1537"/>
        <n v="1526"/>
        <n v="1445"/>
        <n v="1384"/>
        <n v="1323"/>
        <n v="1182"/>
        <n v="1103"/>
        <n v="1046"/>
        <n v="744"/>
        <n v="585"/>
        <n v="553"/>
        <n v="448"/>
        <n v="447"/>
        <n v="430"/>
        <n v="408"/>
        <n v="407"/>
        <n v="378.8"/>
        <n v="278"/>
        <n v="276"/>
        <n v="272"/>
        <n v="228"/>
        <n v="218.9"/>
        <n v="208.7"/>
        <n v="169"/>
        <n v="156"/>
        <n v="132"/>
        <n v="119"/>
        <n v="118"/>
        <n v="116"/>
        <n v="79"/>
        <n v="62"/>
        <n v="50"/>
        <n v="39.8"/>
        <n v="34176.99"/>
        <n v="17896.23"/>
        <n v="12423.81"/>
        <n v="7759.03"/>
        <n v="6436.55"/>
        <n v="4663.86"/>
        <n v="4247.79"/>
        <n v="3507.5"/>
        <n v="2931.69"/>
        <n v="2877.06"/>
        <n v="2596.08"/>
        <n v="2496.05"/>
        <n v="2294.59"/>
        <n v="2064.19"/>
        <n v="1951.9"/>
        <n v="1718.8"/>
        <n v="1534.11"/>
        <n v="1514.97"/>
        <n v="1391"/>
        <n v="1250"/>
        <n v="1210.42"/>
        <n v="1050"/>
        <n v="1016.98"/>
        <n v="1011.32"/>
        <n v="891"/>
        <n v="868.42"/>
        <n v="718"/>
        <n v="650.97"/>
        <n v="614"/>
        <n v="604.21"/>
        <n v="587.96"/>
        <n v="528.52"/>
        <n v="496.55"/>
        <n v="467.81"/>
        <n v="458.3"/>
        <n v="436.11"/>
        <n v="434"/>
        <n v="425.6"/>
        <n v="372.81"/>
        <n v="370.26"/>
        <n v="365.24"/>
        <n v="349.31"/>
        <n v="326.02"/>
        <n v="317"/>
        <n v="304"/>
        <n v="266"/>
        <n v="245.82"/>
        <n v="237.8"/>
        <n v="225.72"/>
        <n v="211.21"/>
        <n v="208.48"/>
        <n v="189"/>
        <n v="157"/>
        <n v="155"/>
        <n v="153.42"/>
        <n v="149.5"/>
        <n v="146"/>
        <n v="141.1"/>
        <n v="136"/>
        <n v="129.24"/>
        <n v="129"/>
        <n v="115"/>
        <n v="108.19"/>
        <n v="108"/>
        <n v="106"/>
        <n v="99.5"/>
        <n v="99"/>
        <n v="96"/>
        <n v="73.66"/>
        <n v="68"/>
        <n v="49.9"/>
        <n v="48"/>
        <n v="29.9"/>
        <n v="19.9"/>
        <n v="3"/>
        <n v="2"/>
      </sharedItems>
    </cacheField>
    <cacheField name="订单金额占比" numFmtId="10">
      <sharedItems containsSemiMixedTypes="0" containsString="0" containsNumber="1" minValue="0" maxValue="0.397891324003845" count="124">
        <n v="0.397891324003845"/>
        <n v="0.0686336228958271"/>
        <n v="0.0626860294865096"/>
        <n v="0.0530022417166164"/>
        <n v="0.0494265521257073"/>
        <n v="0.0326805544904776"/>
        <n v="0.0311914269052362"/>
        <n v="0.0297201331832911"/>
        <n v="0.0221764090089544"/>
        <n v="0.0218197317430283"/>
        <n v="0.0210617925529354"/>
        <n v="0.0190019813422122"/>
        <n v="0.0177714447747672"/>
        <n v="0.0171650934226929"/>
        <n v="0.0137053239432098"/>
        <n v="0.0136072376950802"/>
        <n v="0.0128849662315798"/>
        <n v="0.0123410334010426"/>
        <n v="0.0117971005705053"/>
        <n v="0.0105398132081158"/>
        <n v="0.00983537560791182"/>
        <n v="0.00932711050396714"/>
        <n v="0.0066341971462252"/>
        <n v="0.00521640501416901"/>
        <n v="0.00493106320142814"/>
        <n v="0.00399478537837216"/>
        <n v="0.00398586844672401"/>
        <n v="0.00383428060870542"/>
        <n v="0.00363810811244608"/>
        <n v="0.00362919118079792"/>
        <n v="0.00337773370832003"/>
        <n v="0.0024789069981863"/>
        <n v="0.00246107313488999"/>
        <n v="0.00242540540829738"/>
        <n v="0.00203306041577869"/>
        <n v="0.0019519163377805"/>
        <n v="0.00186096363496935"/>
        <n v="0.00150696144853771"/>
        <n v="0.00139104133711173"/>
        <n v="0.00117703497755608"/>
        <n v="0.00106111486613011"/>
        <n v="0.00105219793448195"/>
        <n v="0.00103436407118565"/>
        <n v="0.00070443760020402"/>
        <n v="0.000552849762185433"/>
        <n v="0.000445846582407607"/>
        <n v="0.000354893879596455"/>
        <n v="0.253566058922576"/>
        <n v="0.132775780157116"/>
        <n v="0.0921747801226172"/>
        <n v="0.057565825959572"/>
        <n v="0.0477540771307861"/>
        <n v="0.0346021284954188"/>
        <n v="0.0315152203114062"/>
        <n v="0.0260228578254239"/>
        <n v="0.0217508060037682"/>
        <n v="0.0213454948924345"/>
        <n v="0.0192608469689028"/>
        <n v="0.0185187039986171"/>
        <n v="0.0170240311725273"/>
        <n v="0.0153146465843654"/>
        <n v="0.0144815441737548"/>
        <n v="0.0127521277349504"/>
        <n v="0.0113818749589625"/>
        <n v="0.0112398713955189"/>
        <n v="0.0103201126828695"/>
        <n v="0.00927400492709334"/>
        <n v="0.00898035283508186"/>
        <n v="0.0077901641387584"/>
        <n v="0.00754518202460431"/>
        <n v="0.00750318933029443"/>
        <n v="0.00661051071203213"/>
        <n v="0.00644298508702912"/>
        <n v="0.00532698843012241"/>
        <n v="0.00482967918991196"/>
        <n v="0.00455539122018825"/>
        <n v="0.00448275721359925"/>
        <n v="0.00436219514954704"/>
        <n v="0.0039211976672539"/>
        <n v="0.00368400571723856"/>
        <n v="0.00347077779595483"/>
        <n v="0.0034002211664695"/>
        <n v="0.00323558903100374"/>
        <n v="0.00321993451068681"/>
        <n v="0.00315761319757674"/>
        <n v="0.00276595342149573"/>
        <n v="0.00274703445144446"/>
        <n v="0.00270979004765726"/>
        <n v="0.00259160212886638"/>
        <n v="0.00241880886906478"/>
        <n v="0.00235188764951087"/>
        <n v="0.0022554379982691"/>
        <n v="0.00201802347213551"/>
        <n v="0.00197350824848546"/>
        <n v="0.00182378871294247"/>
        <n v="0.00176428669733024"/>
        <n v="0.00167466271371481"/>
        <n v="0.00156701006452111"/>
        <n v="0.00154675563776034"/>
        <n v="0.00140222954497651"/>
        <n v="0.00116481501884292"/>
        <n v="0.00114997661095957"/>
        <n v="0.00113825426873173"/>
        <n v="0.00110917098928036"/>
        <n v="0.0010832037754845"/>
        <n v="0.0010468496761703"/>
        <n v="0.00100901173606776"/>
        <n v="0.000958857917422034"/>
        <n v="0.000957077308476033"/>
        <n v="0.000853208453292587"/>
        <n v="0.000802683674449783"/>
        <n v="0.000801274025700864"/>
        <n v="0.000786435617817515"/>
        <n v="0.00073821079219663"/>
        <n v="0.000734501190225792"/>
        <n v="0.000712243578400768"/>
        <n v="0.000546498562343756"/>
        <n v="0.000504505868033878"/>
        <n v="0.000370218276689566"/>
        <n v="0.000356121789200384"/>
        <n v="0.000221834197856073"/>
        <n v="0.000147642158439326"/>
        <n v="2.2257611825024e-5"/>
        <n v="1.48384078833493e-5"/>
      </sharedItems>
    </cacheField>
    <cacheField name="支付订单数" numFmtId="0">
      <sharedItems containsSemiMixedTypes="0" containsString="0" containsNumber="1" containsInteger="1" minValue="0" maxValue="482" count="46">
        <n v="482"/>
        <n v="128"/>
        <n v="85"/>
        <n v="54"/>
        <n v="60"/>
        <n v="35"/>
        <n v="96"/>
        <n v="22"/>
        <n v="24"/>
        <n v="42"/>
        <n v="32"/>
        <n v="37"/>
        <n v="23"/>
        <n v="14"/>
        <n v="12"/>
        <n v="11"/>
        <n v="16"/>
        <n v="17"/>
        <n v="25"/>
        <n v="13"/>
        <n v="8"/>
        <n v="6"/>
        <n v="3"/>
        <n v="2"/>
        <n v="7"/>
        <n v="1"/>
        <n v="10"/>
        <n v="4"/>
        <n v="340"/>
        <n v="268"/>
        <n v="137"/>
        <n v="74"/>
        <n v="114"/>
        <n v="52"/>
        <n v="36"/>
        <n v="39"/>
        <n v="63"/>
        <n v="49"/>
        <n v="30"/>
        <n v="61"/>
        <n v="29"/>
        <n v="21"/>
        <n v="20"/>
        <n v="15"/>
        <n v="5"/>
        <n v="9"/>
      </sharedItems>
    </cacheField>
    <cacheField name="退货订单数" numFmtId="0">
      <sharedItems containsSemiMixedTypes="0" containsString="0" containsNumber="1" containsInteger="1" minValue="0" maxValue="166" count="22">
        <n v="166"/>
        <n v="24"/>
        <n v="19"/>
        <n v="17"/>
        <n v="16"/>
        <n v="5"/>
        <n v="13"/>
        <n v="4"/>
        <n v="11"/>
        <n v="10"/>
        <n v="12"/>
        <n v="1"/>
        <n v="2"/>
        <n v="3"/>
        <n v="0"/>
        <n v="9"/>
        <n v="132"/>
        <n v="71"/>
        <n v="15"/>
        <n v="18"/>
        <n v="7"/>
        <n v="6"/>
      </sharedItems>
    </cacheField>
    <cacheField name="订单退货率" numFmtId="10">
      <sharedItems containsSemiMixedTypes="0" containsString="0" containsNumber="1" minValue="0" maxValue="0.9" count="53">
        <n v="0.344398340248963"/>
        <n v="0.1875"/>
        <n v="0.223529411764706"/>
        <n v="0.314814814814815"/>
        <n v="0.266666666666667"/>
        <n v="0.142857142857143"/>
        <n v="0.135416666666667"/>
        <n v="0.181818181818182"/>
        <n v="0.208333333333333"/>
        <n v="0.0952380952380952"/>
        <n v="0.34375"/>
        <n v="0.27027027027027"/>
        <n v="0.521739130434783"/>
        <n v="0.0714285714285714"/>
        <n v="0.166666666666667"/>
        <n v="0.416666666666667"/>
        <n v="0.0909090909090909"/>
        <n v="0.3125"/>
        <n v="0.235294117647059"/>
        <n v="0.12"/>
        <n v="0.384615384615385"/>
        <n v="0"/>
        <n v="0.375"/>
        <n v="0.5"/>
        <n v="0.333333333333333"/>
        <n v="0.9"/>
        <n v="0.75"/>
        <n v="0.388235294117647"/>
        <n v="0.041044776119403"/>
        <n v="0.518248175182482"/>
        <n v="0.202702702702703"/>
        <n v="0.105263157894737"/>
        <n v="0.192307692307692"/>
        <n v="0.277777777777778"/>
        <n v="0.428571428571429"/>
        <n v="0.230769230769231"/>
        <n v="0.0793650793650794"/>
        <n v="0.0408163265306122"/>
        <n v="0.0666666666666667"/>
        <n v="0.0819672131147541"/>
        <n v="0.137931034482759"/>
        <n v="0.16"/>
        <n v="0.285714285714286"/>
        <n v="0.15"/>
        <n v="0.3"/>
        <n v="0.1"/>
        <n v="0.173913043478261"/>
        <n v="0.125"/>
        <n v="0.6"/>
        <n v="0.2"/>
        <n v="0.0769230769230769"/>
        <n v="0.111111111111111"/>
        <n v="0.66666666666666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W7:AA117" firstHeaderRow="0" firstDataRow="1" firstDataCol="2"/>
  <pivotFields count="7">
    <pivotField axis="axisRow" compact="0" sortType="descending" defaultSubtotal="0" outline="0" showAll="0">
      <items count="78">
        <item x="57"/>
        <item x="75"/>
        <item x="71"/>
        <item x="70"/>
        <item x="41"/>
        <item x="28"/>
        <item x="38"/>
        <item x="15"/>
        <item x="43"/>
        <item x="62"/>
        <item x="52"/>
        <item x="17"/>
        <item x="48"/>
        <item x="44"/>
        <item x="51"/>
        <item x="23"/>
        <item x="63"/>
        <item x="30"/>
        <item x="76"/>
        <item x="5"/>
        <item x="35"/>
        <item x="4"/>
        <item x="32"/>
        <item x="27"/>
        <item x="68"/>
        <item x="22"/>
        <item x="16"/>
        <item m="1" x="77"/>
        <item x="14"/>
        <item x="25"/>
        <item x="0"/>
        <item x="50"/>
        <item x="59"/>
        <item x="13"/>
        <item x="18"/>
        <item x="34"/>
        <item x="72"/>
        <item x="10"/>
        <item x="3"/>
        <item x="69"/>
        <item x="49"/>
        <item x="20"/>
        <item x="58"/>
        <item x="65"/>
        <item x="6"/>
        <item x="7"/>
        <item x="47"/>
        <item x="54"/>
        <item x="67"/>
        <item x="61"/>
        <item x="66"/>
        <item x="11"/>
        <item x="29"/>
        <item x="73"/>
        <item x="46"/>
        <item x="31"/>
        <item x="2"/>
        <item x="60"/>
        <item x="24"/>
        <item x="39"/>
        <item x="33"/>
        <item x="36"/>
        <item x="12"/>
        <item x="64"/>
        <item x="42"/>
        <item x="9"/>
        <item x="40"/>
        <item x="1"/>
        <item x="45"/>
        <item x="74"/>
        <item x="8"/>
        <item x="55"/>
        <item x="21"/>
        <item x="37"/>
        <item x="19"/>
        <item x="53"/>
        <item x="26"/>
        <item x="56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defaultSubtotal="0" outline="0" showAll="0">
      <items count="60">
        <item x="50"/>
        <item x="20"/>
        <item x="57"/>
        <item x="9"/>
        <item x="15"/>
        <item x="5"/>
        <item x="28"/>
        <item x="41"/>
        <item x="42"/>
        <item x="58"/>
        <item x="31"/>
        <item x="44"/>
        <item x="40"/>
        <item x="22"/>
        <item x="59"/>
        <item x="45"/>
        <item x="48"/>
        <item x="11"/>
        <item x="30"/>
        <item x="8"/>
        <item x="6"/>
        <item x="17"/>
        <item x="12"/>
        <item x="25"/>
        <item x="16"/>
        <item x="21"/>
        <item x="13"/>
        <item x="32"/>
        <item x="2"/>
        <item x="19"/>
        <item x="27"/>
        <item x="36"/>
        <item x="52"/>
        <item x="55"/>
        <item x="47"/>
        <item x="46"/>
        <item x="53"/>
        <item x="3"/>
        <item x="38"/>
        <item x="26"/>
        <item x="4"/>
        <item x="7"/>
        <item x="1"/>
        <item x="10"/>
        <item x="14"/>
        <item x="33"/>
        <item x="29"/>
        <item x="49"/>
        <item x="23"/>
        <item x="56"/>
        <item x="35"/>
        <item x="39"/>
        <item x="34"/>
        <item x="43"/>
        <item x="37"/>
        <item x="18"/>
        <item x="54"/>
        <item x="24"/>
        <item x="0"/>
        <item x="51"/>
      </items>
    </pivotField>
    <pivotField dataField="1" compact="0" defaultSubtotal="0" outline="0" numFmtId="176" showAll="0">
      <items count="123">
        <item x="122"/>
        <item x="121"/>
        <item x="120"/>
        <item x="119"/>
        <item x="46"/>
        <item x="118"/>
        <item x="117"/>
        <item x="45"/>
        <item x="44"/>
        <item x="116"/>
        <item x="115"/>
        <item x="43"/>
        <item x="114"/>
        <item x="113"/>
        <item x="112"/>
        <item x="111"/>
        <item x="110"/>
        <item x="109"/>
        <item x="108"/>
        <item x="42"/>
        <item x="41"/>
        <item x="40"/>
        <item x="107"/>
        <item x="106"/>
        <item x="39"/>
        <item x="105"/>
        <item x="104"/>
        <item x="103"/>
        <item x="102"/>
        <item x="101"/>
        <item x="100"/>
        <item x="38"/>
        <item x="99"/>
        <item x="37"/>
        <item x="98"/>
        <item x="97"/>
        <item x="36"/>
        <item x="96"/>
        <item x="35"/>
        <item x="95"/>
        <item x="34"/>
        <item x="94"/>
        <item x="93"/>
        <item x="92"/>
        <item x="33"/>
        <item x="32"/>
        <item x="31"/>
        <item x="91"/>
        <item x="90"/>
        <item x="89"/>
        <item x="88"/>
        <item x="87"/>
        <item x="86"/>
        <item x="85"/>
        <item x="30"/>
        <item x="29"/>
        <item x="28"/>
        <item x="84"/>
        <item x="27"/>
        <item x="83"/>
        <item x="82"/>
        <item x="26"/>
        <item x="25"/>
        <item x="81"/>
        <item x="80"/>
        <item x="79"/>
        <item x="78"/>
        <item x="24"/>
        <item x="23"/>
        <item x="77"/>
        <item x="76"/>
        <item x="75"/>
        <item x="74"/>
        <item x="73"/>
        <item x="22"/>
        <item x="72"/>
        <item x="71"/>
        <item x="70"/>
        <item x="69"/>
        <item x="21"/>
        <item x="68"/>
        <item x="20"/>
        <item x="19"/>
        <item x="67"/>
        <item x="66"/>
        <item x="18"/>
        <item x="17"/>
        <item x="65"/>
        <item x="16"/>
        <item x="64"/>
        <item x="15"/>
        <item x="63"/>
        <item x="14"/>
        <item x="62"/>
        <item x="13"/>
        <item x="61"/>
        <item x="12"/>
        <item x="60"/>
        <item x="11"/>
        <item x="59"/>
        <item x="10"/>
        <item x="9"/>
        <item x="8"/>
        <item x="58"/>
        <item x="57"/>
        <item x="56"/>
        <item x="55"/>
        <item x="7"/>
        <item x="6"/>
        <item x="54"/>
        <item x="5"/>
        <item x="53"/>
        <item x="52"/>
        <item x="4"/>
        <item x="3"/>
        <item x="51"/>
        <item x="2"/>
        <item x="1"/>
        <item x="50"/>
        <item x="49"/>
        <item x="48"/>
        <item x="47"/>
        <item x="0"/>
      </items>
    </pivotField>
    <pivotField compact="0" defaultSubtotal="0" outline="0" numFmtId="10" showAll="0">
      <items count="124">
        <item x="123"/>
        <item x="122"/>
        <item x="121"/>
        <item x="120"/>
        <item x="46"/>
        <item x="119"/>
        <item x="118"/>
        <item x="45"/>
        <item x="117"/>
        <item x="116"/>
        <item x="44"/>
        <item x="43"/>
        <item x="115"/>
        <item x="114"/>
        <item x="113"/>
        <item x="112"/>
        <item x="111"/>
        <item x="110"/>
        <item x="109"/>
        <item x="108"/>
        <item x="107"/>
        <item x="106"/>
        <item x="42"/>
        <item x="105"/>
        <item x="41"/>
        <item x="40"/>
        <item x="104"/>
        <item x="103"/>
        <item x="102"/>
        <item x="101"/>
        <item x="100"/>
        <item x="39"/>
        <item x="38"/>
        <item x="99"/>
        <item x="37"/>
        <item x="98"/>
        <item x="97"/>
        <item x="96"/>
        <item x="95"/>
        <item x="94"/>
        <item x="36"/>
        <item x="35"/>
        <item x="93"/>
        <item x="92"/>
        <item x="34"/>
        <item x="91"/>
        <item x="90"/>
        <item x="89"/>
        <item x="33"/>
        <item x="32"/>
        <item x="31"/>
        <item x="88"/>
        <item x="87"/>
        <item x="86"/>
        <item x="85"/>
        <item x="84"/>
        <item x="83"/>
        <item x="82"/>
        <item x="30"/>
        <item x="81"/>
        <item x="80"/>
        <item x="29"/>
        <item x="28"/>
        <item x="79"/>
        <item x="27"/>
        <item x="78"/>
        <item x="26"/>
        <item x="25"/>
        <item x="77"/>
        <item x="76"/>
        <item x="75"/>
        <item x="74"/>
        <item x="24"/>
        <item x="23"/>
        <item x="73"/>
        <item x="72"/>
        <item x="71"/>
        <item x="22"/>
        <item x="70"/>
        <item x="69"/>
        <item x="68"/>
        <item x="67"/>
        <item x="66"/>
        <item x="21"/>
        <item x="20"/>
        <item x="65"/>
        <item x="19"/>
        <item x="64"/>
        <item x="63"/>
        <item x="18"/>
        <item x="17"/>
        <item x="62"/>
        <item x="16"/>
        <item x="15"/>
        <item x="14"/>
        <item x="61"/>
        <item x="60"/>
        <item x="59"/>
        <item x="13"/>
        <item x="12"/>
        <item x="58"/>
        <item x="11"/>
        <item x="57"/>
        <item x="10"/>
        <item x="56"/>
        <item x="55"/>
        <item x="9"/>
        <item x="8"/>
        <item x="54"/>
        <item x="7"/>
        <item x="6"/>
        <item x="53"/>
        <item x="5"/>
        <item x="52"/>
        <item x="51"/>
        <item x="4"/>
        <item x="3"/>
        <item x="50"/>
        <item x="2"/>
        <item x="1"/>
        <item x="49"/>
        <item x="48"/>
        <item x="47"/>
        <item x="0"/>
      </items>
    </pivotField>
    <pivotField dataField="1" compact="0" defaultSubtotal="0" outline="0" showAll="0">
      <items count="46">
        <item x="25"/>
        <item x="23"/>
        <item x="22"/>
        <item x="27"/>
        <item x="44"/>
        <item x="21"/>
        <item x="24"/>
        <item x="20"/>
        <item x="45"/>
        <item x="26"/>
        <item x="15"/>
        <item x="14"/>
        <item x="19"/>
        <item x="13"/>
        <item x="43"/>
        <item x="16"/>
        <item x="17"/>
        <item x="42"/>
        <item x="41"/>
        <item x="7"/>
        <item x="12"/>
        <item x="8"/>
        <item x="18"/>
        <item x="40"/>
        <item x="38"/>
        <item x="10"/>
        <item x="5"/>
        <item x="34"/>
        <item x="11"/>
        <item x="35"/>
        <item x="9"/>
        <item x="37"/>
        <item x="33"/>
        <item x="3"/>
        <item x="4"/>
        <item x="39"/>
        <item x="36"/>
        <item x="31"/>
        <item x="2"/>
        <item x="6"/>
        <item x="32"/>
        <item x="1"/>
        <item x="30"/>
        <item x="29"/>
        <item x="28"/>
        <item x="0"/>
      </items>
    </pivotField>
    <pivotField dataField="1" compact="0" defaultSubtotal="0" outline="0" showAll="0">
      <items count="22">
        <item x="14"/>
        <item x="11"/>
        <item x="12"/>
        <item x="13"/>
        <item x="7"/>
        <item x="5"/>
        <item x="21"/>
        <item x="20"/>
        <item x="15"/>
        <item x="9"/>
        <item x="8"/>
        <item x="10"/>
        <item x="6"/>
        <item x="18"/>
        <item x="4"/>
        <item x="3"/>
        <item x="19"/>
        <item x="2"/>
        <item x="1"/>
        <item x="17"/>
        <item x="16"/>
        <item x="0"/>
      </items>
    </pivotField>
    <pivotField compact="0" defaultSubtotal="0" outline="0" numFmtId="10" showAll="0">
      <items count="53">
        <item x="21"/>
        <item x="37"/>
        <item x="28"/>
        <item x="38"/>
        <item x="13"/>
        <item x="50"/>
        <item x="36"/>
        <item x="39"/>
        <item x="16"/>
        <item x="9"/>
        <item x="45"/>
        <item x="31"/>
        <item x="51"/>
        <item x="19"/>
        <item x="47"/>
        <item x="6"/>
        <item x="40"/>
        <item x="5"/>
        <item x="43"/>
        <item x="41"/>
        <item x="14"/>
        <item x="46"/>
        <item x="7"/>
        <item x="1"/>
        <item x="32"/>
        <item x="49"/>
        <item x="30"/>
        <item x="8"/>
        <item x="2"/>
        <item x="35"/>
        <item x="18"/>
        <item x="4"/>
        <item x="11"/>
        <item x="33"/>
        <item x="42"/>
        <item x="44"/>
        <item x="17"/>
        <item x="3"/>
        <item x="24"/>
        <item x="10"/>
        <item x="0"/>
        <item x="22"/>
        <item x="20"/>
        <item x="27"/>
        <item x="15"/>
        <item x="34"/>
        <item x="23"/>
        <item x="29"/>
        <item x="12"/>
        <item x="48"/>
        <item x="52"/>
        <item x="26"/>
        <item x="25"/>
      </items>
    </pivotField>
  </pivotFields>
  <rowFields count="2">
    <field x="0"/>
    <field x="1"/>
  </rowFields>
  <rowItems count="110">
    <i>
      <x v="30"/>
      <x v="57"/>
    </i>
    <i r="1">
      <x v="58"/>
    </i>
    <i>
      <x v="46"/>
      <x v="23"/>
    </i>
    <i>
      <x v="41"/>
      <x v="17"/>
    </i>
    <i r="1">
      <x v="43"/>
    </i>
    <i>
      <x v="56"/>
      <x v="28"/>
    </i>
    <i r="1">
      <x v="30"/>
    </i>
    <i>
      <x v="38"/>
      <x v="37"/>
    </i>
    <i r="1">
      <x v="57"/>
    </i>
    <i>
      <x v="67"/>
      <x v="42"/>
    </i>
    <i>
      <x v="21"/>
      <x v="40"/>
    </i>
    <i r="1">
      <x v="41"/>
    </i>
    <i>
      <x v="12"/>
      <x v="39"/>
    </i>
    <i>
      <x v="72"/>
      <x v="4"/>
    </i>
    <i>
      <x v="44"/>
      <x v="5"/>
    </i>
    <i r="1">
      <x v="6"/>
    </i>
    <i>
      <x v="19"/>
      <x v="42"/>
    </i>
    <i r="1">
      <x v="45"/>
    </i>
    <i>
      <x v="11"/>
      <x v="44"/>
    </i>
    <i>
      <x v="70"/>
      <x v="41"/>
    </i>
    <i>
      <x v="45"/>
      <x v="20"/>
    </i>
    <i r="1">
      <x v="50"/>
    </i>
    <i>
      <x v="37"/>
      <x v="3"/>
    </i>
    <i r="1">
      <x v="31"/>
    </i>
    <i>
      <x v="51"/>
      <x v="1"/>
    </i>
    <i r="1">
      <x v="43"/>
    </i>
    <i>
      <x v="65"/>
      <x v="3"/>
    </i>
    <i r="1">
      <x v="19"/>
    </i>
    <i>
      <x v="34"/>
      <x v="26"/>
    </i>
    <i r="1">
      <x v="27"/>
    </i>
    <i>
      <x v="26"/>
      <x v="26"/>
    </i>
    <i r="1">
      <x v="27"/>
    </i>
    <i>
      <x v="54"/>
      <x v="46"/>
    </i>
    <i r="1">
      <x v="48"/>
    </i>
    <i>
      <x v="62"/>
      <x v="17"/>
    </i>
    <i>
      <x v="40"/>
      <x v="18"/>
    </i>
    <i>
      <x v="33"/>
      <x v="3"/>
    </i>
    <i>
      <x v="13"/>
      <x v="10"/>
    </i>
    <i r="1">
      <x v="29"/>
    </i>
    <i>
      <x v="64"/>
      <x v="25"/>
    </i>
    <i r="1">
      <x v="39"/>
    </i>
    <i>
      <x v="7"/>
      <x v="17"/>
    </i>
    <i r="1">
      <x v="31"/>
    </i>
    <i>
      <x v="15"/>
      <x v="42"/>
    </i>
    <i r="1">
      <x v="50"/>
    </i>
    <i>
      <x v="25"/>
      <x v="42"/>
    </i>
    <i r="1">
      <x v="50"/>
    </i>
    <i>
      <x v="28"/>
      <x v="22"/>
    </i>
    <i r="1">
      <x v="30"/>
    </i>
    <i>
      <x v="31"/>
      <x v="23"/>
    </i>
    <i>
      <x v="74"/>
      <x v="5"/>
    </i>
    <i r="1">
      <x v="34"/>
    </i>
    <i>
      <x v="58"/>
      <x v="28"/>
    </i>
    <i>
      <x v="14"/>
      <x v="52"/>
    </i>
    <i>
      <x v="4"/>
      <x v="3"/>
    </i>
    <i r="1">
      <x v="31"/>
    </i>
    <i>
      <x v="52"/>
      <x v="20"/>
    </i>
    <i r="1">
      <x v="38"/>
    </i>
    <i>
      <x v="17"/>
      <x v="21"/>
    </i>
    <i r="1">
      <x v="51"/>
    </i>
    <i>
      <x v="10"/>
      <x v="54"/>
    </i>
    <i>
      <x v="76"/>
      <x v="26"/>
    </i>
    <i r="1">
      <x v="27"/>
    </i>
    <i>
      <x v="5"/>
      <x v="24"/>
    </i>
    <i>
      <x v="29"/>
      <x v="3"/>
    </i>
    <i r="1">
      <x v="37"/>
    </i>
    <i>
      <x v="55"/>
      <x v="17"/>
    </i>
    <i r="1">
      <x v="55"/>
    </i>
    <i>
      <x v="22"/>
      <x v="26"/>
    </i>
    <i r="1">
      <x v="27"/>
    </i>
    <i>
      <x v="73"/>
      <x v="17"/>
    </i>
    <i>
      <x v="75"/>
      <x v="12"/>
    </i>
    <i>
      <x v="47"/>
      <x v="7"/>
    </i>
    <i>
      <x v="23"/>
      <x v="28"/>
    </i>
    <i>
      <x v="6"/>
      <x v="20"/>
    </i>
    <i r="1">
      <x v="35"/>
    </i>
    <i>
      <x v="71"/>
      <x v="8"/>
    </i>
    <i>
      <x v="59"/>
      <x v="1"/>
    </i>
    <i r="1">
      <x v="50"/>
    </i>
    <i>
      <x v="77"/>
      <x v="18"/>
    </i>
    <i>
      <x/>
      <x v="53"/>
    </i>
    <i>
      <x v="42"/>
      <x v="11"/>
    </i>
    <i>
      <x v="20"/>
      <x v="29"/>
    </i>
    <i>
      <x v="60"/>
      <x v="29"/>
    </i>
    <i r="1">
      <x v="49"/>
    </i>
    <i>
      <x v="32"/>
      <x v="15"/>
    </i>
    <i>
      <x v="57"/>
      <x v="16"/>
    </i>
    <i>
      <x v="35"/>
      <x v="17"/>
    </i>
    <i>
      <x v="49"/>
      <x v="8"/>
    </i>
    <i>
      <x v="61"/>
      <x v="29"/>
    </i>
    <i>
      <x v="9"/>
      <x v="47"/>
    </i>
    <i>
      <x v="24"/>
      <x v="27"/>
    </i>
    <i r="1">
      <x v="38"/>
    </i>
    <i>
      <x v="16"/>
      <x/>
    </i>
    <i>
      <x v="63"/>
      <x v="59"/>
    </i>
    <i>
      <x v="43"/>
      <x v="32"/>
    </i>
    <i>
      <x v="50"/>
      <x v="36"/>
    </i>
    <i>
      <x v="48"/>
      <x v="56"/>
    </i>
    <i>
      <x v="66"/>
      <x v="19"/>
    </i>
    <i>
      <x v="39"/>
      <x v="30"/>
    </i>
    <i>
      <x v="3"/>
      <x v="46"/>
    </i>
    <i>
      <x v="8"/>
      <x v="13"/>
    </i>
    <i>
      <x v="2"/>
      <x v="33"/>
    </i>
    <i>
      <x v="68"/>
      <x v="29"/>
    </i>
    <i>
      <x v="36"/>
      <x v="2"/>
    </i>
    <i>
      <x v="53"/>
      <x v="38"/>
    </i>
    <i>
      <x v="69"/>
      <x v="9"/>
    </i>
    <i>
      <x v="1"/>
      <x v="14"/>
    </i>
    <i>
      <x v="18"/>
      <x v="5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订单实付金额" fld="2" baseField="0" baseItem="0"/>
    <dataField name="求和项:支付订单数" fld="4" baseField="0" baseItem="0"/>
    <dataField name="求和项:退货订单数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A129"/>
  <sheetViews>
    <sheetView workbookViewId="0">
      <selection activeCell="A2" sqref="A2"/>
    </sheetView>
  </sheetViews>
  <sheetFormatPr defaultColWidth="9" defaultRowHeight="13.5"/>
  <cols>
    <col min="1" max="1" width="17.1238938053097" customWidth="1"/>
    <col min="2" max="2" width="18.6283185840708" customWidth="1"/>
    <col min="3" max="3" width="15" customWidth="1"/>
    <col min="4" max="4" width="13.2477876106195" customWidth="1"/>
    <col min="5" max="5" width="12.7522123893805" customWidth="1"/>
    <col min="6" max="7" width="13.7522123893805" customWidth="1"/>
    <col min="8" max="8" width="19.1238938053097" customWidth="1"/>
    <col min="10" max="10" width="11.5044247787611" customWidth="1"/>
    <col min="11" max="11" width="12" customWidth="1"/>
    <col min="12" max="13" width="9" customWidth="1"/>
    <col min="14" max="14" width="41.8761061946903" customWidth="1"/>
    <col min="15" max="15" width="16.1238938053097" customWidth="1"/>
    <col min="16" max="17" width="13.7522123893805" customWidth="1"/>
    <col min="18" max="20" width="11.5044247787611" customWidth="1"/>
    <col min="21" max="21" width="9" customWidth="1"/>
    <col min="23" max="23" width="21.4601769911504"/>
    <col min="24" max="24" width="17.2477876106195"/>
    <col min="25" max="27" width="20.2477876106195"/>
  </cols>
  <sheetData>
    <row r="1" ht="22" customHeight="1" spans="1:27">
      <c r="A1" s="39" t="s">
        <v>0</v>
      </c>
    </row>
    <row r="2" s="60" customFormat="1" ht="22" customHeight="1" spans="1:27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s="60" customFormat="1" ht="22" customHeight="1" spans="1:27">
      <c r="A3" s="40">
        <v>77</v>
      </c>
      <c r="B3" s="41">
        <f>C83</f>
        <v>246931.55</v>
      </c>
      <c r="C3" s="40">
        <f>E83</f>
        <v>3104</v>
      </c>
      <c r="D3" s="42">
        <f>F83</f>
        <v>721</v>
      </c>
      <c r="E3" s="43">
        <f>D3/C3</f>
        <v>0.232280927835052</v>
      </c>
    </row>
    <row r="5" spans="1:27">
      <c r="A5" s="15" t="s">
        <v>6</v>
      </c>
      <c r="B5" s="15" t="s">
        <v>7</v>
      </c>
      <c r="C5" s="15" t="s">
        <v>8</v>
      </c>
      <c r="D5" s="15" t="s">
        <v>9</v>
      </c>
      <c r="E5" s="15" t="s">
        <v>3</v>
      </c>
      <c r="F5" s="15" t="s">
        <v>4</v>
      </c>
      <c r="G5" s="15" t="s">
        <v>10</v>
      </c>
      <c r="H5" s="15" t="s">
        <v>11</v>
      </c>
      <c r="J5" s="1" t="s">
        <v>6</v>
      </c>
      <c r="K5" s="1" t="s">
        <v>12</v>
      </c>
      <c r="L5" s="1" t="s">
        <v>11</v>
      </c>
      <c r="N5" s="15" t="s">
        <v>6</v>
      </c>
      <c r="O5" s="15" t="s">
        <v>13</v>
      </c>
      <c r="P5" s="15" t="s">
        <v>8</v>
      </c>
      <c r="Q5" s="15" t="s">
        <v>14</v>
      </c>
      <c r="R5" s="15" t="s">
        <v>3</v>
      </c>
      <c r="S5" s="15" t="s">
        <v>4</v>
      </c>
      <c r="T5" s="15" t="s">
        <v>15</v>
      </c>
    </row>
    <row r="6" spans="1:27">
      <c r="A6" s="2" t="s">
        <v>16</v>
      </c>
      <c r="B6" s="2" t="s">
        <v>17</v>
      </c>
      <c r="C6" s="20">
        <v>78798.99</v>
      </c>
      <c r="D6" s="21">
        <f>C6/$C$83</f>
        <v>0.319112685276547</v>
      </c>
      <c r="E6" s="4">
        <v>822</v>
      </c>
      <c r="F6" s="4">
        <v>298</v>
      </c>
      <c r="G6" s="21">
        <f>F6/E6</f>
        <v>0.362530413625304</v>
      </c>
      <c r="H6" s="21" t="s">
        <v>18</v>
      </c>
      <c r="J6" s="3" t="s">
        <v>19</v>
      </c>
      <c r="K6" s="3" t="s">
        <v>20</v>
      </c>
      <c r="L6" s="3" t="s">
        <v>21</v>
      </c>
      <c r="N6" s="61" t="s">
        <v>16</v>
      </c>
      <c r="O6" s="61" t="s">
        <v>22</v>
      </c>
      <c r="P6" s="62">
        <v>44622</v>
      </c>
      <c r="Q6" s="63">
        <v>0.397891324003845</v>
      </c>
      <c r="R6" s="64">
        <v>482</v>
      </c>
      <c r="S6" s="64">
        <v>166</v>
      </c>
      <c r="T6" s="63">
        <f t="shared" ref="T6:T69" si="0">S6/R6</f>
        <v>0.344398340248963</v>
      </c>
    </row>
    <row r="7" spans="1:27">
      <c r="A7" s="2" t="s">
        <v>23</v>
      </c>
      <c r="B7" s="2" t="s">
        <v>24</v>
      </c>
      <c r="C7" s="20">
        <v>17896.23</v>
      </c>
      <c r="D7" s="21">
        <f t="shared" ref="D7:D38" si="1">C7/$C$83</f>
        <v>0.0724744569902064</v>
      </c>
      <c r="E7" s="4">
        <v>268</v>
      </c>
      <c r="F7" s="4">
        <v>11</v>
      </c>
      <c r="G7" s="21">
        <f t="shared" ref="G7:G38" si="2">F7/E7</f>
        <v>0.041044776119403</v>
      </c>
      <c r="H7" s="21"/>
      <c r="J7" s="3" t="s">
        <v>25</v>
      </c>
      <c r="K7" s="3" t="s">
        <v>26</v>
      </c>
      <c r="L7" s="3" t="s">
        <v>21</v>
      </c>
      <c r="N7" s="61" t="s">
        <v>27</v>
      </c>
      <c r="O7" s="61" t="s">
        <v>28</v>
      </c>
      <c r="P7" s="62">
        <v>7697</v>
      </c>
      <c r="Q7" s="63">
        <v>0.0686336228958271</v>
      </c>
      <c r="R7" s="64">
        <v>128</v>
      </c>
      <c r="S7" s="64">
        <v>24</v>
      </c>
      <c r="T7" s="63">
        <f t="shared" si="0"/>
        <v>0.1875</v>
      </c>
      <c r="W7" t="s">
        <v>6</v>
      </c>
      <c r="X7" t="s">
        <v>13</v>
      </c>
      <c r="Y7" t="s">
        <v>29</v>
      </c>
      <c r="Z7" t="s">
        <v>30</v>
      </c>
      <c r="AA7" t="s">
        <v>31</v>
      </c>
    </row>
    <row r="8" spans="1:27">
      <c r="A8" s="2" t="s">
        <v>32</v>
      </c>
      <c r="B8" s="2" t="s">
        <v>33</v>
      </c>
      <c r="C8" s="20">
        <v>13526.81</v>
      </c>
      <c r="D8" s="21">
        <f t="shared" si="1"/>
        <v>0.0547795937781138</v>
      </c>
      <c r="E8" s="4">
        <v>150</v>
      </c>
      <c r="F8" s="4">
        <v>76</v>
      </c>
      <c r="G8" s="21">
        <f t="shared" si="2"/>
        <v>0.506666666666667</v>
      </c>
      <c r="H8" s="21"/>
      <c r="J8" s="3" t="s">
        <v>34</v>
      </c>
      <c r="K8" s="3" t="s">
        <v>35</v>
      </c>
      <c r="L8" s="3" t="s">
        <v>21</v>
      </c>
      <c r="N8" s="61" t="s">
        <v>36</v>
      </c>
      <c r="O8" s="61" t="s">
        <v>37</v>
      </c>
      <c r="P8" s="62">
        <v>7030</v>
      </c>
      <c r="Q8" s="63">
        <v>0.0626860294865096</v>
      </c>
      <c r="R8" s="64">
        <v>85</v>
      </c>
      <c r="S8" s="64">
        <v>19</v>
      </c>
      <c r="T8" s="63">
        <f t="shared" si="0"/>
        <v>0.223529411764706</v>
      </c>
      <c r="W8" t="s">
        <v>16</v>
      </c>
      <c r="X8" t="s">
        <v>38</v>
      </c>
      <c r="Y8">
        <v>34176.99</v>
      </c>
      <c r="Z8">
        <v>340</v>
      </c>
      <c r="AA8">
        <v>132</v>
      </c>
    </row>
    <row r="9" spans="1:27">
      <c r="A9" s="2" t="s">
        <v>36</v>
      </c>
      <c r="B9" s="2" t="s">
        <v>37</v>
      </c>
      <c r="C9" s="20">
        <v>11693.86</v>
      </c>
      <c r="D9" s="21">
        <f t="shared" si="1"/>
        <v>0.0473566864987483</v>
      </c>
      <c r="E9" s="4">
        <v>137</v>
      </c>
      <c r="F9" s="4">
        <v>29</v>
      </c>
      <c r="G9" s="21">
        <f t="shared" si="2"/>
        <v>0.211678832116788</v>
      </c>
      <c r="H9" s="21"/>
      <c r="J9" s="3" t="s">
        <v>39</v>
      </c>
      <c r="K9" s="3" t="s">
        <v>40</v>
      </c>
      <c r="L9" s="3" t="s">
        <v>21</v>
      </c>
      <c r="N9" s="61" t="s">
        <v>41</v>
      </c>
      <c r="O9" s="61" t="s">
        <v>42</v>
      </c>
      <c r="P9" s="62">
        <v>5944</v>
      </c>
      <c r="Q9" s="63">
        <v>0.0530022417166163</v>
      </c>
      <c r="R9" s="64">
        <v>54</v>
      </c>
      <c r="S9" s="64">
        <v>17</v>
      </c>
      <c r="T9" s="63">
        <f t="shared" si="0"/>
        <v>0.314814814814815</v>
      </c>
      <c r="X9" t="s">
        <v>22</v>
      </c>
      <c r="Y9">
        <v>44622</v>
      </c>
      <c r="Z9">
        <v>482</v>
      </c>
      <c r="AA9">
        <v>166</v>
      </c>
    </row>
    <row r="10" spans="1:27">
      <c r="A10" s="2" t="s">
        <v>41</v>
      </c>
      <c r="B10" s="2" t="s">
        <v>42</v>
      </c>
      <c r="C10" s="20">
        <v>10191.79</v>
      </c>
      <c r="D10" s="21">
        <f t="shared" si="1"/>
        <v>0.0412737456999723</v>
      </c>
      <c r="E10" s="4">
        <v>90</v>
      </c>
      <c r="F10" s="4">
        <v>27</v>
      </c>
      <c r="G10" s="21">
        <f t="shared" si="2"/>
        <v>0.3</v>
      </c>
      <c r="H10" s="21"/>
      <c r="J10" s="65" t="s">
        <v>43</v>
      </c>
      <c r="K10" s="3" t="s">
        <v>26</v>
      </c>
      <c r="L10" s="3" t="s">
        <v>21</v>
      </c>
      <c r="N10" s="61" t="s">
        <v>19</v>
      </c>
      <c r="O10" s="61" t="s">
        <v>44</v>
      </c>
      <c r="P10" s="62">
        <v>5543</v>
      </c>
      <c r="Q10" s="63">
        <v>0.0494265521257073</v>
      </c>
      <c r="R10" s="64">
        <v>60</v>
      </c>
      <c r="S10" s="64">
        <v>16</v>
      </c>
      <c r="T10" s="63">
        <f t="shared" si="0"/>
        <v>0.266666666666667</v>
      </c>
      <c r="W10" t="s">
        <v>23</v>
      </c>
      <c r="X10" t="s">
        <v>24</v>
      </c>
      <c r="Y10">
        <v>17896.23</v>
      </c>
      <c r="Z10">
        <v>268</v>
      </c>
      <c r="AA10">
        <v>11</v>
      </c>
    </row>
    <row r="11" spans="1:27">
      <c r="A11" s="2" t="s">
        <v>27</v>
      </c>
      <c r="B11" s="2" t="s">
        <v>28</v>
      </c>
      <c r="C11" s="20">
        <v>9991.59</v>
      </c>
      <c r="D11" s="21">
        <f t="shared" si="1"/>
        <v>0.0404629947044029</v>
      </c>
      <c r="E11" s="4">
        <v>158</v>
      </c>
      <c r="F11" s="4">
        <v>26</v>
      </c>
      <c r="G11" s="21">
        <f t="shared" si="2"/>
        <v>0.164556962025316</v>
      </c>
      <c r="H11" s="21"/>
      <c r="N11" s="61" t="s">
        <v>45</v>
      </c>
      <c r="O11" s="61" t="s">
        <v>28</v>
      </c>
      <c r="P11" s="62">
        <v>3665</v>
      </c>
      <c r="Q11" s="63">
        <v>0.0326805544904776</v>
      </c>
      <c r="R11" s="64">
        <v>35</v>
      </c>
      <c r="S11" s="64">
        <v>5</v>
      </c>
      <c r="T11" s="63">
        <f t="shared" si="0"/>
        <v>0.142857142857143</v>
      </c>
      <c r="W11" t="s">
        <v>32</v>
      </c>
      <c r="X11" t="s">
        <v>33</v>
      </c>
      <c r="Y11">
        <v>12423.81</v>
      </c>
      <c r="Z11">
        <v>137</v>
      </c>
      <c r="AA11">
        <v>71</v>
      </c>
    </row>
    <row r="12" spans="1:27">
      <c r="A12" s="2" t="s">
        <v>19</v>
      </c>
      <c r="B12" s="2" t="s">
        <v>20</v>
      </c>
      <c r="C12" s="20">
        <v>9050.5</v>
      </c>
      <c r="D12" s="21">
        <f t="shared" si="1"/>
        <v>0.0366518575694357</v>
      </c>
      <c r="E12" s="4">
        <v>102</v>
      </c>
      <c r="F12" s="4">
        <v>34</v>
      </c>
      <c r="G12" s="21">
        <f t="shared" si="2"/>
        <v>0.333333333333333</v>
      </c>
      <c r="H12" s="21" t="s">
        <v>21</v>
      </c>
      <c r="N12" s="61" t="s">
        <v>46</v>
      </c>
      <c r="O12" s="61" t="s">
        <v>47</v>
      </c>
      <c r="P12" s="62">
        <v>3498</v>
      </c>
      <c r="Q12" s="63">
        <v>0.0311914269052362</v>
      </c>
      <c r="R12" s="64">
        <v>96</v>
      </c>
      <c r="S12" s="64">
        <v>13</v>
      </c>
      <c r="T12" s="63">
        <f t="shared" si="0"/>
        <v>0.135416666666667</v>
      </c>
      <c r="X12" t="s">
        <v>48</v>
      </c>
      <c r="Y12">
        <v>1103</v>
      </c>
      <c r="Z12">
        <v>13</v>
      </c>
      <c r="AA12">
        <v>5</v>
      </c>
    </row>
    <row r="13" spans="1:27">
      <c r="A13" s="2" t="s">
        <v>49</v>
      </c>
      <c r="B13" s="2" t="s">
        <v>50</v>
      </c>
      <c r="C13" s="20">
        <v>7759.03</v>
      </c>
      <c r="D13" s="21">
        <f t="shared" si="1"/>
        <v>0.0314217847010639</v>
      </c>
      <c r="E13" s="4">
        <v>74</v>
      </c>
      <c r="F13" s="4">
        <v>15</v>
      </c>
      <c r="G13" s="21">
        <f t="shared" si="2"/>
        <v>0.202702702702703</v>
      </c>
      <c r="H13" s="21"/>
      <c r="N13" s="61" t="s">
        <v>51</v>
      </c>
      <c r="O13" s="61" t="s">
        <v>52</v>
      </c>
      <c r="P13" s="62">
        <v>3333</v>
      </c>
      <c r="Q13" s="63">
        <v>0.0297201331832911</v>
      </c>
      <c r="R13" s="64">
        <v>22</v>
      </c>
      <c r="S13" s="64">
        <v>4</v>
      </c>
      <c r="T13" s="63">
        <f t="shared" si="0"/>
        <v>0.181818181818182</v>
      </c>
      <c r="W13" t="s">
        <v>36</v>
      </c>
      <c r="X13" t="s">
        <v>37</v>
      </c>
      <c r="Y13">
        <v>7030</v>
      </c>
      <c r="Z13">
        <v>85</v>
      </c>
      <c r="AA13">
        <v>19</v>
      </c>
    </row>
    <row r="14" spans="1:27">
      <c r="A14" s="2" t="s">
        <v>53</v>
      </c>
      <c r="B14" s="2" t="s">
        <v>54</v>
      </c>
      <c r="C14" s="20">
        <v>7482.55</v>
      </c>
      <c r="D14" s="21">
        <f t="shared" si="1"/>
        <v>0.0303021221873025</v>
      </c>
      <c r="E14" s="4">
        <v>131</v>
      </c>
      <c r="F14" s="4">
        <v>12</v>
      </c>
      <c r="G14" s="21">
        <f t="shared" si="2"/>
        <v>0.0916030534351145</v>
      </c>
      <c r="H14" s="21"/>
      <c r="N14" s="61" t="s">
        <v>55</v>
      </c>
      <c r="O14" s="61" t="s">
        <v>20</v>
      </c>
      <c r="P14" s="62">
        <v>2487</v>
      </c>
      <c r="Q14" s="63">
        <v>0.0221764090089544</v>
      </c>
      <c r="R14" s="64">
        <v>24</v>
      </c>
      <c r="S14" s="64">
        <v>5</v>
      </c>
      <c r="T14" s="63">
        <f t="shared" si="0"/>
        <v>0.208333333333333</v>
      </c>
      <c r="X14" t="s">
        <v>35</v>
      </c>
      <c r="Y14">
        <v>4663.86</v>
      </c>
      <c r="Z14">
        <v>52</v>
      </c>
      <c r="AA14">
        <v>10</v>
      </c>
    </row>
    <row r="15" spans="1:27">
      <c r="A15" s="2" t="s">
        <v>46</v>
      </c>
      <c r="B15" s="2" t="s">
        <v>47</v>
      </c>
      <c r="C15" s="20">
        <v>6375.06</v>
      </c>
      <c r="D15" s="21">
        <f t="shared" si="1"/>
        <v>0.025817114094979</v>
      </c>
      <c r="E15" s="4">
        <v>159</v>
      </c>
      <c r="F15" s="4">
        <v>18</v>
      </c>
      <c r="G15" s="21">
        <f t="shared" si="2"/>
        <v>0.113207547169811</v>
      </c>
      <c r="H15" s="21"/>
      <c r="N15" s="61" t="s">
        <v>56</v>
      </c>
      <c r="O15" s="61" t="s">
        <v>57</v>
      </c>
      <c r="P15" s="62">
        <v>2447</v>
      </c>
      <c r="Q15" s="63">
        <v>0.0218197317430283</v>
      </c>
      <c r="R15" s="64">
        <v>42</v>
      </c>
      <c r="S15" s="64">
        <v>4</v>
      </c>
      <c r="T15" s="63">
        <f t="shared" si="0"/>
        <v>0.0952380952380952</v>
      </c>
      <c r="W15" t="s">
        <v>41</v>
      </c>
      <c r="X15" t="s">
        <v>42</v>
      </c>
      <c r="Y15">
        <v>5944</v>
      </c>
      <c r="Z15">
        <v>54</v>
      </c>
      <c r="AA15">
        <v>17</v>
      </c>
    </row>
    <row r="16" spans="1:27">
      <c r="A16" s="2" t="s">
        <v>45</v>
      </c>
      <c r="B16" s="2" t="s">
        <v>28</v>
      </c>
      <c r="C16" s="20">
        <v>5179.97</v>
      </c>
      <c r="D16" s="21">
        <f t="shared" si="1"/>
        <v>0.0209773518207779</v>
      </c>
      <c r="E16" s="4">
        <v>56</v>
      </c>
      <c r="F16" s="4">
        <v>12</v>
      </c>
      <c r="G16" s="21">
        <f t="shared" si="2"/>
        <v>0.214285714285714</v>
      </c>
      <c r="H16" s="21"/>
      <c r="N16" s="61" t="s">
        <v>58</v>
      </c>
      <c r="O16" s="61" t="s">
        <v>59</v>
      </c>
      <c r="P16" s="62">
        <v>2362</v>
      </c>
      <c r="Q16" s="63">
        <v>0.0210617925529354</v>
      </c>
      <c r="R16" s="64">
        <v>32</v>
      </c>
      <c r="S16" s="64">
        <v>11</v>
      </c>
      <c r="T16" s="63">
        <f t="shared" si="0"/>
        <v>0.34375</v>
      </c>
      <c r="X16" t="s">
        <v>38</v>
      </c>
      <c r="Y16">
        <v>4247.79</v>
      </c>
      <c r="Z16">
        <v>36</v>
      </c>
      <c r="AA16">
        <v>10</v>
      </c>
    </row>
    <row r="17" spans="1:27">
      <c r="A17" s="2" t="s">
        <v>60</v>
      </c>
      <c r="B17" s="2" t="s">
        <v>61</v>
      </c>
      <c r="C17" s="20">
        <v>4456.79</v>
      </c>
      <c r="D17" s="21">
        <f t="shared" si="1"/>
        <v>0.0180486859617574</v>
      </c>
      <c r="E17" s="4">
        <v>56</v>
      </c>
      <c r="F17" s="4">
        <v>14</v>
      </c>
      <c r="G17" s="21">
        <f t="shared" si="2"/>
        <v>0.25</v>
      </c>
      <c r="H17" s="21"/>
      <c r="N17" s="61" t="s">
        <v>62</v>
      </c>
      <c r="O17" s="61" t="s">
        <v>48</v>
      </c>
      <c r="P17" s="62">
        <v>2131</v>
      </c>
      <c r="Q17" s="63">
        <v>0.0190019813422122</v>
      </c>
      <c r="R17" s="64">
        <v>37</v>
      </c>
      <c r="S17" s="64">
        <v>10</v>
      </c>
      <c r="T17" s="63">
        <f t="shared" si="0"/>
        <v>0.27027027027027</v>
      </c>
      <c r="W17" t="s">
        <v>27</v>
      </c>
      <c r="X17" t="s">
        <v>28</v>
      </c>
      <c r="Y17">
        <v>9991.59</v>
      </c>
      <c r="Z17">
        <v>158</v>
      </c>
      <c r="AA17">
        <v>26</v>
      </c>
    </row>
    <row r="18" spans="1:27">
      <c r="A18" s="45" t="s">
        <v>55</v>
      </c>
      <c r="B18" s="45" t="s">
        <v>20</v>
      </c>
      <c r="C18" s="46">
        <v>3878</v>
      </c>
      <c r="D18" s="47">
        <f t="shared" si="1"/>
        <v>0.015704757047044</v>
      </c>
      <c r="E18" s="48">
        <v>36</v>
      </c>
      <c r="F18" s="48">
        <v>9</v>
      </c>
      <c r="G18" s="47">
        <f t="shared" si="2"/>
        <v>0.25</v>
      </c>
      <c r="H18" s="47"/>
      <c r="N18" s="61" t="s">
        <v>63</v>
      </c>
      <c r="O18" s="61" t="s">
        <v>33</v>
      </c>
      <c r="P18" s="62">
        <v>1993</v>
      </c>
      <c r="Q18" s="63">
        <v>0.0177714447747672</v>
      </c>
      <c r="R18" s="64">
        <v>23</v>
      </c>
      <c r="S18" s="64">
        <v>12</v>
      </c>
      <c r="T18" s="63">
        <f t="shared" si="0"/>
        <v>0.521739130434783</v>
      </c>
      <c r="W18" t="s">
        <v>19</v>
      </c>
      <c r="X18" t="s">
        <v>44</v>
      </c>
      <c r="Y18">
        <v>5543</v>
      </c>
      <c r="Z18">
        <v>60</v>
      </c>
      <c r="AA18">
        <v>16</v>
      </c>
    </row>
    <row r="19" spans="1:27">
      <c r="A19" s="45" t="s">
        <v>51</v>
      </c>
      <c r="B19" s="45" t="s">
        <v>52</v>
      </c>
      <c r="C19" s="46">
        <v>3522</v>
      </c>
      <c r="D19" s="47">
        <f t="shared" si="1"/>
        <v>0.0142630619700075</v>
      </c>
      <c r="E19" s="48">
        <v>24</v>
      </c>
      <c r="F19" s="48">
        <v>5</v>
      </c>
      <c r="G19" s="47">
        <f t="shared" si="2"/>
        <v>0.208333333333333</v>
      </c>
      <c r="H19" s="47"/>
      <c r="J19" s="12"/>
      <c r="N19" s="61" t="s">
        <v>64</v>
      </c>
      <c r="O19" s="61" t="s">
        <v>59</v>
      </c>
      <c r="P19" s="62">
        <v>1925</v>
      </c>
      <c r="Q19" s="63">
        <v>0.0171650934226929</v>
      </c>
      <c r="R19" s="64">
        <v>14</v>
      </c>
      <c r="S19" s="64">
        <v>1</v>
      </c>
      <c r="T19" s="63">
        <f t="shared" si="0"/>
        <v>0.0714285714285714</v>
      </c>
      <c r="X19" t="s">
        <v>20</v>
      </c>
      <c r="Y19">
        <v>3507.5</v>
      </c>
      <c r="Z19">
        <v>42</v>
      </c>
      <c r="AA19">
        <v>18</v>
      </c>
    </row>
    <row r="20" spans="1:27">
      <c r="A20" s="45" t="s">
        <v>58</v>
      </c>
      <c r="B20" s="45" t="s">
        <v>59</v>
      </c>
      <c r="C20" s="46">
        <v>3373.32</v>
      </c>
      <c r="D20" s="47">
        <f t="shared" si="1"/>
        <v>0.0136609517900811</v>
      </c>
      <c r="E20" s="48">
        <v>42</v>
      </c>
      <c r="F20" s="48">
        <v>14</v>
      </c>
      <c r="G20" s="47">
        <f t="shared" si="2"/>
        <v>0.333333333333333</v>
      </c>
      <c r="H20" s="47"/>
      <c r="J20" s="66"/>
      <c r="N20" s="61" t="s">
        <v>65</v>
      </c>
      <c r="O20" s="61" t="s">
        <v>66</v>
      </c>
      <c r="P20" s="62">
        <v>1537</v>
      </c>
      <c r="Q20" s="63">
        <v>0.0137053239432098</v>
      </c>
      <c r="R20" s="64">
        <v>12</v>
      </c>
      <c r="S20" s="64">
        <v>2</v>
      </c>
      <c r="T20" s="63">
        <f t="shared" si="0"/>
        <v>0.166666666666667</v>
      </c>
      <c r="W20" t="s">
        <v>49</v>
      </c>
      <c r="X20" t="s">
        <v>50</v>
      </c>
      <c r="Y20">
        <v>7759.03</v>
      </c>
      <c r="Z20">
        <v>74</v>
      </c>
      <c r="AA20">
        <v>15</v>
      </c>
    </row>
    <row r="21" spans="1:27">
      <c r="A21" s="45" t="s">
        <v>62</v>
      </c>
      <c r="B21" s="45" t="s">
        <v>67</v>
      </c>
      <c r="C21" s="46">
        <v>3341.42</v>
      </c>
      <c r="D21" s="47">
        <f t="shared" si="1"/>
        <v>0.013531766191886</v>
      </c>
      <c r="E21" s="48">
        <v>58</v>
      </c>
      <c r="F21" s="48">
        <v>16</v>
      </c>
      <c r="G21" s="47">
        <f t="shared" si="2"/>
        <v>0.275862068965517</v>
      </c>
      <c r="H21" s="47"/>
      <c r="J21" s="66"/>
      <c r="N21" s="61" t="s">
        <v>68</v>
      </c>
      <c r="O21" s="61" t="s">
        <v>33</v>
      </c>
      <c r="P21" s="62">
        <v>1526</v>
      </c>
      <c r="Q21" s="63">
        <v>0.0136072376950802</v>
      </c>
      <c r="R21" s="64">
        <v>12</v>
      </c>
      <c r="S21" s="64">
        <v>5</v>
      </c>
      <c r="T21" s="63">
        <f t="shared" si="0"/>
        <v>0.416666666666667</v>
      </c>
      <c r="W21" t="s">
        <v>53</v>
      </c>
      <c r="X21" t="s">
        <v>54</v>
      </c>
      <c r="Y21">
        <v>7482.55</v>
      </c>
      <c r="Z21">
        <v>131</v>
      </c>
      <c r="AA21">
        <v>12</v>
      </c>
    </row>
    <row r="22" spans="1:27">
      <c r="A22" s="45" t="s">
        <v>56</v>
      </c>
      <c r="B22" s="45" t="s">
        <v>59</v>
      </c>
      <c r="C22" s="46">
        <v>3273</v>
      </c>
      <c r="D22" s="47">
        <f t="shared" si="1"/>
        <v>0.0132546853571364</v>
      </c>
      <c r="E22" s="48">
        <v>53</v>
      </c>
      <c r="F22" s="48">
        <v>5</v>
      </c>
      <c r="G22" s="47">
        <f t="shared" si="2"/>
        <v>0.0943396226415094</v>
      </c>
      <c r="H22" s="47"/>
      <c r="J22" s="12"/>
      <c r="N22" s="61" t="s">
        <v>69</v>
      </c>
      <c r="O22" s="61" t="s">
        <v>70</v>
      </c>
      <c r="P22" s="62">
        <v>1445</v>
      </c>
      <c r="Q22" s="63">
        <v>0.0128849662315798</v>
      </c>
      <c r="R22" s="64">
        <v>11</v>
      </c>
      <c r="S22" s="64">
        <v>1</v>
      </c>
      <c r="T22" s="63">
        <f t="shared" si="0"/>
        <v>0.0909090909090909</v>
      </c>
      <c r="W22" t="s">
        <v>46</v>
      </c>
      <c r="X22" t="s">
        <v>47</v>
      </c>
      <c r="Y22">
        <v>3498</v>
      </c>
      <c r="Z22">
        <v>96</v>
      </c>
      <c r="AA22">
        <v>13</v>
      </c>
    </row>
    <row r="23" spans="1:27">
      <c r="A23" s="45" t="s">
        <v>71</v>
      </c>
      <c r="B23" s="45" t="s">
        <v>70</v>
      </c>
      <c r="C23" s="46">
        <v>3041.8</v>
      </c>
      <c r="D23" s="47">
        <f t="shared" si="1"/>
        <v>0.0123183934981172</v>
      </c>
      <c r="E23" s="48">
        <v>42</v>
      </c>
      <c r="F23" s="48">
        <v>8</v>
      </c>
      <c r="G23" s="47">
        <f t="shared" si="2"/>
        <v>0.19047619047619</v>
      </c>
      <c r="H23" s="47"/>
      <c r="J23" s="66"/>
      <c r="N23" s="61" t="s">
        <v>60</v>
      </c>
      <c r="O23" s="61" t="s">
        <v>61</v>
      </c>
      <c r="P23" s="62">
        <v>1384</v>
      </c>
      <c r="Q23" s="63">
        <v>0.0123410334010426</v>
      </c>
      <c r="R23" s="64">
        <v>16</v>
      </c>
      <c r="S23" s="64">
        <v>5</v>
      </c>
      <c r="T23" s="63">
        <f t="shared" si="0"/>
        <v>0.3125</v>
      </c>
      <c r="X23" t="s">
        <v>72</v>
      </c>
      <c r="Y23">
        <v>2877.06</v>
      </c>
      <c r="Z23">
        <v>63</v>
      </c>
      <c r="AA23">
        <v>5</v>
      </c>
    </row>
    <row r="24" spans="1:27">
      <c r="A24" s="49" t="s">
        <v>69</v>
      </c>
      <c r="B24" s="49" t="s">
        <v>70</v>
      </c>
      <c r="C24" s="50">
        <v>2695</v>
      </c>
      <c r="D24" s="51">
        <f t="shared" si="1"/>
        <v>0.0109139557095883</v>
      </c>
      <c r="E24" s="52">
        <v>22</v>
      </c>
      <c r="F24" s="52">
        <v>2</v>
      </c>
      <c r="G24" s="51">
        <f t="shared" si="2"/>
        <v>0.0909090909090909</v>
      </c>
      <c r="H24" s="51"/>
      <c r="J24" s="12"/>
      <c r="N24" s="61" t="s">
        <v>71</v>
      </c>
      <c r="O24" s="61" t="s">
        <v>70</v>
      </c>
      <c r="P24" s="62">
        <v>1323</v>
      </c>
      <c r="Q24" s="63">
        <v>0.0117971005705053</v>
      </c>
      <c r="R24" s="64">
        <v>17</v>
      </c>
      <c r="S24" s="64">
        <v>4</v>
      </c>
      <c r="T24" s="63">
        <f t="shared" si="0"/>
        <v>0.235294117647059</v>
      </c>
      <c r="W24" t="s">
        <v>45</v>
      </c>
      <c r="X24" t="s">
        <v>28</v>
      </c>
      <c r="Y24">
        <v>3665</v>
      </c>
      <c r="Z24">
        <v>35</v>
      </c>
      <c r="AA24">
        <v>5</v>
      </c>
    </row>
    <row r="25" spans="1:27">
      <c r="A25" s="49" t="s">
        <v>73</v>
      </c>
      <c r="B25" s="49" t="s">
        <v>74</v>
      </c>
      <c r="C25" s="50">
        <v>2635.88</v>
      </c>
      <c r="D25" s="51">
        <f t="shared" si="1"/>
        <v>0.0106745371338737</v>
      </c>
      <c r="E25" s="52">
        <v>50</v>
      </c>
      <c r="F25" s="52">
        <v>2</v>
      </c>
      <c r="G25" s="51">
        <f t="shared" si="2"/>
        <v>0.04</v>
      </c>
      <c r="H25" s="51"/>
      <c r="J25" s="66"/>
      <c r="N25" s="61" t="s">
        <v>75</v>
      </c>
      <c r="O25" s="61" t="s">
        <v>47</v>
      </c>
      <c r="P25" s="62">
        <v>1182</v>
      </c>
      <c r="Q25" s="63">
        <v>0.0105398132081158</v>
      </c>
      <c r="R25" s="64">
        <v>25</v>
      </c>
      <c r="S25" s="64">
        <v>3</v>
      </c>
      <c r="T25" s="63">
        <f t="shared" si="0"/>
        <v>0.12</v>
      </c>
      <c r="X25" t="s">
        <v>76</v>
      </c>
      <c r="Y25">
        <v>1514.97</v>
      </c>
      <c r="Z25">
        <v>21</v>
      </c>
      <c r="AA25">
        <v>7</v>
      </c>
    </row>
    <row r="26" spans="1:27">
      <c r="A26" s="49" t="s">
        <v>63</v>
      </c>
      <c r="B26" s="49" t="s">
        <v>33</v>
      </c>
      <c r="C26" s="50">
        <v>2607</v>
      </c>
      <c r="D26" s="51">
        <f t="shared" si="1"/>
        <v>0.0105575816456018</v>
      </c>
      <c r="E26" s="52">
        <v>33</v>
      </c>
      <c r="F26" s="52">
        <v>18</v>
      </c>
      <c r="G26" s="51">
        <f t="shared" si="2"/>
        <v>0.545454545454545</v>
      </c>
      <c r="H26" s="51"/>
      <c r="J26" s="12"/>
      <c r="N26" s="61" t="s">
        <v>32</v>
      </c>
      <c r="O26" s="61" t="s">
        <v>48</v>
      </c>
      <c r="P26" s="62">
        <v>1103</v>
      </c>
      <c r="Q26" s="63">
        <v>0.00983537560791181</v>
      </c>
      <c r="R26" s="64">
        <v>13</v>
      </c>
      <c r="S26" s="64">
        <v>5</v>
      </c>
      <c r="T26" s="63">
        <f t="shared" si="0"/>
        <v>0.384615384615385</v>
      </c>
      <c r="W26" t="s">
        <v>60</v>
      </c>
      <c r="X26" t="s">
        <v>61</v>
      </c>
      <c r="Y26">
        <v>4456.79</v>
      </c>
      <c r="Z26">
        <v>56</v>
      </c>
      <c r="AA26">
        <v>14</v>
      </c>
    </row>
    <row r="27" spans="1:27">
      <c r="A27" s="49" t="s">
        <v>77</v>
      </c>
      <c r="B27" s="49" t="s">
        <v>78</v>
      </c>
      <c r="C27" s="50">
        <v>2496.05</v>
      </c>
      <c r="D27" s="51">
        <f t="shared" si="1"/>
        <v>0.0101082668456096</v>
      </c>
      <c r="E27" s="52">
        <v>16</v>
      </c>
      <c r="F27" s="52">
        <v>0</v>
      </c>
      <c r="G27" s="51">
        <f t="shared" si="2"/>
        <v>0</v>
      </c>
      <c r="H27" s="51"/>
      <c r="J27" s="66"/>
      <c r="N27" s="61" t="s">
        <v>53</v>
      </c>
      <c r="O27" s="61" t="s">
        <v>54</v>
      </c>
      <c r="P27" s="62">
        <v>1046</v>
      </c>
      <c r="Q27" s="63">
        <v>0.00932711050396714</v>
      </c>
      <c r="R27" s="64">
        <v>17</v>
      </c>
      <c r="S27" s="64">
        <v>0</v>
      </c>
      <c r="T27" s="63">
        <f t="shared" si="0"/>
        <v>0</v>
      </c>
      <c r="W27" t="s">
        <v>55</v>
      </c>
      <c r="X27" t="s">
        <v>20</v>
      </c>
      <c r="Y27">
        <v>3878</v>
      </c>
      <c r="Z27">
        <v>36</v>
      </c>
      <c r="AA27">
        <v>9</v>
      </c>
    </row>
    <row r="28" spans="1:27">
      <c r="A28" s="49" t="s">
        <v>64</v>
      </c>
      <c r="B28" s="49" t="s">
        <v>59</v>
      </c>
      <c r="C28" s="50">
        <v>2392.81</v>
      </c>
      <c r="D28" s="51">
        <f t="shared" si="1"/>
        <v>0.00969017527326905</v>
      </c>
      <c r="E28" s="52">
        <v>18</v>
      </c>
      <c r="F28" s="52">
        <v>1</v>
      </c>
      <c r="G28" s="51">
        <f t="shared" si="2"/>
        <v>0.0555555555555556</v>
      </c>
      <c r="H28" s="51"/>
      <c r="J28" s="66"/>
      <c r="N28" s="61" t="s">
        <v>79</v>
      </c>
      <c r="O28" s="61" t="s">
        <v>28</v>
      </c>
      <c r="P28" s="62">
        <v>744</v>
      </c>
      <c r="Q28" s="63">
        <v>0.0066341971462252</v>
      </c>
      <c r="R28" s="64">
        <v>8</v>
      </c>
      <c r="S28" s="64">
        <v>3</v>
      </c>
      <c r="T28" s="63">
        <f t="shared" si="0"/>
        <v>0.375</v>
      </c>
      <c r="W28" t="s">
        <v>51</v>
      </c>
      <c r="X28" t="s">
        <v>52</v>
      </c>
      <c r="Y28">
        <v>3333</v>
      </c>
      <c r="Z28">
        <v>22</v>
      </c>
      <c r="AA28">
        <v>4</v>
      </c>
    </row>
    <row r="29" spans="1:27">
      <c r="A29" s="49" t="s">
        <v>80</v>
      </c>
      <c r="B29" s="49" t="s">
        <v>81</v>
      </c>
      <c r="C29" s="50">
        <v>2126.19</v>
      </c>
      <c r="D29" s="51">
        <f t="shared" si="1"/>
        <v>0.00861044285349523</v>
      </c>
      <c r="E29" s="52">
        <v>64</v>
      </c>
      <c r="F29" s="52">
        <v>6</v>
      </c>
      <c r="G29" s="51">
        <f t="shared" si="2"/>
        <v>0.09375</v>
      </c>
      <c r="H29" s="51"/>
      <c r="J29" s="12"/>
      <c r="N29" s="61" t="s">
        <v>82</v>
      </c>
      <c r="O29" s="61" t="s">
        <v>28</v>
      </c>
      <c r="P29" s="62">
        <v>585</v>
      </c>
      <c r="Q29" s="63">
        <v>0.005216405014169</v>
      </c>
      <c r="R29" s="64">
        <v>6</v>
      </c>
      <c r="S29" s="64">
        <v>1</v>
      </c>
      <c r="T29" s="63">
        <f t="shared" si="0"/>
        <v>0.166666666666667</v>
      </c>
      <c r="X29" t="s">
        <v>83</v>
      </c>
      <c r="Y29">
        <v>189</v>
      </c>
      <c r="Z29">
        <v>2</v>
      </c>
      <c r="AA29">
        <v>1</v>
      </c>
    </row>
    <row r="30" spans="1:27">
      <c r="A30" s="49" t="s">
        <v>84</v>
      </c>
      <c r="B30" s="49" t="s">
        <v>85</v>
      </c>
      <c r="C30" s="50">
        <v>2067.9</v>
      </c>
      <c r="D30" s="51">
        <f t="shared" si="1"/>
        <v>0.00837438553315686</v>
      </c>
      <c r="E30" s="52">
        <v>33</v>
      </c>
      <c r="F30" s="52">
        <v>7</v>
      </c>
      <c r="G30" s="51">
        <f t="shared" si="2"/>
        <v>0.212121212121212</v>
      </c>
      <c r="H30" s="51"/>
      <c r="J30" s="66"/>
      <c r="N30" s="61" t="s">
        <v>86</v>
      </c>
      <c r="O30" s="61" t="s">
        <v>37</v>
      </c>
      <c r="P30" s="62">
        <v>553</v>
      </c>
      <c r="Q30" s="63">
        <v>0.00493106320142814</v>
      </c>
      <c r="R30" s="64">
        <v>6</v>
      </c>
      <c r="S30" s="64">
        <v>3</v>
      </c>
      <c r="T30" s="63">
        <f t="shared" si="0"/>
        <v>0.5</v>
      </c>
      <c r="W30" t="s">
        <v>58</v>
      </c>
      <c r="X30" t="s">
        <v>59</v>
      </c>
      <c r="Y30">
        <v>2362</v>
      </c>
      <c r="Z30">
        <v>32</v>
      </c>
      <c r="AA30">
        <v>11</v>
      </c>
    </row>
    <row r="31" spans="1:27">
      <c r="A31" s="53" t="s">
        <v>68</v>
      </c>
      <c r="B31" s="53" t="s">
        <v>33</v>
      </c>
      <c r="C31" s="54">
        <v>1960</v>
      </c>
      <c r="D31" s="55">
        <f t="shared" si="1"/>
        <v>0.00793742233424607</v>
      </c>
      <c r="E31" s="56">
        <v>18</v>
      </c>
      <c r="F31" s="56">
        <v>9</v>
      </c>
      <c r="G31" s="55">
        <f t="shared" si="2"/>
        <v>0.5</v>
      </c>
      <c r="H31" s="55"/>
      <c r="J31" s="66"/>
      <c r="N31" s="61" t="s">
        <v>87</v>
      </c>
      <c r="O31" s="61" t="s">
        <v>42</v>
      </c>
      <c r="P31" s="62">
        <v>448</v>
      </c>
      <c r="Q31" s="63">
        <v>0.00399478537837216</v>
      </c>
      <c r="R31" s="64">
        <v>3</v>
      </c>
      <c r="S31" s="64">
        <v>0</v>
      </c>
      <c r="T31" s="63">
        <f t="shared" si="0"/>
        <v>0</v>
      </c>
      <c r="X31" t="s">
        <v>88</v>
      </c>
      <c r="Y31">
        <v>1011.32</v>
      </c>
      <c r="Z31">
        <v>10</v>
      </c>
      <c r="AA31">
        <v>3</v>
      </c>
    </row>
    <row r="32" spans="1:27">
      <c r="A32" s="53" t="s">
        <v>82</v>
      </c>
      <c r="B32" s="53" t="s">
        <v>28</v>
      </c>
      <c r="C32" s="54">
        <v>1764.49</v>
      </c>
      <c r="D32" s="55">
        <f t="shared" si="1"/>
        <v>0.00714566445640502</v>
      </c>
      <c r="E32" s="56">
        <v>19</v>
      </c>
      <c r="F32" s="56">
        <v>3</v>
      </c>
      <c r="G32" s="55">
        <f t="shared" si="2"/>
        <v>0.157894736842105</v>
      </c>
      <c r="H32" s="55"/>
      <c r="J32" s="66"/>
      <c r="N32" s="61" t="s">
        <v>89</v>
      </c>
      <c r="O32" s="61" t="s">
        <v>70</v>
      </c>
      <c r="P32" s="62">
        <v>447</v>
      </c>
      <c r="Q32" s="63">
        <v>0.00398586844672401</v>
      </c>
      <c r="R32" s="64">
        <v>2</v>
      </c>
      <c r="S32" s="64">
        <v>0</v>
      </c>
      <c r="T32" s="63">
        <f t="shared" si="0"/>
        <v>0</v>
      </c>
      <c r="W32" t="s">
        <v>62</v>
      </c>
      <c r="X32" t="s">
        <v>67</v>
      </c>
      <c r="Y32">
        <v>1210.42</v>
      </c>
      <c r="Z32">
        <v>21</v>
      </c>
      <c r="AA32">
        <v>6</v>
      </c>
    </row>
    <row r="33" spans="1:27">
      <c r="A33" s="53" t="s">
        <v>79</v>
      </c>
      <c r="B33" s="53" t="s">
        <v>28</v>
      </c>
      <c r="C33" s="54">
        <v>1760.98</v>
      </c>
      <c r="D33" s="55">
        <f t="shared" si="1"/>
        <v>0.00713144999089829</v>
      </c>
      <c r="E33" s="56">
        <v>20</v>
      </c>
      <c r="F33" s="56">
        <v>7</v>
      </c>
      <c r="G33" s="55">
        <f t="shared" si="2"/>
        <v>0.35</v>
      </c>
      <c r="H33" s="55"/>
      <c r="J33" s="12"/>
      <c r="N33" s="61" t="s">
        <v>90</v>
      </c>
      <c r="O33" s="61" t="s">
        <v>37</v>
      </c>
      <c r="P33" s="62">
        <v>430</v>
      </c>
      <c r="Q33" s="63">
        <v>0.00383428060870542</v>
      </c>
      <c r="R33" s="64">
        <v>3</v>
      </c>
      <c r="S33" s="64">
        <v>1</v>
      </c>
      <c r="T33" s="63">
        <f t="shared" si="0"/>
        <v>0.333333333333333</v>
      </c>
      <c r="X33" t="s">
        <v>48</v>
      </c>
      <c r="Y33">
        <v>2131</v>
      </c>
      <c r="Z33">
        <v>37</v>
      </c>
      <c r="AA33">
        <v>10</v>
      </c>
    </row>
    <row r="34" spans="1:27">
      <c r="A34" s="53" t="s">
        <v>65</v>
      </c>
      <c r="B34" s="53" t="s">
        <v>66</v>
      </c>
      <c r="C34" s="54">
        <v>1652</v>
      </c>
      <c r="D34" s="55">
        <f t="shared" si="1"/>
        <v>0.00669011311029312</v>
      </c>
      <c r="E34" s="56">
        <v>13</v>
      </c>
      <c r="F34" s="56">
        <v>2</v>
      </c>
      <c r="G34" s="55">
        <f t="shared" si="2"/>
        <v>0.153846153846154</v>
      </c>
      <c r="H34" s="55"/>
      <c r="J34" s="66"/>
      <c r="N34" s="61" t="s">
        <v>91</v>
      </c>
      <c r="O34" s="61" t="s">
        <v>92</v>
      </c>
      <c r="P34" s="62">
        <v>408</v>
      </c>
      <c r="Q34" s="63">
        <v>0.00363810811244608</v>
      </c>
      <c r="R34" s="64">
        <v>7</v>
      </c>
      <c r="S34" s="64">
        <v>0</v>
      </c>
      <c r="T34" s="63">
        <f t="shared" si="0"/>
        <v>0</v>
      </c>
      <c r="W34" t="s">
        <v>56</v>
      </c>
      <c r="X34" t="s">
        <v>59</v>
      </c>
      <c r="Y34">
        <v>826</v>
      </c>
      <c r="Z34">
        <v>11</v>
      </c>
      <c r="AA34">
        <v>1</v>
      </c>
    </row>
    <row r="35" spans="1:27">
      <c r="A35" s="53" t="s">
        <v>93</v>
      </c>
      <c r="B35" s="53" t="s">
        <v>24</v>
      </c>
      <c r="C35" s="54">
        <v>1534.11</v>
      </c>
      <c r="D35" s="55">
        <f t="shared" si="1"/>
        <v>0.0062126933557093</v>
      </c>
      <c r="E35" s="56">
        <v>22</v>
      </c>
      <c r="F35" s="56">
        <v>0</v>
      </c>
      <c r="G35" s="55">
        <f t="shared" si="2"/>
        <v>0</v>
      </c>
      <c r="H35" s="55"/>
      <c r="J35" s="12"/>
      <c r="N35" s="61" t="s">
        <v>94</v>
      </c>
      <c r="O35" s="61" t="s">
        <v>52</v>
      </c>
      <c r="P35" s="62">
        <v>407</v>
      </c>
      <c r="Q35" s="63">
        <v>0.00362919118079792</v>
      </c>
      <c r="R35" s="64">
        <v>2</v>
      </c>
      <c r="S35" s="64">
        <v>0</v>
      </c>
      <c r="T35" s="63">
        <f t="shared" si="0"/>
        <v>0</v>
      </c>
      <c r="X35" t="s">
        <v>57</v>
      </c>
      <c r="Y35">
        <v>2447</v>
      </c>
      <c r="Z35">
        <v>42</v>
      </c>
      <c r="AA35">
        <v>4</v>
      </c>
    </row>
    <row r="36" spans="1:27">
      <c r="A36" s="53" t="s">
        <v>75</v>
      </c>
      <c r="B36" s="53" t="s">
        <v>47</v>
      </c>
      <c r="C36" s="54">
        <v>1448</v>
      </c>
      <c r="D36" s="55">
        <f t="shared" si="1"/>
        <v>0.00586397323468791</v>
      </c>
      <c r="E36" s="56">
        <v>29</v>
      </c>
      <c r="F36" s="56">
        <v>3</v>
      </c>
      <c r="G36" s="55">
        <f t="shared" si="2"/>
        <v>0.103448275862069</v>
      </c>
      <c r="H36" s="55"/>
      <c r="J36" s="66"/>
      <c r="N36" s="61" t="s">
        <v>95</v>
      </c>
      <c r="O36" s="61" t="s">
        <v>96</v>
      </c>
      <c r="P36" s="62">
        <v>378.8</v>
      </c>
      <c r="Q36" s="63">
        <v>0.00337773370832003</v>
      </c>
      <c r="R36" s="64">
        <v>7</v>
      </c>
      <c r="S36" s="64">
        <v>1</v>
      </c>
      <c r="T36" s="63">
        <f t="shared" si="0"/>
        <v>0.142857142857143</v>
      </c>
      <c r="W36" t="s">
        <v>71</v>
      </c>
      <c r="X36" t="s">
        <v>70</v>
      </c>
      <c r="Y36">
        <v>1323</v>
      </c>
      <c r="Z36">
        <v>17</v>
      </c>
      <c r="AA36">
        <v>4</v>
      </c>
    </row>
    <row r="37" spans="1:27">
      <c r="A37" s="53" t="s">
        <v>86</v>
      </c>
      <c r="B37" s="53" t="s">
        <v>37</v>
      </c>
      <c r="C37" s="54">
        <v>1157.21</v>
      </c>
      <c r="D37" s="55">
        <f t="shared" si="1"/>
        <v>0.00468635943847597</v>
      </c>
      <c r="E37" s="56">
        <v>9</v>
      </c>
      <c r="F37" s="56">
        <v>3</v>
      </c>
      <c r="G37" s="55">
        <f t="shared" si="2"/>
        <v>0.333333333333333</v>
      </c>
      <c r="H37" s="55"/>
      <c r="J37" s="66"/>
      <c r="N37" s="61" t="s">
        <v>97</v>
      </c>
      <c r="O37" s="61" t="s">
        <v>98</v>
      </c>
      <c r="P37" s="62">
        <v>278</v>
      </c>
      <c r="Q37" s="63">
        <v>0.0024789069981863</v>
      </c>
      <c r="R37" s="64">
        <v>3</v>
      </c>
      <c r="S37" s="64">
        <v>1</v>
      </c>
      <c r="T37" s="63">
        <f t="shared" si="0"/>
        <v>0.333333333333333</v>
      </c>
      <c r="X37" t="s">
        <v>26</v>
      </c>
      <c r="Y37">
        <v>1718.8</v>
      </c>
      <c r="Z37">
        <v>25</v>
      </c>
      <c r="AA37">
        <v>4</v>
      </c>
    </row>
    <row r="38" spans="1:27">
      <c r="A38" s="53" t="s">
        <v>99</v>
      </c>
      <c r="B38" s="53" t="s">
        <v>100</v>
      </c>
      <c r="C38" s="54">
        <v>1050</v>
      </c>
      <c r="D38" s="55">
        <f t="shared" si="1"/>
        <v>0.00425219053620325</v>
      </c>
      <c r="E38" s="56">
        <v>20</v>
      </c>
      <c r="F38" s="56">
        <v>3</v>
      </c>
      <c r="G38" s="55">
        <f t="shared" si="2"/>
        <v>0.15</v>
      </c>
      <c r="H38" s="55"/>
      <c r="J38" s="67"/>
      <c r="K38" s="67"/>
      <c r="N38" s="61" t="s">
        <v>101</v>
      </c>
      <c r="O38" s="61" t="s">
        <v>70</v>
      </c>
      <c r="P38" s="62">
        <v>276</v>
      </c>
      <c r="Q38" s="63">
        <v>0.00246107313488999</v>
      </c>
      <c r="R38" s="64">
        <v>2</v>
      </c>
      <c r="S38" s="64">
        <v>0</v>
      </c>
      <c r="T38" s="63">
        <f t="shared" si="0"/>
        <v>0</v>
      </c>
      <c r="W38" t="s">
        <v>69</v>
      </c>
      <c r="X38" t="s">
        <v>70</v>
      </c>
      <c r="Y38">
        <v>1445</v>
      </c>
      <c r="Z38">
        <v>11</v>
      </c>
      <c r="AA38">
        <v>1</v>
      </c>
    </row>
    <row r="39" spans="1:27">
      <c r="A39" s="53" t="s">
        <v>102</v>
      </c>
      <c r="B39" s="53" t="s">
        <v>59</v>
      </c>
      <c r="C39" s="54">
        <v>1009</v>
      </c>
      <c r="D39" s="55">
        <f t="shared" ref="D39:D82" si="3">C39/$C$83</f>
        <v>0.0040861526200277</v>
      </c>
      <c r="E39" s="56">
        <v>12</v>
      </c>
      <c r="F39" s="56">
        <v>1</v>
      </c>
      <c r="G39" s="55">
        <f t="shared" ref="G39:G82" si="4">F39/E39</f>
        <v>0.0833333333333333</v>
      </c>
      <c r="H39" s="55"/>
      <c r="J39" s="66"/>
      <c r="N39" s="61" t="s">
        <v>103</v>
      </c>
      <c r="O39" s="61" t="s">
        <v>104</v>
      </c>
      <c r="P39" s="62">
        <v>272</v>
      </c>
      <c r="Q39" s="63">
        <v>0.00242540540829738</v>
      </c>
      <c r="R39" s="64">
        <v>2</v>
      </c>
      <c r="S39" s="64">
        <v>0</v>
      </c>
      <c r="T39" s="63">
        <f t="shared" si="0"/>
        <v>0</v>
      </c>
      <c r="X39" t="s">
        <v>26</v>
      </c>
      <c r="Y39">
        <v>1250</v>
      </c>
      <c r="Z39">
        <v>11</v>
      </c>
      <c r="AA39">
        <v>1</v>
      </c>
    </row>
    <row r="40" spans="1:27">
      <c r="A40" s="2" t="s">
        <v>94</v>
      </c>
      <c r="B40" s="2" t="s">
        <v>52</v>
      </c>
      <c r="C40" s="20">
        <v>994.96</v>
      </c>
      <c r="D40" s="21">
        <f t="shared" si="3"/>
        <v>0.00402929475800075</v>
      </c>
      <c r="E40" s="4">
        <v>17</v>
      </c>
      <c r="F40" s="4">
        <v>0</v>
      </c>
      <c r="G40" s="21">
        <f t="shared" si="4"/>
        <v>0</v>
      </c>
      <c r="H40" s="21"/>
      <c r="J40" s="12"/>
      <c r="N40" s="61" t="s">
        <v>105</v>
      </c>
      <c r="O40" s="61" t="s">
        <v>33</v>
      </c>
      <c r="P40" s="62">
        <v>228</v>
      </c>
      <c r="Q40" s="63">
        <v>0.00203306041577869</v>
      </c>
      <c r="R40" s="64">
        <v>2</v>
      </c>
      <c r="S40" s="64">
        <v>1</v>
      </c>
      <c r="T40" s="63">
        <f t="shared" si="0"/>
        <v>0.5</v>
      </c>
      <c r="W40" t="s">
        <v>73</v>
      </c>
      <c r="X40" t="s">
        <v>74</v>
      </c>
      <c r="Y40">
        <v>2596.08</v>
      </c>
      <c r="Z40">
        <v>49</v>
      </c>
      <c r="AA40">
        <v>2</v>
      </c>
    </row>
    <row r="41" spans="1:27">
      <c r="A41" s="2" t="s">
        <v>95</v>
      </c>
      <c r="B41" s="2" t="s">
        <v>96</v>
      </c>
      <c r="C41" s="20">
        <v>875.35</v>
      </c>
      <c r="D41" s="21">
        <f t="shared" si="3"/>
        <v>0.00354490951034811</v>
      </c>
      <c r="E41" s="4">
        <v>20</v>
      </c>
      <c r="F41" s="4">
        <v>2</v>
      </c>
      <c r="G41" s="21">
        <f t="shared" si="4"/>
        <v>0.1</v>
      </c>
      <c r="H41" s="21"/>
      <c r="J41" s="66"/>
      <c r="N41" s="61" t="s">
        <v>106</v>
      </c>
      <c r="O41" s="61" t="s">
        <v>104</v>
      </c>
      <c r="P41" s="62">
        <v>218.9</v>
      </c>
      <c r="Q41" s="63">
        <v>0.0019519163377805</v>
      </c>
      <c r="R41" s="64">
        <v>11</v>
      </c>
      <c r="S41" s="64">
        <v>1</v>
      </c>
      <c r="T41" s="63">
        <f t="shared" si="0"/>
        <v>0.0909090909090909</v>
      </c>
      <c r="X41" t="s">
        <v>107</v>
      </c>
      <c r="Y41">
        <v>39.8</v>
      </c>
      <c r="Z41">
        <v>1</v>
      </c>
      <c r="AA41">
        <v>0</v>
      </c>
    </row>
    <row r="42" spans="1:27">
      <c r="A42" s="2" t="s">
        <v>108</v>
      </c>
      <c r="B42" s="2" t="s">
        <v>109</v>
      </c>
      <c r="C42" s="20">
        <v>868.42</v>
      </c>
      <c r="D42" s="21">
        <f t="shared" si="3"/>
        <v>0.00351684505280917</v>
      </c>
      <c r="E42" s="4">
        <v>23</v>
      </c>
      <c r="F42" s="4">
        <v>4</v>
      </c>
      <c r="G42" s="21">
        <f t="shared" si="4"/>
        <v>0.173913043478261</v>
      </c>
      <c r="H42" s="21"/>
      <c r="J42" s="12"/>
      <c r="N42" s="61" t="s">
        <v>110</v>
      </c>
      <c r="O42" s="61" t="s">
        <v>104</v>
      </c>
      <c r="P42" s="62">
        <v>208.7</v>
      </c>
      <c r="Q42" s="63">
        <v>0.00186096363496935</v>
      </c>
      <c r="R42" s="64">
        <v>7</v>
      </c>
      <c r="S42" s="64">
        <v>0</v>
      </c>
      <c r="T42" s="63">
        <f t="shared" si="0"/>
        <v>0</v>
      </c>
      <c r="W42" t="s">
        <v>63</v>
      </c>
      <c r="X42" t="s">
        <v>33</v>
      </c>
      <c r="Y42">
        <v>2607</v>
      </c>
      <c r="Z42">
        <v>33</v>
      </c>
      <c r="AA42">
        <v>18</v>
      </c>
    </row>
    <row r="43" spans="1:27">
      <c r="A43" s="2" t="s">
        <v>89</v>
      </c>
      <c r="B43" s="2" t="s">
        <v>70</v>
      </c>
      <c r="C43" s="20">
        <v>812.24</v>
      </c>
      <c r="D43" s="21">
        <f t="shared" si="3"/>
        <v>0.00328933261059593</v>
      </c>
      <c r="E43" s="4">
        <v>5</v>
      </c>
      <c r="F43" s="4">
        <v>1</v>
      </c>
      <c r="G43" s="21">
        <f t="shared" si="4"/>
        <v>0.2</v>
      </c>
      <c r="H43" s="21"/>
      <c r="J43" s="66"/>
      <c r="N43" s="61" t="s">
        <v>111</v>
      </c>
      <c r="O43" s="61" t="s">
        <v>33</v>
      </c>
      <c r="P43" s="62">
        <v>169</v>
      </c>
      <c r="Q43" s="63">
        <v>0.00150696144853771</v>
      </c>
      <c r="R43" s="64">
        <v>1</v>
      </c>
      <c r="S43" s="64">
        <v>0</v>
      </c>
      <c r="T43" s="63">
        <f t="shared" si="0"/>
        <v>0</v>
      </c>
      <c r="W43" t="s">
        <v>77</v>
      </c>
      <c r="X43" t="s">
        <v>78</v>
      </c>
      <c r="Y43">
        <v>2496.05</v>
      </c>
      <c r="Z43">
        <v>16</v>
      </c>
      <c r="AA43">
        <v>0</v>
      </c>
    </row>
    <row r="44" spans="1:27">
      <c r="A44" s="2" t="s">
        <v>91</v>
      </c>
      <c r="B44" s="2" t="s">
        <v>92</v>
      </c>
      <c r="C44" s="20">
        <v>633.72</v>
      </c>
      <c r="D44" s="21">
        <f t="shared" si="3"/>
        <v>0.00256637922533593</v>
      </c>
      <c r="E44" s="4">
        <v>12</v>
      </c>
      <c r="F44" s="4">
        <v>0</v>
      </c>
      <c r="G44" s="21">
        <f t="shared" si="4"/>
        <v>0</v>
      </c>
      <c r="H44" s="21"/>
      <c r="J44" s="12"/>
      <c r="N44" s="61" t="s">
        <v>112</v>
      </c>
      <c r="O44" s="61" t="s">
        <v>52</v>
      </c>
      <c r="P44" s="62">
        <v>156</v>
      </c>
      <c r="Q44" s="63">
        <v>0.00139104133711173</v>
      </c>
      <c r="R44" s="64">
        <v>2</v>
      </c>
      <c r="S44" s="64">
        <v>0</v>
      </c>
      <c r="T44" s="63">
        <f t="shared" si="0"/>
        <v>0</v>
      </c>
      <c r="W44" t="s">
        <v>64</v>
      </c>
      <c r="X44" t="s">
        <v>59</v>
      </c>
      <c r="Y44">
        <v>2392.81</v>
      </c>
      <c r="Z44">
        <v>18</v>
      </c>
      <c r="AA44">
        <v>1</v>
      </c>
    </row>
    <row r="45" spans="1:27">
      <c r="A45" s="2" t="s">
        <v>87</v>
      </c>
      <c r="B45" s="2" t="s">
        <v>59</v>
      </c>
      <c r="C45" s="20">
        <v>605</v>
      </c>
      <c r="D45" s="21">
        <f t="shared" si="3"/>
        <v>0.00245007168990759</v>
      </c>
      <c r="E45" s="4">
        <v>5</v>
      </c>
      <c r="F45" s="4">
        <v>0</v>
      </c>
      <c r="G45" s="21">
        <f t="shared" si="4"/>
        <v>0</v>
      </c>
      <c r="H45" s="21"/>
      <c r="J45" s="66"/>
      <c r="N45" s="61" t="s">
        <v>113</v>
      </c>
      <c r="O45" s="61" t="s">
        <v>67</v>
      </c>
      <c r="P45" s="62">
        <v>132</v>
      </c>
      <c r="Q45" s="63">
        <v>0.00117703497755608</v>
      </c>
      <c r="R45" s="64">
        <v>10</v>
      </c>
      <c r="S45" s="64">
        <v>9</v>
      </c>
      <c r="T45" s="63">
        <f t="shared" si="0"/>
        <v>0.9</v>
      </c>
      <c r="W45" t="s">
        <v>80</v>
      </c>
      <c r="X45" t="s">
        <v>81</v>
      </c>
      <c r="Y45">
        <v>2064.19</v>
      </c>
      <c r="Z45">
        <v>61</v>
      </c>
      <c r="AA45">
        <v>5</v>
      </c>
    </row>
    <row r="46" spans="1:27">
      <c r="A46" s="2" t="s">
        <v>97</v>
      </c>
      <c r="B46" s="2" t="s">
        <v>33</v>
      </c>
      <c r="C46" s="20">
        <v>595</v>
      </c>
      <c r="D46" s="21">
        <f t="shared" si="3"/>
        <v>0.00240957463718184</v>
      </c>
      <c r="E46" s="4">
        <v>5</v>
      </c>
      <c r="F46" s="4">
        <v>1</v>
      </c>
      <c r="G46" s="21">
        <f t="shared" si="4"/>
        <v>0.2</v>
      </c>
      <c r="H46" s="21"/>
      <c r="J46" s="12"/>
      <c r="N46" s="61" t="s">
        <v>114</v>
      </c>
      <c r="O46" s="61" t="s">
        <v>57</v>
      </c>
      <c r="P46" s="62">
        <v>119</v>
      </c>
      <c r="Q46" s="63">
        <v>0.00106111486613011</v>
      </c>
      <c r="R46" s="64">
        <v>1</v>
      </c>
      <c r="S46" s="64">
        <v>0</v>
      </c>
      <c r="T46" s="63">
        <f t="shared" si="0"/>
        <v>0</v>
      </c>
      <c r="X46" t="s">
        <v>104</v>
      </c>
      <c r="Y46">
        <v>62</v>
      </c>
      <c r="Z46">
        <v>3</v>
      </c>
      <c r="AA46">
        <v>1</v>
      </c>
    </row>
    <row r="47" spans="1:27">
      <c r="A47" s="2" t="s">
        <v>101</v>
      </c>
      <c r="B47" s="2" t="s">
        <v>70</v>
      </c>
      <c r="C47" s="20">
        <v>560</v>
      </c>
      <c r="D47" s="21">
        <f t="shared" si="3"/>
        <v>0.00226783495264173</v>
      </c>
      <c r="E47" s="4">
        <v>5</v>
      </c>
      <c r="F47" s="4">
        <v>1</v>
      </c>
      <c r="G47" s="21">
        <f t="shared" si="4"/>
        <v>0.2</v>
      </c>
      <c r="H47" s="21"/>
      <c r="J47" s="66"/>
      <c r="N47" s="61" t="s">
        <v>102</v>
      </c>
      <c r="O47" s="61" t="s">
        <v>59</v>
      </c>
      <c r="P47" s="62">
        <v>118</v>
      </c>
      <c r="Q47" s="63">
        <v>0.00105219793448195</v>
      </c>
      <c r="R47" s="64">
        <v>2</v>
      </c>
      <c r="S47" s="64">
        <v>0</v>
      </c>
      <c r="T47" s="63">
        <f t="shared" si="0"/>
        <v>0</v>
      </c>
      <c r="W47" t="s">
        <v>84</v>
      </c>
      <c r="X47" t="s">
        <v>115</v>
      </c>
      <c r="Y47">
        <v>116</v>
      </c>
      <c r="Z47">
        <v>4</v>
      </c>
      <c r="AA47">
        <v>3</v>
      </c>
    </row>
    <row r="48" spans="1:27">
      <c r="A48" s="2" t="s">
        <v>111</v>
      </c>
      <c r="B48" s="2" t="s">
        <v>33</v>
      </c>
      <c r="C48" s="20">
        <v>495.02</v>
      </c>
      <c r="D48" s="21">
        <f t="shared" si="3"/>
        <v>0.00200468510402984</v>
      </c>
      <c r="E48" s="4">
        <v>3</v>
      </c>
      <c r="F48" s="4">
        <v>0</v>
      </c>
      <c r="G48" s="21">
        <f t="shared" si="4"/>
        <v>0</v>
      </c>
      <c r="H48" s="21"/>
      <c r="J48" s="12"/>
      <c r="N48" s="61" t="s">
        <v>84</v>
      </c>
      <c r="O48" s="61" t="s">
        <v>115</v>
      </c>
      <c r="P48" s="62">
        <v>116</v>
      </c>
      <c r="Q48" s="63">
        <v>0.00103436407118565</v>
      </c>
      <c r="R48" s="64">
        <v>4</v>
      </c>
      <c r="S48" s="64">
        <v>3</v>
      </c>
      <c r="T48" s="63">
        <f t="shared" si="0"/>
        <v>0.75</v>
      </c>
      <c r="X48" t="s">
        <v>50</v>
      </c>
      <c r="Y48">
        <v>1951.9</v>
      </c>
      <c r="Z48">
        <v>29</v>
      </c>
      <c r="AA48">
        <v>4</v>
      </c>
    </row>
    <row r="49" spans="1:27">
      <c r="A49" s="2" t="s">
        <v>116</v>
      </c>
      <c r="B49" s="2" t="s">
        <v>117</v>
      </c>
      <c r="C49" s="20">
        <v>458.3</v>
      </c>
      <c r="D49" s="21">
        <f t="shared" si="3"/>
        <v>0.00185597992642091</v>
      </c>
      <c r="E49" s="4">
        <v>9</v>
      </c>
      <c r="F49" s="4">
        <v>1</v>
      </c>
      <c r="G49" s="21">
        <f t="shared" si="4"/>
        <v>0.111111111111111</v>
      </c>
      <c r="H49" s="21"/>
      <c r="J49" s="66"/>
      <c r="N49" s="61" t="s">
        <v>118</v>
      </c>
      <c r="O49" s="61" t="s">
        <v>119</v>
      </c>
      <c r="P49" s="62">
        <v>79</v>
      </c>
      <c r="Q49" s="63">
        <v>0.000704437600204019</v>
      </c>
      <c r="R49" s="64">
        <v>1</v>
      </c>
      <c r="S49" s="64">
        <v>0</v>
      </c>
      <c r="T49" s="63">
        <f t="shared" si="0"/>
        <v>0</v>
      </c>
      <c r="W49" t="s">
        <v>68</v>
      </c>
      <c r="X49" t="s">
        <v>33</v>
      </c>
      <c r="Y49">
        <v>1526</v>
      </c>
      <c r="Z49">
        <v>12</v>
      </c>
      <c r="AA49">
        <v>5</v>
      </c>
    </row>
    <row r="50" spans="1:27">
      <c r="A50" s="2" t="s">
        <v>120</v>
      </c>
      <c r="B50" s="2" t="s">
        <v>121</v>
      </c>
      <c r="C50" s="20">
        <v>436.11</v>
      </c>
      <c r="D50" s="21">
        <f t="shared" si="3"/>
        <v>0.00176611696642248</v>
      </c>
      <c r="E50" s="4">
        <v>6</v>
      </c>
      <c r="F50" s="4">
        <v>0</v>
      </c>
      <c r="G50" s="21">
        <f t="shared" si="4"/>
        <v>0</v>
      </c>
      <c r="H50" s="21"/>
      <c r="J50" s="12"/>
      <c r="N50" s="61" t="s">
        <v>80</v>
      </c>
      <c r="O50" s="61" t="s">
        <v>104</v>
      </c>
      <c r="P50" s="62">
        <v>62</v>
      </c>
      <c r="Q50" s="63">
        <v>0.000552849762185433</v>
      </c>
      <c r="R50" s="64">
        <v>3</v>
      </c>
      <c r="S50" s="64">
        <v>1</v>
      </c>
      <c r="T50" s="63">
        <f t="shared" si="0"/>
        <v>0.333333333333333</v>
      </c>
      <c r="X50" t="s">
        <v>88</v>
      </c>
      <c r="Y50">
        <v>434</v>
      </c>
      <c r="Z50">
        <v>6</v>
      </c>
      <c r="AA50">
        <v>4</v>
      </c>
    </row>
    <row r="51" spans="1:27">
      <c r="A51" s="2" t="s">
        <v>90</v>
      </c>
      <c r="B51" s="2" t="s">
        <v>37</v>
      </c>
      <c r="C51" s="20">
        <v>430</v>
      </c>
      <c r="D51" s="21">
        <f t="shared" si="3"/>
        <v>0.00174137326720705</v>
      </c>
      <c r="E51" s="4">
        <v>3</v>
      </c>
      <c r="F51" s="4">
        <v>1</v>
      </c>
      <c r="G51" s="21">
        <f t="shared" si="4"/>
        <v>0.333333333333333</v>
      </c>
      <c r="H51" s="21"/>
      <c r="J51" s="66"/>
      <c r="N51" s="61" t="s">
        <v>122</v>
      </c>
      <c r="O51" s="61" t="s">
        <v>104</v>
      </c>
      <c r="P51" s="62">
        <v>50</v>
      </c>
      <c r="Q51" s="63">
        <v>0.000445846582407607</v>
      </c>
      <c r="R51" s="64">
        <v>1</v>
      </c>
      <c r="S51" s="64">
        <v>0</v>
      </c>
      <c r="T51" s="63">
        <f t="shared" si="0"/>
        <v>0</v>
      </c>
      <c r="W51" t="s">
        <v>82</v>
      </c>
      <c r="X51" t="s">
        <v>28</v>
      </c>
      <c r="Y51">
        <v>585</v>
      </c>
      <c r="Z51">
        <v>6</v>
      </c>
      <c r="AA51">
        <v>1</v>
      </c>
    </row>
    <row r="52" spans="1:27">
      <c r="A52" s="2" t="s">
        <v>112</v>
      </c>
      <c r="B52" s="2" t="s">
        <v>52</v>
      </c>
      <c r="C52" s="20">
        <v>428</v>
      </c>
      <c r="D52" s="21">
        <f t="shared" si="3"/>
        <v>0.0017332738566619</v>
      </c>
      <c r="E52" s="4">
        <v>6</v>
      </c>
      <c r="F52" s="4">
        <v>0</v>
      </c>
      <c r="G52" s="21">
        <f t="shared" si="4"/>
        <v>0</v>
      </c>
      <c r="H52" s="21"/>
      <c r="J52" s="12"/>
      <c r="N52" s="61" t="s">
        <v>73</v>
      </c>
      <c r="O52" s="61" t="s">
        <v>107</v>
      </c>
      <c r="P52" s="62">
        <v>39.8</v>
      </c>
      <c r="Q52" s="63">
        <v>0.000354893879596455</v>
      </c>
      <c r="R52" s="64">
        <v>1</v>
      </c>
      <c r="S52" s="64">
        <v>0</v>
      </c>
      <c r="T52" s="63">
        <f t="shared" si="0"/>
        <v>0</v>
      </c>
      <c r="X52" t="s">
        <v>83</v>
      </c>
      <c r="Y52">
        <v>1179.49</v>
      </c>
      <c r="Z52">
        <v>13</v>
      </c>
      <c r="AA52">
        <v>2</v>
      </c>
    </row>
    <row r="53" spans="1:27">
      <c r="A53" s="2" t="s">
        <v>123</v>
      </c>
      <c r="B53" s="2" t="s">
        <v>124</v>
      </c>
      <c r="C53" s="20">
        <v>425.6</v>
      </c>
      <c r="D53" s="21">
        <f t="shared" si="3"/>
        <v>0.00172355456400772</v>
      </c>
      <c r="E53" s="4">
        <v>14</v>
      </c>
      <c r="F53" s="4">
        <v>0</v>
      </c>
      <c r="G53" s="21">
        <f t="shared" si="4"/>
        <v>0</v>
      </c>
      <c r="H53" s="21"/>
      <c r="J53" s="66"/>
      <c r="N53" s="2" t="s">
        <v>16</v>
      </c>
      <c r="O53" s="2" t="s">
        <v>38</v>
      </c>
      <c r="P53" s="20">
        <v>34176.99</v>
      </c>
      <c r="Q53" s="21">
        <v>0.253566058922576</v>
      </c>
      <c r="R53" s="4">
        <v>340</v>
      </c>
      <c r="S53" s="4">
        <v>132</v>
      </c>
      <c r="T53" s="21">
        <f t="shared" si="0"/>
        <v>0.388235294117647</v>
      </c>
      <c r="W53" t="s">
        <v>79</v>
      </c>
      <c r="X53" t="s">
        <v>28</v>
      </c>
      <c r="Y53">
        <v>744</v>
      </c>
      <c r="Z53">
        <v>8</v>
      </c>
      <c r="AA53">
        <v>3</v>
      </c>
    </row>
    <row r="54" spans="1:27">
      <c r="A54" s="2" t="s">
        <v>113</v>
      </c>
      <c r="B54" s="2" t="s">
        <v>67</v>
      </c>
      <c r="C54" s="20">
        <v>377.82</v>
      </c>
      <c r="D54" s="21">
        <f t="shared" si="3"/>
        <v>0.00153005964608411</v>
      </c>
      <c r="E54" s="4">
        <v>13</v>
      </c>
      <c r="F54" s="4">
        <v>10</v>
      </c>
      <c r="G54" s="21">
        <f t="shared" si="4"/>
        <v>0.769230769230769</v>
      </c>
      <c r="H54" s="21"/>
      <c r="J54" s="66"/>
      <c r="N54" s="2" t="s">
        <v>23</v>
      </c>
      <c r="O54" s="2" t="s">
        <v>24</v>
      </c>
      <c r="P54" s="20">
        <v>17896.23</v>
      </c>
      <c r="Q54" s="21">
        <v>0.132775780157116</v>
      </c>
      <c r="R54" s="4">
        <v>268</v>
      </c>
      <c r="S54" s="4">
        <v>11</v>
      </c>
      <c r="T54" s="21">
        <f t="shared" si="0"/>
        <v>0.041044776119403</v>
      </c>
      <c r="X54" t="s">
        <v>83</v>
      </c>
      <c r="Y54">
        <v>1016.98</v>
      </c>
      <c r="Z54">
        <v>12</v>
      </c>
      <c r="AA54">
        <v>4</v>
      </c>
    </row>
    <row r="55" spans="1:27">
      <c r="A55" s="2" t="s">
        <v>125</v>
      </c>
      <c r="B55" s="2" t="s">
        <v>78</v>
      </c>
      <c r="C55" s="20">
        <v>372.81</v>
      </c>
      <c r="D55" s="21">
        <f t="shared" si="3"/>
        <v>0.00150977062266851</v>
      </c>
      <c r="E55" s="4">
        <v>14</v>
      </c>
      <c r="F55" s="4">
        <v>0</v>
      </c>
      <c r="G55" s="21">
        <f t="shared" si="4"/>
        <v>0</v>
      </c>
      <c r="H55" s="21"/>
      <c r="J55" s="66"/>
      <c r="N55" s="2" t="s">
        <v>32</v>
      </c>
      <c r="O55" s="2" t="s">
        <v>33</v>
      </c>
      <c r="P55" s="20">
        <v>12423.81</v>
      </c>
      <c r="Q55" s="21">
        <v>0.0921747801226172</v>
      </c>
      <c r="R55" s="4">
        <v>137</v>
      </c>
      <c r="S55" s="4">
        <v>71</v>
      </c>
      <c r="T55" s="21">
        <f t="shared" si="0"/>
        <v>0.518248175182482</v>
      </c>
      <c r="W55" t="s">
        <v>65</v>
      </c>
      <c r="X55" t="s">
        <v>66</v>
      </c>
      <c r="Y55">
        <v>1537</v>
      </c>
      <c r="Z55">
        <v>12</v>
      </c>
      <c r="AA55">
        <v>2</v>
      </c>
    </row>
    <row r="56" spans="1:27">
      <c r="A56" s="2" t="s">
        <v>126</v>
      </c>
      <c r="B56" s="2" t="s">
        <v>127</v>
      </c>
      <c r="C56" s="20">
        <v>370.26</v>
      </c>
      <c r="D56" s="21">
        <f t="shared" si="3"/>
        <v>0.00149944387422344</v>
      </c>
      <c r="E56" s="4">
        <v>4</v>
      </c>
      <c r="F56" s="4">
        <v>0</v>
      </c>
      <c r="G56" s="21">
        <f t="shared" si="4"/>
        <v>0</v>
      </c>
      <c r="H56" s="21"/>
      <c r="J56" s="66"/>
      <c r="N56" s="2" t="s">
        <v>49</v>
      </c>
      <c r="O56" s="2" t="s">
        <v>50</v>
      </c>
      <c r="P56" s="20">
        <v>7759.03</v>
      </c>
      <c r="Q56" s="21">
        <v>0.057565825959572</v>
      </c>
      <c r="R56" s="4">
        <v>74</v>
      </c>
      <c r="S56" s="4">
        <v>15</v>
      </c>
      <c r="T56" s="21">
        <f t="shared" si="0"/>
        <v>0.202702702702703</v>
      </c>
      <c r="X56" t="s">
        <v>35</v>
      </c>
      <c r="Y56">
        <v>115</v>
      </c>
      <c r="Z56">
        <v>1</v>
      </c>
      <c r="AA56">
        <v>0</v>
      </c>
    </row>
    <row r="57" spans="1:27">
      <c r="A57" s="2" t="s">
        <v>128</v>
      </c>
      <c r="B57" s="2" t="s">
        <v>129</v>
      </c>
      <c r="C57" s="20">
        <v>349.31</v>
      </c>
      <c r="D57" s="21">
        <f t="shared" si="3"/>
        <v>0.00141460254876301</v>
      </c>
      <c r="E57" s="4">
        <v>6</v>
      </c>
      <c r="F57" s="4">
        <v>0</v>
      </c>
      <c r="G57" s="21">
        <f t="shared" si="4"/>
        <v>0</v>
      </c>
      <c r="H57" s="21"/>
      <c r="J57" s="12"/>
      <c r="N57" s="2" t="s">
        <v>53</v>
      </c>
      <c r="O57" s="2" t="s">
        <v>54</v>
      </c>
      <c r="P57" s="20">
        <v>6436.55</v>
      </c>
      <c r="Q57" s="21">
        <v>0.0477540771307861</v>
      </c>
      <c r="R57" s="4">
        <v>114</v>
      </c>
      <c r="S57" s="4">
        <v>12</v>
      </c>
      <c r="T57" s="21">
        <f t="shared" si="0"/>
        <v>0.105263157894737</v>
      </c>
      <c r="W57" t="s">
        <v>93</v>
      </c>
      <c r="X57" t="s">
        <v>24</v>
      </c>
      <c r="Y57">
        <v>1534.11</v>
      </c>
      <c r="Z57">
        <v>22</v>
      </c>
      <c r="AA57">
        <v>0</v>
      </c>
    </row>
    <row r="58" spans="1:27">
      <c r="A58" s="2" t="s">
        <v>106</v>
      </c>
      <c r="B58" s="2" t="s">
        <v>104</v>
      </c>
      <c r="C58" s="20">
        <v>346.99</v>
      </c>
      <c r="D58" s="21">
        <f t="shared" si="3"/>
        <v>0.00140520723253063</v>
      </c>
      <c r="E58" s="4">
        <v>15</v>
      </c>
      <c r="F58" s="4">
        <v>1</v>
      </c>
      <c r="G58" s="21">
        <f t="shared" si="4"/>
        <v>0.0666666666666667</v>
      </c>
      <c r="H58" s="21"/>
      <c r="J58" s="66"/>
      <c r="N58" s="2" t="s">
        <v>36</v>
      </c>
      <c r="O58" s="2" t="s">
        <v>35</v>
      </c>
      <c r="P58" s="20">
        <v>4663.86</v>
      </c>
      <c r="Q58" s="21">
        <v>0.0346021284954188</v>
      </c>
      <c r="R58" s="4">
        <v>52</v>
      </c>
      <c r="S58" s="4">
        <v>10</v>
      </c>
      <c r="T58" s="21">
        <f t="shared" si="0"/>
        <v>0.192307692307692</v>
      </c>
      <c r="W58" t="s">
        <v>75</v>
      </c>
      <c r="X58" t="s">
        <v>47</v>
      </c>
      <c r="Y58">
        <v>1182</v>
      </c>
      <c r="Z58">
        <v>25</v>
      </c>
      <c r="AA58">
        <v>3</v>
      </c>
    </row>
    <row r="59" spans="1:27">
      <c r="A59" s="2" t="s">
        <v>103</v>
      </c>
      <c r="B59" s="2" t="s">
        <v>104</v>
      </c>
      <c r="C59" s="20">
        <v>340</v>
      </c>
      <c r="D59" s="21">
        <f t="shared" si="3"/>
        <v>0.00137689979267534</v>
      </c>
      <c r="E59" s="4">
        <v>3</v>
      </c>
      <c r="F59" s="4">
        <v>0</v>
      </c>
      <c r="G59" s="21">
        <f t="shared" si="4"/>
        <v>0</v>
      </c>
      <c r="H59" s="21"/>
      <c r="J59" s="67"/>
      <c r="K59" s="67"/>
      <c r="N59" s="2" t="s">
        <v>41</v>
      </c>
      <c r="O59" s="2" t="s">
        <v>38</v>
      </c>
      <c r="P59" s="20">
        <v>4247.79</v>
      </c>
      <c r="Q59" s="21">
        <v>0.0315152203114062</v>
      </c>
      <c r="R59" s="4">
        <v>36</v>
      </c>
      <c r="S59" s="4">
        <v>10</v>
      </c>
      <c r="T59" s="21">
        <f t="shared" si="0"/>
        <v>0.277777777777778</v>
      </c>
      <c r="X59" t="s">
        <v>130</v>
      </c>
      <c r="Y59">
        <v>266</v>
      </c>
      <c r="Z59">
        <v>4</v>
      </c>
      <c r="AA59">
        <v>0</v>
      </c>
    </row>
    <row r="60" spans="1:27">
      <c r="A60" s="2" t="s">
        <v>131</v>
      </c>
      <c r="B60" s="2" t="s">
        <v>132</v>
      </c>
      <c r="C60" s="20">
        <v>304</v>
      </c>
      <c r="D60" s="21">
        <f t="shared" si="3"/>
        <v>0.00123111040286266</v>
      </c>
      <c r="E60" s="4">
        <v>5</v>
      </c>
      <c r="F60" s="4">
        <v>0</v>
      </c>
      <c r="G60" s="21">
        <f t="shared" si="4"/>
        <v>0</v>
      </c>
      <c r="H60" s="21"/>
      <c r="J60" s="12"/>
      <c r="N60" s="2" t="s">
        <v>19</v>
      </c>
      <c r="O60" s="2" t="s">
        <v>20</v>
      </c>
      <c r="P60" s="20">
        <v>3507.5</v>
      </c>
      <c r="Q60" s="21">
        <v>0.0260228578254239</v>
      </c>
      <c r="R60" s="4">
        <v>42</v>
      </c>
      <c r="S60" s="4">
        <v>18</v>
      </c>
      <c r="T60" s="21">
        <f t="shared" si="0"/>
        <v>0.428571428571429</v>
      </c>
      <c r="W60" t="s">
        <v>86</v>
      </c>
      <c r="X60" t="s">
        <v>37</v>
      </c>
      <c r="Y60">
        <v>1157.21</v>
      </c>
      <c r="Z60">
        <v>9</v>
      </c>
      <c r="AA60">
        <v>3</v>
      </c>
    </row>
    <row r="61" spans="1:27">
      <c r="A61" s="2" t="s">
        <v>133</v>
      </c>
      <c r="B61" s="2" t="s">
        <v>134</v>
      </c>
      <c r="C61" s="20">
        <v>237.8</v>
      </c>
      <c r="D61" s="21">
        <f t="shared" si="3"/>
        <v>0.000963019913818222</v>
      </c>
      <c r="E61" s="4">
        <v>4</v>
      </c>
      <c r="F61" s="4">
        <v>0</v>
      </c>
      <c r="G61" s="21">
        <f t="shared" si="4"/>
        <v>0</v>
      </c>
      <c r="H61" s="21"/>
      <c r="J61" s="66"/>
      <c r="N61" s="2" t="s">
        <v>60</v>
      </c>
      <c r="O61" s="2" t="s">
        <v>61</v>
      </c>
      <c r="P61" s="20">
        <v>2931.69</v>
      </c>
      <c r="Q61" s="21">
        <v>0.0217508060037682</v>
      </c>
      <c r="R61" s="4">
        <v>39</v>
      </c>
      <c r="S61" s="4">
        <v>9</v>
      </c>
      <c r="T61" s="21">
        <f t="shared" si="0"/>
        <v>0.230769230769231</v>
      </c>
      <c r="W61" t="s">
        <v>99</v>
      </c>
      <c r="X61" t="s">
        <v>100</v>
      </c>
      <c r="Y61">
        <v>1050</v>
      </c>
      <c r="Z61">
        <v>20</v>
      </c>
      <c r="AA61">
        <v>3</v>
      </c>
    </row>
    <row r="62" spans="1:27">
      <c r="A62" s="2" t="s">
        <v>105</v>
      </c>
      <c r="B62" s="2" t="s">
        <v>33</v>
      </c>
      <c r="C62" s="20">
        <v>228</v>
      </c>
      <c r="D62" s="21">
        <f t="shared" si="3"/>
        <v>0.000923332802146992</v>
      </c>
      <c r="E62" s="4">
        <v>2</v>
      </c>
      <c r="F62" s="4">
        <v>1</v>
      </c>
      <c r="G62" s="21">
        <f t="shared" si="4"/>
        <v>0.5</v>
      </c>
      <c r="H62" s="21"/>
      <c r="J62" s="12"/>
      <c r="N62" s="2" t="s">
        <v>46</v>
      </c>
      <c r="O62" s="2" t="s">
        <v>72</v>
      </c>
      <c r="P62" s="20">
        <v>2877.06</v>
      </c>
      <c r="Q62" s="21">
        <v>0.0213454948924345</v>
      </c>
      <c r="R62" s="4">
        <v>63</v>
      </c>
      <c r="S62" s="4">
        <v>5</v>
      </c>
      <c r="T62" s="21">
        <f t="shared" si="0"/>
        <v>0.0793650793650794</v>
      </c>
      <c r="W62" t="s">
        <v>102</v>
      </c>
      <c r="X62" t="s">
        <v>59</v>
      </c>
      <c r="Y62">
        <v>118</v>
      </c>
      <c r="Z62">
        <v>2</v>
      </c>
      <c r="AA62">
        <v>0</v>
      </c>
    </row>
    <row r="63" spans="1:27">
      <c r="A63" s="2" t="s">
        <v>135</v>
      </c>
      <c r="B63" s="2" t="s">
        <v>124</v>
      </c>
      <c r="C63" s="20">
        <v>211.21</v>
      </c>
      <c r="D63" s="21">
        <f t="shared" si="3"/>
        <v>0.000855338250620466</v>
      </c>
      <c r="E63" s="4">
        <v>3</v>
      </c>
      <c r="F63" s="4">
        <v>0</v>
      </c>
      <c r="G63" s="21">
        <f t="shared" si="4"/>
        <v>0</v>
      </c>
      <c r="H63" s="21"/>
      <c r="J63" s="66"/>
      <c r="N63" s="2" t="s">
        <v>73</v>
      </c>
      <c r="O63" s="2" t="s">
        <v>74</v>
      </c>
      <c r="P63" s="20">
        <v>2596.08</v>
      </c>
      <c r="Q63" s="21">
        <v>0.0192608469689028</v>
      </c>
      <c r="R63" s="4">
        <v>49</v>
      </c>
      <c r="S63" s="4">
        <v>2</v>
      </c>
      <c r="T63" s="21">
        <f t="shared" si="0"/>
        <v>0.0408163265306122</v>
      </c>
      <c r="X63" t="s">
        <v>88</v>
      </c>
      <c r="Y63">
        <v>891</v>
      </c>
      <c r="Z63">
        <v>10</v>
      </c>
      <c r="AA63">
        <v>1</v>
      </c>
    </row>
    <row r="64" spans="1:27">
      <c r="A64" s="2" t="s">
        <v>110</v>
      </c>
      <c r="B64" s="2" t="s">
        <v>104</v>
      </c>
      <c r="C64" s="20">
        <v>208.7</v>
      </c>
      <c r="D64" s="21">
        <f t="shared" si="3"/>
        <v>0.000845173490386303</v>
      </c>
      <c r="E64" s="4">
        <v>7</v>
      </c>
      <c r="F64" s="4">
        <v>0</v>
      </c>
      <c r="G64" s="21">
        <f t="shared" si="4"/>
        <v>0</v>
      </c>
      <c r="H64" s="21"/>
      <c r="J64" s="67"/>
      <c r="K64" s="67"/>
      <c r="N64" s="2" t="s">
        <v>77</v>
      </c>
      <c r="O64" s="2" t="s">
        <v>78</v>
      </c>
      <c r="P64" s="20">
        <v>2496.05</v>
      </c>
      <c r="Q64" s="21">
        <v>0.0185187039986171</v>
      </c>
      <c r="R64" s="4">
        <v>16</v>
      </c>
      <c r="S64" s="4">
        <v>0</v>
      </c>
      <c r="T64" s="21">
        <f t="shared" si="0"/>
        <v>0</v>
      </c>
      <c r="W64" t="s">
        <v>94</v>
      </c>
      <c r="X64" t="s">
        <v>52</v>
      </c>
      <c r="Y64">
        <v>407</v>
      </c>
      <c r="Z64">
        <v>2</v>
      </c>
      <c r="AA64">
        <v>0</v>
      </c>
    </row>
    <row r="65" spans="1:27">
      <c r="A65" s="2" t="s">
        <v>136</v>
      </c>
      <c r="B65" s="2" t="s">
        <v>137</v>
      </c>
      <c r="C65" s="20">
        <v>208.48</v>
      </c>
      <c r="D65" s="21">
        <f t="shared" si="3"/>
        <v>0.000844282555226337</v>
      </c>
      <c r="E65" s="4">
        <v>5</v>
      </c>
      <c r="F65" s="4">
        <v>0</v>
      </c>
      <c r="G65" s="21">
        <f t="shared" si="4"/>
        <v>0</v>
      </c>
      <c r="H65" s="21"/>
      <c r="J65" s="12"/>
      <c r="N65" s="2" t="s">
        <v>27</v>
      </c>
      <c r="O65" s="2" t="s">
        <v>28</v>
      </c>
      <c r="P65" s="20">
        <v>2294.59</v>
      </c>
      <c r="Q65" s="21">
        <v>0.0170240311725273</v>
      </c>
      <c r="R65" s="4">
        <v>30</v>
      </c>
      <c r="S65" s="4">
        <v>2</v>
      </c>
      <c r="T65" s="21">
        <f t="shared" si="0"/>
        <v>0.0666666666666667</v>
      </c>
      <c r="X65" t="s">
        <v>138</v>
      </c>
      <c r="Y65">
        <v>587.96</v>
      </c>
      <c r="Z65">
        <v>15</v>
      </c>
      <c r="AA65">
        <v>0</v>
      </c>
    </row>
    <row r="66" spans="1:27">
      <c r="A66" s="2" t="s">
        <v>139</v>
      </c>
      <c r="B66" s="2" t="s">
        <v>26</v>
      </c>
      <c r="C66" s="20">
        <v>205.5</v>
      </c>
      <c r="D66" s="21">
        <f t="shared" si="3"/>
        <v>0.000832214433514065</v>
      </c>
      <c r="E66" s="4">
        <v>6</v>
      </c>
      <c r="F66" s="4">
        <v>0</v>
      </c>
      <c r="G66" s="21">
        <f t="shared" si="4"/>
        <v>0</v>
      </c>
      <c r="H66" s="21"/>
      <c r="J66" s="66"/>
      <c r="N66" s="2" t="s">
        <v>80</v>
      </c>
      <c r="O66" s="2" t="s">
        <v>81</v>
      </c>
      <c r="P66" s="20">
        <v>2064.19</v>
      </c>
      <c r="Q66" s="21">
        <v>0.0153146465843654</v>
      </c>
      <c r="R66" s="4">
        <v>61</v>
      </c>
      <c r="S66" s="4">
        <v>5</v>
      </c>
      <c r="T66" s="21">
        <f t="shared" si="0"/>
        <v>0.0819672131147541</v>
      </c>
      <c r="W66" t="s">
        <v>95</v>
      </c>
      <c r="X66" t="s">
        <v>96</v>
      </c>
      <c r="Y66">
        <v>378.8</v>
      </c>
      <c r="Z66">
        <v>7</v>
      </c>
      <c r="AA66">
        <v>1</v>
      </c>
    </row>
    <row r="67" spans="1:27">
      <c r="A67" s="2" t="s">
        <v>140</v>
      </c>
      <c r="B67" s="2" t="s">
        <v>102</v>
      </c>
      <c r="C67" s="20">
        <v>153.42</v>
      </c>
      <c r="D67" s="21">
        <f t="shared" si="3"/>
        <v>0.000621305782918384</v>
      </c>
      <c r="E67" s="4">
        <v>2</v>
      </c>
      <c r="F67" s="4">
        <v>0</v>
      </c>
      <c r="G67" s="21">
        <f t="shared" si="4"/>
        <v>0</v>
      </c>
      <c r="H67" s="21"/>
      <c r="J67" s="67"/>
      <c r="K67" s="67"/>
      <c r="N67" s="2" t="s">
        <v>84</v>
      </c>
      <c r="O67" s="2" t="s">
        <v>50</v>
      </c>
      <c r="P67" s="20">
        <v>1951.9</v>
      </c>
      <c r="Q67" s="21">
        <v>0.0144815441737548</v>
      </c>
      <c r="R67" s="4">
        <v>29</v>
      </c>
      <c r="S67" s="4">
        <v>4</v>
      </c>
      <c r="T67" s="21">
        <f t="shared" si="0"/>
        <v>0.137931034482759</v>
      </c>
      <c r="X67" t="s">
        <v>141</v>
      </c>
      <c r="Y67">
        <v>496.55</v>
      </c>
      <c r="Z67">
        <v>13</v>
      </c>
      <c r="AA67">
        <v>1</v>
      </c>
    </row>
    <row r="68" spans="1:27">
      <c r="A68" s="2" t="s">
        <v>142</v>
      </c>
      <c r="B68" s="2" t="s">
        <v>143</v>
      </c>
      <c r="C68" s="20">
        <v>149.5</v>
      </c>
      <c r="D68" s="21">
        <f t="shared" si="3"/>
        <v>0.000605430938249892</v>
      </c>
      <c r="E68" s="4">
        <v>7</v>
      </c>
      <c r="F68" s="4">
        <v>2</v>
      </c>
      <c r="G68" s="21">
        <f t="shared" si="4"/>
        <v>0.285714285714286</v>
      </c>
      <c r="H68" s="21"/>
      <c r="J68" s="12"/>
      <c r="N68" s="2" t="s">
        <v>71</v>
      </c>
      <c r="O68" s="2" t="s">
        <v>26</v>
      </c>
      <c r="P68" s="20">
        <v>1718.8</v>
      </c>
      <c r="Q68" s="21">
        <v>0.0127521277349504</v>
      </c>
      <c r="R68" s="4">
        <v>25</v>
      </c>
      <c r="S68" s="4">
        <v>4</v>
      </c>
      <c r="T68" s="21">
        <f t="shared" si="0"/>
        <v>0.16</v>
      </c>
      <c r="W68" t="s">
        <v>108</v>
      </c>
      <c r="X68" t="s">
        <v>109</v>
      </c>
      <c r="Y68">
        <v>868.42</v>
      </c>
      <c r="Z68">
        <v>23</v>
      </c>
      <c r="AA68">
        <v>4</v>
      </c>
    </row>
    <row r="69" spans="1:27">
      <c r="A69" s="2" t="s">
        <v>39</v>
      </c>
      <c r="B69" s="2" t="s">
        <v>40</v>
      </c>
      <c r="C69" s="20">
        <v>146</v>
      </c>
      <c r="D69" s="21">
        <f t="shared" si="3"/>
        <v>0.000591256969795881</v>
      </c>
      <c r="E69" s="4">
        <v>1</v>
      </c>
      <c r="F69" s="4">
        <v>0</v>
      </c>
      <c r="G69" s="21">
        <f t="shared" si="4"/>
        <v>0</v>
      </c>
      <c r="H69" s="21" t="s">
        <v>21</v>
      </c>
      <c r="J69" s="66"/>
      <c r="N69" s="2" t="s">
        <v>93</v>
      </c>
      <c r="O69" s="2" t="s">
        <v>24</v>
      </c>
      <c r="P69" s="20">
        <v>1534.11</v>
      </c>
      <c r="Q69" s="21">
        <v>0.0113818749589625</v>
      </c>
      <c r="R69" s="4">
        <v>22</v>
      </c>
      <c r="S69" s="4">
        <v>0</v>
      </c>
      <c r="T69" s="21">
        <f t="shared" si="0"/>
        <v>0</v>
      </c>
      <c r="W69" t="s">
        <v>89</v>
      </c>
      <c r="X69" t="s">
        <v>70</v>
      </c>
      <c r="Y69">
        <v>447</v>
      </c>
      <c r="Z69">
        <v>2</v>
      </c>
      <c r="AA69">
        <v>0</v>
      </c>
    </row>
    <row r="70" spans="1:27">
      <c r="A70" s="2" t="s">
        <v>144</v>
      </c>
      <c r="B70" s="2" t="s">
        <v>145</v>
      </c>
      <c r="C70" s="20">
        <v>136</v>
      </c>
      <c r="D70" s="21">
        <f t="shared" si="3"/>
        <v>0.000550759917070135</v>
      </c>
      <c r="E70" s="4">
        <v>2</v>
      </c>
      <c r="F70" s="4">
        <v>0</v>
      </c>
      <c r="G70" s="21">
        <f t="shared" si="4"/>
        <v>0</v>
      </c>
      <c r="H70" s="21"/>
      <c r="J70" s="67"/>
      <c r="K70" s="67"/>
      <c r="N70" s="2" t="s">
        <v>45</v>
      </c>
      <c r="O70" s="2" t="s">
        <v>76</v>
      </c>
      <c r="P70" s="20">
        <v>1514.97</v>
      </c>
      <c r="Q70" s="21">
        <v>0.0112398713955189</v>
      </c>
      <c r="R70" s="4">
        <v>21</v>
      </c>
      <c r="S70" s="4">
        <v>7</v>
      </c>
      <c r="T70" s="21">
        <f t="shared" ref="T70:T129" si="5">S70/R70</f>
        <v>0.333333333333333</v>
      </c>
      <c r="X70" t="s">
        <v>26</v>
      </c>
      <c r="Y70">
        <v>365.24</v>
      </c>
      <c r="Z70">
        <v>3</v>
      </c>
      <c r="AA70">
        <v>1</v>
      </c>
    </row>
    <row r="71" spans="1:27">
      <c r="A71" s="2" t="s">
        <v>146</v>
      </c>
      <c r="B71" s="2" t="s">
        <v>147</v>
      </c>
      <c r="C71" s="20">
        <v>129.24</v>
      </c>
      <c r="D71" s="21">
        <f t="shared" si="3"/>
        <v>0.000523383909427532</v>
      </c>
      <c r="E71" s="4">
        <v>1</v>
      </c>
      <c r="F71" s="4">
        <v>0</v>
      </c>
      <c r="G71" s="21">
        <f t="shared" si="4"/>
        <v>0</v>
      </c>
      <c r="H71" s="21"/>
      <c r="J71" s="12"/>
      <c r="N71" s="2" t="s">
        <v>55</v>
      </c>
      <c r="O71" s="2" t="s">
        <v>20</v>
      </c>
      <c r="P71" s="20">
        <v>1391</v>
      </c>
      <c r="Q71" s="21">
        <v>0.0103201126828695</v>
      </c>
      <c r="R71" s="4">
        <v>12</v>
      </c>
      <c r="S71" s="4">
        <v>4</v>
      </c>
      <c r="T71" s="21">
        <f t="shared" si="5"/>
        <v>0.333333333333333</v>
      </c>
      <c r="W71" t="s">
        <v>91</v>
      </c>
      <c r="X71" t="s">
        <v>92</v>
      </c>
      <c r="Y71">
        <v>633.72</v>
      </c>
      <c r="Z71">
        <v>12</v>
      </c>
      <c r="AA71">
        <v>0</v>
      </c>
    </row>
    <row r="72" spans="1:27">
      <c r="A72" s="2" t="s">
        <v>114</v>
      </c>
      <c r="B72" s="2" t="s">
        <v>57</v>
      </c>
      <c r="C72" s="20">
        <v>119</v>
      </c>
      <c r="D72" s="21">
        <f t="shared" si="3"/>
        <v>0.000481914927436369</v>
      </c>
      <c r="E72" s="4">
        <v>1</v>
      </c>
      <c r="F72" s="4">
        <v>0</v>
      </c>
      <c r="G72" s="21">
        <f t="shared" si="4"/>
        <v>0</v>
      </c>
      <c r="H72" s="21"/>
      <c r="J72" s="66"/>
      <c r="N72" s="2" t="s">
        <v>69</v>
      </c>
      <c r="O72" s="2" t="s">
        <v>26</v>
      </c>
      <c r="P72" s="20">
        <v>1250</v>
      </c>
      <c r="Q72" s="21">
        <v>0.00927400492709334</v>
      </c>
      <c r="R72" s="4">
        <v>11</v>
      </c>
      <c r="S72" s="4">
        <v>1</v>
      </c>
      <c r="T72" s="21">
        <f t="shared" si="5"/>
        <v>0.0909090909090909</v>
      </c>
      <c r="W72" t="s">
        <v>87</v>
      </c>
      <c r="X72" t="s">
        <v>59</v>
      </c>
      <c r="Y72">
        <v>157</v>
      </c>
      <c r="Z72">
        <v>2</v>
      </c>
      <c r="AA72">
        <v>0</v>
      </c>
    </row>
    <row r="73" spans="1:27">
      <c r="A73" s="2" t="s">
        <v>34</v>
      </c>
      <c r="B73" s="2" t="s">
        <v>35</v>
      </c>
      <c r="C73" s="20">
        <v>99</v>
      </c>
      <c r="D73" s="21">
        <f t="shared" si="3"/>
        <v>0.000400920821984878</v>
      </c>
      <c r="E73" s="4">
        <v>1</v>
      </c>
      <c r="F73" s="4">
        <v>0</v>
      </c>
      <c r="G73" s="21">
        <f t="shared" si="4"/>
        <v>0</v>
      </c>
      <c r="H73" s="21" t="s">
        <v>21</v>
      </c>
      <c r="J73" s="67"/>
      <c r="K73" s="67"/>
      <c r="N73" s="2" t="s">
        <v>62</v>
      </c>
      <c r="O73" s="2" t="s">
        <v>67</v>
      </c>
      <c r="P73" s="20">
        <v>1210.42</v>
      </c>
      <c r="Q73" s="21">
        <v>0.00898035283508185</v>
      </c>
      <c r="R73" s="4">
        <v>21</v>
      </c>
      <c r="S73" s="4">
        <v>6</v>
      </c>
      <c r="T73" s="21">
        <f t="shared" si="5"/>
        <v>0.285714285714286</v>
      </c>
      <c r="X73" t="s">
        <v>42</v>
      </c>
      <c r="Y73">
        <v>448</v>
      </c>
      <c r="Z73">
        <v>3</v>
      </c>
      <c r="AA73">
        <v>0</v>
      </c>
    </row>
    <row r="74" spans="1:27">
      <c r="A74" s="2" t="s">
        <v>148</v>
      </c>
      <c r="B74" s="2" t="s">
        <v>74</v>
      </c>
      <c r="C74" s="20">
        <v>96</v>
      </c>
      <c r="D74" s="21">
        <f t="shared" si="3"/>
        <v>0.000388771706167154</v>
      </c>
      <c r="E74" s="4">
        <v>2</v>
      </c>
      <c r="F74" s="4">
        <v>0</v>
      </c>
      <c r="G74" s="21">
        <f t="shared" si="4"/>
        <v>0</v>
      </c>
      <c r="H74" s="21"/>
      <c r="J74" s="66"/>
      <c r="N74" s="2" t="s">
        <v>99</v>
      </c>
      <c r="O74" s="2" t="s">
        <v>100</v>
      </c>
      <c r="P74" s="20">
        <v>1050</v>
      </c>
      <c r="Q74" s="21">
        <v>0.0077901641387584</v>
      </c>
      <c r="R74" s="4">
        <v>20</v>
      </c>
      <c r="S74" s="4">
        <v>3</v>
      </c>
      <c r="T74" s="21">
        <f t="shared" si="5"/>
        <v>0.15</v>
      </c>
      <c r="W74" t="s">
        <v>97</v>
      </c>
      <c r="X74" t="s">
        <v>33</v>
      </c>
      <c r="Y74">
        <v>317</v>
      </c>
      <c r="Z74">
        <v>2</v>
      </c>
      <c r="AA74">
        <v>0</v>
      </c>
    </row>
    <row r="75" spans="1:27">
      <c r="A75" s="2" t="s">
        <v>118</v>
      </c>
      <c r="B75" s="2" t="s">
        <v>119</v>
      </c>
      <c r="C75" s="20">
        <v>79</v>
      </c>
      <c r="D75" s="21">
        <f t="shared" si="3"/>
        <v>0.000319926716533388</v>
      </c>
      <c r="E75" s="4">
        <v>1</v>
      </c>
      <c r="F75" s="4">
        <v>0</v>
      </c>
      <c r="G75" s="21">
        <f t="shared" si="4"/>
        <v>0</v>
      </c>
      <c r="H75" s="21"/>
      <c r="J75" s="67"/>
      <c r="K75" s="67"/>
      <c r="N75" s="2" t="s">
        <v>79</v>
      </c>
      <c r="O75" s="2" t="s">
        <v>83</v>
      </c>
      <c r="P75" s="20">
        <v>1016.98</v>
      </c>
      <c r="Q75" s="21">
        <v>0.00754518202460431</v>
      </c>
      <c r="R75" s="4">
        <v>12</v>
      </c>
      <c r="S75" s="4">
        <v>4</v>
      </c>
      <c r="T75" s="21">
        <f t="shared" si="5"/>
        <v>0.333333333333333</v>
      </c>
      <c r="X75" t="s">
        <v>98</v>
      </c>
      <c r="Y75">
        <v>278</v>
      </c>
      <c r="Z75">
        <v>3</v>
      </c>
      <c r="AA75">
        <v>1</v>
      </c>
    </row>
    <row r="76" spans="1:27">
      <c r="A76" s="2" t="s">
        <v>149</v>
      </c>
      <c r="B76" s="2" t="s">
        <v>150</v>
      </c>
      <c r="C76" s="20">
        <v>73.66</v>
      </c>
      <c r="D76" s="21">
        <f t="shared" si="3"/>
        <v>0.00029830129037784</v>
      </c>
      <c r="E76" s="4">
        <v>1</v>
      </c>
      <c r="F76" s="4">
        <v>0</v>
      </c>
      <c r="G76" s="21">
        <f t="shared" si="4"/>
        <v>0</v>
      </c>
      <c r="H76" s="21"/>
      <c r="J76" s="12"/>
      <c r="N76" s="2" t="s">
        <v>58</v>
      </c>
      <c r="O76" s="2" t="s">
        <v>88</v>
      </c>
      <c r="P76" s="20">
        <v>1011.32</v>
      </c>
      <c r="Q76" s="21">
        <v>0.00750318933029443</v>
      </c>
      <c r="R76" s="4">
        <v>10</v>
      </c>
      <c r="S76" s="4">
        <v>3</v>
      </c>
      <c r="T76" s="21">
        <f t="shared" si="5"/>
        <v>0.3</v>
      </c>
      <c r="W76" t="s">
        <v>101</v>
      </c>
      <c r="X76" t="s">
        <v>70</v>
      </c>
      <c r="Y76">
        <v>276</v>
      </c>
      <c r="Z76">
        <v>2</v>
      </c>
      <c r="AA76">
        <v>0</v>
      </c>
    </row>
    <row r="77" spans="1:27">
      <c r="A77" s="2" t="s">
        <v>122</v>
      </c>
      <c r="B77" s="2" t="s">
        <v>104</v>
      </c>
      <c r="C77" s="20">
        <v>50</v>
      </c>
      <c r="D77" s="21">
        <f t="shared" si="3"/>
        <v>0.000202485263628726</v>
      </c>
      <c r="E77" s="4">
        <v>1</v>
      </c>
      <c r="F77" s="4">
        <v>0</v>
      </c>
      <c r="G77" s="21">
        <f t="shared" si="4"/>
        <v>0</v>
      </c>
      <c r="H77" s="21"/>
      <c r="J77" s="66"/>
      <c r="N77" s="2" t="s">
        <v>102</v>
      </c>
      <c r="O77" s="2" t="s">
        <v>88</v>
      </c>
      <c r="P77" s="20">
        <v>891</v>
      </c>
      <c r="Q77" s="21">
        <v>0.00661051071203213</v>
      </c>
      <c r="R77" s="4">
        <v>10</v>
      </c>
      <c r="S77" s="4">
        <v>1</v>
      </c>
      <c r="T77" s="21">
        <f t="shared" si="5"/>
        <v>0.1</v>
      </c>
      <c r="X77" t="s">
        <v>26</v>
      </c>
      <c r="Y77">
        <v>284</v>
      </c>
      <c r="Z77">
        <v>3</v>
      </c>
      <c r="AA77">
        <v>1</v>
      </c>
    </row>
    <row r="78" spans="1:27">
      <c r="A78" s="2" t="s">
        <v>151</v>
      </c>
      <c r="B78" s="2" t="s">
        <v>152</v>
      </c>
      <c r="C78" s="20">
        <v>49.9</v>
      </c>
      <c r="D78" s="21">
        <f t="shared" si="3"/>
        <v>0.000202080293101469</v>
      </c>
      <c r="E78" s="4">
        <v>1</v>
      </c>
      <c r="F78" s="4">
        <v>0</v>
      </c>
      <c r="G78" s="21">
        <f t="shared" si="4"/>
        <v>0</v>
      </c>
      <c r="H78" s="21"/>
      <c r="J78" s="66"/>
      <c r="N78" s="2" t="s">
        <v>108</v>
      </c>
      <c r="O78" s="2" t="s">
        <v>109</v>
      </c>
      <c r="P78" s="20">
        <v>868.42</v>
      </c>
      <c r="Q78" s="21">
        <v>0.00644298508702912</v>
      </c>
      <c r="R78" s="4">
        <v>23</v>
      </c>
      <c r="S78" s="4">
        <v>4</v>
      </c>
      <c r="T78" s="21">
        <f t="shared" si="5"/>
        <v>0.173913043478261</v>
      </c>
      <c r="W78" t="s">
        <v>111</v>
      </c>
      <c r="X78" t="s">
        <v>33</v>
      </c>
      <c r="Y78">
        <v>495.02</v>
      </c>
      <c r="Z78">
        <v>3</v>
      </c>
      <c r="AA78">
        <v>0</v>
      </c>
    </row>
    <row r="79" spans="1:27">
      <c r="A79" s="2" t="s">
        <v>153</v>
      </c>
      <c r="B79" s="2" t="s">
        <v>138</v>
      </c>
      <c r="C79" s="20">
        <v>48</v>
      </c>
      <c r="D79" s="21">
        <f t="shared" si="3"/>
        <v>0.000194385853083577</v>
      </c>
      <c r="E79" s="4">
        <v>1</v>
      </c>
      <c r="F79" s="4">
        <v>0</v>
      </c>
      <c r="G79" s="21">
        <f t="shared" si="4"/>
        <v>0</v>
      </c>
      <c r="H79" s="21"/>
      <c r="J79" s="66"/>
      <c r="N79" s="2" t="s">
        <v>56</v>
      </c>
      <c r="O79" s="2" t="s">
        <v>59</v>
      </c>
      <c r="P79" s="20">
        <v>718</v>
      </c>
      <c r="Q79" s="21">
        <v>0.00532698843012241</v>
      </c>
      <c r="R79" s="4">
        <v>10</v>
      </c>
      <c r="S79" s="4">
        <v>1</v>
      </c>
      <c r="T79" s="21">
        <f t="shared" si="5"/>
        <v>0.1</v>
      </c>
      <c r="W79" t="s">
        <v>116</v>
      </c>
      <c r="X79" t="s">
        <v>117</v>
      </c>
      <c r="Y79">
        <v>458.3</v>
      </c>
      <c r="Z79">
        <v>9</v>
      </c>
      <c r="AA79">
        <v>1</v>
      </c>
    </row>
    <row r="80" spans="1:27">
      <c r="A80" s="2" t="s">
        <v>154</v>
      </c>
      <c r="B80" s="2" t="s">
        <v>155</v>
      </c>
      <c r="C80" s="20">
        <v>29.9</v>
      </c>
      <c r="D80" s="21">
        <f t="shared" si="3"/>
        <v>0.000121086187649978</v>
      </c>
      <c r="E80" s="4">
        <v>1</v>
      </c>
      <c r="F80" s="4">
        <v>0</v>
      </c>
      <c r="G80" s="21">
        <f t="shared" si="4"/>
        <v>0</v>
      </c>
      <c r="H80" s="21"/>
      <c r="J80" s="67"/>
      <c r="K80" s="67"/>
      <c r="N80" s="2" t="s">
        <v>82</v>
      </c>
      <c r="O80" s="2" t="s">
        <v>83</v>
      </c>
      <c r="P80" s="20">
        <v>650.97</v>
      </c>
      <c r="Q80" s="21">
        <v>0.00482967918991196</v>
      </c>
      <c r="R80" s="4">
        <v>8</v>
      </c>
      <c r="S80" s="4">
        <v>1</v>
      </c>
      <c r="T80" s="21">
        <f t="shared" si="5"/>
        <v>0.125</v>
      </c>
      <c r="W80" t="s">
        <v>120</v>
      </c>
      <c r="X80" t="s">
        <v>121</v>
      </c>
      <c r="Y80">
        <v>436.11</v>
      </c>
      <c r="Z80">
        <v>6</v>
      </c>
      <c r="AA80">
        <v>0</v>
      </c>
    </row>
    <row r="81" spans="1:27">
      <c r="A81" s="2" t="s">
        <v>156</v>
      </c>
      <c r="B81" s="2" t="s">
        <v>157</v>
      </c>
      <c r="C81" s="20">
        <v>3</v>
      </c>
      <c r="D81" s="21">
        <f t="shared" si="3"/>
        <v>1.21491158177236e-5</v>
      </c>
      <c r="E81" s="4">
        <v>3</v>
      </c>
      <c r="F81" s="4">
        <v>0</v>
      </c>
      <c r="G81" s="21">
        <f t="shared" si="4"/>
        <v>0</v>
      </c>
      <c r="H81" s="21"/>
      <c r="J81" s="12"/>
      <c r="N81" s="2" t="s">
        <v>63</v>
      </c>
      <c r="O81" s="2" t="s">
        <v>33</v>
      </c>
      <c r="P81" s="20">
        <v>614</v>
      </c>
      <c r="Q81" s="21">
        <v>0.00455539122018825</v>
      </c>
      <c r="R81" s="4">
        <v>10</v>
      </c>
      <c r="S81" s="4">
        <v>6</v>
      </c>
      <c r="T81" s="21">
        <f t="shared" si="5"/>
        <v>0.6</v>
      </c>
      <c r="W81" t="s">
        <v>90</v>
      </c>
      <c r="X81" t="s">
        <v>37</v>
      </c>
      <c r="Y81">
        <v>430</v>
      </c>
      <c r="Z81">
        <v>3</v>
      </c>
      <c r="AA81">
        <v>1</v>
      </c>
    </row>
    <row r="82" spans="1:27">
      <c r="A82" s="2" t="s">
        <v>158</v>
      </c>
      <c r="B82" s="2" t="s">
        <v>109</v>
      </c>
      <c r="C82" s="20">
        <v>2</v>
      </c>
      <c r="D82" s="21">
        <f t="shared" si="3"/>
        <v>8.09941054514905e-6</v>
      </c>
      <c r="E82" s="4">
        <v>2</v>
      </c>
      <c r="F82" s="4">
        <v>0</v>
      </c>
      <c r="G82" s="21">
        <f t="shared" si="4"/>
        <v>0</v>
      </c>
      <c r="H82" s="21"/>
      <c r="J82" s="66"/>
      <c r="N82" s="2" t="s">
        <v>86</v>
      </c>
      <c r="O82" s="2" t="s">
        <v>37</v>
      </c>
      <c r="P82" s="20">
        <v>604.21</v>
      </c>
      <c r="Q82" s="21">
        <v>0.00448275721359925</v>
      </c>
      <c r="R82" s="4">
        <v>3</v>
      </c>
      <c r="S82" s="4">
        <v>0</v>
      </c>
      <c r="T82" s="21">
        <f t="shared" si="5"/>
        <v>0</v>
      </c>
      <c r="W82" t="s">
        <v>112</v>
      </c>
      <c r="X82" t="s">
        <v>52</v>
      </c>
      <c r="Y82">
        <v>156</v>
      </c>
      <c r="Z82">
        <v>2</v>
      </c>
      <c r="AA82">
        <v>0</v>
      </c>
    </row>
    <row r="83" spans="1:27">
      <c r="A83" s="15" t="s">
        <v>159</v>
      </c>
      <c r="B83" s="58"/>
      <c r="C83" s="22">
        <v>246931.55</v>
      </c>
      <c r="D83" s="22"/>
      <c r="E83" s="1">
        <v>3104</v>
      </c>
      <c r="F83" s="1">
        <v>721</v>
      </c>
      <c r="G83" s="2"/>
      <c r="H83" s="2"/>
      <c r="J83" s="67"/>
      <c r="K83" s="67"/>
      <c r="N83" s="2" t="s">
        <v>94</v>
      </c>
      <c r="O83" s="2" t="s">
        <v>138</v>
      </c>
      <c r="P83" s="20">
        <v>587.96</v>
      </c>
      <c r="Q83" s="21">
        <v>0.00436219514954704</v>
      </c>
      <c r="R83" s="4">
        <v>15</v>
      </c>
      <c r="S83" s="4">
        <v>0</v>
      </c>
      <c r="T83" s="21">
        <f t="shared" si="5"/>
        <v>0</v>
      </c>
      <c r="X83" t="s">
        <v>160</v>
      </c>
      <c r="Y83">
        <v>272</v>
      </c>
      <c r="Z83">
        <v>4</v>
      </c>
      <c r="AA83">
        <v>0</v>
      </c>
    </row>
    <row r="84" spans="1:27">
      <c r="J84" s="12"/>
      <c r="N84" s="2" t="s">
        <v>82</v>
      </c>
      <c r="O84" s="2" t="s">
        <v>83</v>
      </c>
      <c r="P84" s="20">
        <v>528.52</v>
      </c>
      <c r="Q84" s="21">
        <v>0.0039211976672539</v>
      </c>
      <c r="R84" s="4">
        <v>5</v>
      </c>
      <c r="S84" s="4">
        <v>1</v>
      </c>
      <c r="T84" s="21">
        <f t="shared" si="5"/>
        <v>0.2</v>
      </c>
      <c r="W84" t="s">
        <v>123</v>
      </c>
      <c r="X84" t="s">
        <v>124</v>
      </c>
      <c r="Y84">
        <v>425.6</v>
      </c>
      <c r="Z84">
        <v>14</v>
      </c>
      <c r="AA84">
        <v>0</v>
      </c>
    </row>
    <row r="85" spans="1:27">
      <c r="J85" s="66"/>
      <c r="N85" s="2" t="s">
        <v>95</v>
      </c>
      <c r="O85" s="2" t="s">
        <v>141</v>
      </c>
      <c r="P85" s="20">
        <v>496.55</v>
      </c>
      <c r="Q85" s="21">
        <v>0.00368400571723856</v>
      </c>
      <c r="R85" s="4">
        <v>13</v>
      </c>
      <c r="S85" s="4">
        <v>1</v>
      </c>
      <c r="T85" s="21">
        <f t="shared" si="5"/>
        <v>0.0769230769230769</v>
      </c>
      <c r="W85" t="s">
        <v>113</v>
      </c>
      <c r="X85" t="s">
        <v>67</v>
      </c>
      <c r="Y85">
        <v>132</v>
      </c>
      <c r="Z85">
        <v>10</v>
      </c>
      <c r="AA85">
        <v>9</v>
      </c>
    </row>
    <row r="86" spans="1:27">
      <c r="J86" s="12"/>
      <c r="N86" s="2" t="s">
        <v>64</v>
      </c>
      <c r="O86" s="2" t="s">
        <v>59</v>
      </c>
      <c r="P86" s="20">
        <v>467.81</v>
      </c>
      <c r="Q86" s="21">
        <v>0.00347077779595483</v>
      </c>
      <c r="R86" s="4">
        <v>4</v>
      </c>
      <c r="S86" s="4">
        <v>0</v>
      </c>
      <c r="T86" s="21">
        <f t="shared" si="5"/>
        <v>0</v>
      </c>
      <c r="X86" t="s">
        <v>83</v>
      </c>
      <c r="Y86">
        <v>245.82</v>
      </c>
      <c r="Z86">
        <v>3</v>
      </c>
      <c r="AA86">
        <v>1</v>
      </c>
    </row>
    <row r="87" spans="1:27">
      <c r="J87" s="66"/>
      <c r="N87" s="2" t="s">
        <v>116</v>
      </c>
      <c r="O87" s="2" t="s">
        <v>117</v>
      </c>
      <c r="P87" s="20">
        <v>458.3</v>
      </c>
      <c r="Q87" s="21">
        <v>0.0034002211664695</v>
      </c>
      <c r="R87" s="4">
        <v>9</v>
      </c>
      <c r="S87" s="4">
        <v>1</v>
      </c>
      <c r="T87" s="21">
        <f t="shared" si="5"/>
        <v>0.111111111111111</v>
      </c>
      <c r="W87" t="s">
        <v>125</v>
      </c>
      <c r="X87" t="s">
        <v>78</v>
      </c>
      <c r="Y87">
        <v>372.81</v>
      </c>
      <c r="Z87">
        <v>14</v>
      </c>
      <c r="AA87">
        <v>0</v>
      </c>
    </row>
    <row r="88" spans="1:27">
      <c r="J88" s="67"/>
      <c r="K88" s="67"/>
      <c r="N88" s="2" t="s">
        <v>120</v>
      </c>
      <c r="O88" s="2" t="s">
        <v>121</v>
      </c>
      <c r="P88" s="20">
        <v>436.11</v>
      </c>
      <c r="Q88" s="21">
        <v>0.00323558903100374</v>
      </c>
      <c r="R88" s="4">
        <v>6</v>
      </c>
      <c r="S88" s="4">
        <v>0</v>
      </c>
      <c r="T88" s="21">
        <f t="shared" si="5"/>
        <v>0</v>
      </c>
      <c r="W88" t="s">
        <v>161</v>
      </c>
      <c r="X88" t="s">
        <v>127</v>
      </c>
      <c r="Y88">
        <v>370.26</v>
      </c>
      <c r="Z88">
        <v>4</v>
      </c>
      <c r="AA88">
        <v>0</v>
      </c>
    </row>
    <row r="89" spans="1:27">
      <c r="J89" s="66"/>
      <c r="N89" s="2" t="s">
        <v>68</v>
      </c>
      <c r="O89" s="2" t="s">
        <v>88</v>
      </c>
      <c r="P89" s="20">
        <v>434</v>
      </c>
      <c r="Q89" s="21">
        <v>0.00321993451068681</v>
      </c>
      <c r="R89" s="4">
        <v>6</v>
      </c>
      <c r="S89" s="4">
        <v>4</v>
      </c>
      <c r="T89" s="21">
        <f t="shared" si="5"/>
        <v>0.666666666666667</v>
      </c>
      <c r="W89" t="s">
        <v>128</v>
      </c>
      <c r="X89" t="s">
        <v>129</v>
      </c>
      <c r="Y89">
        <v>349.31</v>
      </c>
      <c r="Z89">
        <v>6</v>
      </c>
      <c r="AA89">
        <v>0</v>
      </c>
    </row>
    <row r="90" spans="1:27">
      <c r="J90" s="67"/>
      <c r="K90" s="67"/>
      <c r="N90" s="2" t="s">
        <v>123</v>
      </c>
      <c r="O90" s="2" t="s">
        <v>124</v>
      </c>
      <c r="P90" s="20">
        <v>425.6</v>
      </c>
      <c r="Q90" s="21">
        <v>0.00315761319757674</v>
      </c>
      <c r="R90" s="4">
        <v>14</v>
      </c>
      <c r="S90" s="4">
        <v>0</v>
      </c>
      <c r="T90" s="21">
        <f t="shared" si="5"/>
        <v>0</v>
      </c>
      <c r="W90" t="s">
        <v>106</v>
      </c>
      <c r="X90" t="s">
        <v>104</v>
      </c>
      <c r="Y90">
        <v>346.99</v>
      </c>
      <c r="Z90">
        <v>15</v>
      </c>
      <c r="AA90">
        <v>1</v>
      </c>
    </row>
    <row r="91" spans="1:27">
      <c r="J91" s="12"/>
      <c r="N91" s="2" t="s">
        <v>125</v>
      </c>
      <c r="O91" s="2" t="s">
        <v>78</v>
      </c>
      <c r="P91" s="20">
        <v>372.81</v>
      </c>
      <c r="Q91" s="21">
        <v>0.00276595342149573</v>
      </c>
      <c r="R91" s="4">
        <v>14</v>
      </c>
      <c r="S91" s="4">
        <v>0</v>
      </c>
      <c r="T91" s="21">
        <f t="shared" si="5"/>
        <v>0</v>
      </c>
      <c r="W91" t="s">
        <v>103</v>
      </c>
      <c r="X91" t="s">
        <v>104</v>
      </c>
      <c r="Y91">
        <v>272</v>
      </c>
      <c r="Z91">
        <v>2</v>
      </c>
      <c r="AA91">
        <v>0</v>
      </c>
    </row>
    <row r="92" spans="1:27">
      <c r="J92" s="66"/>
      <c r="N92" s="2" t="s">
        <v>161</v>
      </c>
      <c r="O92" s="2" t="s">
        <v>127</v>
      </c>
      <c r="P92" s="20">
        <v>370.26</v>
      </c>
      <c r="Q92" s="21">
        <v>0.00274703445144446</v>
      </c>
      <c r="R92" s="4">
        <v>4</v>
      </c>
      <c r="S92" s="4">
        <v>0</v>
      </c>
      <c r="T92" s="21">
        <f t="shared" si="5"/>
        <v>0</v>
      </c>
      <c r="X92" t="s">
        <v>162</v>
      </c>
      <c r="Y92">
        <v>68</v>
      </c>
      <c r="Z92">
        <v>1</v>
      </c>
      <c r="AA92">
        <v>0</v>
      </c>
    </row>
    <row r="93" spans="1:27">
      <c r="J93" s="66"/>
      <c r="N93" s="2" t="s">
        <v>89</v>
      </c>
      <c r="O93" s="2" t="s">
        <v>26</v>
      </c>
      <c r="P93" s="20">
        <v>365.24</v>
      </c>
      <c r="Q93" s="21">
        <v>0.00270979004765726</v>
      </c>
      <c r="R93" s="4">
        <v>3</v>
      </c>
      <c r="S93" s="4">
        <v>1</v>
      </c>
      <c r="T93" s="21">
        <f t="shared" si="5"/>
        <v>0.333333333333333</v>
      </c>
      <c r="W93" t="s">
        <v>131</v>
      </c>
      <c r="X93" t="s">
        <v>132</v>
      </c>
      <c r="Y93">
        <v>304</v>
      </c>
      <c r="Z93">
        <v>5</v>
      </c>
      <c r="AA93">
        <v>0</v>
      </c>
    </row>
    <row r="94" spans="1:27">
      <c r="J94" s="67"/>
      <c r="K94" s="67"/>
      <c r="N94" s="2" t="s">
        <v>128</v>
      </c>
      <c r="O94" s="2" t="s">
        <v>129</v>
      </c>
      <c r="P94" s="20">
        <v>349.31</v>
      </c>
      <c r="Q94" s="21">
        <v>0.00259160212886638</v>
      </c>
      <c r="R94" s="4">
        <v>6</v>
      </c>
      <c r="S94" s="4">
        <v>0</v>
      </c>
      <c r="T94" s="21">
        <f t="shared" si="5"/>
        <v>0</v>
      </c>
      <c r="W94" t="s">
        <v>133</v>
      </c>
      <c r="X94" t="s">
        <v>134</v>
      </c>
      <c r="Y94">
        <v>237.8</v>
      </c>
      <c r="Z94">
        <v>4</v>
      </c>
      <c r="AA94">
        <v>0</v>
      </c>
    </row>
    <row r="95" spans="1:27">
      <c r="J95" s="12"/>
      <c r="N95" s="2" t="s">
        <v>111</v>
      </c>
      <c r="O95" s="2" t="s">
        <v>33</v>
      </c>
      <c r="P95" s="20">
        <v>326.02</v>
      </c>
      <c r="Q95" s="21">
        <v>0.00241880886906478</v>
      </c>
      <c r="R95" s="4">
        <v>2</v>
      </c>
      <c r="S95" s="4">
        <v>0</v>
      </c>
      <c r="T95" s="21">
        <f t="shared" si="5"/>
        <v>0</v>
      </c>
      <c r="W95" t="s">
        <v>105</v>
      </c>
      <c r="X95" t="s">
        <v>33</v>
      </c>
      <c r="Y95">
        <v>228</v>
      </c>
      <c r="Z95">
        <v>2</v>
      </c>
      <c r="AA95">
        <v>1</v>
      </c>
    </row>
    <row r="96" spans="1:27">
      <c r="J96" s="66"/>
      <c r="N96" s="2" t="s">
        <v>97</v>
      </c>
      <c r="O96" s="2" t="s">
        <v>33</v>
      </c>
      <c r="P96" s="20">
        <v>317</v>
      </c>
      <c r="Q96" s="21">
        <v>0.00235188764951087</v>
      </c>
      <c r="R96" s="4">
        <v>2</v>
      </c>
      <c r="S96" s="4">
        <v>0</v>
      </c>
      <c r="T96" s="21">
        <f t="shared" si="5"/>
        <v>0</v>
      </c>
      <c r="W96" t="s">
        <v>135</v>
      </c>
      <c r="X96" t="s">
        <v>124</v>
      </c>
      <c r="Y96">
        <v>211.21</v>
      </c>
      <c r="Z96">
        <v>3</v>
      </c>
      <c r="AA96">
        <v>0</v>
      </c>
    </row>
    <row r="97" spans="10:27">
      <c r="J97" s="67"/>
      <c r="K97" s="67"/>
      <c r="N97" s="2" t="s">
        <v>131</v>
      </c>
      <c r="O97" s="2" t="s">
        <v>132</v>
      </c>
      <c r="P97" s="20">
        <v>304</v>
      </c>
      <c r="Q97" s="21">
        <v>0.0022554379982691</v>
      </c>
      <c r="R97" s="4">
        <v>5</v>
      </c>
      <c r="S97" s="4">
        <v>0</v>
      </c>
      <c r="T97" s="21">
        <f t="shared" si="5"/>
        <v>0</v>
      </c>
      <c r="W97" t="s">
        <v>110</v>
      </c>
      <c r="X97" t="s">
        <v>104</v>
      </c>
      <c r="Y97">
        <v>208.7</v>
      </c>
      <c r="Z97">
        <v>7</v>
      </c>
      <c r="AA97">
        <v>0</v>
      </c>
    </row>
    <row r="98" spans="10:27">
      <c r="J98" s="12"/>
      <c r="N98" s="2" t="s">
        <v>112</v>
      </c>
      <c r="O98" s="2" t="s">
        <v>160</v>
      </c>
      <c r="P98" s="20">
        <v>272</v>
      </c>
      <c r="Q98" s="21">
        <v>0.00201802347213551</v>
      </c>
      <c r="R98" s="4">
        <v>4</v>
      </c>
      <c r="S98" s="4">
        <v>0</v>
      </c>
      <c r="T98" s="21">
        <f t="shared" si="5"/>
        <v>0</v>
      </c>
      <c r="W98" t="s">
        <v>136</v>
      </c>
      <c r="X98" t="s">
        <v>137</v>
      </c>
      <c r="Y98">
        <v>208.48</v>
      </c>
      <c r="Z98">
        <v>5</v>
      </c>
      <c r="AA98">
        <v>0</v>
      </c>
    </row>
    <row r="99" spans="10:27">
      <c r="J99" s="66"/>
      <c r="N99" s="2" t="s">
        <v>75</v>
      </c>
      <c r="O99" s="2" t="s">
        <v>130</v>
      </c>
      <c r="P99" s="20">
        <v>266</v>
      </c>
      <c r="Q99" s="21">
        <v>0.00197350824848546</v>
      </c>
      <c r="R99" s="4">
        <v>4</v>
      </c>
      <c r="S99" s="4">
        <v>0</v>
      </c>
      <c r="T99" s="21">
        <f t="shared" si="5"/>
        <v>0</v>
      </c>
      <c r="W99" t="s">
        <v>139</v>
      </c>
      <c r="X99" t="s">
        <v>26</v>
      </c>
      <c r="Y99">
        <v>106</v>
      </c>
      <c r="Z99">
        <v>1</v>
      </c>
      <c r="AA99">
        <v>0</v>
      </c>
    </row>
    <row r="100" spans="10:27">
      <c r="J100" s="12"/>
      <c r="N100" s="2" t="s">
        <v>113</v>
      </c>
      <c r="O100" s="2" t="s">
        <v>83</v>
      </c>
      <c r="P100" s="20">
        <v>245.82</v>
      </c>
      <c r="Q100" s="21">
        <v>0.00182378871294247</v>
      </c>
      <c r="R100" s="4">
        <v>3</v>
      </c>
      <c r="S100" s="4">
        <v>1</v>
      </c>
      <c r="T100" s="21">
        <f t="shared" si="5"/>
        <v>0.333333333333333</v>
      </c>
      <c r="X100" t="s">
        <v>138</v>
      </c>
      <c r="Y100">
        <v>99.5</v>
      </c>
      <c r="Z100">
        <v>5</v>
      </c>
      <c r="AA100">
        <v>0</v>
      </c>
    </row>
    <row r="101" spans="10:27">
      <c r="J101" s="66"/>
      <c r="N101" s="2" t="s">
        <v>133</v>
      </c>
      <c r="O101" s="2" t="s">
        <v>134</v>
      </c>
      <c r="P101" s="20">
        <v>237.8</v>
      </c>
      <c r="Q101" s="21">
        <v>0.00176428669733024</v>
      </c>
      <c r="R101" s="4">
        <v>4</v>
      </c>
      <c r="S101" s="4">
        <v>0</v>
      </c>
      <c r="T101" s="21">
        <f t="shared" si="5"/>
        <v>0</v>
      </c>
      <c r="W101" t="s">
        <v>140</v>
      </c>
      <c r="X101" t="s">
        <v>102</v>
      </c>
      <c r="Y101">
        <v>153.42</v>
      </c>
      <c r="Z101">
        <v>2</v>
      </c>
      <c r="AA101">
        <v>0</v>
      </c>
    </row>
    <row r="102" spans="10:27">
      <c r="J102" s="67"/>
      <c r="K102" s="67"/>
      <c r="N102" s="2" t="s">
        <v>91</v>
      </c>
      <c r="O102" s="2" t="s">
        <v>92</v>
      </c>
      <c r="P102" s="20">
        <v>225.72</v>
      </c>
      <c r="Q102" s="21">
        <v>0.00167466271371481</v>
      </c>
      <c r="R102" s="4">
        <v>5</v>
      </c>
      <c r="S102" s="4">
        <v>0</v>
      </c>
      <c r="T102" s="21">
        <f t="shared" si="5"/>
        <v>0</v>
      </c>
      <c r="W102" t="s">
        <v>142</v>
      </c>
      <c r="X102" t="s">
        <v>143</v>
      </c>
      <c r="Y102">
        <v>149.5</v>
      </c>
      <c r="Z102">
        <v>7</v>
      </c>
      <c r="AA102">
        <v>2</v>
      </c>
    </row>
    <row r="103" spans="10:27">
      <c r="J103" s="66"/>
      <c r="N103" s="2" t="s">
        <v>135</v>
      </c>
      <c r="O103" s="2" t="s">
        <v>124</v>
      </c>
      <c r="P103" s="20">
        <v>211.21</v>
      </c>
      <c r="Q103" s="21">
        <v>0.00156701006452111</v>
      </c>
      <c r="R103" s="4">
        <v>3</v>
      </c>
      <c r="S103" s="4">
        <v>0</v>
      </c>
      <c r="T103" s="21">
        <f t="shared" si="5"/>
        <v>0</v>
      </c>
      <c r="W103" t="s">
        <v>39</v>
      </c>
      <c r="X103" t="s">
        <v>40</v>
      </c>
      <c r="Y103">
        <v>146</v>
      </c>
      <c r="Z103">
        <v>1</v>
      </c>
      <c r="AA103">
        <v>0</v>
      </c>
    </row>
    <row r="104" spans="10:27">
      <c r="J104" s="66"/>
      <c r="N104" s="2" t="s">
        <v>136</v>
      </c>
      <c r="O104" s="2" t="s">
        <v>137</v>
      </c>
      <c r="P104" s="20">
        <v>208.48</v>
      </c>
      <c r="Q104" s="21">
        <v>0.00154675563776034</v>
      </c>
      <c r="R104" s="4">
        <v>5</v>
      </c>
      <c r="S104" s="4">
        <v>0</v>
      </c>
      <c r="T104" s="21">
        <f t="shared" si="5"/>
        <v>0</v>
      </c>
      <c r="W104" t="s">
        <v>144</v>
      </c>
      <c r="X104" t="s">
        <v>145</v>
      </c>
      <c r="Y104">
        <v>136</v>
      </c>
      <c r="Z104">
        <v>2</v>
      </c>
      <c r="AA104">
        <v>0</v>
      </c>
    </row>
    <row r="105" spans="10:27">
      <c r="J105" s="66"/>
      <c r="N105" s="2" t="s">
        <v>51</v>
      </c>
      <c r="O105" s="2" t="s">
        <v>83</v>
      </c>
      <c r="P105" s="20">
        <v>189</v>
      </c>
      <c r="Q105" s="21">
        <v>0.00140222954497651</v>
      </c>
      <c r="R105" s="4">
        <v>2</v>
      </c>
      <c r="S105" s="4">
        <v>1</v>
      </c>
      <c r="T105" s="21">
        <f t="shared" si="5"/>
        <v>0.5</v>
      </c>
      <c r="W105" t="s">
        <v>146</v>
      </c>
      <c r="X105" t="s">
        <v>147</v>
      </c>
      <c r="Y105">
        <v>129.24</v>
      </c>
      <c r="Z105">
        <v>1</v>
      </c>
      <c r="AA105">
        <v>0</v>
      </c>
    </row>
    <row r="106" spans="10:27">
      <c r="J106" s="67"/>
      <c r="K106" s="67"/>
      <c r="N106" s="2" t="s">
        <v>87</v>
      </c>
      <c r="O106" s="2" t="s">
        <v>59</v>
      </c>
      <c r="P106" s="20">
        <v>157</v>
      </c>
      <c r="Q106" s="21">
        <v>0.00116481501884292</v>
      </c>
      <c r="R106" s="4">
        <v>2</v>
      </c>
      <c r="S106" s="4">
        <v>0</v>
      </c>
      <c r="T106" s="21">
        <f t="shared" si="5"/>
        <v>0</v>
      </c>
      <c r="W106" t="s">
        <v>114</v>
      </c>
      <c r="X106" t="s">
        <v>57</v>
      </c>
      <c r="Y106">
        <v>119</v>
      </c>
      <c r="Z106">
        <v>1</v>
      </c>
      <c r="AA106">
        <v>0</v>
      </c>
    </row>
    <row r="107" spans="10:27">
      <c r="J107" s="66"/>
      <c r="N107" s="2" t="s">
        <v>101</v>
      </c>
      <c r="O107" s="2" t="s">
        <v>26</v>
      </c>
      <c r="P107" s="20">
        <v>155</v>
      </c>
      <c r="Q107" s="21">
        <v>0.00114997661095957</v>
      </c>
      <c r="R107" s="4">
        <v>2</v>
      </c>
      <c r="S107" s="4">
        <v>1</v>
      </c>
      <c r="T107" s="21">
        <f t="shared" si="5"/>
        <v>0.5</v>
      </c>
      <c r="W107" t="s">
        <v>34</v>
      </c>
      <c r="X107" t="s">
        <v>35</v>
      </c>
      <c r="Y107">
        <v>99</v>
      </c>
      <c r="Z107">
        <v>1</v>
      </c>
      <c r="AA107">
        <v>0</v>
      </c>
    </row>
    <row r="108" spans="10:27">
      <c r="J108" s="67"/>
      <c r="K108" s="67"/>
      <c r="N108" s="2" t="s">
        <v>140</v>
      </c>
      <c r="O108" s="2" t="s">
        <v>102</v>
      </c>
      <c r="P108" s="20">
        <v>153.42</v>
      </c>
      <c r="Q108" s="21">
        <v>0.00113825426873173</v>
      </c>
      <c r="R108" s="4">
        <v>2</v>
      </c>
      <c r="S108" s="4">
        <v>0</v>
      </c>
      <c r="T108" s="21">
        <f t="shared" si="5"/>
        <v>0</v>
      </c>
      <c r="W108" t="s">
        <v>163</v>
      </c>
      <c r="X108" t="s">
        <v>74</v>
      </c>
      <c r="Y108">
        <v>96</v>
      </c>
      <c r="Z108">
        <v>2</v>
      </c>
      <c r="AA108">
        <v>0</v>
      </c>
    </row>
    <row r="109" spans="10:27">
      <c r="J109" s="12"/>
      <c r="N109" s="2" t="s">
        <v>142</v>
      </c>
      <c r="O109" s="2" t="s">
        <v>143</v>
      </c>
      <c r="P109" s="20">
        <v>149.5</v>
      </c>
      <c r="Q109" s="21">
        <v>0.00110917098928036</v>
      </c>
      <c r="R109" s="4">
        <v>7</v>
      </c>
      <c r="S109" s="4">
        <v>2</v>
      </c>
      <c r="T109" s="21">
        <f t="shared" si="5"/>
        <v>0.285714285714286</v>
      </c>
      <c r="W109" t="s">
        <v>118</v>
      </c>
      <c r="X109" t="s">
        <v>119</v>
      </c>
      <c r="Y109">
        <v>79</v>
      </c>
      <c r="Z109">
        <v>1</v>
      </c>
      <c r="AA109">
        <v>0</v>
      </c>
    </row>
    <row r="110" spans="10:27">
      <c r="J110" s="66"/>
      <c r="N110" s="2" t="s">
        <v>39</v>
      </c>
      <c r="O110" s="2" t="s">
        <v>40</v>
      </c>
      <c r="P110" s="20">
        <v>146</v>
      </c>
      <c r="Q110" s="21">
        <v>0.0010832037754845</v>
      </c>
      <c r="R110" s="4">
        <v>1</v>
      </c>
      <c r="S110" s="4">
        <v>0</v>
      </c>
      <c r="T110" s="21">
        <f t="shared" si="5"/>
        <v>0</v>
      </c>
      <c r="W110" t="s">
        <v>164</v>
      </c>
      <c r="X110" t="s">
        <v>150</v>
      </c>
      <c r="Y110">
        <v>73.66</v>
      </c>
      <c r="Z110">
        <v>1</v>
      </c>
      <c r="AA110">
        <v>0</v>
      </c>
    </row>
    <row r="111" spans="10:27">
      <c r="J111" s="67"/>
      <c r="K111" s="67"/>
      <c r="N111" s="2" t="s">
        <v>60</v>
      </c>
      <c r="O111" s="2" t="s">
        <v>61</v>
      </c>
      <c r="P111" s="20">
        <v>141.1</v>
      </c>
      <c r="Q111" s="21">
        <v>0.0010468496761703</v>
      </c>
      <c r="R111" s="4">
        <v>1</v>
      </c>
      <c r="S111" s="4">
        <v>0</v>
      </c>
      <c r="T111" s="21">
        <f t="shared" si="5"/>
        <v>0</v>
      </c>
      <c r="W111" t="s">
        <v>122</v>
      </c>
      <c r="X111" t="s">
        <v>104</v>
      </c>
      <c r="Y111">
        <v>50</v>
      </c>
      <c r="Z111">
        <v>1</v>
      </c>
      <c r="AA111">
        <v>0</v>
      </c>
    </row>
    <row r="112" spans="10:27">
      <c r="J112" s="66"/>
      <c r="N112" s="2" t="s">
        <v>144</v>
      </c>
      <c r="O112" s="2" t="s">
        <v>145</v>
      </c>
      <c r="P112" s="20">
        <v>136</v>
      </c>
      <c r="Q112" s="21">
        <v>0.00100901173606776</v>
      </c>
      <c r="R112" s="4">
        <v>2</v>
      </c>
      <c r="S112" s="4">
        <v>0</v>
      </c>
      <c r="T112" s="21">
        <f t="shared" si="5"/>
        <v>0</v>
      </c>
      <c r="W112" t="s">
        <v>151</v>
      </c>
      <c r="X112" t="s">
        <v>152</v>
      </c>
      <c r="Y112">
        <v>49.9</v>
      </c>
      <c r="Z112">
        <v>1</v>
      </c>
      <c r="AA112">
        <v>0</v>
      </c>
    </row>
    <row r="113" spans="10:27">
      <c r="J113" s="12"/>
      <c r="N113" s="2" t="s">
        <v>146</v>
      </c>
      <c r="O113" s="2" t="s">
        <v>147</v>
      </c>
      <c r="P113" s="20">
        <v>129.24</v>
      </c>
      <c r="Q113" s="21">
        <v>0.000958857917422034</v>
      </c>
      <c r="R113" s="4">
        <v>1</v>
      </c>
      <c r="S113" s="4">
        <v>0</v>
      </c>
      <c r="T113" s="21">
        <f t="shared" si="5"/>
        <v>0</v>
      </c>
      <c r="W113" t="s">
        <v>153</v>
      </c>
      <c r="X113" t="s">
        <v>138</v>
      </c>
      <c r="Y113">
        <v>48</v>
      </c>
      <c r="Z113">
        <v>1</v>
      </c>
      <c r="AA113">
        <v>0</v>
      </c>
    </row>
    <row r="114" spans="10:27">
      <c r="J114" s="66"/>
      <c r="N114" s="2" t="s">
        <v>101</v>
      </c>
      <c r="O114" s="2" t="s">
        <v>26</v>
      </c>
      <c r="P114" s="20">
        <v>129</v>
      </c>
      <c r="Q114" s="21">
        <v>0.000957077308476032</v>
      </c>
      <c r="R114" s="4">
        <v>1</v>
      </c>
      <c r="S114" s="4">
        <v>0</v>
      </c>
      <c r="T114" s="21">
        <f t="shared" si="5"/>
        <v>0</v>
      </c>
      <c r="W114" t="s">
        <v>154</v>
      </c>
      <c r="X114" t="s">
        <v>155</v>
      </c>
      <c r="Y114">
        <v>29.9</v>
      </c>
      <c r="Z114">
        <v>1</v>
      </c>
      <c r="AA114">
        <v>0</v>
      </c>
    </row>
    <row r="115" spans="10:27">
      <c r="J115" s="66"/>
      <c r="N115" s="2" t="s">
        <v>65</v>
      </c>
      <c r="O115" s="2" t="s">
        <v>35</v>
      </c>
      <c r="P115" s="20">
        <v>115</v>
      </c>
      <c r="Q115" s="21">
        <v>0.000853208453292587</v>
      </c>
      <c r="R115" s="4">
        <v>1</v>
      </c>
      <c r="S115" s="4">
        <v>0</v>
      </c>
      <c r="T115" s="21">
        <f t="shared" si="5"/>
        <v>0</v>
      </c>
      <c r="W115" t="s">
        <v>165</v>
      </c>
      <c r="X115" t="s">
        <v>157</v>
      </c>
      <c r="Y115">
        <v>3</v>
      </c>
      <c r="Z115">
        <v>3</v>
      </c>
      <c r="AA115">
        <v>0</v>
      </c>
    </row>
    <row r="116" spans="10:27">
      <c r="J116" s="66"/>
      <c r="N116" s="2" t="s">
        <v>106</v>
      </c>
      <c r="O116" s="2" t="s">
        <v>104</v>
      </c>
      <c r="P116" s="20">
        <v>108.19</v>
      </c>
      <c r="Q116" s="21">
        <v>0.000802683674449782</v>
      </c>
      <c r="R116" s="4">
        <v>3</v>
      </c>
      <c r="S116" s="4">
        <v>0</v>
      </c>
      <c r="T116" s="21">
        <f t="shared" si="5"/>
        <v>0</v>
      </c>
      <c r="W116" t="s">
        <v>158</v>
      </c>
      <c r="X116" t="s">
        <v>109</v>
      </c>
      <c r="Y116">
        <v>2</v>
      </c>
      <c r="Z116">
        <v>2</v>
      </c>
      <c r="AA116">
        <v>0</v>
      </c>
    </row>
    <row r="117" spans="10:27">
      <c r="J117" s="67"/>
      <c r="K117" s="67"/>
      <c r="N117" s="2" t="s">
        <v>56</v>
      </c>
      <c r="O117" s="2" t="s">
        <v>59</v>
      </c>
      <c r="P117" s="20">
        <v>108</v>
      </c>
      <c r="Q117" s="21">
        <v>0.000801274025700864</v>
      </c>
      <c r="R117" s="4">
        <v>1</v>
      </c>
      <c r="S117" s="4">
        <v>0</v>
      </c>
      <c r="T117" s="21">
        <f t="shared" si="5"/>
        <v>0</v>
      </c>
      <c r="W117" t="s">
        <v>159</v>
      </c>
      <c r="Y117">
        <v>246931.55</v>
      </c>
      <c r="Z117">
        <v>3104</v>
      </c>
      <c r="AA117">
        <v>721</v>
      </c>
    </row>
    <row r="118" spans="10:27">
      <c r="J118" s="66"/>
      <c r="N118" s="2" t="s">
        <v>139</v>
      </c>
      <c r="O118" s="2" t="s">
        <v>26</v>
      </c>
      <c r="P118" s="20">
        <v>106</v>
      </c>
      <c r="Q118" s="21">
        <v>0.000786435617817515</v>
      </c>
      <c r="R118" s="4">
        <v>1</v>
      </c>
      <c r="S118" s="4">
        <v>0</v>
      </c>
      <c r="T118" s="21">
        <f t="shared" si="5"/>
        <v>0</v>
      </c>
    </row>
    <row r="119" spans="10:27">
      <c r="J119" s="67"/>
      <c r="K119" s="67"/>
      <c r="N119" s="2" t="s">
        <v>139</v>
      </c>
      <c r="O119" s="2" t="s">
        <v>138</v>
      </c>
      <c r="P119" s="20">
        <v>99.5</v>
      </c>
      <c r="Q119" s="21">
        <v>0.00073821079219663</v>
      </c>
      <c r="R119" s="4">
        <v>5</v>
      </c>
      <c r="S119" s="4">
        <v>0</v>
      </c>
      <c r="T119" s="21">
        <f t="shared" si="5"/>
        <v>0</v>
      </c>
    </row>
    <row r="120" spans="10:27">
      <c r="J120" s="66"/>
      <c r="N120" s="2" t="s">
        <v>34</v>
      </c>
      <c r="O120" s="2" t="s">
        <v>35</v>
      </c>
      <c r="P120" s="20">
        <v>99</v>
      </c>
      <c r="Q120" s="21">
        <v>0.000734501190225792</v>
      </c>
      <c r="R120" s="4">
        <v>1</v>
      </c>
      <c r="S120" s="4">
        <v>0</v>
      </c>
      <c r="T120" s="21">
        <f t="shared" si="5"/>
        <v>0</v>
      </c>
    </row>
    <row r="121" spans="10:27">
      <c r="J121" s="67"/>
      <c r="K121" s="67"/>
      <c r="N121" s="2" t="s">
        <v>163</v>
      </c>
      <c r="O121" s="2" t="s">
        <v>74</v>
      </c>
      <c r="P121" s="20">
        <v>96</v>
      </c>
      <c r="Q121" s="21">
        <v>0.000712243578400768</v>
      </c>
      <c r="R121" s="4">
        <v>2</v>
      </c>
      <c r="S121" s="4">
        <v>0</v>
      </c>
      <c r="T121" s="21">
        <f t="shared" si="5"/>
        <v>0</v>
      </c>
    </row>
    <row r="122" spans="10:27">
      <c r="J122" s="12"/>
      <c r="N122" s="2" t="s">
        <v>164</v>
      </c>
      <c r="O122" s="2" t="s">
        <v>150</v>
      </c>
      <c r="P122" s="20">
        <v>73.66</v>
      </c>
      <c r="Q122" s="21">
        <v>0.000546498562343756</v>
      </c>
      <c r="R122" s="4">
        <v>1</v>
      </c>
      <c r="S122" s="4">
        <v>0</v>
      </c>
      <c r="T122" s="21">
        <f t="shared" si="5"/>
        <v>0</v>
      </c>
    </row>
    <row r="123" spans="10:27">
      <c r="J123" s="66"/>
      <c r="N123" s="2" t="s">
        <v>103</v>
      </c>
      <c r="O123" s="2" t="s">
        <v>162</v>
      </c>
      <c r="P123" s="20">
        <v>68</v>
      </c>
      <c r="Q123" s="21">
        <v>0.000504505868033878</v>
      </c>
      <c r="R123" s="4">
        <v>1</v>
      </c>
      <c r="S123" s="4">
        <v>0</v>
      </c>
      <c r="T123" s="21">
        <f t="shared" si="5"/>
        <v>0</v>
      </c>
    </row>
    <row r="124" spans="10:27">
      <c r="J124" s="66"/>
      <c r="N124" s="2" t="s">
        <v>151</v>
      </c>
      <c r="O124" s="2" t="s">
        <v>152</v>
      </c>
      <c r="P124" s="20">
        <v>49.9</v>
      </c>
      <c r="Q124" s="21">
        <v>0.000370218276689566</v>
      </c>
      <c r="R124" s="4">
        <v>1</v>
      </c>
      <c r="S124" s="4">
        <v>0</v>
      </c>
      <c r="T124" s="21">
        <f t="shared" si="5"/>
        <v>0</v>
      </c>
    </row>
    <row r="125" spans="10:27">
      <c r="J125" s="67"/>
      <c r="K125" s="67"/>
      <c r="N125" s="2" t="s">
        <v>153</v>
      </c>
      <c r="O125" s="2" t="s">
        <v>138</v>
      </c>
      <c r="P125" s="20">
        <v>48</v>
      </c>
      <c r="Q125" s="21">
        <v>0.000356121789200384</v>
      </c>
      <c r="R125" s="4">
        <v>1</v>
      </c>
      <c r="S125" s="4">
        <v>0</v>
      </c>
      <c r="T125" s="21">
        <f t="shared" si="5"/>
        <v>0</v>
      </c>
    </row>
    <row r="126" spans="10:27">
      <c r="J126" s="66"/>
      <c r="N126" s="2" t="s">
        <v>154</v>
      </c>
      <c r="O126" s="2" t="s">
        <v>155</v>
      </c>
      <c r="P126" s="20">
        <v>29.9</v>
      </c>
      <c r="Q126" s="21">
        <v>0.000221834197856073</v>
      </c>
      <c r="R126" s="4">
        <v>1</v>
      </c>
      <c r="S126" s="4">
        <v>0</v>
      </c>
      <c r="T126" s="21">
        <f t="shared" si="5"/>
        <v>0</v>
      </c>
    </row>
    <row r="127" spans="10:27">
      <c r="J127" s="68"/>
      <c r="K127" s="68"/>
      <c r="N127" s="2" t="s">
        <v>106</v>
      </c>
      <c r="O127" s="2" t="s">
        <v>104</v>
      </c>
      <c r="P127" s="20">
        <v>19.9</v>
      </c>
      <c r="Q127" s="21">
        <v>0.000147642158439326</v>
      </c>
      <c r="R127" s="4">
        <v>1</v>
      </c>
      <c r="S127" s="4">
        <v>0</v>
      </c>
      <c r="T127" s="21">
        <f t="shared" si="5"/>
        <v>0</v>
      </c>
    </row>
    <row r="128" spans="10:27">
      <c r="N128" s="2" t="s">
        <v>165</v>
      </c>
      <c r="O128" s="2" t="s">
        <v>157</v>
      </c>
      <c r="P128" s="20">
        <v>3</v>
      </c>
      <c r="Q128" s="21">
        <v>2.2257611825024e-5</v>
      </c>
      <c r="R128" s="4">
        <v>3</v>
      </c>
      <c r="S128" s="4">
        <v>0</v>
      </c>
      <c r="T128" s="21">
        <f t="shared" si="5"/>
        <v>0</v>
      </c>
    </row>
    <row r="129" spans="14:20">
      <c r="N129" s="2" t="s">
        <v>158</v>
      </c>
      <c r="O129" s="2" t="s">
        <v>109</v>
      </c>
      <c r="P129" s="20">
        <v>2</v>
      </c>
      <c r="Q129" s="21">
        <v>1.48384078833493e-5</v>
      </c>
      <c r="R129" s="4">
        <v>2</v>
      </c>
      <c r="S129" s="4">
        <v>0</v>
      </c>
      <c r="T129" s="21">
        <f t="shared" si="5"/>
        <v>0</v>
      </c>
    </row>
  </sheetData>
  <autoFilter xmlns:etc="http://www.wps.cn/officeDocument/2017/etCustomData" ref="N5:T129" etc:filterBottomFollowUsedRange="0">
    <extLst/>
  </autoFilter>
  <conditionalFormatting sqref="H69">
    <cfRule type="top10" dxfId="0" priority="1" percent="1" rank="10"/>
  </conditionalFormatting>
  <conditionalFormatting sqref="G6:H68 G69 G70:H82">
    <cfRule type="top10" dxfId="0" priority="2" percent="1" rank="10"/>
  </conditionalFormatting>
  <pageMargins left="0.75" right="0.75" top="1" bottom="1" header="0.5" footer="0.5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J15" sqref="J15"/>
    </sheetView>
  </sheetViews>
  <sheetFormatPr defaultColWidth="9" defaultRowHeight="13.5" outlineLevelCol="6"/>
  <cols>
    <col min="1" max="1" width="17.1238938053097" customWidth="1"/>
    <col min="2" max="2" width="16.2477876106195" customWidth="1"/>
    <col min="3" max="3" width="15.3716814159292" customWidth="1"/>
    <col min="4" max="4" width="13.7522123893805" customWidth="1"/>
    <col min="5" max="5" width="12.7522123893805" customWidth="1"/>
    <col min="6" max="6" width="12.6283185840708" customWidth="1"/>
    <col min="7" max="7" width="11.5044247787611"/>
  </cols>
  <sheetData>
    <row r="1" ht="23" customHeight="1" spans="1:7">
      <c r="A1" s="39" t="s">
        <v>166</v>
      </c>
    </row>
    <row r="2" ht="23" customHeight="1" spans="1:7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ht="23" customHeight="1" spans="1:7">
      <c r="A3" s="40">
        <v>47</v>
      </c>
      <c r="B3" s="41">
        <f>C53</f>
        <v>112146.2</v>
      </c>
      <c r="C3" s="40">
        <f>E53</f>
        <v>1354</v>
      </c>
      <c r="D3" s="41">
        <f>F53</f>
        <v>357</v>
      </c>
      <c r="E3" s="43">
        <f>D3/C3</f>
        <v>0.263663220088626</v>
      </c>
    </row>
    <row r="4" ht="23" customHeight="1" spans="1:7">
      <c r="A4" s="39"/>
    </row>
    <row r="5" spans="1:7">
      <c r="A5" s="44" t="s">
        <v>6</v>
      </c>
      <c r="B5" s="44" t="s">
        <v>7</v>
      </c>
      <c r="C5" s="44" t="s">
        <v>8</v>
      </c>
      <c r="D5" s="44" t="s">
        <v>14</v>
      </c>
      <c r="E5" s="44" t="s">
        <v>3</v>
      </c>
      <c r="F5" s="44" t="s">
        <v>4</v>
      </c>
      <c r="G5" s="44" t="s">
        <v>15</v>
      </c>
    </row>
    <row r="6" spans="1:7">
      <c r="A6" s="2" t="s">
        <v>16</v>
      </c>
      <c r="B6" s="2" t="s">
        <v>22</v>
      </c>
      <c r="C6" s="20">
        <v>44622</v>
      </c>
      <c r="D6" s="21">
        <v>0.397891324003845</v>
      </c>
      <c r="E6" s="4">
        <v>482</v>
      </c>
      <c r="F6" s="4">
        <v>166</v>
      </c>
      <c r="G6" s="21">
        <f>F6/E6</f>
        <v>0.344398340248963</v>
      </c>
    </row>
    <row r="7" spans="1:7">
      <c r="A7" s="2" t="s">
        <v>27</v>
      </c>
      <c r="B7" s="2" t="s">
        <v>28</v>
      </c>
      <c r="C7" s="20">
        <v>7697</v>
      </c>
      <c r="D7" s="21">
        <v>0.0686336228958271</v>
      </c>
      <c r="E7" s="4">
        <v>128</v>
      </c>
      <c r="F7" s="4">
        <v>24</v>
      </c>
      <c r="G7" s="21">
        <f t="shared" ref="G7:G53" si="0">F7/E7</f>
        <v>0.1875</v>
      </c>
    </row>
    <row r="8" spans="1:7">
      <c r="A8" s="2" t="s">
        <v>36</v>
      </c>
      <c r="B8" s="2" t="s">
        <v>37</v>
      </c>
      <c r="C8" s="20">
        <v>7030</v>
      </c>
      <c r="D8" s="21">
        <v>0.0626860294865096</v>
      </c>
      <c r="E8" s="4">
        <v>85</v>
      </c>
      <c r="F8" s="4">
        <v>19</v>
      </c>
      <c r="G8" s="21">
        <f t="shared" si="0"/>
        <v>0.223529411764706</v>
      </c>
    </row>
    <row r="9" spans="1:7">
      <c r="A9" s="2" t="s">
        <v>41</v>
      </c>
      <c r="B9" s="2" t="s">
        <v>42</v>
      </c>
      <c r="C9" s="20">
        <v>5944</v>
      </c>
      <c r="D9" s="21">
        <v>0.0530022417166163</v>
      </c>
      <c r="E9" s="4">
        <v>54</v>
      </c>
      <c r="F9" s="4">
        <v>17</v>
      </c>
      <c r="G9" s="21">
        <f t="shared" si="0"/>
        <v>0.314814814814815</v>
      </c>
    </row>
    <row r="10" spans="1:7">
      <c r="A10" s="2" t="s">
        <v>19</v>
      </c>
      <c r="B10" s="2" t="s">
        <v>44</v>
      </c>
      <c r="C10" s="20">
        <v>5543</v>
      </c>
      <c r="D10" s="21">
        <v>0.0494265521257073</v>
      </c>
      <c r="E10" s="4">
        <v>60</v>
      </c>
      <c r="F10" s="4">
        <v>16</v>
      </c>
      <c r="G10" s="21">
        <f t="shared" si="0"/>
        <v>0.266666666666667</v>
      </c>
    </row>
    <row r="11" spans="1:7">
      <c r="A11" s="45" t="s">
        <v>45</v>
      </c>
      <c r="B11" s="45" t="s">
        <v>28</v>
      </c>
      <c r="C11" s="46">
        <v>3665</v>
      </c>
      <c r="D11" s="47">
        <v>0.0326805544904776</v>
      </c>
      <c r="E11" s="48">
        <v>35</v>
      </c>
      <c r="F11" s="48">
        <v>5</v>
      </c>
      <c r="G11" s="47">
        <f t="shared" si="0"/>
        <v>0.142857142857143</v>
      </c>
    </row>
    <row r="12" spans="1:7">
      <c r="A12" s="45" t="s">
        <v>46</v>
      </c>
      <c r="B12" s="45" t="s">
        <v>47</v>
      </c>
      <c r="C12" s="46">
        <v>3498</v>
      </c>
      <c r="D12" s="47">
        <v>0.0311914269052362</v>
      </c>
      <c r="E12" s="48">
        <v>96</v>
      </c>
      <c r="F12" s="48">
        <v>13</v>
      </c>
      <c r="G12" s="47">
        <f t="shared" si="0"/>
        <v>0.135416666666667</v>
      </c>
    </row>
    <row r="13" spans="1:7">
      <c r="A13" s="45" t="s">
        <v>51</v>
      </c>
      <c r="B13" s="45" t="s">
        <v>52</v>
      </c>
      <c r="C13" s="46">
        <v>3333</v>
      </c>
      <c r="D13" s="47">
        <v>0.0297201331832911</v>
      </c>
      <c r="E13" s="48">
        <v>22</v>
      </c>
      <c r="F13" s="48">
        <v>4</v>
      </c>
      <c r="G13" s="47">
        <f t="shared" si="0"/>
        <v>0.181818181818182</v>
      </c>
    </row>
    <row r="14" spans="1:7">
      <c r="A14" s="49" t="s">
        <v>55</v>
      </c>
      <c r="B14" s="49" t="s">
        <v>167</v>
      </c>
      <c r="C14" s="50">
        <v>2487</v>
      </c>
      <c r="D14" s="51">
        <v>0.0221764090089544</v>
      </c>
      <c r="E14" s="52">
        <v>24</v>
      </c>
      <c r="F14" s="52">
        <v>5</v>
      </c>
      <c r="G14" s="51">
        <f t="shared" si="0"/>
        <v>0.208333333333333</v>
      </c>
    </row>
    <row r="15" spans="1:7">
      <c r="A15" s="49" t="s">
        <v>56</v>
      </c>
      <c r="B15" s="49" t="s">
        <v>57</v>
      </c>
      <c r="C15" s="50">
        <v>2447</v>
      </c>
      <c r="D15" s="51">
        <v>0.0218197317430283</v>
      </c>
      <c r="E15" s="52">
        <v>42</v>
      </c>
      <c r="F15" s="52">
        <v>4</v>
      </c>
      <c r="G15" s="51">
        <f t="shared" si="0"/>
        <v>0.0952380952380952</v>
      </c>
    </row>
    <row r="16" spans="1:7">
      <c r="A16" s="49" t="s">
        <v>58</v>
      </c>
      <c r="B16" s="49" t="s">
        <v>59</v>
      </c>
      <c r="C16" s="50">
        <v>2362</v>
      </c>
      <c r="D16" s="51">
        <v>0.0210617925529354</v>
      </c>
      <c r="E16" s="52">
        <v>32</v>
      </c>
      <c r="F16" s="52">
        <v>11</v>
      </c>
      <c r="G16" s="51">
        <f t="shared" si="0"/>
        <v>0.34375</v>
      </c>
    </row>
    <row r="17" spans="1:7">
      <c r="A17" s="49" t="s">
        <v>62</v>
      </c>
      <c r="B17" s="49" t="s">
        <v>48</v>
      </c>
      <c r="C17" s="50">
        <v>2131</v>
      </c>
      <c r="D17" s="51">
        <v>0.0190019813422122</v>
      </c>
      <c r="E17" s="52">
        <v>37</v>
      </c>
      <c r="F17" s="52">
        <v>10</v>
      </c>
      <c r="G17" s="51">
        <f t="shared" si="0"/>
        <v>0.27027027027027</v>
      </c>
    </row>
    <row r="18" spans="1:7">
      <c r="A18" s="53" t="s">
        <v>63</v>
      </c>
      <c r="B18" s="53" t="s">
        <v>33</v>
      </c>
      <c r="C18" s="54">
        <v>1993</v>
      </c>
      <c r="D18" s="55">
        <v>0.0177714447747672</v>
      </c>
      <c r="E18" s="56">
        <v>23</v>
      </c>
      <c r="F18" s="56">
        <v>12</v>
      </c>
      <c r="G18" s="55">
        <f t="shared" si="0"/>
        <v>0.521739130434783</v>
      </c>
    </row>
    <row r="19" spans="1:7">
      <c r="A19" s="53" t="s">
        <v>64</v>
      </c>
      <c r="B19" s="53" t="s">
        <v>59</v>
      </c>
      <c r="C19" s="54">
        <v>1925</v>
      </c>
      <c r="D19" s="55">
        <v>0.0171650934226929</v>
      </c>
      <c r="E19" s="56">
        <v>14</v>
      </c>
      <c r="F19" s="56">
        <v>1</v>
      </c>
      <c r="G19" s="55">
        <f t="shared" si="0"/>
        <v>0.0714285714285714</v>
      </c>
    </row>
    <row r="20" spans="1:7">
      <c r="A20" s="53" t="s">
        <v>65</v>
      </c>
      <c r="B20" s="53" t="s">
        <v>66</v>
      </c>
      <c r="C20" s="54">
        <v>1537</v>
      </c>
      <c r="D20" s="55">
        <v>0.0137053239432098</v>
      </c>
      <c r="E20" s="56">
        <v>12</v>
      </c>
      <c r="F20" s="56">
        <v>2</v>
      </c>
      <c r="G20" s="55">
        <f t="shared" si="0"/>
        <v>0.166666666666667</v>
      </c>
    </row>
    <row r="21" spans="1:7">
      <c r="A21" s="53" t="s">
        <v>68</v>
      </c>
      <c r="B21" s="53" t="s">
        <v>33</v>
      </c>
      <c r="C21" s="54">
        <v>1526</v>
      </c>
      <c r="D21" s="55">
        <v>0.0136072376950802</v>
      </c>
      <c r="E21" s="56">
        <v>12</v>
      </c>
      <c r="F21" s="56">
        <v>5</v>
      </c>
      <c r="G21" s="55">
        <f t="shared" si="0"/>
        <v>0.416666666666667</v>
      </c>
    </row>
    <row r="22" spans="1:7">
      <c r="A22" s="53" t="s">
        <v>69</v>
      </c>
      <c r="B22" s="53" t="s">
        <v>70</v>
      </c>
      <c r="C22" s="54">
        <v>1445</v>
      </c>
      <c r="D22" s="55">
        <v>0.0128849662315798</v>
      </c>
      <c r="E22" s="56">
        <v>11</v>
      </c>
      <c r="F22" s="56">
        <v>1</v>
      </c>
      <c r="G22" s="55">
        <f t="shared" si="0"/>
        <v>0.0909090909090909</v>
      </c>
    </row>
    <row r="23" spans="1:7">
      <c r="A23" s="53" t="s">
        <v>60</v>
      </c>
      <c r="B23" s="53" t="s">
        <v>48</v>
      </c>
      <c r="C23" s="54">
        <v>1384</v>
      </c>
      <c r="D23" s="55">
        <v>0.0123410334010426</v>
      </c>
      <c r="E23" s="56">
        <v>16</v>
      </c>
      <c r="F23" s="56">
        <v>5</v>
      </c>
      <c r="G23" s="55">
        <f t="shared" si="0"/>
        <v>0.3125</v>
      </c>
    </row>
    <row r="24" spans="1:7">
      <c r="A24" s="53" t="s">
        <v>71</v>
      </c>
      <c r="B24" s="53" t="s">
        <v>70</v>
      </c>
      <c r="C24" s="54">
        <v>1323</v>
      </c>
      <c r="D24" s="55">
        <v>0.0117971005705053</v>
      </c>
      <c r="E24" s="56">
        <v>17</v>
      </c>
      <c r="F24" s="56">
        <v>4</v>
      </c>
      <c r="G24" s="55">
        <f t="shared" si="0"/>
        <v>0.235294117647059</v>
      </c>
    </row>
    <row r="25" spans="1:7">
      <c r="A25" s="53" t="s">
        <v>75</v>
      </c>
      <c r="B25" s="53" t="s">
        <v>47</v>
      </c>
      <c r="C25" s="54">
        <v>1182</v>
      </c>
      <c r="D25" s="55">
        <v>0.0105398132081158</v>
      </c>
      <c r="E25" s="56">
        <v>25</v>
      </c>
      <c r="F25" s="56">
        <v>3</v>
      </c>
      <c r="G25" s="55">
        <f t="shared" si="0"/>
        <v>0.12</v>
      </c>
    </row>
    <row r="26" spans="1:7">
      <c r="A26" s="53" t="s">
        <v>32</v>
      </c>
      <c r="B26" s="53" t="s">
        <v>48</v>
      </c>
      <c r="C26" s="54">
        <v>1103</v>
      </c>
      <c r="D26" s="55">
        <v>0.00983537560791181</v>
      </c>
      <c r="E26" s="56">
        <v>13</v>
      </c>
      <c r="F26" s="56">
        <v>5</v>
      </c>
      <c r="G26" s="55">
        <f t="shared" si="0"/>
        <v>0.384615384615385</v>
      </c>
    </row>
    <row r="27" spans="1:7">
      <c r="A27" s="53" t="s">
        <v>53</v>
      </c>
      <c r="B27" s="53" t="s">
        <v>54</v>
      </c>
      <c r="C27" s="54">
        <v>1046</v>
      </c>
      <c r="D27" s="55">
        <v>0.00932711050396714</v>
      </c>
      <c r="E27" s="56">
        <v>17</v>
      </c>
      <c r="F27" s="56">
        <v>0</v>
      </c>
      <c r="G27" s="55">
        <f t="shared" si="0"/>
        <v>0</v>
      </c>
    </row>
    <row r="28" spans="1:7">
      <c r="A28" s="2" t="s">
        <v>79</v>
      </c>
      <c r="B28" s="2" t="s">
        <v>28</v>
      </c>
      <c r="C28" s="20">
        <v>744</v>
      </c>
      <c r="D28" s="21">
        <v>0.0066341971462252</v>
      </c>
      <c r="E28" s="4">
        <v>8</v>
      </c>
      <c r="F28" s="4">
        <v>3</v>
      </c>
      <c r="G28" s="21">
        <f t="shared" si="0"/>
        <v>0.375</v>
      </c>
    </row>
    <row r="29" spans="1:7">
      <c r="A29" s="2" t="s">
        <v>82</v>
      </c>
      <c r="B29" s="2" t="s">
        <v>28</v>
      </c>
      <c r="C29" s="20">
        <v>585</v>
      </c>
      <c r="D29" s="21">
        <v>0.005216405014169</v>
      </c>
      <c r="E29" s="4">
        <v>6</v>
      </c>
      <c r="F29" s="4">
        <v>1</v>
      </c>
      <c r="G29" s="21">
        <f t="shared" si="0"/>
        <v>0.166666666666667</v>
      </c>
    </row>
    <row r="30" spans="1:7">
      <c r="A30" s="2" t="s">
        <v>86</v>
      </c>
      <c r="B30" s="2" t="s">
        <v>37</v>
      </c>
      <c r="C30" s="20">
        <v>553</v>
      </c>
      <c r="D30" s="21">
        <v>0.00493106320142814</v>
      </c>
      <c r="E30" s="4">
        <v>6</v>
      </c>
      <c r="F30" s="4">
        <v>3</v>
      </c>
      <c r="G30" s="21">
        <f t="shared" si="0"/>
        <v>0.5</v>
      </c>
    </row>
    <row r="31" spans="1:7">
      <c r="A31" s="2" t="s">
        <v>87</v>
      </c>
      <c r="B31" s="2" t="s">
        <v>42</v>
      </c>
      <c r="C31" s="20">
        <v>448</v>
      </c>
      <c r="D31" s="21">
        <v>0.00399478537837216</v>
      </c>
      <c r="E31" s="4">
        <v>3</v>
      </c>
      <c r="F31" s="4">
        <v>0</v>
      </c>
      <c r="G31" s="21">
        <f t="shared" si="0"/>
        <v>0</v>
      </c>
    </row>
    <row r="32" spans="1:7">
      <c r="A32" s="2" t="s">
        <v>89</v>
      </c>
      <c r="B32" s="2" t="s">
        <v>70</v>
      </c>
      <c r="C32" s="20">
        <v>447</v>
      </c>
      <c r="D32" s="21">
        <v>0.00398586844672401</v>
      </c>
      <c r="E32" s="4">
        <v>2</v>
      </c>
      <c r="F32" s="4">
        <v>0</v>
      </c>
      <c r="G32" s="21">
        <f t="shared" si="0"/>
        <v>0</v>
      </c>
    </row>
    <row r="33" spans="1:7">
      <c r="A33" s="2" t="s">
        <v>90</v>
      </c>
      <c r="B33" s="2" t="s">
        <v>37</v>
      </c>
      <c r="C33" s="20">
        <v>430</v>
      </c>
      <c r="D33" s="21">
        <v>0.00383428060870542</v>
      </c>
      <c r="E33" s="4">
        <v>3</v>
      </c>
      <c r="F33" s="4">
        <v>1</v>
      </c>
      <c r="G33" s="21">
        <f t="shared" si="0"/>
        <v>0.333333333333333</v>
      </c>
    </row>
    <row r="34" spans="1:7">
      <c r="A34" s="2" t="s">
        <v>91</v>
      </c>
      <c r="B34" s="2" t="s">
        <v>92</v>
      </c>
      <c r="C34" s="20">
        <v>408</v>
      </c>
      <c r="D34" s="21">
        <v>0.00363810811244608</v>
      </c>
      <c r="E34" s="4">
        <v>7</v>
      </c>
      <c r="F34" s="4">
        <v>0</v>
      </c>
      <c r="G34" s="21">
        <f t="shared" si="0"/>
        <v>0</v>
      </c>
    </row>
    <row r="35" spans="1:7">
      <c r="A35" s="2" t="s">
        <v>94</v>
      </c>
      <c r="B35" s="2" t="s">
        <v>52</v>
      </c>
      <c r="C35" s="20">
        <v>407</v>
      </c>
      <c r="D35" s="21">
        <v>0.00362919118079792</v>
      </c>
      <c r="E35" s="4">
        <v>2</v>
      </c>
      <c r="F35" s="4">
        <v>0</v>
      </c>
      <c r="G35" s="21">
        <f t="shared" si="0"/>
        <v>0</v>
      </c>
    </row>
    <row r="36" spans="1:7">
      <c r="A36" s="2" t="s">
        <v>95</v>
      </c>
      <c r="B36" s="2" t="s">
        <v>96</v>
      </c>
      <c r="C36" s="20">
        <v>378.8</v>
      </c>
      <c r="D36" s="21">
        <v>0.00337773370832003</v>
      </c>
      <c r="E36" s="4">
        <v>7</v>
      </c>
      <c r="F36" s="4">
        <v>1</v>
      </c>
      <c r="G36" s="21">
        <f t="shared" si="0"/>
        <v>0.142857142857143</v>
      </c>
    </row>
    <row r="37" spans="1:7">
      <c r="A37" s="2" t="s">
        <v>97</v>
      </c>
      <c r="B37" s="2" t="s">
        <v>98</v>
      </c>
      <c r="C37" s="20">
        <v>278</v>
      </c>
      <c r="D37" s="21">
        <v>0.0024789069981863</v>
      </c>
      <c r="E37" s="4">
        <v>3</v>
      </c>
      <c r="F37" s="4">
        <v>1</v>
      </c>
      <c r="G37" s="21">
        <f t="shared" si="0"/>
        <v>0.333333333333333</v>
      </c>
    </row>
    <row r="38" spans="1:7">
      <c r="A38" s="2" t="s">
        <v>101</v>
      </c>
      <c r="B38" s="2" t="s">
        <v>70</v>
      </c>
      <c r="C38" s="20">
        <v>276</v>
      </c>
      <c r="D38" s="21">
        <v>0.00246107313488999</v>
      </c>
      <c r="E38" s="4">
        <v>2</v>
      </c>
      <c r="F38" s="4">
        <v>0</v>
      </c>
      <c r="G38" s="21">
        <f t="shared" si="0"/>
        <v>0</v>
      </c>
    </row>
    <row r="39" spans="1:7">
      <c r="A39" s="2" t="s">
        <v>103</v>
      </c>
      <c r="B39" s="2" t="s">
        <v>104</v>
      </c>
      <c r="C39" s="20">
        <v>272</v>
      </c>
      <c r="D39" s="21">
        <v>0.00242540540829738</v>
      </c>
      <c r="E39" s="4">
        <v>2</v>
      </c>
      <c r="F39" s="4">
        <v>0</v>
      </c>
      <c r="G39" s="21">
        <f t="shared" si="0"/>
        <v>0</v>
      </c>
    </row>
    <row r="40" spans="1:7">
      <c r="A40" s="2" t="s">
        <v>105</v>
      </c>
      <c r="B40" s="2" t="s">
        <v>33</v>
      </c>
      <c r="C40" s="20">
        <v>228</v>
      </c>
      <c r="D40" s="21">
        <v>0.00203306041577869</v>
      </c>
      <c r="E40" s="4">
        <v>2</v>
      </c>
      <c r="F40" s="4">
        <v>1</v>
      </c>
      <c r="G40" s="21">
        <f t="shared" si="0"/>
        <v>0.5</v>
      </c>
    </row>
    <row r="41" spans="1:7">
      <c r="A41" s="2" t="s">
        <v>106</v>
      </c>
      <c r="B41" s="2" t="s">
        <v>104</v>
      </c>
      <c r="C41" s="20">
        <v>218.9</v>
      </c>
      <c r="D41" s="21">
        <v>0.0019519163377805</v>
      </c>
      <c r="E41" s="4">
        <v>11</v>
      </c>
      <c r="F41" s="4">
        <v>1</v>
      </c>
      <c r="G41" s="21">
        <f t="shared" si="0"/>
        <v>0.0909090909090909</v>
      </c>
    </row>
    <row r="42" spans="1:7">
      <c r="A42" s="2" t="s">
        <v>110</v>
      </c>
      <c r="B42" s="2" t="s">
        <v>104</v>
      </c>
      <c r="C42" s="20">
        <v>208.7</v>
      </c>
      <c r="D42" s="21">
        <v>0.00186096363496935</v>
      </c>
      <c r="E42" s="4">
        <v>7</v>
      </c>
      <c r="F42" s="4">
        <v>0</v>
      </c>
      <c r="G42" s="21">
        <f t="shared" si="0"/>
        <v>0</v>
      </c>
    </row>
    <row r="43" spans="1:7">
      <c r="A43" s="2" t="s">
        <v>111</v>
      </c>
      <c r="B43" s="2" t="s">
        <v>33</v>
      </c>
      <c r="C43" s="20">
        <v>169</v>
      </c>
      <c r="D43" s="21">
        <v>0.00150696144853771</v>
      </c>
      <c r="E43" s="4">
        <v>1</v>
      </c>
      <c r="F43" s="4">
        <v>0</v>
      </c>
      <c r="G43" s="21">
        <f t="shared" si="0"/>
        <v>0</v>
      </c>
    </row>
    <row r="44" spans="1:7">
      <c r="A44" s="2" t="s">
        <v>112</v>
      </c>
      <c r="B44" s="2" t="s">
        <v>52</v>
      </c>
      <c r="C44" s="20">
        <v>156</v>
      </c>
      <c r="D44" s="21">
        <v>0.00139104133711173</v>
      </c>
      <c r="E44" s="4">
        <v>2</v>
      </c>
      <c r="F44" s="4">
        <v>0</v>
      </c>
      <c r="G44" s="21">
        <f t="shared" si="0"/>
        <v>0</v>
      </c>
    </row>
    <row r="45" spans="1:7">
      <c r="A45" s="2" t="s">
        <v>113</v>
      </c>
      <c r="B45" s="2" t="s">
        <v>67</v>
      </c>
      <c r="C45" s="20">
        <v>132</v>
      </c>
      <c r="D45" s="21">
        <v>0.00117703497755608</v>
      </c>
      <c r="E45" s="4">
        <v>10</v>
      </c>
      <c r="F45" s="4">
        <v>9</v>
      </c>
      <c r="G45" s="21">
        <f t="shared" si="0"/>
        <v>0.9</v>
      </c>
    </row>
    <row r="46" spans="1:7">
      <c r="A46" s="2" t="s">
        <v>114</v>
      </c>
      <c r="B46" s="2" t="s">
        <v>57</v>
      </c>
      <c r="C46" s="20">
        <v>119</v>
      </c>
      <c r="D46" s="21">
        <v>0.00106111486613011</v>
      </c>
      <c r="E46" s="4">
        <v>1</v>
      </c>
      <c r="F46" s="4">
        <v>0</v>
      </c>
      <c r="G46" s="21">
        <f t="shared" si="0"/>
        <v>0</v>
      </c>
    </row>
    <row r="47" spans="1:7">
      <c r="A47" s="2" t="s">
        <v>102</v>
      </c>
      <c r="B47" s="2" t="s">
        <v>59</v>
      </c>
      <c r="C47" s="20">
        <v>118</v>
      </c>
      <c r="D47" s="21">
        <v>0.00105219793448195</v>
      </c>
      <c r="E47" s="4">
        <v>2</v>
      </c>
      <c r="F47" s="4">
        <v>0</v>
      </c>
      <c r="G47" s="21">
        <f t="shared" si="0"/>
        <v>0</v>
      </c>
    </row>
    <row r="48" spans="1:7">
      <c r="A48" s="2" t="s">
        <v>84</v>
      </c>
      <c r="B48" s="2" t="s">
        <v>115</v>
      </c>
      <c r="C48" s="20">
        <v>116</v>
      </c>
      <c r="D48" s="21">
        <v>0.00103436407118565</v>
      </c>
      <c r="E48" s="4">
        <v>4</v>
      </c>
      <c r="F48" s="4">
        <v>3</v>
      </c>
      <c r="G48" s="21">
        <f t="shared" si="0"/>
        <v>0.75</v>
      </c>
    </row>
    <row r="49" spans="1:7">
      <c r="A49" s="2" t="s">
        <v>118</v>
      </c>
      <c r="B49" s="2" t="s">
        <v>119</v>
      </c>
      <c r="C49" s="20">
        <v>79</v>
      </c>
      <c r="D49" s="21">
        <v>0.000704437600204019</v>
      </c>
      <c r="E49" s="4">
        <v>1</v>
      </c>
      <c r="F49" s="4">
        <v>0</v>
      </c>
      <c r="G49" s="21">
        <f t="shared" si="0"/>
        <v>0</v>
      </c>
    </row>
    <row r="50" spans="1:7">
      <c r="A50" s="2" t="s">
        <v>80</v>
      </c>
      <c r="B50" s="2" t="s">
        <v>104</v>
      </c>
      <c r="C50" s="20">
        <v>62</v>
      </c>
      <c r="D50" s="21">
        <v>0.000552849762185433</v>
      </c>
      <c r="E50" s="4">
        <v>3</v>
      </c>
      <c r="F50" s="4">
        <v>1</v>
      </c>
      <c r="G50" s="21">
        <f t="shared" si="0"/>
        <v>0.333333333333333</v>
      </c>
    </row>
    <row r="51" spans="1:7">
      <c r="A51" s="2" t="s">
        <v>122</v>
      </c>
      <c r="B51" s="2" t="s">
        <v>104</v>
      </c>
      <c r="C51" s="20">
        <v>50</v>
      </c>
      <c r="D51" s="21">
        <v>0.000445846582407607</v>
      </c>
      <c r="E51" s="4">
        <v>1</v>
      </c>
      <c r="F51" s="4">
        <v>0</v>
      </c>
      <c r="G51" s="21">
        <f t="shared" si="0"/>
        <v>0</v>
      </c>
    </row>
    <row r="52" spans="1:7">
      <c r="A52" s="2" t="s">
        <v>73</v>
      </c>
      <c r="B52" s="2" t="s">
        <v>107</v>
      </c>
      <c r="C52" s="20">
        <v>39.8</v>
      </c>
      <c r="D52" s="21">
        <v>0.000354893879596455</v>
      </c>
      <c r="E52" s="4">
        <v>1</v>
      </c>
      <c r="F52" s="4">
        <v>0</v>
      </c>
      <c r="G52" s="21">
        <f t="shared" si="0"/>
        <v>0</v>
      </c>
    </row>
    <row r="53" spans="1:7">
      <c r="A53" s="15" t="s">
        <v>159</v>
      </c>
      <c r="B53" s="58"/>
      <c r="C53" s="22">
        <f>SUM(C6:C52)</f>
        <v>112146.2</v>
      </c>
      <c r="D53" s="22"/>
      <c r="E53" s="59">
        <f>SUM(E6:E52)</f>
        <v>1354</v>
      </c>
      <c r="F53" s="59">
        <f>SUM(F6:F52)</f>
        <v>357</v>
      </c>
      <c r="G53" s="26">
        <f t="shared" si="0"/>
        <v>0.263663220088626</v>
      </c>
    </row>
  </sheetData>
  <autoFilter xmlns:etc="http://www.wps.cn/officeDocument/2017/etCustomData" ref="A5:F53" etc:filterBottomFollowUsedRange="0">
    <extLst/>
  </autoFilter>
  <conditionalFormatting sqref="G6:G52">
    <cfRule type="top10" dxfId="0" priority="1" percent="1" rank="10"/>
    <cfRule type="top10" dxfId="0" priority="2" percent="1" rank="5"/>
  </conditionalFormatting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workbookViewId="0">
      <selection activeCell="C12" sqref="C12"/>
    </sheetView>
  </sheetViews>
  <sheetFormatPr defaultColWidth="9" defaultRowHeight="13.5" outlineLevelCol="7"/>
  <cols>
    <col min="1" max="1" width="14.8761061946903" customWidth="1"/>
    <col min="2" max="2" width="16" customWidth="1"/>
    <col min="3" max="3" width="12.8761061946903" customWidth="1"/>
    <col min="4" max="4" width="16.3716814159292" customWidth="1"/>
    <col min="5" max="5" width="16" customWidth="1"/>
    <col min="6" max="6" width="13.2477876106195" customWidth="1"/>
    <col min="7" max="7" width="12.3716814159292" customWidth="1"/>
    <col min="8" max="8" width="13.1238938053097" style="10" customWidth="1"/>
  </cols>
  <sheetData>
    <row r="1" ht="22" customHeight="1" spans="1:8">
      <c r="A1" s="39" t="s">
        <v>168</v>
      </c>
    </row>
    <row r="2" ht="22" customHeight="1" spans="1:8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ht="22" customHeight="1" spans="1:8">
      <c r="A3" s="40">
        <v>77</v>
      </c>
      <c r="B3" s="41">
        <f>D83</f>
        <v>134785.35</v>
      </c>
      <c r="C3" s="40">
        <f>F83</f>
        <v>1750</v>
      </c>
      <c r="D3" s="42">
        <f>G83</f>
        <v>364</v>
      </c>
      <c r="E3" s="43">
        <f>D3/C3</f>
        <v>0.208</v>
      </c>
    </row>
    <row r="4" ht="22" customHeight="1" spans="1:8">
      <c r="A4" s="39"/>
    </row>
    <row r="5" spans="1:8">
      <c r="A5" s="44" t="s">
        <v>169</v>
      </c>
      <c r="B5" s="44" t="s">
        <v>6</v>
      </c>
      <c r="C5" s="44" t="s">
        <v>170</v>
      </c>
      <c r="D5" s="44" t="s">
        <v>8</v>
      </c>
      <c r="E5" s="44" t="s">
        <v>9</v>
      </c>
      <c r="F5" s="44" t="s">
        <v>3</v>
      </c>
      <c r="G5" s="44" t="s">
        <v>4</v>
      </c>
      <c r="H5" s="17" t="s">
        <v>15</v>
      </c>
    </row>
    <row r="6" spans="1:8">
      <c r="A6" s="2" t="s">
        <v>171</v>
      </c>
      <c r="B6" s="2" t="s">
        <v>16</v>
      </c>
      <c r="C6" s="2" t="s">
        <v>38</v>
      </c>
      <c r="D6" s="20">
        <v>34176.99</v>
      </c>
      <c r="E6" s="21">
        <v>0.253566058922576</v>
      </c>
      <c r="F6" s="4">
        <v>340</v>
      </c>
      <c r="G6" s="4">
        <v>132</v>
      </c>
      <c r="H6" s="21">
        <f>G6/F6</f>
        <v>0.388235294117647</v>
      </c>
    </row>
    <row r="7" spans="1:8">
      <c r="A7" s="2" t="s">
        <v>172</v>
      </c>
      <c r="B7" s="2" t="s">
        <v>23</v>
      </c>
      <c r="C7" s="2" t="s">
        <v>24</v>
      </c>
      <c r="D7" s="20">
        <v>17896.23</v>
      </c>
      <c r="E7" s="21">
        <v>0.132775780157116</v>
      </c>
      <c r="F7" s="4">
        <v>268</v>
      </c>
      <c r="G7" s="4">
        <v>11</v>
      </c>
      <c r="H7" s="21">
        <f t="shared" ref="H7:H38" si="0">G7/F7</f>
        <v>0.041044776119403</v>
      </c>
    </row>
    <row r="8" spans="1:8">
      <c r="A8" s="2" t="s">
        <v>173</v>
      </c>
      <c r="B8" s="2" t="s">
        <v>32</v>
      </c>
      <c r="C8" s="2" t="s">
        <v>33</v>
      </c>
      <c r="D8" s="20">
        <v>12423.81</v>
      </c>
      <c r="E8" s="21">
        <v>0.0921747801226172</v>
      </c>
      <c r="F8" s="4">
        <v>137</v>
      </c>
      <c r="G8" s="4">
        <v>71</v>
      </c>
      <c r="H8" s="21">
        <f t="shared" si="0"/>
        <v>0.518248175182482</v>
      </c>
    </row>
    <row r="9" spans="1:8">
      <c r="A9" s="2" t="s">
        <v>174</v>
      </c>
      <c r="B9" s="2" t="s">
        <v>49</v>
      </c>
      <c r="C9" s="2" t="s">
        <v>50</v>
      </c>
      <c r="D9" s="20">
        <v>7759.03</v>
      </c>
      <c r="E9" s="21">
        <v>0.057565825959572</v>
      </c>
      <c r="F9" s="4">
        <v>74</v>
      </c>
      <c r="G9" s="4">
        <v>15</v>
      </c>
      <c r="H9" s="21">
        <f t="shared" si="0"/>
        <v>0.202702702702703</v>
      </c>
    </row>
    <row r="10" spans="1:8">
      <c r="A10" s="2" t="s">
        <v>175</v>
      </c>
      <c r="B10" s="2" t="s">
        <v>176</v>
      </c>
      <c r="C10" s="2" t="s">
        <v>102</v>
      </c>
      <c r="D10" s="20">
        <v>6436.55</v>
      </c>
      <c r="E10" s="21">
        <v>0.0477540771307861</v>
      </c>
      <c r="F10" s="4">
        <v>114</v>
      </c>
      <c r="G10" s="4">
        <v>12</v>
      </c>
      <c r="H10" s="21">
        <f t="shared" si="0"/>
        <v>0.105263157894737</v>
      </c>
    </row>
    <row r="11" spans="1:8">
      <c r="A11" s="2" t="s">
        <v>177</v>
      </c>
      <c r="B11" s="2" t="s">
        <v>36</v>
      </c>
      <c r="C11" s="2" t="s">
        <v>35</v>
      </c>
      <c r="D11" s="20">
        <v>4663.86</v>
      </c>
      <c r="E11" s="21">
        <v>0.0346021284954188</v>
      </c>
      <c r="F11" s="4">
        <v>52</v>
      </c>
      <c r="G11" s="4">
        <v>10</v>
      </c>
      <c r="H11" s="21">
        <f t="shared" si="0"/>
        <v>0.192307692307692</v>
      </c>
    </row>
    <row r="12" spans="1:8">
      <c r="A12" s="2" t="s">
        <v>178</v>
      </c>
      <c r="B12" s="2" t="s">
        <v>41</v>
      </c>
      <c r="C12" s="2" t="s">
        <v>38</v>
      </c>
      <c r="D12" s="20">
        <v>4247.79</v>
      </c>
      <c r="E12" s="21">
        <v>0.0315152203114062</v>
      </c>
      <c r="F12" s="4">
        <v>36</v>
      </c>
      <c r="G12" s="4">
        <v>10</v>
      </c>
      <c r="H12" s="21">
        <f t="shared" si="0"/>
        <v>0.277777777777778</v>
      </c>
    </row>
    <row r="13" spans="1:8">
      <c r="A13" s="45" t="s">
        <v>179</v>
      </c>
      <c r="B13" s="45" t="s">
        <v>19</v>
      </c>
      <c r="C13" s="45" t="s">
        <v>20</v>
      </c>
      <c r="D13" s="46">
        <v>3507.5</v>
      </c>
      <c r="E13" s="47">
        <v>0.0260228578254239</v>
      </c>
      <c r="F13" s="48">
        <v>42</v>
      </c>
      <c r="G13" s="48">
        <v>18</v>
      </c>
      <c r="H13" s="47">
        <f t="shared" si="0"/>
        <v>0.428571428571429</v>
      </c>
    </row>
    <row r="14" spans="1:8">
      <c r="A14" s="49" t="s">
        <v>180</v>
      </c>
      <c r="B14" s="49" t="s">
        <v>181</v>
      </c>
      <c r="C14" s="49" t="s">
        <v>83</v>
      </c>
      <c r="D14" s="50">
        <v>2931.69</v>
      </c>
      <c r="E14" s="51">
        <v>0.0217508060037682</v>
      </c>
      <c r="F14" s="52">
        <v>39</v>
      </c>
      <c r="G14" s="52">
        <v>9</v>
      </c>
      <c r="H14" s="51">
        <f t="shared" si="0"/>
        <v>0.230769230769231</v>
      </c>
    </row>
    <row r="15" spans="1:8">
      <c r="A15" s="49" t="s">
        <v>182</v>
      </c>
      <c r="B15" s="49" t="s">
        <v>46</v>
      </c>
      <c r="C15" s="49" t="s">
        <v>72</v>
      </c>
      <c r="D15" s="50">
        <v>2877.06</v>
      </c>
      <c r="E15" s="51">
        <v>0.0213454948924345</v>
      </c>
      <c r="F15" s="52">
        <v>63</v>
      </c>
      <c r="G15" s="52">
        <v>5</v>
      </c>
      <c r="H15" s="51">
        <f t="shared" si="0"/>
        <v>0.0793650793650794</v>
      </c>
    </row>
    <row r="16" spans="1:8">
      <c r="A16" s="49" t="s">
        <v>183</v>
      </c>
      <c r="B16" s="49" t="s">
        <v>73</v>
      </c>
      <c r="C16" s="49" t="s">
        <v>74</v>
      </c>
      <c r="D16" s="50">
        <v>2596.08</v>
      </c>
      <c r="E16" s="51">
        <v>0.0192608469689028</v>
      </c>
      <c r="F16" s="52">
        <v>49</v>
      </c>
      <c r="G16" s="52">
        <v>2</v>
      </c>
      <c r="H16" s="51">
        <f t="shared" si="0"/>
        <v>0.0408163265306122</v>
      </c>
    </row>
    <row r="17" spans="1:8">
      <c r="A17" s="49" t="s">
        <v>184</v>
      </c>
      <c r="B17" s="49" t="s">
        <v>77</v>
      </c>
      <c r="C17" s="49" t="s">
        <v>78</v>
      </c>
      <c r="D17" s="50">
        <v>2496.05</v>
      </c>
      <c r="E17" s="51">
        <v>0.0185187039986171</v>
      </c>
      <c r="F17" s="52">
        <v>16</v>
      </c>
      <c r="G17" s="52">
        <v>0</v>
      </c>
      <c r="H17" s="51">
        <f t="shared" si="0"/>
        <v>0</v>
      </c>
    </row>
    <row r="18" spans="1:8">
      <c r="A18" s="49" t="s">
        <v>185</v>
      </c>
      <c r="B18" s="49" t="s">
        <v>186</v>
      </c>
      <c r="C18" s="49" t="s">
        <v>76</v>
      </c>
      <c r="D18" s="50">
        <v>2294.59</v>
      </c>
      <c r="E18" s="51">
        <v>0.0170240311725273</v>
      </c>
      <c r="F18" s="52">
        <v>30</v>
      </c>
      <c r="G18" s="52">
        <v>2</v>
      </c>
      <c r="H18" s="51">
        <f t="shared" si="0"/>
        <v>0.0666666666666667</v>
      </c>
    </row>
    <row r="19" spans="1:8">
      <c r="A19" s="49" t="s">
        <v>187</v>
      </c>
      <c r="B19" s="49" t="s">
        <v>80</v>
      </c>
      <c r="C19" s="49" t="s">
        <v>81</v>
      </c>
      <c r="D19" s="50">
        <v>2064.19</v>
      </c>
      <c r="E19" s="51">
        <v>0.0153146465843654</v>
      </c>
      <c r="F19" s="52">
        <v>61</v>
      </c>
      <c r="G19" s="52">
        <v>5</v>
      </c>
      <c r="H19" s="51">
        <f t="shared" si="0"/>
        <v>0.0819672131147541</v>
      </c>
    </row>
    <row r="20" spans="1:8">
      <c r="A20" s="53" t="s">
        <v>188</v>
      </c>
      <c r="B20" s="53" t="s">
        <v>84</v>
      </c>
      <c r="C20" s="53" t="s">
        <v>50</v>
      </c>
      <c r="D20" s="54">
        <v>1951.9</v>
      </c>
      <c r="E20" s="55">
        <v>0.0144815441737548</v>
      </c>
      <c r="F20" s="56">
        <v>29</v>
      </c>
      <c r="G20" s="56">
        <v>4</v>
      </c>
      <c r="H20" s="55">
        <f t="shared" si="0"/>
        <v>0.137931034482759</v>
      </c>
    </row>
    <row r="21" spans="1:8">
      <c r="A21" s="53" t="s">
        <v>189</v>
      </c>
      <c r="B21" s="53" t="s">
        <v>71</v>
      </c>
      <c r="C21" s="53" t="s">
        <v>26</v>
      </c>
      <c r="D21" s="54">
        <v>1718.8</v>
      </c>
      <c r="E21" s="55">
        <v>0.0127521277349504</v>
      </c>
      <c r="F21" s="56">
        <v>25</v>
      </c>
      <c r="G21" s="56">
        <v>4</v>
      </c>
      <c r="H21" s="55">
        <f t="shared" si="0"/>
        <v>0.16</v>
      </c>
    </row>
    <row r="22" spans="1:8">
      <c r="A22" s="53" t="s">
        <v>190</v>
      </c>
      <c r="B22" s="53" t="s">
        <v>93</v>
      </c>
      <c r="C22" s="53" t="s">
        <v>24</v>
      </c>
      <c r="D22" s="54">
        <v>1534.11</v>
      </c>
      <c r="E22" s="55">
        <v>0.0113818749589625</v>
      </c>
      <c r="F22" s="56">
        <v>22</v>
      </c>
      <c r="G22" s="56">
        <v>0</v>
      </c>
      <c r="H22" s="55">
        <f t="shared" si="0"/>
        <v>0</v>
      </c>
    </row>
    <row r="23" spans="1:8">
      <c r="A23" s="53" t="s">
        <v>191</v>
      </c>
      <c r="B23" s="53" t="s">
        <v>45</v>
      </c>
      <c r="C23" s="53" t="s">
        <v>76</v>
      </c>
      <c r="D23" s="54">
        <v>1514.97</v>
      </c>
      <c r="E23" s="55">
        <v>0.0112398713955189</v>
      </c>
      <c r="F23" s="56">
        <v>21</v>
      </c>
      <c r="G23" s="56">
        <v>7</v>
      </c>
      <c r="H23" s="55">
        <f t="shared" si="0"/>
        <v>0.333333333333333</v>
      </c>
    </row>
    <row r="24" spans="1:8">
      <c r="A24" s="53" t="s">
        <v>192</v>
      </c>
      <c r="B24" s="53" t="s">
        <v>193</v>
      </c>
      <c r="C24" s="53" t="s">
        <v>20</v>
      </c>
      <c r="D24" s="54">
        <v>1391</v>
      </c>
      <c r="E24" s="55">
        <v>0.0103201126828695</v>
      </c>
      <c r="F24" s="56">
        <v>12</v>
      </c>
      <c r="G24" s="56">
        <v>4</v>
      </c>
      <c r="H24" s="55">
        <f t="shared" si="0"/>
        <v>0.333333333333333</v>
      </c>
    </row>
    <row r="25" spans="1:8">
      <c r="A25" s="53" t="s">
        <v>194</v>
      </c>
      <c r="B25" s="53" t="s">
        <v>69</v>
      </c>
      <c r="C25" s="53" t="s">
        <v>26</v>
      </c>
      <c r="D25" s="54">
        <v>1250</v>
      </c>
      <c r="E25" s="55">
        <v>0.00927400492709334</v>
      </c>
      <c r="F25" s="56">
        <v>11</v>
      </c>
      <c r="G25" s="56">
        <v>1</v>
      </c>
      <c r="H25" s="55">
        <f t="shared" si="0"/>
        <v>0.0909090909090909</v>
      </c>
    </row>
    <row r="26" spans="1:8">
      <c r="A26" s="53" t="s">
        <v>195</v>
      </c>
      <c r="B26" s="53" t="s">
        <v>62</v>
      </c>
      <c r="C26" s="53" t="s">
        <v>67</v>
      </c>
      <c r="D26" s="54">
        <v>1210.42</v>
      </c>
      <c r="E26" s="55">
        <v>0.00898035283508185</v>
      </c>
      <c r="F26" s="56">
        <v>21</v>
      </c>
      <c r="G26" s="56">
        <v>6</v>
      </c>
      <c r="H26" s="55">
        <f t="shared" si="0"/>
        <v>0.285714285714286</v>
      </c>
    </row>
    <row r="27" spans="1:8">
      <c r="A27" s="53" t="s">
        <v>196</v>
      </c>
      <c r="B27" s="53" t="s">
        <v>99</v>
      </c>
      <c r="C27" s="53" t="s">
        <v>100</v>
      </c>
      <c r="D27" s="54">
        <v>1050</v>
      </c>
      <c r="E27" s="55">
        <v>0.0077901641387584</v>
      </c>
      <c r="F27" s="56">
        <v>20</v>
      </c>
      <c r="G27" s="56">
        <v>3</v>
      </c>
      <c r="H27" s="55">
        <f t="shared" si="0"/>
        <v>0.15</v>
      </c>
    </row>
    <row r="28" spans="1:8">
      <c r="A28" s="53" t="s">
        <v>197</v>
      </c>
      <c r="B28" s="53" t="s">
        <v>79</v>
      </c>
      <c r="C28" s="53" t="s">
        <v>83</v>
      </c>
      <c r="D28" s="54">
        <v>1016.98</v>
      </c>
      <c r="E28" s="55">
        <v>0.00754518202460431</v>
      </c>
      <c r="F28" s="56">
        <v>12</v>
      </c>
      <c r="G28" s="56">
        <v>4</v>
      </c>
      <c r="H28" s="55">
        <f t="shared" si="0"/>
        <v>0.333333333333333</v>
      </c>
    </row>
    <row r="29" spans="1:8">
      <c r="A29" s="53" t="s">
        <v>198</v>
      </c>
      <c r="B29" s="53" t="s">
        <v>58</v>
      </c>
      <c r="C29" s="53" t="s">
        <v>88</v>
      </c>
      <c r="D29" s="54">
        <v>1011.32</v>
      </c>
      <c r="E29" s="55">
        <v>0.00750318933029443</v>
      </c>
      <c r="F29" s="56">
        <v>10</v>
      </c>
      <c r="G29" s="56">
        <v>3</v>
      </c>
      <c r="H29" s="55">
        <f t="shared" si="0"/>
        <v>0.3</v>
      </c>
    </row>
    <row r="30" spans="1:8">
      <c r="A30" s="2" t="s">
        <v>102</v>
      </c>
      <c r="B30" s="2" t="s">
        <v>102</v>
      </c>
      <c r="C30" s="2" t="s">
        <v>88</v>
      </c>
      <c r="D30" s="20">
        <v>891</v>
      </c>
      <c r="E30" s="21">
        <v>0.00661051071203213</v>
      </c>
      <c r="F30" s="4">
        <v>10</v>
      </c>
      <c r="G30" s="4">
        <v>1</v>
      </c>
      <c r="H30" s="21">
        <f t="shared" si="0"/>
        <v>0.1</v>
      </c>
    </row>
    <row r="31" spans="1:8">
      <c r="A31" s="2" t="s">
        <v>199</v>
      </c>
      <c r="B31" s="2" t="s">
        <v>108</v>
      </c>
      <c r="C31" s="2" t="s">
        <v>109</v>
      </c>
      <c r="D31" s="20">
        <v>868.42</v>
      </c>
      <c r="E31" s="21">
        <v>0.00644298508702912</v>
      </c>
      <c r="F31" s="4">
        <v>23</v>
      </c>
      <c r="G31" s="4">
        <v>4</v>
      </c>
      <c r="H31" s="21">
        <f t="shared" si="0"/>
        <v>0.173913043478261</v>
      </c>
    </row>
    <row r="32" spans="1:8">
      <c r="A32" s="2" t="s">
        <v>200</v>
      </c>
      <c r="B32" s="2" t="s">
        <v>56</v>
      </c>
      <c r="C32" s="2" t="s">
        <v>59</v>
      </c>
      <c r="D32" s="20">
        <v>718</v>
      </c>
      <c r="E32" s="21">
        <v>0.00532698843012241</v>
      </c>
      <c r="F32" s="4">
        <v>10</v>
      </c>
      <c r="G32" s="4">
        <v>1</v>
      </c>
      <c r="H32" s="21">
        <f t="shared" si="0"/>
        <v>0.1</v>
      </c>
    </row>
    <row r="33" spans="1:8">
      <c r="A33" s="2" t="s">
        <v>201</v>
      </c>
      <c r="B33" s="2" t="s">
        <v>82</v>
      </c>
      <c r="C33" s="2" t="s">
        <v>83</v>
      </c>
      <c r="D33" s="20">
        <v>650.97</v>
      </c>
      <c r="E33" s="21">
        <v>0.00482967918991196</v>
      </c>
      <c r="F33" s="4">
        <v>8</v>
      </c>
      <c r="G33" s="4">
        <v>1</v>
      </c>
      <c r="H33" s="21">
        <f t="shared" si="0"/>
        <v>0.125</v>
      </c>
    </row>
    <row r="34" spans="1:8">
      <c r="A34" s="2" t="s">
        <v>202</v>
      </c>
      <c r="B34" s="2" t="s">
        <v>63</v>
      </c>
      <c r="C34" s="2" t="s">
        <v>33</v>
      </c>
      <c r="D34" s="20">
        <v>614</v>
      </c>
      <c r="E34" s="21">
        <v>0.00455539122018825</v>
      </c>
      <c r="F34" s="4">
        <v>10</v>
      </c>
      <c r="G34" s="4">
        <v>6</v>
      </c>
      <c r="H34" s="21">
        <f t="shared" si="0"/>
        <v>0.6</v>
      </c>
    </row>
    <row r="35" spans="1:8">
      <c r="A35" s="2" t="s">
        <v>203</v>
      </c>
      <c r="B35" s="2" t="s">
        <v>204</v>
      </c>
      <c r="C35" s="2" t="s">
        <v>35</v>
      </c>
      <c r="D35" s="20">
        <v>604.21</v>
      </c>
      <c r="E35" s="21">
        <v>0.00448275721359925</v>
      </c>
      <c r="F35" s="4">
        <v>3</v>
      </c>
      <c r="G35" s="4">
        <v>0</v>
      </c>
      <c r="H35" s="21">
        <f t="shared" si="0"/>
        <v>0</v>
      </c>
    </row>
    <row r="36" spans="1:8">
      <c r="A36" s="2" t="s">
        <v>205</v>
      </c>
      <c r="B36" s="2" t="s">
        <v>94</v>
      </c>
      <c r="C36" s="2" t="s">
        <v>138</v>
      </c>
      <c r="D36" s="20">
        <v>587.96</v>
      </c>
      <c r="E36" s="21">
        <v>0.00436219514954704</v>
      </c>
      <c r="F36" s="4">
        <v>15</v>
      </c>
      <c r="G36" s="4">
        <v>0</v>
      </c>
      <c r="H36" s="21">
        <f t="shared" si="0"/>
        <v>0</v>
      </c>
    </row>
    <row r="37" spans="1:8">
      <c r="A37" s="2" t="s">
        <v>206</v>
      </c>
      <c r="B37" s="2" t="s">
        <v>82</v>
      </c>
      <c r="C37" s="2" t="s">
        <v>83</v>
      </c>
      <c r="D37" s="20">
        <v>528.52</v>
      </c>
      <c r="E37" s="21">
        <v>0.0039211976672539</v>
      </c>
      <c r="F37" s="4">
        <v>5</v>
      </c>
      <c r="G37" s="4">
        <v>1</v>
      </c>
      <c r="H37" s="21">
        <f t="shared" si="0"/>
        <v>0.2</v>
      </c>
    </row>
    <row r="38" spans="1:8">
      <c r="A38" s="2" t="s">
        <v>207</v>
      </c>
      <c r="B38" s="2" t="s">
        <v>208</v>
      </c>
      <c r="C38" s="2" t="s">
        <v>141</v>
      </c>
      <c r="D38" s="20">
        <v>496.55</v>
      </c>
      <c r="E38" s="21">
        <v>0.00368400571723856</v>
      </c>
      <c r="F38" s="4">
        <v>13</v>
      </c>
      <c r="G38" s="4">
        <v>1</v>
      </c>
      <c r="H38" s="21">
        <f t="shared" si="0"/>
        <v>0.0769230769230769</v>
      </c>
    </row>
    <row r="39" spans="1:8">
      <c r="A39" s="2" t="s">
        <v>209</v>
      </c>
      <c r="B39" s="2" t="s">
        <v>64</v>
      </c>
      <c r="C39" s="2" t="s">
        <v>59</v>
      </c>
      <c r="D39" s="20">
        <v>467.81</v>
      </c>
      <c r="E39" s="21">
        <v>0.00347077779595483</v>
      </c>
      <c r="F39" s="4">
        <v>4</v>
      </c>
      <c r="G39" s="4">
        <v>0</v>
      </c>
      <c r="H39" s="21">
        <f t="shared" ref="H39:H83" si="1">G39/F39</f>
        <v>0</v>
      </c>
    </row>
    <row r="40" spans="1:8">
      <c r="A40" s="2" t="s">
        <v>210</v>
      </c>
      <c r="B40" s="2" t="s">
        <v>116</v>
      </c>
      <c r="C40" s="2" t="s">
        <v>117</v>
      </c>
      <c r="D40" s="20">
        <v>458.3</v>
      </c>
      <c r="E40" s="21">
        <v>0.0034002211664695</v>
      </c>
      <c r="F40" s="4">
        <v>9</v>
      </c>
      <c r="G40" s="4">
        <v>1</v>
      </c>
      <c r="H40" s="21">
        <f t="shared" si="1"/>
        <v>0.111111111111111</v>
      </c>
    </row>
    <row r="41" spans="1:8">
      <c r="A41" s="2" t="s">
        <v>211</v>
      </c>
      <c r="B41" s="2" t="s">
        <v>120</v>
      </c>
      <c r="C41" s="2" t="s">
        <v>121</v>
      </c>
      <c r="D41" s="20">
        <v>436.11</v>
      </c>
      <c r="E41" s="21">
        <v>0.00323558903100374</v>
      </c>
      <c r="F41" s="4">
        <v>6</v>
      </c>
      <c r="G41" s="4">
        <v>0</v>
      </c>
      <c r="H41" s="21">
        <f t="shared" si="1"/>
        <v>0</v>
      </c>
    </row>
    <row r="42" spans="1:8">
      <c r="A42" s="2" t="s">
        <v>212</v>
      </c>
      <c r="B42" s="2" t="s">
        <v>68</v>
      </c>
      <c r="C42" s="2" t="s">
        <v>88</v>
      </c>
      <c r="D42" s="20">
        <v>434</v>
      </c>
      <c r="E42" s="21">
        <v>0.00321993451068681</v>
      </c>
      <c r="F42" s="4">
        <v>6</v>
      </c>
      <c r="G42" s="4">
        <v>4</v>
      </c>
      <c r="H42" s="21">
        <f t="shared" si="1"/>
        <v>0.666666666666667</v>
      </c>
    </row>
    <row r="43" spans="1:8">
      <c r="A43" s="2" t="s">
        <v>123</v>
      </c>
      <c r="B43" s="2" t="s">
        <v>123</v>
      </c>
      <c r="C43" s="2" t="s">
        <v>124</v>
      </c>
      <c r="D43" s="20">
        <v>425.6</v>
      </c>
      <c r="E43" s="21">
        <v>0.00315761319757674</v>
      </c>
      <c r="F43" s="4">
        <v>14</v>
      </c>
      <c r="G43" s="4">
        <v>0</v>
      </c>
      <c r="H43" s="21">
        <f t="shared" si="1"/>
        <v>0</v>
      </c>
    </row>
    <row r="44" spans="1:8">
      <c r="A44" s="2" t="s">
        <v>213</v>
      </c>
      <c r="B44" s="2" t="s">
        <v>125</v>
      </c>
      <c r="C44" s="2" t="s">
        <v>78</v>
      </c>
      <c r="D44" s="20">
        <v>372.81</v>
      </c>
      <c r="E44" s="21">
        <v>0.00276595342149573</v>
      </c>
      <c r="F44" s="4">
        <v>14</v>
      </c>
      <c r="G44" s="4">
        <v>0</v>
      </c>
      <c r="H44" s="21">
        <f t="shared" si="1"/>
        <v>0</v>
      </c>
    </row>
    <row r="45" spans="1:8">
      <c r="A45" s="2" t="s">
        <v>161</v>
      </c>
      <c r="B45" s="2" t="s">
        <v>126</v>
      </c>
      <c r="C45" s="2" t="s">
        <v>127</v>
      </c>
      <c r="D45" s="20">
        <v>370.26</v>
      </c>
      <c r="E45" s="21">
        <v>0.00274703445144446</v>
      </c>
      <c r="F45" s="4">
        <v>4</v>
      </c>
      <c r="G45" s="4">
        <v>0</v>
      </c>
      <c r="H45" s="21">
        <f t="shared" si="1"/>
        <v>0</v>
      </c>
    </row>
    <row r="46" spans="1:8">
      <c r="A46" s="2" t="s">
        <v>214</v>
      </c>
      <c r="B46" s="2" t="s">
        <v>89</v>
      </c>
      <c r="C46" s="2" t="s">
        <v>26</v>
      </c>
      <c r="D46" s="20">
        <v>365.24</v>
      </c>
      <c r="E46" s="21">
        <v>0.00270979004765726</v>
      </c>
      <c r="F46" s="4">
        <v>3</v>
      </c>
      <c r="G46" s="4">
        <v>1</v>
      </c>
      <c r="H46" s="21">
        <f t="shared" si="1"/>
        <v>0.333333333333333</v>
      </c>
    </row>
    <row r="47" spans="1:8">
      <c r="A47" s="2" t="s">
        <v>215</v>
      </c>
      <c r="B47" s="2" t="s">
        <v>128</v>
      </c>
      <c r="C47" s="2" t="s">
        <v>129</v>
      </c>
      <c r="D47" s="20">
        <v>349.31</v>
      </c>
      <c r="E47" s="21">
        <v>0.00259160212886638</v>
      </c>
      <c r="F47" s="4">
        <v>6</v>
      </c>
      <c r="G47" s="4">
        <v>0</v>
      </c>
      <c r="H47" s="21">
        <f t="shared" si="1"/>
        <v>0</v>
      </c>
    </row>
    <row r="48" spans="1:8">
      <c r="A48" s="2" t="s">
        <v>216</v>
      </c>
      <c r="B48" s="2" t="s">
        <v>111</v>
      </c>
      <c r="C48" s="2" t="s">
        <v>33</v>
      </c>
      <c r="D48" s="20">
        <v>326.02</v>
      </c>
      <c r="E48" s="21">
        <v>0.00241880886906478</v>
      </c>
      <c r="F48" s="4">
        <v>2</v>
      </c>
      <c r="G48" s="4">
        <v>0</v>
      </c>
      <c r="H48" s="21">
        <f t="shared" si="1"/>
        <v>0</v>
      </c>
    </row>
    <row r="49" spans="1:8">
      <c r="A49" s="2" t="s">
        <v>217</v>
      </c>
      <c r="B49" s="2" t="s">
        <v>97</v>
      </c>
      <c r="C49" s="2" t="s">
        <v>33</v>
      </c>
      <c r="D49" s="20">
        <v>317</v>
      </c>
      <c r="E49" s="21">
        <v>0.00235188764951087</v>
      </c>
      <c r="F49" s="4">
        <v>2</v>
      </c>
      <c r="G49" s="4">
        <v>0</v>
      </c>
      <c r="H49" s="21">
        <f t="shared" si="1"/>
        <v>0</v>
      </c>
    </row>
    <row r="50" spans="1:8">
      <c r="A50" s="2" t="s">
        <v>218</v>
      </c>
      <c r="B50" s="2" t="s">
        <v>131</v>
      </c>
      <c r="C50" s="2" t="s">
        <v>132</v>
      </c>
      <c r="D50" s="20">
        <v>304</v>
      </c>
      <c r="E50" s="21">
        <v>0.0022554379982691</v>
      </c>
      <c r="F50" s="4">
        <v>5</v>
      </c>
      <c r="G50" s="4">
        <v>0</v>
      </c>
      <c r="H50" s="21">
        <f t="shared" si="1"/>
        <v>0</v>
      </c>
    </row>
    <row r="51" spans="1:8">
      <c r="A51" s="2" t="s">
        <v>219</v>
      </c>
      <c r="B51" s="2" t="s">
        <v>112</v>
      </c>
      <c r="C51" s="2" t="s">
        <v>160</v>
      </c>
      <c r="D51" s="20">
        <v>272</v>
      </c>
      <c r="E51" s="21">
        <v>0.00201802347213551</v>
      </c>
      <c r="F51" s="4">
        <v>4</v>
      </c>
      <c r="G51" s="4">
        <v>0</v>
      </c>
      <c r="H51" s="21">
        <f t="shared" si="1"/>
        <v>0</v>
      </c>
    </row>
    <row r="52" spans="1:8">
      <c r="A52" s="2" t="s">
        <v>220</v>
      </c>
      <c r="B52" s="2" t="s">
        <v>75</v>
      </c>
      <c r="C52" s="2" t="s">
        <v>130</v>
      </c>
      <c r="D52" s="20">
        <v>266</v>
      </c>
      <c r="E52" s="21">
        <v>0.00197350824848546</v>
      </c>
      <c r="F52" s="4">
        <v>4</v>
      </c>
      <c r="G52" s="4">
        <v>0</v>
      </c>
      <c r="H52" s="21">
        <f t="shared" si="1"/>
        <v>0</v>
      </c>
    </row>
    <row r="53" spans="1:8">
      <c r="A53" s="2" t="s">
        <v>221</v>
      </c>
      <c r="B53" s="2" t="s">
        <v>113</v>
      </c>
      <c r="C53" s="2" t="s">
        <v>83</v>
      </c>
      <c r="D53" s="20">
        <v>245.82</v>
      </c>
      <c r="E53" s="21">
        <v>0.00182378871294247</v>
      </c>
      <c r="F53" s="4">
        <v>3</v>
      </c>
      <c r="G53" s="4">
        <v>1</v>
      </c>
      <c r="H53" s="21">
        <f t="shared" si="1"/>
        <v>0.333333333333333</v>
      </c>
    </row>
    <row r="54" spans="1:8">
      <c r="A54" s="2" t="s">
        <v>133</v>
      </c>
      <c r="B54" s="2" t="s">
        <v>133</v>
      </c>
      <c r="C54" s="2" t="s">
        <v>134</v>
      </c>
      <c r="D54" s="20">
        <v>237.8</v>
      </c>
      <c r="E54" s="21">
        <v>0.00176428669733024</v>
      </c>
      <c r="F54" s="4">
        <v>4</v>
      </c>
      <c r="G54" s="4">
        <v>0</v>
      </c>
      <c r="H54" s="21">
        <f t="shared" si="1"/>
        <v>0</v>
      </c>
    </row>
    <row r="55" spans="1:8">
      <c r="A55" s="2" t="s">
        <v>222</v>
      </c>
      <c r="B55" s="2" t="s">
        <v>223</v>
      </c>
      <c r="C55" s="2" t="s">
        <v>224</v>
      </c>
      <c r="D55" s="20">
        <v>225.72</v>
      </c>
      <c r="E55" s="21">
        <v>0.00167466271371481</v>
      </c>
      <c r="F55" s="4">
        <v>5</v>
      </c>
      <c r="G55" s="4">
        <v>0</v>
      </c>
      <c r="H55" s="21">
        <f t="shared" si="1"/>
        <v>0</v>
      </c>
    </row>
    <row r="56" spans="1:8">
      <c r="A56" s="2" t="s">
        <v>225</v>
      </c>
      <c r="B56" s="2" t="s">
        <v>135</v>
      </c>
      <c r="C56" s="2" t="s">
        <v>124</v>
      </c>
      <c r="D56" s="20">
        <v>211.21</v>
      </c>
      <c r="E56" s="21">
        <v>0.00156701006452111</v>
      </c>
      <c r="F56" s="4">
        <v>3</v>
      </c>
      <c r="G56" s="4">
        <v>0</v>
      </c>
      <c r="H56" s="21">
        <f t="shared" si="1"/>
        <v>0</v>
      </c>
    </row>
    <row r="57" spans="1:8">
      <c r="A57" s="2" t="s">
        <v>226</v>
      </c>
      <c r="B57" s="2" t="s">
        <v>136</v>
      </c>
      <c r="C57" s="2" t="s">
        <v>137</v>
      </c>
      <c r="D57" s="20">
        <v>208.48</v>
      </c>
      <c r="E57" s="21">
        <v>0.00154675563776034</v>
      </c>
      <c r="F57" s="4">
        <v>5</v>
      </c>
      <c r="G57" s="4">
        <v>0</v>
      </c>
      <c r="H57" s="21">
        <f t="shared" si="1"/>
        <v>0</v>
      </c>
    </row>
    <row r="58" spans="1:8">
      <c r="A58" s="2" t="s">
        <v>227</v>
      </c>
      <c r="B58" s="2" t="s">
        <v>51</v>
      </c>
      <c r="C58" s="2" t="s">
        <v>83</v>
      </c>
      <c r="D58" s="20">
        <v>189</v>
      </c>
      <c r="E58" s="21">
        <v>0.00140222954497651</v>
      </c>
      <c r="F58" s="4">
        <v>2</v>
      </c>
      <c r="G58" s="4">
        <v>1</v>
      </c>
      <c r="H58" s="21">
        <f t="shared" si="1"/>
        <v>0.5</v>
      </c>
    </row>
    <row r="59" spans="1:8">
      <c r="A59" s="2" t="s">
        <v>228</v>
      </c>
      <c r="B59" s="2" t="s">
        <v>87</v>
      </c>
      <c r="C59" s="2" t="s">
        <v>59</v>
      </c>
      <c r="D59" s="20">
        <v>157</v>
      </c>
      <c r="E59" s="21">
        <v>0.00116481501884292</v>
      </c>
      <c r="F59" s="4">
        <v>2</v>
      </c>
      <c r="G59" s="4">
        <v>0</v>
      </c>
      <c r="H59" s="21">
        <f t="shared" si="1"/>
        <v>0</v>
      </c>
    </row>
    <row r="60" spans="1:8">
      <c r="A60" s="2" t="s">
        <v>101</v>
      </c>
      <c r="B60" s="2" t="s">
        <v>101</v>
      </c>
      <c r="C60" s="2" t="s">
        <v>26</v>
      </c>
      <c r="D60" s="20">
        <v>155</v>
      </c>
      <c r="E60" s="21">
        <v>0.00114997661095957</v>
      </c>
      <c r="F60" s="4">
        <v>2</v>
      </c>
      <c r="G60" s="4">
        <v>1</v>
      </c>
      <c r="H60" s="21">
        <f t="shared" si="1"/>
        <v>0.5</v>
      </c>
    </row>
    <row r="61" spans="1:8">
      <c r="A61" s="2" t="s">
        <v>229</v>
      </c>
      <c r="B61" s="2" t="s">
        <v>140</v>
      </c>
      <c r="C61" s="2" t="s">
        <v>102</v>
      </c>
      <c r="D61" s="20">
        <v>153.42</v>
      </c>
      <c r="E61" s="21">
        <v>0.00113825426873173</v>
      </c>
      <c r="F61" s="4">
        <v>2</v>
      </c>
      <c r="G61" s="4">
        <v>0</v>
      </c>
      <c r="H61" s="21">
        <f t="shared" si="1"/>
        <v>0</v>
      </c>
    </row>
    <row r="62" spans="1:8">
      <c r="A62" s="2" t="s">
        <v>230</v>
      </c>
      <c r="B62" s="2" t="s">
        <v>142</v>
      </c>
      <c r="C62" s="2" t="s">
        <v>143</v>
      </c>
      <c r="D62" s="20">
        <v>149.5</v>
      </c>
      <c r="E62" s="21">
        <v>0.00110917098928036</v>
      </c>
      <c r="F62" s="4">
        <v>7</v>
      </c>
      <c r="G62" s="4">
        <v>2</v>
      </c>
      <c r="H62" s="21">
        <f t="shared" si="1"/>
        <v>0.285714285714286</v>
      </c>
    </row>
    <row r="63" spans="1:8">
      <c r="A63" s="2" t="s">
        <v>231</v>
      </c>
      <c r="B63" s="2" t="s">
        <v>39</v>
      </c>
      <c r="C63" s="2" t="s">
        <v>40</v>
      </c>
      <c r="D63" s="20">
        <v>146</v>
      </c>
      <c r="E63" s="21">
        <v>0.0010832037754845</v>
      </c>
      <c r="F63" s="4">
        <v>1</v>
      </c>
      <c r="G63" s="4">
        <v>0</v>
      </c>
      <c r="H63" s="21">
        <f t="shared" si="1"/>
        <v>0</v>
      </c>
    </row>
    <row r="64" spans="1:8">
      <c r="A64" s="2" t="s">
        <v>60</v>
      </c>
      <c r="B64" s="2" t="s">
        <v>60</v>
      </c>
      <c r="C64" s="2" t="s">
        <v>88</v>
      </c>
      <c r="D64" s="20">
        <v>141.1</v>
      </c>
      <c r="E64" s="21">
        <v>0.0010468496761703</v>
      </c>
      <c r="F64" s="4">
        <v>1</v>
      </c>
      <c r="G64" s="4">
        <v>0</v>
      </c>
      <c r="H64" s="21">
        <f t="shared" si="1"/>
        <v>0</v>
      </c>
    </row>
    <row r="65" spans="1:8">
      <c r="A65" s="2" t="s">
        <v>232</v>
      </c>
      <c r="B65" s="2" t="s">
        <v>144</v>
      </c>
      <c r="C65" s="2" t="s">
        <v>145</v>
      </c>
      <c r="D65" s="20">
        <v>136</v>
      </c>
      <c r="E65" s="21">
        <v>0.00100901173606776</v>
      </c>
      <c r="F65" s="4">
        <v>2</v>
      </c>
      <c r="G65" s="4">
        <v>0</v>
      </c>
      <c r="H65" s="21">
        <f t="shared" si="1"/>
        <v>0</v>
      </c>
    </row>
    <row r="66" spans="1:8">
      <c r="A66" s="2" t="s">
        <v>146</v>
      </c>
      <c r="B66" s="2" t="s">
        <v>146</v>
      </c>
      <c r="C66" s="2" t="s">
        <v>147</v>
      </c>
      <c r="D66" s="20">
        <v>129.24</v>
      </c>
      <c r="E66" s="21">
        <v>0.000958857917422034</v>
      </c>
      <c r="F66" s="4">
        <v>1</v>
      </c>
      <c r="G66" s="4">
        <v>0</v>
      </c>
      <c r="H66" s="21">
        <f t="shared" si="1"/>
        <v>0</v>
      </c>
    </row>
    <row r="67" spans="1:8">
      <c r="A67" s="2" t="s">
        <v>233</v>
      </c>
      <c r="B67" s="2" t="s">
        <v>101</v>
      </c>
      <c r="C67" s="2" t="s">
        <v>26</v>
      </c>
      <c r="D67" s="20">
        <v>129</v>
      </c>
      <c r="E67" s="21">
        <v>0.000957077308476032</v>
      </c>
      <c r="F67" s="4">
        <v>1</v>
      </c>
      <c r="G67" s="4">
        <v>0</v>
      </c>
      <c r="H67" s="21">
        <f t="shared" si="1"/>
        <v>0</v>
      </c>
    </row>
    <row r="68" spans="1:8">
      <c r="A68" s="2" t="s">
        <v>234</v>
      </c>
      <c r="B68" s="2" t="s">
        <v>235</v>
      </c>
      <c r="C68" s="2" t="s">
        <v>35</v>
      </c>
      <c r="D68" s="20">
        <v>115</v>
      </c>
      <c r="E68" s="21">
        <v>0.000853208453292587</v>
      </c>
      <c r="F68" s="4">
        <v>1</v>
      </c>
      <c r="G68" s="4">
        <v>0</v>
      </c>
      <c r="H68" s="21">
        <f t="shared" si="1"/>
        <v>0</v>
      </c>
    </row>
    <row r="69" spans="1:8">
      <c r="A69" s="2" t="s">
        <v>106</v>
      </c>
      <c r="B69" s="2" t="s">
        <v>106</v>
      </c>
      <c r="C69" s="2" t="s">
        <v>162</v>
      </c>
      <c r="D69" s="20">
        <v>108.19</v>
      </c>
      <c r="E69" s="21">
        <v>0.000802683674449782</v>
      </c>
      <c r="F69" s="4">
        <v>3</v>
      </c>
      <c r="G69" s="4">
        <v>0</v>
      </c>
      <c r="H69" s="21">
        <f t="shared" si="1"/>
        <v>0</v>
      </c>
    </row>
    <row r="70" spans="1:8">
      <c r="A70" s="2" t="s">
        <v>56</v>
      </c>
      <c r="B70" s="2" t="s">
        <v>56</v>
      </c>
      <c r="C70" s="2" t="s">
        <v>59</v>
      </c>
      <c r="D70" s="20">
        <v>108</v>
      </c>
      <c r="E70" s="21">
        <v>0.000801274025700864</v>
      </c>
      <c r="F70" s="4">
        <v>1</v>
      </c>
      <c r="G70" s="4">
        <v>0</v>
      </c>
      <c r="H70" s="21">
        <f t="shared" si="1"/>
        <v>0</v>
      </c>
    </row>
    <row r="71" spans="1:8">
      <c r="A71" s="2" t="s">
        <v>139</v>
      </c>
      <c r="B71" s="2" t="s">
        <v>139</v>
      </c>
      <c r="C71" s="2" t="s">
        <v>26</v>
      </c>
      <c r="D71" s="20">
        <v>106</v>
      </c>
      <c r="E71" s="21">
        <v>0.000786435617817515</v>
      </c>
      <c r="F71" s="4">
        <v>1</v>
      </c>
      <c r="G71" s="4">
        <v>0</v>
      </c>
      <c r="H71" s="21">
        <f t="shared" si="1"/>
        <v>0</v>
      </c>
    </row>
    <row r="72" spans="1:8">
      <c r="A72" s="2" t="s">
        <v>236</v>
      </c>
      <c r="B72" s="2" t="s">
        <v>139</v>
      </c>
      <c r="C72" s="2" t="s">
        <v>138</v>
      </c>
      <c r="D72" s="20">
        <v>99.5</v>
      </c>
      <c r="E72" s="21">
        <v>0.00073821079219663</v>
      </c>
      <c r="F72" s="4">
        <v>5</v>
      </c>
      <c r="G72" s="4">
        <v>0</v>
      </c>
      <c r="H72" s="21">
        <f t="shared" si="1"/>
        <v>0</v>
      </c>
    </row>
    <row r="73" spans="1:8">
      <c r="A73" s="2" t="s">
        <v>237</v>
      </c>
      <c r="B73" s="2" t="s">
        <v>34</v>
      </c>
      <c r="C73" s="2" t="s">
        <v>35</v>
      </c>
      <c r="D73" s="20">
        <v>99</v>
      </c>
      <c r="E73" s="21">
        <v>0.000734501190225792</v>
      </c>
      <c r="F73" s="4">
        <v>1</v>
      </c>
      <c r="G73" s="4">
        <v>0</v>
      </c>
      <c r="H73" s="21">
        <f t="shared" si="1"/>
        <v>0</v>
      </c>
    </row>
    <row r="74" spans="1:8">
      <c r="A74" s="2" t="s">
        <v>163</v>
      </c>
      <c r="B74" s="2" t="s">
        <v>148</v>
      </c>
      <c r="C74" s="2" t="s">
        <v>74</v>
      </c>
      <c r="D74" s="20">
        <v>96</v>
      </c>
      <c r="E74" s="21">
        <v>0.000712243578400768</v>
      </c>
      <c r="F74" s="4">
        <v>2</v>
      </c>
      <c r="G74" s="4">
        <v>0</v>
      </c>
      <c r="H74" s="21">
        <f t="shared" si="1"/>
        <v>0</v>
      </c>
    </row>
    <row r="75" spans="1:8">
      <c r="A75" s="2" t="s">
        <v>164</v>
      </c>
      <c r="B75" s="2" t="s">
        <v>149</v>
      </c>
      <c r="C75" s="2" t="s">
        <v>150</v>
      </c>
      <c r="D75" s="20">
        <v>73.66</v>
      </c>
      <c r="E75" s="21">
        <v>0.000546498562343756</v>
      </c>
      <c r="F75" s="4">
        <v>1</v>
      </c>
      <c r="G75" s="4">
        <v>0</v>
      </c>
      <c r="H75" s="21">
        <f t="shared" si="1"/>
        <v>0</v>
      </c>
    </row>
    <row r="76" spans="1:8">
      <c r="A76" s="2" t="s">
        <v>238</v>
      </c>
      <c r="B76" s="2" t="s">
        <v>103</v>
      </c>
      <c r="C76" s="2" t="s">
        <v>162</v>
      </c>
      <c r="D76" s="20">
        <v>68</v>
      </c>
      <c r="E76" s="21">
        <v>0.000504505868033878</v>
      </c>
      <c r="F76" s="4">
        <v>1</v>
      </c>
      <c r="G76" s="4">
        <v>0</v>
      </c>
      <c r="H76" s="21">
        <f t="shared" si="1"/>
        <v>0</v>
      </c>
    </row>
    <row r="77" spans="1:8">
      <c r="A77" s="2" t="s">
        <v>151</v>
      </c>
      <c r="B77" s="2" t="s">
        <v>151</v>
      </c>
      <c r="C77" s="2" t="s">
        <v>152</v>
      </c>
      <c r="D77" s="20">
        <v>49.9</v>
      </c>
      <c r="E77" s="21">
        <v>0.000370218276689566</v>
      </c>
      <c r="F77" s="4">
        <v>1</v>
      </c>
      <c r="G77" s="4">
        <v>0</v>
      </c>
      <c r="H77" s="21">
        <f t="shared" si="1"/>
        <v>0</v>
      </c>
    </row>
    <row r="78" spans="1:8">
      <c r="A78" s="2" t="s">
        <v>239</v>
      </c>
      <c r="B78" s="2" t="s">
        <v>153</v>
      </c>
      <c r="C78" s="2" t="s">
        <v>138</v>
      </c>
      <c r="D78" s="20">
        <v>48</v>
      </c>
      <c r="E78" s="21">
        <v>0.000356121789200384</v>
      </c>
      <c r="F78" s="4">
        <v>1</v>
      </c>
      <c r="G78" s="4">
        <v>0</v>
      </c>
      <c r="H78" s="21">
        <f t="shared" si="1"/>
        <v>0</v>
      </c>
    </row>
    <row r="79" spans="1:8">
      <c r="A79" s="2" t="s">
        <v>154</v>
      </c>
      <c r="B79" s="2" t="s">
        <v>154</v>
      </c>
      <c r="C79" s="2" t="s">
        <v>155</v>
      </c>
      <c r="D79" s="20">
        <v>29.9</v>
      </c>
      <c r="E79" s="21">
        <v>0.000221834197856073</v>
      </c>
      <c r="F79" s="4">
        <v>1</v>
      </c>
      <c r="G79" s="4">
        <v>0</v>
      </c>
      <c r="H79" s="21">
        <f t="shared" si="1"/>
        <v>0</v>
      </c>
    </row>
    <row r="80" spans="1:8">
      <c r="A80" s="2" t="s">
        <v>240</v>
      </c>
      <c r="B80" s="2" t="s">
        <v>241</v>
      </c>
      <c r="C80" s="2" t="s">
        <v>162</v>
      </c>
      <c r="D80" s="20">
        <v>19.9</v>
      </c>
      <c r="E80" s="21">
        <v>0.000147642158439326</v>
      </c>
      <c r="F80" s="4">
        <v>1</v>
      </c>
      <c r="G80" s="4">
        <v>0</v>
      </c>
      <c r="H80" s="21">
        <f t="shared" si="1"/>
        <v>0</v>
      </c>
    </row>
    <row r="81" spans="1:8">
      <c r="A81" s="2" t="s">
        <v>165</v>
      </c>
      <c r="B81" s="2" t="s">
        <v>156</v>
      </c>
      <c r="C81" s="2" t="s">
        <v>157</v>
      </c>
      <c r="D81" s="20">
        <v>3</v>
      </c>
      <c r="E81" s="21">
        <v>2.2257611825024e-5</v>
      </c>
      <c r="F81" s="4">
        <v>3</v>
      </c>
      <c r="G81" s="4">
        <v>0</v>
      </c>
      <c r="H81" s="21">
        <f t="shared" si="1"/>
        <v>0</v>
      </c>
    </row>
    <row r="82" spans="1:8">
      <c r="A82" s="2" t="s">
        <v>242</v>
      </c>
      <c r="B82" s="2" t="s">
        <v>158</v>
      </c>
      <c r="C82" s="2" t="s">
        <v>109</v>
      </c>
      <c r="D82" s="20">
        <v>2</v>
      </c>
      <c r="E82" s="21">
        <v>1.48384078833493e-5</v>
      </c>
      <c r="F82" s="4">
        <v>2</v>
      </c>
      <c r="G82" s="4">
        <v>0</v>
      </c>
      <c r="H82" s="21">
        <f t="shared" si="1"/>
        <v>0</v>
      </c>
    </row>
    <row r="83" spans="1:8">
      <c r="A83" s="16" t="s">
        <v>159</v>
      </c>
      <c r="B83" s="16"/>
      <c r="C83" s="16"/>
      <c r="D83" s="18">
        <f t="shared" ref="D83:G83" si="2">SUM(D6:D82)</f>
        <v>134785.35</v>
      </c>
      <c r="E83" s="16"/>
      <c r="F83" s="57">
        <f t="shared" si="2"/>
        <v>1750</v>
      </c>
      <c r="G83" s="57">
        <f t="shared" si="2"/>
        <v>364</v>
      </c>
      <c r="H83" s="26">
        <f t="shared" si="1"/>
        <v>0.208</v>
      </c>
    </row>
  </sheetData>
  <autoFilter xmlns:etc="http://www.wps.cn/officeDocument/2017/etCustomData" ref="A5:H83" etc:filterBottomFollowUsedRange="0">
    <extLst/>
  </autoFilter>
  <conditionalFormatting sqref="H6:H82">
    <cfRule type="top10" dxfId="0" priority="1" percent="1" rank="10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AN86"/>
  <sheetViews>
    <sheetView workbookViewId="0">
      <selection activeCell="F1" sqref="F$1:F$1048576"/>
    </sheetView>
  </sheetViews>
  <sheetFormatPr defaultColWidth="9" defaultRowHeight="13.5"/>
  <cols>
    <col min="1" max="1" width="5.3716814159292" style="10" customWidth="1"/>
    <col min="2" max="2" width="18.2477876106195" customWidth="1"/>
    <col min="3" max="4" width="20.7522123893805" customWidth="1"/>
    <col min="5" max="5" width="9.3716814159292" customWidth="1"/>
    <col min="6" max="6" width="7.12389380530973" customWidth="1"/>
    <col min="7" max="7" width="16.2477876106195" customWidth="1"/>
    <col min="8" max="8" width="22.6283185840708" customWidth="1"/>
    <col min="9" max="10" width="9.3716814159292" customWidth="1"/>
    <col min="12" max="12" width="104.752212389381" customWidth="1"/>
    <col min="13" max="13" width="18.2477876106195" customWidth="1"/>
    <col min="15" max="15" width="80.2477876106195" customWidth="1"/>
    <col min="16" max="16" width="16.8761061946903" customWidth="1"/>
    <col min="18" max="18" width="92.3716814159292" customWidth="1"/>
    <col min="19" max="19" width="17" style="10" customWidth="1"/>
    <col min="21" max="21" width="72.7522123893805" customWidth="1"/>
    <col min="22" max="22" width="16.3716814159292" customWidth="1"/>
    <col min="24" max="24" width="61.3716814159292" customWidth="1"/>
    <col min="25" max="25" width="17.2477876106195" customWidth="1"/>
    <col min="27" max="27" width="79.8761061946903" customWidth="1"/>
    <col min="28" max="28" width="16.5044247787611" style="10" customWidth="1"/>
    <col min="30" max="30" width="69.3716814159292" customWidth="1"/>
    <col min="31" max="31" width="17.1238938053097" style="10" customWidth="1"/>
    <col min="33" max="33" width="72.6283185840708" customWidth="1"/>
    <col min="34" max="34" width="16.8761061946903" style="10" customWidth="1"/>
    <col min="36" max="36" width="74.5044247787611" customWidth="1"/>
    <col min="37" max="37" width="17.1238938053097" customWidth="1"/>
    <col min="39" max="39" width="58.3716814159292" customWidth="1"/>
    <col min="40" max="40" width="17" customWidth="1"/>
  </cols>
  <sheetData>
    <row r="1" ht="25" customHeight="1" spans="1:40">
      <c r="A1" s="11" t="s">
        <v>243</v>
      </c>
    </row>
    <row r="2" ht="23" customHeight="1" spans="1:40">
      <c r="A2" s="11" t="s">
        <v>244</v>
      </c>
      <c r="F2" s="11" t="s">
        <v>245</v>
      </c>
      <c r="L2" s="12" t="s">
        <v>246</v>
      </c>
    </row>
    <row r="3" spans="1:40">
      <c r="A3" s="13" t="s">
        <v>247</v>
      </c>
      <c r="B3" s="13" t="s">
        <v>248</v>
      </c>
      <c r="C3" s="13" t="s">
        <v>249</v>
      </c>
      <c r="D3" s="13" t="s">
        <v>250</v>
      </c>
      <c r="F3" s="14" t="s">
        <v>247</v>
      </c>
      <c r="G3" s="14" t="s">
        <v>248</v>
      </c>
      <c r="H3" s="14" t="s">
        <v>251</v>
      </c>
      <c r="I3" s="14" t="s">
        <v>250</v>
      </c>
      <c r="L3" s="15" t="s">
        <v>59</v>
      </c>
      <c r="M3" s="16" t="s">
        <v>252</v>
      </c>
      <c r="O3" s="17" t="s">
        <v>42</v>
      </c>
      <c r="P3" s="13" t="s">
        <v>252</v>
      </c>
      <c r="R3" s="17" t="s">
        <v>28</v>
      </c>
      <c r="S3" s="13" t="s">
        <v>252</v>
      </c>
      <c r="U3" s="13" t="s">
        <v>33</v>
      </c>
      <c r="V3" s="13" t="s">
        <v>252</v>
      </c>
      <c r="X3" s="13" t="s">
        <v>37</v>
      </c>
      <c r="Y3" s="13" t="s">
        <v>252</v>
      </c>
      <c r="AA3" s="13" t="s">
        <v>48</v>
      </c>
      <c r="AB3" s="13" t="s">
        <v>252</v>
      </c>
      <c r="AD3" s="13" t="s">
        <v>167</v>
      </c>
      <c r="AE3" s="18" t="s">
        <v>252</v>
      </c>
      <c r="AG3" s="18" t="s">
        <v>57</v>
      </c>
      <c r="AH3" s="18" t="s">
        <v>252</v>
      </c>
      <c r="AJ3" s="18" t="s">
        <v>47</v>
      </c>
      <c r="AK3" s="18" t="s">
        <v>252</v>
      </c>
      <c r="AM3" s="18" t="s">
        <v>70</v>
      </c>
      <c r="AN3" s="18" t="s">
        <v>252</v>
      </c>
    </row>
    <row r="4" spans="1:40">
      <c r="A4" s="19">
        <v>1</v>
      </c>
      <c r="B4" s="4" t="s">
        <v>59</v>
      </c>
      <c r="C4" s="20">
        <v>23129</v>
      </c>
      <c r="D4" s="21">
        <f>C4/$C$36</f>
        <v>0.19886300128454</v>
      </c>
      <c r="F4" s="4">
        <v>1</v>
      </c>
      <c r="G4" s="4" t="s">
        <v>24</v>
      </c>
      <c r="H4" s="20">
        <v>19701.3</v>
      </c>
      <c r="I4" s="21">
        <f>H4/$H$62</f>
        <v>0.144314983807389</v>
      </c>
      <c r="L4" s="2" t="s">
        <v>253</v>
      </c>
      <c r="M4" s="20">
        <v>2935</v>
      </c>
      <c r="O4" s="4" t="s">
        <v>254</v>
      </c>
      <c r="P4" s="20">
        <v>1401</v>
      </c>
      <c r="R4" s="2" t="s">
        <v>255</v>
      </c>
      <c r="S4" s="20">
        <v>4580</v>
      </c>
      <c r="U4" s="2" t="s">
        <v>256</v>
      </c>
      <c r="V4" s="20">
        <v>1235</v>
      </c>
      <c r="X4" s="2" t="s">
        <v>257</v>
      </c>
      <c r="Y4" s="20">
        <v>2489</v>
      </c>
      <c r="AA4" s="2" t="s">
        <v>258</v>
      </c>
      <c r="AB4" s="20">
        <v>1106</v>
      </c>
      <c r="AD4" s="2" t="s">
        <v>259</v>
      </c>
      <c r="AE4" s="20">
        <v>1266</v>
      </c>
      <c r="AG4" s="2" t="s">
        <v>260</v>
      </c>
      <c r="AH4" s="20">
        <v>1338</v>
      </c>
      <c r="AJ4" s="4" t="s">
        <v>261</v>
      </c>
      <c r="AK4" s="20">
        <v>1015</v>
      </c>
      <c r="AM4" s="2" t="s">
        <v>262</v>
      </c>
      <c r="AN4" s="20">
        <v>595</v>
      </c>
    </row>
    <row r="5" spans="1:40">
      <c r="A5" s="3">
        <v>2</v>
      </c>
      <c r="B5" s="4" t="s">
        <v>42</v>
      </c>
      <c r="C5" s="20">
        <v>18268</v>
      </c>
      <c r="D5" s="21">
        <f t="shared" ref="D5:D35" si="0">C5/$C$36</f>
        <v>0.157068152858575</v>
      </c>
      <c r="F5" s="4">
        <v>2</v>
      </c>
      <c r="G5" s="4" t="s">
        <v>33</v>
      </c>
      <c r="H5" s="20">
        <v>18694.11</v>
      </c>
      <c r="I5" s="21">
        <f t="shared" ref="I5:I36" si="1">H5/$H$62</f>
        <v>0.136937165666405</v>
      </c>
      <c r="L5" s="2" t="s">
        <v>263</v>
      </c>
      <c r="M5" s="20">
        <v>2324</v>
      </c>
      <c r="O5" s="4" t="s">
        <v>264</v>
      </c>
      <c r="P5" s="20">
        <v>1109</v>
      </c>
      <c r="R5" s="2" t="s">
        <v>265</v>
      </c>
      <c r="S5" s="20">
        <v>2602</v>
      </c>
      <c r="U5" s="2" t="s">
        <v>264</v>
      </c>
      <c r="V5" s="20">
        <v>1109</v>
      </c>
      <c r="X5" s="2" t="s">
        <v>266</v>
      </c>
      <c r="Y5" s="20">
        <v>603</v>
      </c>
      <c r="AA5" s="2" t="s">
        <v>267</v>
      </c>
      <c r="AB5" s="20">
        <v>924</v>
      </c>
      <c r="AD5" s="2" t="s">
        <v>268</v>
      </c>
      <c r="AE5" s="20">
        <v>828</v>
      </c>
      <c r="AG5" s="2" t="s">
        <v>269</v>
      </c>
      <c r="AH5" s="20">
        <v>1175</v>
      </c>
      <c r="AJ5" s="4" t="s">
        <v>270</v>
      </c>
      <c r="AK5" s="20">
        <v>863</v>
      </c>
      <c r="AM5" s="2" t="s">
        <v>271</v>
      </c>
      <c r="AN5" s="20">
        <v>484</v>
      </c>
    </row>
    <row r="6" spans="1:40">
      <c r="A6" s="3">
        <v>3</v>
      </c>
      <c r="B6" s="4" t="s">
        <v>272</v>
      </c>
      <c r="C6" s="20">
        <v>14482</v>
      </c>
      <c r="D6" s="21">
        <f t="shared" si="0"/>
        <v>0.124516147892374</v>
      </c>
      <c r="F6" s="4">
        <v>3</v>
      </c>
      <c r="G6" s="4" t="s">
        <v>88</v>
      </c>
      <c r="H6" s="20">
        <v>12933.92</v>
      </c>
      <c r="I6" s="21">
        <f t="shared" si="1"/>
        <v>0.0947429081007885</v>
      </c>
      <c r="L6" s="2" t="s">
        <v>273</v>
      </c>
      <c r="M6" s="20">
        <v>1904</v>
      </c>
      <c r="O6" s="4" t="s">
        <v>274</v>
      </c>
      <c r="P6" s="20">
        <v>1063</v>
      </c>
      <c r="R6" s="2" t="s">
        <v>275</v>
      </c>
      <c r="S6" s="20">
        <v>1892</v>
      </c>
      <c r="U6" s="2" t="s">
        <v>276</v>
      </c>
      <c r="V6" s="20">
        <v>1097</v>
      </c>
      <c r="X6" s="2" t="s">
        <v>277</v>
      </c>
      <c r="Y6" s="20">
        <v>600</v>
      </c>
      <c r="AA6" s="2" t="s">
        <v>278</v>
      </c>
      <c r="AB6" s="20">
        <v>673</v>
      </c>
      <c r="AD6" s="2" t="s">
        <v>279</v>
      </c>
      <c r="AE6" s="20">
        <v>695</v>
      </c>
      <c r="AG6" s="2" t="s">
        <v>280</v>
      </c>
      <c r="AH6" s="20">
        <v>622</v>
      </c>
      <c r="AJ6" s="4" t="s">
        <v>281</v>
      </c>
      <c r="AK6" s="20">
        <v>748</v>
      </c>
      <c r="AM6" s="2" t="s">
        <v>282</v>
      </c>
      <c r="AN6" s="20">
        <v>456</v>
      </c>
    </row>
    <row r="7" spans="1:40">
      <c r="A7" s="19">
        <v>4</v>
      </c>
      <c r="B7" s="4" t="s">
        <v>33</v>
      </c>
      <c r="C7" s="20">
        <v>13382</v>
      </c>
      <c r="D7" s="21">
        <f t="shared" si="0"/>
        <v>0.115058354584708</v>
      </c>
      <c r="F7" s="4">
        <v>4</v>
      </c>
      <c r="G7" s="4" t="s">
        <v>38</v>
      </c>
      <c r="H7" s="20">
        <v>9104.08</v>
      </c>
      <c r="I7" s="21">
        <f t="shared" si="1"/>
        <v>0.0666887544365689</v>
      </c>
      <c r="L7" s="2" t="s">
        <v>260</v>
      </c>
      <c r="M7" s="20">
        <v>1338</v>
      </c>
      <c r="O7" s="4" t="s">
        <v>283</v>
      </c>
      <c r="P7" s="20">
        <v>977</v>
      </c>
      <c r="R7" s="2" t="s">
        <v>284</v>
      </c>
      <c r="S7" s="20">
        <v>734</v>
      </c>
      <c r="U7" s="2" t="s">
        <v>285</v>
      </c>
      <c r="V7" s="20">
        <v>752</v>
      </c>
      <c r="X7" s="2" t="s">
        <v>286</v>
      </c>
      <c r="Y7" s="20">
        <v>575</v>
      </c>
      <c r="AA7" s="2" t="s">
        <v>287</v>
      </c>
      <c r="AB7" s="20">
        <v>552</v>
      </c>
      <c r="AD7" s="2" t="s">
        <v>288</v>
      </c>
      <c r="AE7" s="20">
        <v>548</v>
      </c>
      <c r="AG7" s="2" t="s">
        <v>289</v>
      </c>
      <c r="AH7" s="20">
        <v>360</v>
      </c>
      <c r="AJ7" s="4" t="s">
        <v>290</v>
      </c>
      <c r="AK7" s="20">
        <v>349</v>
      </c>
      <c r="AM7" s="2" t="s">
        <v>291</v>
      </c>
      <c r="AN7" s="20">
        <v>378</v>
      </c>
    </row>
    <row r="8" spans="1:40">
      <c r="A8" s="3">
        <v>5</v>
      </c>
      <c r="B8" s="4" t="s">
        <v>37</v>
      </c>
      <c r="C8" s="20">
        <v>8645</v>
      </c>
      <c r="D8" s="21">
        <f t="shared" si="0"/>
        <v>0.0743296574043344</v>
      </c>
      <c r="F8" s="4">
        <v>5</v>
      </c>
      <c r="G8" s="4" t="s">
        <v>59</v>
      </c>
      <c r="H8" s="20">
        <v>8885.56</v>
      </c>
      <c r="I8" s="21">
        <f t="shared" si="1"/>
        <v>0.0650880625907723</v>
      </c>
      <c r="L8" s="2" t="s">
        <v>269</v>
      </c>
      <c r="M8" s="20">
        <v>1175</v>
      </c>
      <c r="O8" s="4" t="s">
        <v>292</v>
      </c>
      <c r="P8" s="20">
        <v>848</v>
      </c>
      <c r="R8" s="2" t="s">
        <v>293</v>
      </c>
      <c r="S8" s="20">
        <v>613</v>
      </c>
      <c r="U8" s="2" t="s">
        <v>294</v>
      </c>
      <c r="V8" s="20">
        <v>696</v>
      </c>
      <c r="X8" s="2" t="s">
        <v>295</v>
      </c>
      <c r="Y8" s="20">
        <v>546</v>
      </c>
      <c r="AA8" s="2" t="s">
        <v>296</v>
      </c>
      <c r="AB8" s="20">
        <v>490</v>
      </c>
      <c r="AD8" s="2" t="s">
        <v>297</v>
      </c>
      <c r="AE8" s="20">
        <v>303</v>
      </c>
      <c r="AG8" s="2" t="s">
        <v>298</v>
      </c>
      <c r="AH8" s="20">
        <v>306</v>
      </c>
      <c r="AJ8" s="4" t="s">
        <v>299</v>
      </c>
      <c r="AK8" s="20">
        <v>174</v>
      </c>
      <c r="AM8" s="2" t="s">
        <v>300</v>
      </c>
      <c r="AN8" s="20">
        <v>279</v>
      </c>
    </row>
    <row r="9" spans="1:40">
      <c r="A9" s="3">
        <v>6</v>
      </c>
      <c r="B9" s="4" t="s">
        <v>48</v>
      </c>
      <c r="C9" s="20">
        <v>7214</v>
      </c>
      <c r="D9" s="21">
        <f t="shared" si="0"/>
        <v>0.0620259281104533</v>
      </c>
      <c r="F9" s="4">
        <v>6</v>
      </c>
      <c r="G9" s="4" t="s">
        <v>20</v>
      </c>
      <c r="H9" s="20">
        <v>8781.97</v>
      </c>
      <c r="I9" s="21">
        <f t="shared" si="1"/>
        <v>0.0643292502701332</v>
      </c>
      <c r="L9" s="2" t="s">
        <v>301</v>
      </c>
      <c r="M9" s="20">
        <v>1153</v>
      </c>
      <c r="O9" s="4" t="s">
        <v>285</v>
      </c>
      <c r="P9" s="20">
        <v>752</v>
      </c>
      <c r="R9" s="2" t="s">
        <v>302</v>
      </c>
      <c r="S9" s="20">
        <v>462</v>
      </c>
      <c r="U9" s="2" t="s">
        <v>303</v>
      </c>
      <c r="V9" s="20">
        <v>685</v>
      </c>
      <c r="X9" s="2" t="s">
        <v>304</v>
      </c>
      <c r="Y9" s="20">
        <v>447</v>
      </c>
      <c r="AA9" s="2" t="s">
        <v>305</v>
      </c>
      <c r="AB9" s="20">
        <v>438</v>
      </c>
      <c r="AD9" s="2" t="s">
        <v>306</v>
      </c>
      <c r="AE9" s="20">
        <v>245</v>
      </c>
      <c r="AG9" s="2" t="s">
        <v>307</v>
      </c>
      <c r="AH9" s="20">
        <v>175</v>
      </c>
      <c r="AJ9" s="4" t="s">
        <v>308</v>
      </c>
      <c r="AK9" s="20">
        <v>156</v>
      </c>
      <c r="AM9" s="2" t="s">
        <v>309</v>
      </c>
      <c r="AN9" s="20">
        <v>236</v>
      </c>
    </row>
    <row r="10" spans="1:40">
      <c r="A10" s="3">
        <v>7</v>
      </c>
      <c r="B10" s="4" t="s">
        <v>167</v>
      </c>
      <c r="C10" s="20">
        <v>6278</v>
      </c>
      <c r="D10" s="21">
        <f t="shared" si="0"/>
        <v>0.0539782058050216</v>
      </c>
      <c r="F10" s="4">
        <v>7</v>
      </c>
      <c r="G10" s="4" t="s">
        <v>50</v>
      </c>
      <c r="H10" s="20">
        <v>8772.39</v>
      </c>
      <c r="I10" s="21">
        <f t="shared" si="1"/>
        <v>0.064259075330161</v>
      </c>
      <c r="L10" s="2" t="s">
        <v>310</v>
      </c>
      <c r="M10" s="20">
        <v>1008</v>
      </c>
      <c r="O10" s="4" t="s">
        <v>311</v>
      </c>
      <c r="P10" s="20">
        <v>752</v>
      </c>
      <c r="R10" s="2" t="s">
        <v>312</v>
      </c>
      <c r="S10" s="20">
        <v>438</v>
      </c>
      <c r="U10" s="2" t="s">
        <v>313</v>
      </c>
      <c r="V10" s="20">
        <v>647</v>
      </c>
      <c r="X10" s="2" t="s">
        <v>314</v>
      </c>
      <c r="Y10" s="20">
        <v>437</v>
      </c>
      <c r="AA10" s="2" t="s">
        <v>315</v>
      </c>
      <c r="AB10" s="20">
        <v>420</v>
      </c>
      <c r="AD10" s="2" t="s">
        <v>316</v>
      </c>
      <c r="AE10" s="20">
        <v>243</v>
      </c>
      <c r="AG10" s="2" t="s">
        <v>317</v>
      </c>
      <c r="AH10" s="20">
        <v>165</v>
      </c>
      <c r="AJ10" s="4" t="s">
        <v>318</v>
      </c>
      <c r="AK10" s="20">
        <v>147</v>
      </c>
      <c r="AM10" s="2" t="s">
        <v>319</v>
      </c>
      <c r="AN10" s="20">
        <v>228</v>
      </c>
    </row>
    <row r="11" spans="1:40">
      <c r="A11" s="3">
        <v>8</v>
      </c>
      <c r="B11" s="4" t="s">
        <v>57</v>
      </c>
      <c r="C11" s="20">
        <v>4789</v>
      </c>
      <c r="D11" s="21">
        <f t="shared" si="0"/>
        <v>0.041175792864009</v>
      </c>
      <c r="F11" s="4">
        <v>8</v>
      </c>
      <c r="G11" s="4" t="s">
        <v>102</v>
      </c>
      <c r="H11" s="20">
        <v>6840.44</v>
      </c>
      <c r="I11" s="21">
        <f t="shared" si="1"/>
        <v>0.0501072511882676</v>
      </c>
      <c r="L11" s="2" t="s">
        <v>320</v>
      </c>
      <c r="M11" s="20">
        <v>767</v>
      </c>
      <c r="O11" s="4" t="s">
        <v>321</v>
      </c>
      <c r="P11" s="20">
        <v>739</v>
      </c>
      <c r="R11" s="2" t="s">
        <v>322</v>
      </c>
      <c r="S11" s="20">
        <v>407</v>
      </c>
      <c r="U11" s="2" t="s">
        <v>323</v>
      </c>
      <c r="V11" s="20">
        <v>597</v>
      </c>
      <c r="X11" s="2" t="s">
        <v>324</v>
      </c>
      <c r="Y11" s="20">
        <v>362</v>
      </c>
      <c r="AA11" s="2" t="s">
        <v>325</v>
      </c>
      <c r="AB11" s="20">
        <v>380</v>
      </c>
      <c r="AD11" s="2" t="s">
        <v>326</v>
      </c>
      <c r="AE11" s="20">
        <v>214</v>
      </c>
      <c r="AG11" s="2" t="s">
        <v>327</v>
      </c>
      <c r="AH11" s="20">
        <v>148</v>
      </c>
      <c r="AJ11" s="4" t="s">
        <v>328</v>
      </c>
      <c r="AK11" s="20">
        <v>144</v>
      </c>
      <c r="AM11" s="2" t="s">
        <v>329</v>
      </c>
      <c r="AN11" s="20">
        <v>158</v>
      </c>
    </row>
    <row r="12" spans="1:40">
      <c r="A12" s="3">
        <v>9</v>
      </c>
      <c r="B12" s="4" t="s">
        <v>47</v>
      </c>
      <c r="C12" s="20">
        <v>4573</v>
      </c>
      <c r="D12" s="21">
        <f t="shared" si="0"/>
        <v>0.0393186261781401</v>
      </c>
      <c r="F12" s="4">
        <v>9</v>
      </c>
      <c r="G12" s="4" t="s">
        <v>83</v>
      </c>
      <c r="H12" s="20">
        <v>5776.43</v>
      </c>
      <c r="I12" s="21">
        <f t="shared" si="1"/>
        <v>0.0423132180066552</v>
      </c>
      <c r="L12" s="2" t="s">
        <v>330</v>
      </c>
      <c r="M12" s="20">
        <v>747</v>
      </c>
      <c r="O12" s="4" t="s">
        <v>331</v>
      </c>
      <c r="P12" s="20">
        <v>681</v>
      </c>
      <c r="R12" s="2" t="s">
        <v>332</v>
      </c>
      <c r="S12" s="20">
        <v>381</v>
      </c>
      <c r="U12" s="2" t="s">
        <v>333</v>
      </c>
      <c r="V12" s="20">
        <v>593</v>
      </c>
      <c r="X12" s="2" t="s">
        <v>334</v>
      </c>
      <c r="Y12" s="20">
        <v>299</v>
      </c>
      <c r="AA12" s="2" t="s">
        <v>335</v>
      </c>
      <c r="AB12" s="20">
        <v>300</v>
      </c>
      <c r="AD12" s="2" t="s">
        <v>336</v>
      </c>
      <c r="AE12" s="20">
        <v>195</v>
      </c>
      <c r="AG12" s="2" t="s">
        <v>337</v>
      </c>
      <c r="AH12" s="20">
        <v>119</v>
      </c>
      <c r="AJ12" s="4" t="s">
        <v>338</v>
      </c>
      <c r="AK12" s="20">
        <v>133</v>
      </c>
      <c r="AM12" s="2" t="s">
        <v>339</v>
      </c>
      <c r="AN12" s="20">
        <v>142</v>
      </c>
    </row>
    <row r="13" spans="1:40">
      <c r="A13" s="3">
        <v>10</v>
      </c>
      <c r="B13" s="4" t="s">
        <v>70</v>
      </c>
      <c r="C13" s="20">
        <v>3551</v>
      </c>
      <c r="D13" s="21">
        <f t="shared" si="0"/>
        <v>0.0305314763959273</v>
      </c>
      <c r="F13" s="4">
        <v>10</v>
      </c>
      <c r="G13" s="4" t="s">
        <v>76</v>
      </c>
      <c r="H13" s="20">
        <v>3857.79</v>
      </c>
      <c r="I13" s="21">
        <f t="shared" si="1"/>
        <v>0.0282588916153912</v>
      </c>
      <c r="L13" s="2" t="s">
        <v>340</v>
      </c>
      <c r="M13" s="20">
        <v>632</v>
      </c>
      <c r="O13" s="4" t="s">
        <v>341</v>
      </c>
      <c r="P13" s="20">
        <v>662</v>
      </c>
      <c r="R13" s="2" t="s">
        <v>342</v>
      </c>
      <c r="S13" s="20">
        <v>308</v>
      </c>
      <c r="U13" s="2" t="s">
        <v>343</v>
      </c>
      <c r="V13" s="20">
        <v>537</v>
      </c>
      <c r="X13" s="2" t="s">
        <v>344</v>
      </c>
      <c r="Y13" s="20">
        <v>254</v>
      </c>
      <c r="AA13" s="2" t="s">
        <v>345</v>
      </c>
      <c r="AB13" s="20">
        <v>262</v>
      </c>
      <c r="AD13" s="2" t="s">
        <v>346</v>
      </c>
      <c r="AE13" s="20">
        <v>189</v>
      </c>
      <c r="AG13" s="2" t="s">
        <v>347</v>
      </c>
      <c r="AH13" s="20">
        <v>112</v>
      </c>
      <c r="AJ13" s="4" t="s">
        <v>348</v>
      </c>
      <c r="AK13" s="20">
        <v>125</v>
      </c>
      <c r="AM13" s="2" t="s">
        <v>349</v>
      </c>
      <c r="AN13" s="20">
        <v>134</v>
      </c>
    </row>
    <row r="14" spans="1:40">
      <c r="A14" s="3">
        <v>11</v>
      </c>
      <c r="B14" s="4" t="s">
        <v>350</v>
      </c>
      <c r="C14" s="20">
        <v>1861</v>
      </c>
      <c r="D14" s="21">
        <f t="shared" si="0"/>
        <v>0.0160008666777867</v>
      </c>
      <c r="F14" s="4">
        <v>11</v>
      </c>
      <c r="G14" s="4" t="s">
        <v>67</v>
      </c>
      <c r="H14" s="20">
        <v>3807.59</v>
      </c>
      <c r="I14" s="21">
        <f t="shared" si="1"/>
        <v>0.0278911690698165</v>
      </c>
      <c r="L14" s="2" t="s">
        <v>280</v>
      </c>
      <c r="M14" s="20">
        <v>622</v>
      </c>
      <c r="O14" s="4" t="s">
        <v>351</v>
      </c>
      <c r="P14" s="20">
        <v>598</v>
      </c>
      <c r="R14" s="2" t="s">
        <v>352</v>
      </c>
      <c r="S14" s="20">
        <v>254</v>
      </c>
      <c r="U14" s="2" t="s">
        <v>353</v>
      </c>
      <c r="V14" s="20">
        <v>536</v>
      </c>
      <c r="X14" s="2" t="s">
        <v>354</v>
      </c>
      <c r="Y14" s="20">
        <v>221</v>
      </c>
      <c r="AA14" s="2" t="s">
        <v>355</v>
      </c>
      <c r="AB14" s="20">
        <v>222</v>
      </c>
      <c r="AD14" s="2" t="s">
        <v>356</v>
      </c>
      <c r="AE14" s="20">
        <v>178</v>
      </c>
      <c r="AG14" s="2" t="s">
        <v>357</v>
      </c>
      <c r="AH14" s="20">
        <v>110</v>
      </c>
      <c r="AJ14" s="4" t="s">
        <v>358</v>
      </c>
      <c r="AK14" s="20">
        <v>104</v>
      </c>
      <c r="AM14" s="2" t="s">
        <v>359</v>
      </c>
      <c r="AN14" s="20">
        <v>124</v>
      </c>
    </row>
    <row r="15" spans="1:40">
      <c r="A15" s="3">
        <v>12</v>
      </c>
      <c r="B15" s="4" t="s">
        <v>52</v>
      </c>
      <c r="C15" s="20">
        <v>1687</v>
      </c>
      <c r="D15" s="21">
        <f t="shared" si="0"/>
        <v>0.0145048157363924</v>
      </c>
      <c r="F15" s="4">
        <v>12</v>
      </c>
      <c r="G15" s="4" t="s">
        <v>26</v>
      </c>
      <c r="H15" s="20">
        <v>3724.04</v>
      </c>
      <c r="I15" s="21">
        <f t="shared" si="1"/>
        <v>0.0272791527613949</v>
      </c>
      <c r="L15" s="2" t="s">
        <v>360</v>
      </c>
      <c r="M15" s="20">
        <v>550</v>
      </c>
      <c r="O15" s="4" t="s">
        <v>361</v>
      </c>
      <c r="P15" s="20">
        <v>596</v>
      </c>
      <c r="R15" s="2" t="s">
        <v>362</v>
      </c>
      <c r="S15" s="20">
        <v>251</v>
      </c>
      <c r="U15" s="2" t="s">
        <v>363</v>
      </c>
      <c r="V15" s="20">
        <v>476</v>
      </c>
      <c r="X15" s="2" t="s">
        <v>364</v>
      </c>
      <c r="Y15" s="20">
        <v>209</v>
      </c>
      <c r="AA15" s="2" t="s">
        <v>365</v>
      </c>
      <c r="AB15" s="20">
        <v>145</v>
      </c>
      <c r="AD15" s="2" t="s">
        <v>366</v>
      </c>
      <c r="AE15" s="20">
        <v>170</v>
      </c>
      <c r="AG15" s="2" t="s">
        <v>367</v>
      </c>
      <c r="AH15" s="20">
        <v>89</v>
      </c>
      <c r="AJ15" s="4" t="s">
        <v>368</v>
      </c>
      <c r="AK15" s="20">
        <v>89</v>
      </c>
      <c r="AM15" s="2" t="s">
        <v>369</v>
      </c>
      <c r="AN15" s="20">
        <v>124</v>
      </c>
    </row>
    <row r="16" spans="1:40">
      <c r="A16" s="3">
        <v>13</v>
      </c>
      <c r="B16" s="4" t="s">
        <v>66</v>
      </c>
      <c r="C16" s="20">
        <v>1537</v>
      </c>
      <c r="D16" s="21">
        <f t="shared" si="0"/>
        <v>0.0132151166489835</v>
      </c>
      <c r="F16" s="4">
        <v>13</v>
      </c>
      <c r="G16" s="4" t="s">
        <v>78</v>
      </c>
      <c r="H16" s="20">
        <v>2868.86</v>
      </c>
      <c r="I16" s="21">
        <f t="shared" si="1"/>
        <v>0.0210148307190726</v>
      </c>
      <c r="L16" s="2" t="s">
        <v>370</v>
      </c>
      <c r="M16" s="20">
        <v>481</v>
      </c>
      <c r="O16" s="4" t="s">
        <v>371</v>
      </c>
      <c r="P16" s="20">
        <v>596</v>
      </c>
      <c r="R16" s="2" t="s">
        <v>372</v>
      </c>
      <c r="S16" s="20">
        <v>243</v>
      </c>
      <c r="U16" s="2" t="s">
        <v>373</v>
      </c>
      <c r="V16" s="20">
        <v>407</v>
      </c>
      <c r="X16" s="2" t="s">
        <v>374</v>
      </c>
      <c r="Y16" s="20">
        <v>192</v>
      </c>
      <c r="AA16" s="2" t="s">
        <v>375</v>
      </c>
      <c r="AB16" s="20">
        <v>143</v>
      </c>
      <c r="AD16" s="2" t="s">
        <v>376</v>
      </c>
      <c r="AE16" s="20">
        <v>161</v>
      </c>
      <c r="AG16" s="2" t="s">
        <v>377</v>
      </c>
      <c r="AH16" s="20">
        <v>70</v>
      </c>
      <c r="AJ16" s="4" t="s">
        <v>378</v>
      </c>
      <c r="AK16" s="20">
        <v>80</v>
      </c>
      <c r="AM16" s="2" t="s">
        <v>379</v>
      </c>
      <c r="AN16" s="20">
        <v>119</v>
      </c>
    </row>
    <row r="17" spans="1:40">
      <c r="A17" s="3">
        <v>14</v>
      </c>
      <c r="B17" s="4" t="s">
        <v>104</v>
      </c>
      <c r="C17" s="20">
        <v>942.6</v>
      </c>
      <c r="D17" s="21">
        <f t="shared" si="0"/>
        <v>0.00810446906527769</v>
      </c>
      <c r="F17" s="4">
        <v>14</v>
      </c>
      <c r="G17" s="4" t="s">
        <v>35</v>
      </c>
      <c r="H17" s="20">
        <v>2778.85</v>
      </c>
      <c r="I17" s="21">
        <f t="shared" si="1"/>
        <v>0.0203554939396468</v>
      </c>
      <c r="L17" s="2" t="s">
        <v>380</v>
      </c>
      <c r="M17" s="20">
        <v>454</v>
      </c>
      <c r="O17" s="4" t="s">
        <v>381</v>
      </c>
      <c r="P17" s="20">
        <v>554</v>
      </c>
      <c r="R17" s="2" t="s">
        <v>382</v>
      </c>
      <c r="S17" s="20">
        <v>226</v>
      </c>
      <c r="U17" s="2" t="s">
        <v>383</v>
      </c>
      <c r="V17" s="20">
        <v>367</v>
      </c>
      <c r="X17" s="2" t="s">
        <v>384</v>
      </c>
      <c r="Y17" s="20">
        <v>189</v>
      </c>
      <c r="AA17" s="2" t="s">
        <v>385</v>
      </c>
      <c r="AB17" s="20">
        <v>142</v>
      </c>
      <c r="AD17" s="2" t="s">
        <v>386</v>
      </c>
      <c r="AE17" s="20">
        <v>158</v>
      </c>
      <c r="AG17" s="15" t="s">
        <v>159</v>
      </c>
      <c r="AH17" s="22">
        <v>4789</v>
      </c>
      <c r="AJ17" s="4" t="s">
        <v>387</v>
      </c>
      <c r="AK17" s="20">
        <v>71</v>
      </c>
      <c r="AM17" s="2" t="s">
        <v>388</v>
      </c>
      <c r="AN17" s="20">
        <v>94</v>
      </c>
    </row>
    <row r="18" spans="1:40">
      <c r="A18" s="3">
        <v>15</v>
      </c>
      <c r="B18" s="4" t="s">
        <v>98</v>
      </c>
      <c r="C18" s="20">
        <v>811</v>
      </c>
      <c r="D18" s="21">
        <f t="shared" si="0"/>
        <v>0.00697297306592426</v>
      </c>
      <c r="F18" s="4">
        <v>15</v>
      </c>
      <c r="G18" s="4" t="s">
        <v>72</v>
      </c>
      <c r="H18" s="20">
        <v>2048.79</v>
      </c>
      <c r="I18" s="21">
        <f t="shared" si="1"/>
        <v>0.0150076947041434</v>
      </c>
      <c r="L18" s="2" t="s">
        <v>389</v>
      </c>
      <c r="M18" s="20">
        <v>444</v>
      </c>
      <c r="O18" s="4" t="s">
        <v>390</v>
      </c>
      <c r="P18" s="20">
        <v>553</v>
      </c>
      <c r="R18" s="2" t="s">
        <v>391</v>
      </c>
      <c r="S18" s="20">
        <v>226</v>
      </c>
      <c r="U18" s="2" t="s">
        <v>392</v>
      </c>
      <c r="V18" s="20">
        <v>359</v>
      </c>
      <c r="X18" s="2" t="s">
        <v>393</v>
      </c>
      <c r="Y18" s="20">
        <v>185</v>
      </c>
      <c r="AA18" s="2" t="s">
        <v>394</v>
      </c>
      <c r="AB18" s="20">
        <v>139</v>
      </c>
      <c r="AD18" s="2" t="s">
        <v>395</v>
      </c>
      <c r="AE18" s="20">
        <v>157</v>
      </c>
      <c r="AJ18" s="4" t="s">
        <v>396</v>
      </c>
      <c r="AK18" s="20">
        <v>68</v>
      </c>
      <c r="AM18" s="15" t="s">
        <v>159</v>
      </c>
      <c r="AN18" s="22">
        <v>3551</v>
      </c>
    </row>
    <row r="19" spans="1:40">
      <c r="A19" s="3">
        <v>16</v>
      </c>
      <c r="B19" s="4" t="s">
        <v>397</v>
      </c>
      <c r="C19" s="20">
        <v>712</v>
      </c>
      <c r="D19" s="21">
        <f t="shared" si="0"/>
        <v>0.00612177166823437</v>
      </c>
      <c r="F19" s="4">
        <v>16</v>
      </c>
      <c r="G19" s="4" t="s">
        <v>138</v>
      </c>
      <c r="H19" s="20">
        <v>1671.46</v>
      </c>
      <c r="I19" s="21">
        <f t="shared" si="1"/>
        <v>0.0122436957375756</v>
      </c>
      <c r="L19" s="2" t="s">
        <v>398</v>
      </c>
      <c r="M19" s="20">
        <v>403</v>
      </c>
      <c r="O19" s="4" t="s">
        <v>399</v>
      </c>
      <c r="P19" s="20">
        <v>547</v>
      </c>
      <c r="R19" s="2" t="s">
        <v>400</v>
      </c>
      <c r="S19" s="20">
        <v>220</v>
      </c>
      <c r="U19" s="2" t="s">
        <v>401</v>
      </c>
      <c r="V19" s="20">
        <v>347</v>
      </c>
      <c r="X19" s="2" t="s">
        <v>402</v>
      </c>
      <c r="Y19" s="20">
        <v>179</v>
      </c>
      <c r="AA19" s="2" t="s">
        <v>403</v>
      </c>
      <c r="AB19" s="20">
        <v>132</v>
      </c>
      <c r="AD19" s="2" t="s">
        <v>404</v>
      </c>
      <c r="AE19" s="20">
        <v>150</v>
      </c>
      <c r="AJ19" s="4" t="s">
        <v>405</v>
      </c>
      <c r="AK19" s="20">
        <v>67</v>
      </c>
    </row>
    <row r="20" spans="1:40">
      <c r="A20" s="3">
        <v>17</v>
      </c>
      <c r="B20" s="4" t="s">
        <v>406</v>
      </c>
      <c r="C20" s="20">
        <v>620</v>
      </c>
      <c r="D20" s="21">
        <f t="shared" si="0"/>
        <v>0.00533075622795689</v>
      </c>
      <c r="F20" s="4">
        <v>17</v>
      </c>
      <c r="G20" s="4" t="s">
        <v>74</v>
      </c>
      <c r="H20" s="20">
        <v>1519.32</v>
      </c>
      <c r="I20" s="21">
        <f t="shared" si="1"/>
        <v>0.0111292473693737</v>
      </c>
      <c r="L20" s="2" t="s">
        <v>407</v>
      </c>
      <c r="M20" s="20">
        <v>360</v>
      </c>
      <c r="O20" s="4" t="s">
        <v>408</v>
      </c>
      <c r="P20" s="20">
        <v>498</v>
      </c>
      <c r="R20" s="2" t="s">
        <v>409</v>
      </c>
      <c r="S20" s="20">
        <v>218</v>
      </c>
      <c r="U20" s="2" t="s">
        <v>410</v>
      </c>
      <c r="V20" s="20">
        <v>331</v>
      </c>
      <c r="X20" s="2" t="s">
        <v>411</v>
      </c>
      <c r="Y20" s="20">
        <v>128</v>
      </c>
      <c r="AA20" s="2" t="s">
        <v>412</v>
      </c>
      <c r="AB20" s="20">
        <v>117</v>
      </c>
      <c r="AD20" s="2" t="s">
        <v>413</v>
      </c>
      <c r="AE20" s="20">
        <v>148</v>
      </c>
      <c r="AJ20" s="4" t="s">
        <v>414</v>
      </c>
      <c r="AK20" s="20">
        <v>65</v>
      </c>
    </row>
    <row r="21" spans="1:40">
      <c r="A21" s="3">
        <v>18</v>
      </c>
      <c r="B21" s="4" t="s">
        <v>54</v>
      </c>
      <c r="C21" s="20">
        <v>495</v>
      </c>
      <c r="D21" s="21">
        <f t="shared" si="0"/>
        <v>0.00425600698844945</v>
      </c>
      <c r="F21" s="4">
        <v>18</v>
      </c>
      <c r="G21" s="4" t="s">
        <v>81</v>
      </c>
      <c r="H21" s="20">
        <v>1316.74</v>
      </c>
      <c r="I21" s="21">
        <f t="shared" si="1"/>
        <v>0.00964531841952264</v>
      </c>
      <c r="L21" s="2" t="s">
        <v>289</v>
      </c>
      <c r="M21" s="20">
        <v>360</v>
      </c>
      <c r="O21" s="4" t="s">
        <v>415</v>
      </c>
      <c r="P21" s="20">
        <v>481</v>
      </c>
      <c r="R21" s="2" t="s">
        <v>416</v>
      </c>
      <c r="S21" s="20">
        <v>212</v>
      </c>
      <c r="U21" s="2" t="s">
        <v>417</v>
      </c>
      <c r="V21" s="20">
        <v>243</v>
      </c>
      <c r="X21" s="2" t="s">
        <v>418</v>
      </c>
      <c r="Y21" s="20">
        <v>98</v>
      </c>
      <c r="AA21" s="2" t="s">
        <v>419</v>
      </c>
      <c r="AB21" s="20">
        <v>108</v>
      </c>
      <c r="AD21" s="2" t="s">
        <v>420</v>
      </c>
      <c r="AE21" s="20">
        <v>148</v>
      </c>
      <c r="AJ21" s="4" t="s">
        <v>421</v>
      </c>
      <c r="AK21" s="20">
        <v>62</v>
      </c>
    </row>
    <row r="22" spans="1:40">
      <c r="A22" s="3">
        <v>19</v>
      </c>
      <c r="B22" s="4" t="s">
        <v>422</v>
      </c>
      <c r="C22" s="20">
        <v>493</v>
      </c>
      <c r="D22" s="21">
        <f t="shared" si="0"/>
        <v>0.00423881100061734</v>
      </c>
      <c r="F22" s="4">
        <v>19</v>
      </c>
      <c r="G22" s="4" t="s">
        <v>423</v>
      </c>
      <c r="H22" s="20">
        <v>1023.77</v>
      </c>
      <c r="I22" s="21">
        <f t="shared" si="1"/>
        <v>0.00749926913312779</v>
      </c>
      <c r="L22" s="2" t="s">
        <v>424</v>
      </c>
      <c r="M22" s="20">
        <v>358</v>
      </c>
      <c r="O22" s="4" t="s">
        <v>306</v>
      </c>
      <c r="P22" s="20">
        <v>454</v>
      </c>
      <c r="R22" s="2" t="s">
        <v>425</v>
      </c>
      <c r="S22" s="20">
        <v>178</v>
      </c>
      <c r="U22" s="2" t="s">
        <v>426</v>
      </c>
      <c r="V22" s="20">
        <v>228</v>
      </c>
      <c r="X22" s="15" t="s">
        <v>159</v>
      </c>
      <c r="Y22" s="22">
        <v>8013</v>
      </c>
      <c r="AA22" s="2" t="s">
        <v>427</v>
      </c>
      <c r="AB22" s="20">
        <v>97</v>
      </c>
      <c r="AD22" s="2" t="s">
        <v>428</v>
      </c>
      <c r="AE22" s="20">
        <v>148</v>
      </c>
      <c r="AJ22" s="4" t="s">
        <v>429</v>
      </c>
      <c r="AK22" s="20">
        <v>60</v>
      </c>
    </row>
    <row r="23" spans="1:40">
      <c r="A23" s="19">
        <v>20</v>
      </c>
      <c r="B23" s="4" t="s">
        <v>83</v>
      </c>
      <c r="C23" s="20">
        <v>404</v>
      </c>
      <c r="D23" s="21">
        <f t="shared" si="0"/>
        <v>0.00347358954208804</v>
      </c>
      <c r="F23" s="4">
        <v>20</v>
      </c>
      <c r="G23" s="4" t="s">
        <v>430</v>
      </c>
      <c r="H23" s="20">
        <v>1023.07</v>
      </c>
      <c r="I23" s="21">
        <f t="shared" si="1"/>
        <v>0.00749414152791062</v>
      </c>
      <c r="L23" s="2" t="s">
        <v>431</v>
      </c>
      <c r="M23" s="20">
        <v>332</v>
      </c>
      <c r="O23" s="4" t="s">
        <v>432</v>
      </c>
      <c r="P23" s="20">
        <v>376</v>
      </c>
      <c r="R23" s="2" t="s">
        <v>433</v>
      </c>
      <c r="S23" s="20">
        <v>157</v>
      </c>
      <c r="U23" s="2" t="s">
        <v>434</v>
      </c>
      <c r="V23" s="20">
        <v>219</v>
      </c>
      <c r="AA23" s="2" t="s">
        <v>435</v>
      </c>
      <c r="AB23" s="20">
        <v>86</v>
      </c>
      <c r="AD23" s="2" t="s">
        <v>436</v>
      </c>
      <c r="AE23" s="20">
        <v>138</v>
      </c>
      <c r="AJ23" s="4" t="s">
        <v>437</v>
      </c>
      <c r="AK23" s="20">
        <v>53</v>
      </c>
    </row>
    <row r="24" spans="1:40">
      <c r="A24" s="3">
        <v>21</v>
      </c>
      <c r="B24" s="4" t="s">
        <v>96</v>
      </c>
      <c r="C24" s="20">
        <v>388</v>
      </c>
      <c r="D24" s="21">
        <f t="shared" si="0"/>
        <v>0.00333602163943109</v>
      </c>
      <c r="F24" s="4">
        <v>21</v>
      </c>
      <c r="G24" s="4" t="s">
        <v>438</v>
      </c>
      <c r="H24" s="20">
        <v>897</v>
      </c>
      <c r="I24" s="21">
        <f t="shared" si="1"/>
        <v>0.00657065982829701</v>
      </c>
      <c r="L24" s="2" t="s">
        <v>439</v>
      </c>
      <c r="M24" s="20">
        <v>327</v>
      </c>
      <c r="O24" s="4" t="s">
        <v>440</v>
      </c>
      <c r="P24" s="20">
        <v>368</v>
      </c>
      <c r="R24" s="2" t="s">
        <v>441</v>
      </c>
      <c r="S24" s="20">
        <v>156</v>
      </c>
      <c r="U24" s="2" t="s">
        <v>442</v>
      </c>
      <c r="V24" s="20">
        <v>205</v>
      </c>
      <c r="AA24" s="2" t="s">
        <v>443</v>
      </c>
      <c r="AB24" s="20">
        <v>85</v>
      </c>
      <c r="AD24" s="15" t="s">
        <v>159</v>
      </c>
      <c r="AE24" s="22">
        <v>6282</v>
      </c>
      <c r="AJ24" s="1" t="s">
        <v>159</v>
      </c>
      <c r="AK24" s="22">
        <v>4573</v>
      </c>
    </row>
    <row r="25" spans="1:40">
      <c r="A25" s="3">
        <v>22</v>
      </c>
      <c r="B25" s="4" t="s">
        <v>444</v>
      </c>
      <c r="C25" s="20">
        <v>337</v>
      </c>
      <c r="D25" s="21">
        <f t="shared" si="0"/>
        <v>0.00289752394971205</v>
      </c>
      <c r="F25" s="4">
        <v>22</v>
      </c>
      <c r="G25" s="4" t="s">
        <v>109</v>
      </c>
      <c r="H25" s="20">
        <v>870.42</v>
      </c>
      <c r="I25" s="21">
        <f t="shared" si="1"/>
        <v>0.00637595733305048</v>
      </c>
      <c r="L25" s="2" t="s">
        <v>445</v>
      </c>
      <c r="M25" s="20">
        <v>324</v>
      </c>
      <c r="O25" s="4" t="s">
        <v>446</v>
      </c>
      <c r="P25" s="20">
        <v>329</v>
      </c>
      <c r="R25" s="2" t="s">
        <v>447</v>
      </c>
      <c r="S25" s="20">
        <v>141</v>
      </c>
      <c r="U25" s="2" t="s">
        <v>448</v>
      </c>
      <c r="V25" s="20">
        <v>205</v>
      </c>
      <c r="AA25" s="2" t="s">
        <v>449</v>
      </c>
      <c r="AB25" s="20">
        <v>71</v>
      </c>
      <c r="AJ25" s="23"/>
      <c r="AK25" s="23"/>
    </row>
    <row r="26" spans="1:40">
      <c r="A26" s="3">
        <v>23</v>
      </c>
      <c r="B26" s="4" t="s">
        <v>450</v>
      </c>
      <c r="C26" s="20">
        <v>324</v>
      </c>
      <c r="D26" s="21">
        <f t="shared" si="0"/>
        <v>0.00278575002880328</v>
      </c>
      <c r="F26" s="4">
        <v>23</v>
      </c>
      <c r="G26" s="4" t="s">
        <v>451</v>
      </c>
      <c r="H26" s="20">
        <v>661.56</v>
      </c>
      <c r="I26" s="21">
        <f t="shared" si="1"/>
        <v>0.00484602643925103</v>
      </c>
      <c r="L26" s="2" t="s">
        <v>452</v>
      </c>
      <c r="M26" s="20">
        <v>324</v>
      </c>
      <c r="O26" s="4" t="s">
        <v>453</v>
      </c>
      <c r="P26" s="20">
        <v>328</v>
      </c>
      <c r="R26" s="2" t="s">
        <v>454</v>
      </c>
      <c r="S26" s="20">
        <v>138</v>
      </c>
      <c r="U26" s="2" t="s">
        <v>455</v>
      </c>
      <c r="V26" s="20">
        <v>198</v>
      </c>
      <c r="AA26" s="15" t="s">
        <v>159</v>
      </c>
      <c r="AB26" s="22">
        <v>7032</v>
      </c>
    </row>
    <row r="27" spans="1:40">
      <c r="A27" s="3">
        <v>24</v>
      </c>
      <c r="B27" s="4" t="s">
        <v>92</v>
      </c>
      <c r="C27" s="20">
        <v>299</v>
      </c>
      <c r="D27" s="21">
        <f t="shared" si="0"/>
        <v>0.00257080018090179</v>
      </c>
      <c r="F27" s="4">
        <v>24</v>
      </c>
      <c r="G27" s="4" t="s">
        <v>124</v>
      </c>
      <c r="H27" s="20">
        <v>636.81</v>
      </c>
      <c r="I27" s="21">
        <f t="shared" si="1"/>
        <v>0.00466472896907226</v>
      </c>
      <c r="L27" s="2" t="s">
        <v>456</v>
      </c>
      <c r="M27" s="20">
        <v>318</v>
      </c>
      <c r="O27" s="4" t="s">
        <v>457</v>
      </c>
      <c r="P27" s="20">
        <v>302</v>
      </c>
      <c r="R27" s="2" t="s">
        <v>458</v>
      </c>
      <c r="S27" s="20">
        <v>133</v>
      </c>
      <c r="U27" s="2" t="s">
        <v>459</v>
      </c>
      <c r="V27" s="20">
        <v>195</v>
      </c>
      <c r="AA27" s="23"/>
      <c r="AB27" s="24"/>
    </row>
    <row r="28" spans="1:40">
      <c r="A28" s="3">
        <v>25</v>
      </c>
      <c r="B28" s="4" t="s">
        <v>460</v>
      </c>
      <c r="C28" s="20">
        <v>236</v>
      </c>
      <c r="D28" s="21">
        <f t="shared" si="0"/>
        <v>0.00202912656419004</v>
      </c>
      <c r="F28" s="4">
        <v>25</v>
      </c>
      <c r="G28" s="4" t="s">
        <v>100</v>
      </c>
      <c r="H28" s="20">
        <v>610</v>
      </c>
      <c r="I28" s="21">
        <f t="shared" si="1"/>
        <v>0.00446834168925438</v>
      </c>
      <c r="L28" s="2" t="s">
        <v>298</v>
      </c>
      <c r="M28" s="20">
        <v>306</v>
      </c>
      <c r="O28" s="4" t="s">
        <v>461</v>
      </c>
      <c r="P28" s="20">
        <v>299</v>
      </c>
      <c r="R28" s="2" t="s">
        <v>462</v>
      </c>
      <c r="S28" s="20">
        <v>122</v>
      </c>
      <c r="U28" s="2" t="s">
        <v>463</v>
      </c>
      <c r="V28" s="20">
        <v>192</v>
      </c>
    </row>
    <row r="29" spans="1:40">
      <c r="A29" s="3">
        <v>26</v>
      </c>
      <c r="B29" s="4" t="s">
        <v>464</v>
      </c>
      <c r="C29" s="20">
        <v>205.8</v>
      </c>
      <c r="D29" s="21">
        <f t="shared" si="0"/>
        <v>0.00176946714792505</v>
      </c>
      <c r="F29" s="4">
        <v>26</v>
      </c>
      <c r="G29" s="4" t="s">
        <v>141</v>
      </c>
      <c r="H29" s="20">
        <v>582.55</v>
      </c>
      <c r="I29" s="21">
        <f t="shared" si="1"/>
        <v>0.00426726631323793</v>
      </c>
      <c r="L29" s="2" t="s">
        <v>465</v>
      </c>
      <c r="M29" s="20">
        <v>304</v>
      </c>
      <c r="O29" s="4" t="s">
        <v>466</v>
      </c>
      <c r="P29" s="20">
        <v>296</v>
      </c>
      <c r="R29" s="2" t="s">
        <v>467</v>
      </c>
      <c r="S29" s="20">
        <v>122</v>
      </c>
      <c r="U29" s="2" t="s">
        <v>468</v>
      </c>
      <c r="V29" s="20">
        <v>189</v>
      </c>
    </row>
    <row r="30" spans="1:40">
      <c r="A30" s="3">
        <v>27</v>
      </c>
      <c r="B30" s="4" t="s">
        <v>469</v>
      </c>
      <c r="C30" s="20">
        <v>149</v>
      </c>
      <c r="D30" s="21">
        <f t="shared" si="0"/>
        <v>0.00128110109349287</v>
      </c>
      <c r="F30" s="4">
        <v>27</v>
      </c>
      <c r="G30" s="4" t="s">
        <v>134</v>
      </c>
      <c r="H30" s="20">
        <v>552.8</v>
      </c>
      <c r="I30" s="21">
        <f t="shared" si="1"/>
        <v>0.0040493430915079</v>
      </c>
      <c r="L30" s="2" t="s">
        <v>470</v>
      </c>
      <c r="M30" s="20">
        <v>294</v>
      </c>
      <c r="O30" s="4" t="s">
        <v>471</v>
      </c>
      <c r="P30" s="20">
        <v>287</v>
      </c>
      <c r="R30" s="2" t="s">
        <v>472</v>
      </c>
      <c r="S30" s="20">
        <v>119</v>
      </c>
      <c r="U30" s="2" t="s">
        <v>473</v>
      </c>
      <c r="V30" s="20">
        <v>188</v>
      </c>
    </row>
    <row r="31" spans="1:40">
      <c r="A31" s="19">
        <v>28</v>
      </c>
      <c r="B31" s="4" t="s">
        <v>67</v>
      </c>
      <c r="C31" s="20">
        <v>143</v>
      </c>
      <c r="D31" s="21">
        <f t="shared" si="0"/>
        <v>0.00122951312999651</v>
      </c>
      <c r="F31" s="4">
        <v>28</v>
      </c>
      <c r="G31" s="4" t="s">
        <v>155</v>
      </c>
      <c r="H31" s="20">
        <v>541.87</v>
      </c>
      <c r="I31" s="21">
        <f t="shared" si="1"/>
        <v>0.00396927919861684</v>
      </c>
      <c r="L31" s="2" t="s">
        <v>474</v>
      </c>
      <c r="M31" s="20">
        <v>275</v>
      </c>
      <c r="O31" s="4" t="s">
        <v>475</v>
      </c>
      <c r="P31" s="20">
        <v>287</v>
      </c>
      <c r="R31" s="2" t="s">
        <v>476</v>
      </c>
      <c r="S31" s="20">
        <v>113</v>
      </c>
      <c r="U31" s="2" t="s">
        <v>477</v>
      </c>
      <c r="V31" s="20">
        <v>179</v>
      </c>
    </row>
    <row r="32" spans="1:40">
      <c r="A32" s="3">
        <v>29</v>
      </c>
      <c r="B32" s="4" t="s">
        <v>478</v>
      </c>
      <c r="C32" s="20">
        <v>116</v>
      </c>
      <c r="D32" s="21">
        <f t="shared" si="0"/>
        <v>0.000997367294262903</v>
      </c>
      <c r="F32" s="4">
        <v>29</v>
      </c>
      <c r="G32" s="4" t="s">
        <v>479</v>
      </c>
      <c r="H32" s="20">
        <v>476.43</v>
      </c>
      <c r="I32" s="21">
        <f t="shared" si="1"/>
        <v>0.00348992136231387</v>
      </c>
      <c r="L32" s="2" t="s">
        <v>480</v>
      </c>
      <c r="M32" s="20">
        <v>274</v>
      </c>
      <c r="O32" s="4" t="s">
        <v>481</v>
      </c>
      <c r="P32" s="20">
        <v>278</v>
      </c>
      <c r="R32" s="2" t="s">
        <v>482</v>
      </c>
      <c r="S32" s="20">
        <v>101</v>
      </c>
      <c r="U32" s="2" t="s">
        <v>483</v>
      </c>
      <c r="V32" s="20">
        <v>178</v>
      </c>
    </row>
    <row r="33" spans="1:40">
      <c r="A33" s="3">
        <v>30</v>
      </c>
      <c r="B33" s="4" t="s">
        <v>115</v>
      </c>
      <c r="C33" s="20">
        <v>116</v>
      </c>
      <c r="D33" s="21">
        <f t="shared" si="0"/>
        <v>0.000997367294262903</v>
      </c>
      <c r="F33" s="4">
        <v>30</v>
      </c>
      <c r="G33" s="4" t="s">
        <v>484</v>
      </c>
      <c r="H33" s="20">
        <v>440</v>
      </c>
      <c r="I33" s="21">
        <f t="shared" si="1"/>
        <v>0.00322306613651135</v>
      </c>
      <c r="L33" s="2" t="s">
        <v>485</v>
      </c>
      <c r="M33" s="20">
        <v>230</v>
      </c>
      <c r="O33" s="4" t="s">
        <v>486</v>
      </c>
      <c r="P33" s="20">
        <v>277</v>
      </c>
      <c r="R33" s="2" t="s">
        <v>487</v>
      </c>
      <c r="S33" s="20">
        <v>89</v>
      </c>
      <c r="U33" s="2" t="s">
        <v>488</v>
      </c>
      <c r="V33" s="20">
        <v>178</v>
      </c>
    </row>
    <row r="34" spans="1:40">
      <c r="A34" s="3">
        <v>31</v>
      </c>
      <c r="B34" s="4" t="s">
        <v>119</v>
      </c>
      <c r="C34" s="20">
        <v>79</v>
      </c>
      <c r="D34" s="21">
        <f t="shared" si="0"/>
        <v>0.000679241519368701</v>
      </c>
      <c r="F34" s="4">
        <v>31</v>
      </c>
      <c r="G34" s="4" t="s">
        <v>127</v>
      </c>
      <c r="H34" s="20">
        <v>370.26</v>
      </c>
      <c r="I34" s="21">
        <f t="shared" si="1"/>
        <v>0.0027122101538743</v>
      </c>
      <c r="L34" s="2" t="s">
        <v>489</v>
      </c>
      <c r="M34" s="20">
        <v>220</v>
      </c>
      <c r="O34" s="4" t="s">
        <v>490</v>
      </c>
      <c r="P34" s="20">
        <v>274</v>
      </c>
      <c r="R34" s="2" t="s">
        <v>491</v>
      </c>
      <c r="S34" s="20">
        <v>88</v>
      </c>
      <c r="U34" s="2" t="s">
        <v>492</v>
      </c>
      <c r="V34" s="20">
        <v>169</v>
      </c>
    </row>
    <row r="35" spans="1:40">
      <c r="A35" s="3">
        <v>32</v>
      </c>
      <c r="B35" s="4" t="s">
        <v>107</v>
      </c>
      <c r="C35" s="20">
        <v>39.8</v>
      </c>
      <c r="D35" s="21">
        <f t="shared" si="0"/>
        <v>0.000342200157859168</v>
      </c>
      <c r="F35" s="4">
        <v>32</v>
      </c>
      <c r="G35" s="4" t="s">
        <v>129</v>
      </c>
      <c r="H35" s="20">
        <v>349.31</v>
      </c>
      <c r="I35" s="21">
        <f t="shared" si="1"/>
        <v>0.0025587482548745</v>
      </c>
      <c r="L35" s="2" t="s">
        <v>493</v>
      </c>
      <c r="M35" s="20">
        <v>218</v>
      </c>
      <c r="O35" s="4" t="s">
        <v>494</v>
      </c>
      <c r="P35" s="20">
        <v>274</v>
      </c>
      <c r="R35" s="2" t="s">
        <v>495</v>
      </c>
      <c r="S35" s="20">
        <v>86</v>
      </c>
      <c r="U35" s="2" t="s">
        <v>496</v>
      </c>
      <c r="V35" s="20">
        <v>169</v>
      </c>
    </row>
    <row r="36" spans="1:40">
      <c r="A36" s="13" t="s">
        <v>159</v>
      </c>
      <c r="B36" s="25"/>
      <c r="C36" s="18">
        <f>SUM(C4:C35)</f>
        <v>116306.2</v>
      </c>
      <c r="D36" s="26"/>
      <c r="F36" s="4">
        <v>33</v>
      </c>
      <c r="G36" s="4" t="s">
        <v>497</v>
      </c>
      <c r="H36" s="20">
        <v>335.2</v>
      </c>
      <c r="I36" s="21">
        <f t="shared" si="1"/>
        <v>0.00245539038399683</v>
      </c>
      <c r="L36" s="2" t="s">
        <v>498</v>
      </c>
      <c r="M36" s="20">
        <v>213</v>
      </c>
      <c r="O36" s="4" t="s">
        <v>499</v>
      </c>
      <c r="P36" s="20">
        <v>268</v>
      </c>
      <c r="R36" s="2" t="s">
        <v>500</v>
      </c>
      <c r="S36" s="20">
        <v>80</v>
      </c>
      <c r="U36" s="2" t="s">
        <v>501</v>
      </c>
      <c r="V36" s="20">
        <v>160</v>
      </c>
    </row>
    <row r="37" spans="1:40">
      <c r="F37" s="4">
        <v>34</v>
      </c>
      <c r="G37" s="4" t="s">
        <v>121</v>
      </c>
      <c r="H37" s="20">
        <v>285</v>
      </c>
      <c r="I37" s="21">
        <f t="shared" ref="I37:I61" si="2">H37/$H$62</f>
        <v>0.00208766783842213</v>
      </c>
      <c r="L37" s="15" t="s">
        <v>159</v>
      </c>
      <c r="M37" s="22">
        <v>28179</v>
      </c>
      <c r="O37" s="1" t="s">
        <v>159</v>
      </c>
      <c r="P37" s="22">
        <v>20622</v>
      </c>
      <c r="R37" s="15" t="s">
        <v>159</v>
      </c>
      <c r="S37" s="22">
        <v>16090</v>
      </c>
      <c r="U37" s="15" t="s">
        <v>159</v>
      </c>
      <c r="V37" s="22">
        <v>14144</v>
      </c>
    </row>
    <row r="38" s="9" customFormat="1" spans="1:40">
      <c r="A38" s="27"/>
      <c r="F38" s="4">
        <v>35</v>
      </c>
      <c r="G38" s="4" t="s">
        <v>502</v>
      </c>
      <c r="H38" s="20">
        <v>283.48</v>
      </c>
      <c r="I38" s="21">
        <f t="shared" si="2"/>
        <v>0.00207653360995054</v>
      </c>
      <c r="L38" s="28"/>
      <c r="M38" s="29"/>
      <c r="O38" s="30"/>
      <c r="P38" s="29"/>
      <c r="R38" s="31"/>
      <c r="S38" s="32"/>
      <c r="U38" s="33"/>
      <c r="V38" s="34"/>
      <c r="AB38" s="27"/>
      <c r="AE38" s="27"/>
      <c r="AH38" s="27"/>
    </row>
    <row r="39" spans="1:40">
      <c r="F39" s="4">
        <v>36</v>
      </c>
      <c r="G39" s="4" t="s">
        <v>160</v>
      </c>
      <c r="H39" s="20">
        <v>272</v>
      </c>
      <c r="I39" s="21">
        <f t="shared" si="2"/>
        <v>0.00199244088438884</v>
      </c>
      <c r="L39" s="33"/>
      <c r="M39" s="34"/>
      <c r="O39" s="35"/>
      <c r="P39" s="34"/>
    </row>
    <row r="40" ht="22" customHeight="1" spans="1:40">
      <c r="F40" s="4">
        <v>37</v>
      </c>
      <c r="G40" s="4" t="s">
        <v>130</v>
      </c>
      <c r="H40" s="20">
        <v>266</v>
      </c>
      <c r="I40" s="21">
        <f t="shared" si="2"/>
        <v>0.00194848998252732</v>
      </c>
      <c r="L40" s="12" t="s">
        <v>503</v>
      </c>
      <c r="M40" s="34"/>
      <c r="O40" s="35"/>
      <c r="P40" s="34"/>
    </row>
    <row r="41" spans="1:40">
      <c r="F41" s="4">
        <v>38</v>
      </c>
      <c r="G41" s="4" t="s">
        <v>132</v>
      </c>
      <c r="H41" s="20">
        <v>256</v>
      </c>
      <c r="I41" s="21">
        <f t="shared" si="2"/>
        <v>0.00187523847942479</v>
      </c>
      <c r="L41" s="14" t="s">
        <v>24</v>
      </c>
      <c r="M41" s="14" t="s">
        <v>504</v>
      </c>
      <c r="O41" s="14" t="s">
        <v>33</v>
      </c>
      <c r="P41" s="14" t="s">
        <v>504</v>
      </c>
      <c r="R41" s="14" t="s">
        <v>88</v>
      </c>
      <c r="S41" s="14" t="s">
        <v>504</v>
      </c>
      <c r="U41" s="14" t="s">
        <v>38</v>
      </c>
      <c r="V41" s="14" t="s">
        <v>504</v>
      </c>
      <c r="X41" s="14" t="s">
        <v>59</v>
      </c>
      <c r="Y41" s="14" t="s">
        <v>504</v>
      </c>
      <c r="AA41" s="14" t="s">
        <v>20</v>
      </c>
      <c r="AB41" s="14" t="s">
        <v>504</v>
      </c>
      <c r="AD41" s="14" t="s">
        <v>50</v>
      </c>
      <c r="AE41" s="14" t="s">
        <v>504</v>
      </c>
      <c r="AG41" s="14" t="s">
        <v>102</v>
      </c>
      <c r="AH41" s="14" t="s">
        <v>504</v>
      </c>
      <c r="AJ41" s="14" t="s">
        <v>83</v>
      </c>
      <c r="AK41" s="14" t="s">
        <v>504</v>
      </c>
      <c r="AM41" s="14" t="s">
        <v>76</v>
      </c>
      <c r="AN41" s="14" t="s">
        <v>504</v>
      </c>
    </row>
    <row r="42" spans="1:40">
      <c r="F42" s="4">
        <v>39</v>
      </c>
      <c r="G42" s="4" t="s">
        <v>505</v>
      </c>
      <c r="H42" s="20">
        <v>248</v>
      </c>
      <c r="I42" s="21">
        <f t="shared" si="2"/>
        <v>0.00181663727694276</v>
      </c>
      <c r="L42" s="20" t="s">
        <v>506</v>
      </c>
      <c r="M42" s="20">
        <v>7401</v>
      </c>
      <c r="O42" s="20" t="s">
        <v>507</v>
      </c>
      <c r="P42" s="20">
        <v>1427.05</v>
      </c>
      <c r="R42" s="2" t="s">
        <v>508</v>
      </c>
      <c r="S42" s="20">
        <v>1166</v>
      </c>
      <c r="U42" s="2" t="s">
        <v>509</v>
      </c>
      <c r="V42" s="20">
        <v>1184</v>
      </c>
      <c r="X42" s="2" t="s">
        <v>510</v>
      </c>
      <c r="Y42" s="20">
        <v>929.45</v>
      </c>
      <c r="AA42" s="2" t="s">
        <v>386</v>
      </c>
      <c r="AB42" s="20">
        <v>829.87</v>
      </c>
      <c r="AD42" s="2" t="s">
        <v>511</v>
      </c>
      <c r="AE42" s="20">
        <v>3132</v>
      </c>
      <c r="AG42" s="2" t="s">
        <v>512</v>
      </c>
      <c r="AH42" s="20">
        <v>3022.22</v>
      </c>
      <c r="AJ42" s="2" t="s">
        <v>513</v>
      </c>
      <c r="AK42" s="20">
        <v>1370.22</v>
      </c>
      <c r="AM42" s="2" t="s">
        <v>514</v>
      </c>
      <c r="AN42" s="20">
        <v>1151.75</v>
      </c>
    </row>
    <row r="43" spans="1:40">
      <c r="F43" s="4">
        <v>40</v>
      </c>
      <c r="G43" s="4" t="s">
        <v>117</v>
      </c>
      <c r="H43" s="20">
        <v>239.6</v>
      </c>
      <c r="I43" s="21">
        <f t="shared" si="2"/>
        <v>0.00175510601433664</v>
      </c>
      <c r="L43" s="20" t="s">
        <v>515</v>
      </c>
      <c r="M43" s="20">
        <v>2834</v>
      </c>
      <c r="O43" s="20" t="s">
        <v>516</v>
      </c>
      <c r="P43" s="20">
        <v>1352</v>
      </c>
      <c r="R43" s="2" t="s">
        <v>517</v>
      </c>
      <c r="S43" s="20">
        <v>932</v>
      </c>
      <c r="U43" s="2" t="s">
        <v>518</v>
      </c>
      <c r="V43" s="20">
        <v>872</v>
      </c>
      <c r="X43" s="2" t="s">
        <v>519</v>
      </c>
      <c r="Y43" s="20">
        <v>718</v>
      </c>
      <c r="AA43" s="2" t="s">
        <v>520</v>
      </c>
      <c r="AB43" s="20">
        <v>734.24</v>
      </c>
      <c r="AD43" s="2" t="s">
        <v>521</v>
      </c>
      <c r="AE43" s="20">
        <v>2809.68</v>
      </c>
      <c r="AG43" s="2" t="s">
        <v>522</v>
      </c>
      <c r="AH43" s="20">
        <v>2504.53</v>
      </c>
      <c r="AJ43" s="2" t="s">
        <v>275</v>
      </c>
      <c r="AK43" s="20">
        <v>680.01</v>
      </c>
      <c r="AM43" s="2" t="s">
        <v>523</v>
      </c>
      <c r="AN43" s="20">
        <v>570.48</v>
      </c>
    </row>
    <row r="44" spans="1:40">
      <c r="F44" s="4">
        <v>41</v>
      </c>
      <c r="G44" s="4" t="s">
        <v>224</v>
      </c>
      <c r="H44" s="20">
        <v>225.72</v>
      </c>
      <c r="I44" s="21">
        <f t="shared" si="2"/>
        <v>0.00165343292803032</v>
      </c>
      <c r="L44" s="20" t="s">
        <v>524</v>
      </c>
      <c r="M44" s="20">
        <v>2526</v>
      </c>
      <c r="O44" s="20" t="s">
        <v>525</v>
      </c>
      <c r="P44" s="20">
        <v>1100.83</v>
      </c>
      <c r="R44" s="2" t="s">
        <v>526</v>
      </c>
      <c r="S44" s="20">
        <v>891</v>
      </c>
      <c r="U44" s="2" t="s">
        <v>527</v>
      </c>
      <c r="V44" s="20">
        <v>649.92</v>
      </c>
      <c r="X44" s="2" t="s">
        <v>330</v>
      </c>
      <c r="Y44" s="20">
        <v>556.04</v>
      </c>
      <c r="AA44" s="2" t="s">
        <v>528</v>
      </c>
      <c r="AB44" s="20">
        <v>682.52</v>
      </c>
      <c r="AD44" s="2" t="s">
        <v>529</v>
      </c>
      <c r="AE44" s="20">
        <v>1746.14</v>
      </c>
      <c r="AG44" s="2" t="s">
        <v>530</v>
      </c>
      <c r="AH44" s="20">
        <v>588</v>
      </c>
      <c r="AJ44" s="2" t="s">
        <v>531</v>
      </c>
      <c r="AK44" s="20">
        <v>411.49</v>
      </c>
      <c r="AM44" s="2" t="s">
        <v>293</v>
      </c>
      <c r="AN44" s="20">
        <v>545.02</v>
      </c>
    </row>
    <row r="45" spans="1:40">
      <c r="F45" s="4">
        <v>42</v>
      </c>
      <c r="G45" s="4" t="s">
        <v>147</v>
      </c>
      <c r="H45" s="20">
        <v>209.04</v>
      </c>
      <c r="I45" s="21">
        <f t="shared" si="2"/>
        <v>0.0015312494208553</v>
      </c>
      <c r="L45" s="20" t="s">
        <v>532</v>
      </c>
      <c r="M45" s="20">
        <v>1909.35</v>
      </c>
      <c r="O45" s="20" t="s">
        <v>533</v>
      </c>
      <c r="P45" s="20">
        <v>887.72</v>
      </c>
      <c r="R45" s="2" t="s">
        <v>534</v>
      </c>
      <c r="S45" s="20">
        <v>801.7</v>
      </c>
      <c r="U45" s="2" t="s">
        <v>535</v>
      </c>
      <c r="V45" s="20">
        <v>649.92</v>
      </c>
      <c r="X45" s="2" t="s">
        <v>536</v>
      </c>
      <c r="Y45" s="20">
        <v>434.65</v>
      </c>
      <c r="AA45" s="2" t="s">
        <v>537</v>
      </c>
      <c r="AB45" s="20">
        <v>555</v>
      </c>
      <c r="AD45" s="2" t="s">
        <v>538</v>
      </c>
      <c r="AE45" s="20">
        <v>877</v>
      </c>
      <c r="AG45" s="2" t="s">
        <v>539</v>
      </c>
      <c r="AH45" s="20">
        <v>239.31</v>
      </c>
      <c r="AJ45" s="2" t="s">
        <v>540</v>
      </c>
      <c r="AK45" s="20">
        <v>299.84</v>
      </c>
      <c r="AM45" s="2" t="s">
        <v>541</v>
      </c>
      <c r="AN45" s="20">
        <v>369.64</v>
      </c>
    </row>
    <row r="46" spans="1:40">
      <c r="F46" s="4">
        <v>43</v>
      </c>
      <c r="G46" s="4" t="s">
        <v>137</v>
      </c>
      <c r="H46" s="20">
        <v>199.6</v>
      </c>
      <c r="I46" s="21">
        <f t="shared" si="2"/>
        <v>0.00146210000192651</v>
      </c>
      <c r="L46" s="20" t="s">
        <v>542</v>
      </c>
      <c r="M46" s="20">
        <v>1534.11</v>
      </c>
      <c r="O46" s="20" t="s">
        <v>543</v>
      </c>
      <c r="P46" s="20">
        <v>763.67</v>
      </c>
      <c r="R46" s="2" t="s">
        <v>544</v>
      </c>
      <c r="S46" s="20">
        <v>774</v>
      </c>
      <c r="U46" s="2" t="s">
        <v>545</v>
      </c>
      <c r="V46" s="20">
        <v>527</v>
      </c>
      <c r="X46" s="2" t="s">
        <v>546</v>
      </c>
      <c r="Y46" s="20">
        <v>296</v>
      </c>
      <c r="AA46" s="2" t="s">
        <v>547</v>
      </c>
      <c r="AB46" s="20">
        <v>535</v>
      </c>
      <c r="AD46" s="2" t="s">
        <v>548</v>
      </c>
      <c r="AE46" s="20">
        <v>72.84</v>
      </c>
      <c r="AG46" s="2" t="s">
        <v>549</v>
      </c>
      <c r="AH46" s="20">
        <v>153.42</v>
      </c>
      <c r="AJ46" s="2" t="s">
        <v>550</v>
      </c>
      <c r="AK46" s="20">
        <v>299.82</v>
      </c>
      <c r="AM46" s="2" t="s">
        <v>551</v>
      </c>
      <c r="AN46" s="20">
        <v>237</v>
      </c>
    </row>
    <row r="47" spans="1:40">
      <c r="F47" s="4">
        <v>44</v>
      </c>
      <c r="G47" s="4" t="s">
        <v>162</v>
      </c>
      <c r="H47" s="20">
        <v>196.09</v>
      </c>
      <c r="I47" s="21">
        <f t="shared" si="2"/>
        <v>0.00143638872433753</v>
      </c>
      <c r="L47" s="20" t="s">
        <v>552</v>
      </c>
      <c r="M47" s="20">
        <v>1238.43</v>
      </c>
      <c r="O47" s="20" t="s">
        <v>553</v>
      </c>
      <c r="P47" s="20">
        <v>750.79</v>
      </c>
      <c r="R47" s="2" t="s">
        <v>554</v>
      </c>
      <c r="S47" s="20">
        <v>587</v>
      </c>
      <c r="U47" s="2" t="s">
        <v>555</v>
      </c>
      <c r="V47" s="20">
        <v>522.13</v>
      </c>
      <c r="X47" s="2" t="s">
        <v>556</v>
      </c>
      <c r="Y47" s="20">
        <v>288</v>
      </c>
      <c r="AA47" s="2" t="s">
        <v>259</v>
      </c>
      <c r="AB47" s="20">
        <v>534</v>
      </c>
      <c r="AD47" s="2" t="s">
        <v>557</v>
      </c>
      <c r="AE47" s="20">
        <v>71.21</v>
      </c>
      <c r="AG47" s="2" t="s">
        <v>558</v>
      </c>
      <c r="AH47" s="20">
        <v>134.55</v>
      </c>
      <c r="AJ47" s="2" t="s">
        <v>559</v>
      </c>
      <c r="AK47" s="20">
        <v>290.52</v>
      </c>
      <c r="AM47" s="2" t="s">
        <v>560</v>
      </c>
      <c r="AN47" s="20">
        <v>235.22</v>
      </c>
    </row>
    <row r="48" spans="1:40">
      <c r="F48" s="4">
        <v>45</v>
      </c>
      <c r="G48" s="4" t="s">
        <v>561</v>
      </c>
      <c r="H48" s="20">
        <v>169</v>
      </c>
      <c r="I48" s="21">
        <f t="shared" si="2"/>
        <v>0.00123795040243277</v>
      </c>
      <c r="L48" s="20" t="s">
        <v>562</v>
      </c>
      <c r="M48" s="20">
        <v>861.23</v>
      </c>
      <c r="O48" s="20" t="s">
        <v>563</v>
      </c>
      <c r="P48" s="20">
        <v>736</v>
      </c>
      <c r="R48" s="2" t="s">
        <v>564</v>
      </c>
      <c r="S48" s="20">
        <v>554</v>
      </c>
      <c r="U48" s="2" t="s">
        <v>565</v>
      </c>
      <c r="V48" s="20">
        <v>516</v>
      </c>
      <c r="X48" s="2" t="s">
        <v>566</v>
      </c>
      <c r="Y48" s="20">
        <v>284</v>
      </c>
      <c r="AA48" s="2" t="s">
        <v>567</v>
      </c>
      <c r="AB48" s="20">
        <v>487.41</v>
      </c>
      <c r="AD48" s="2" t="s">
        <v>568</v>
      </c>
      <c r="AE48" s="20">
        <v>63.52</v>
      </c>
      <c r="AG48" s="2" t="s">
        <v>569</v>
      </c>
      <c r="AH48" s="20">
        <v>131.1</v>
      </c>
      <c r="AJ48" s="2" t="s">
        <v>570</v>
      </c>
      <c r="AK48" s="20">
        <v>278.68</v>
      </c>
      <c r="AM48" s="2" t="s">
        <v>571</v>
      </c>
      <c r="AN48" s="20">
        <v>226.84</v>
      </c>
    </row>
    <row r="49" spans="6:40">
      <c r="F49" s="4">
        <v>46</v>
      </c>
      <c r="G49" s="4" t="s">
        <v>572</v>
      </c>
      <c r="H49" s="20">
        <v>151.11</v>
      </c>
      <c r="I49" s="21">
        <f t="shared" si="2"/>
        <v>0.00110690346338234</v>
      </c>
      <c r="L49" s="20" t="s">
        <v>573</v>
      </c>
      <c r="M49" s="20">
        <v>370.54</v>
      </c>
      <c r="O49" s="20" t="s">
        <v>574</v>
      </c>
      <c r="P49" s="20">
        <v>733.34</v>
      </c>
      <c r="R49" s="2" t="s">
        <v>575</v>
      </c>
      <c r="S49" s="20">
        <v>527.32</v>
      </c>
      <c r="U49" s="2" t="s">
        <v>576</v>
      </c>
      <c r="V49" s="20">
        <v>496</v>
      </c>
      <c r="X49" s="2" t="s">
        <v>577</v>
      </c>
      <c r="Y49" s="20">
        <v>234.92</v>
      </c>
      <c r="AA49" s="2" t="s">
        <v>578</v>
      </c>
      <c r="AB49" s="20">
        <v>478</v>
      </c>
      <c r="AD49" s="36" t="s">
        <v>159</v>
      </c>
      <c r="AE49" s="37">
        <v>8772.39</v>
      </c>
      <c r="AG49" s="2" t="s">
        <v>579</v>
      </c>
      <c r="AH49" s="20">
        <v>67.31</v>
      </c>
      <c r="AJ49" s="2" t="s">
        <v>580</v>
      </c>
      <c r="AK49" s="20">
        <v>238</v>
      </c>
      <c r="AM49" s="2" t="s">
        <v>581</v>
      </c>
      <c r="AN49" s="20">
        <v>216</v>
      </c>
    </row>
    <row r="50" spans="6:40">
      <c r="F50" s="4">
        <v>47</v>
      </c>
      <c r="G50" s="4" t="s">
        <v>143</v>
      </c>
      <c r="H50" s="20">
        <v>149.5</v>
      </c>
      <c r="I50" s="21">
        <f t="shared" si="2"/>
        <v>0.00109510997138284</v>
      </c>
      <c r="L50" s="20" t="s">
        <v>582</v>
      </c>
      <c r="M50" s="20">
        <v>314</v>
      </c>
      <c r="O50" s="20" t="s">
        <v>583</v>
      </c>
      <c r="P50" s="20">
        <v>712</v>
      </c>
      <c r="R50" s="2" t="s">
        <v>584</v>
      </c>
      <c r="S50" s="20">
        <v>516.1</v>
      </c>
      <c r="U50" s="2" t="s">
        <v>585</v>
      </c>
      <c r="V50" s="20">
        <v>478.44</v>
      </c>
      <c r="X50" s="2" t="s">
        <v>586</v>
      </c>
      <c r="Y50" s="20">
        <v>234.81</v>
      </c>
      <c r="AA50" s="2" t="s">
        <v>587</v>
      </c>
      <c r="AB50" s="20">
        <v>318</v>
      </c>
      <c r="AG50" s="36" t="s">
        <v>159</v>
      </c>
      <c r="AH50" s="37">
        <v>6840.44</v>
      </c>
      <c r="AJ50" s="2" t="s">
        <v>588</v>
      </c>
      <c r="AK50" s="20">
        <v>236</v>
      </c>
      <c r="AM50" s="2" t="s">
        <v>589</v>
      </c>
      <c r="AN50" s="20">
        <v>196</v>
      </c>
    </row>
    <row r="51" spans="6:40">
      <c r="F51" s="4">
        <v>48</v>
      </c>
      <c r="G51" s="4" t="s">
        <v>40</v>
      </c>
      <c r="H51" s="20">
        <v>146</v>
      </c>
      <c r="I51" s="21">
        <f t="shared" si="2"/>
        <v>0.00106947194529695</v>
      </c>
      <c r="L51" s="20" t="s">
        <v>590</v>
      </c>
      <c r="M51" s="20">
        <v>282</v>
      </c>
      <c r="O51" s="20" t="s">
        <v>591</v>
      </c>
      <c r="P51" s="20">
        <v>580.94</v>
      </c>
      <c r="R51" s="2" t="s">
        <v>592</v>
      </c>
      <c r="S51" s="20">
        <v>444</v>
      </c>
      <c r="U51" s="2" t="s">
        <v>593</v>
      </c>
      <c r="V51" s="20">
        <v>422.24</v>
      </c>
      <c r="X51" s="2" t="s">
        <v>594</v>
      </c>
      <c r="Y51" s="20">
        <v>232.61</v>
      </c>
      <c r="AA51" s="2" t="s">
        <v>595</v>
      </c>
      <c r="AB51" s="20">
        <v>316</v>
      </c>
      <c r="AJ51" s="2" t="s">
        <v>596</v>
      </c>
      <c r="AK51" s="20">
        <v>189</v>
      </c>
      <c r="AM51" s="2" t="s">
        <v>597</v>
      </c>
      <c r="AN51" s="20">
        <v>109.84</v>
      </c>
    </row>
    <row r="52" spans="6:40">
      <c r="F52" s="4">
        <v>49</v>
      </c>
      <c r="G52" s="4" t="s">
        <v>145</v>
      </c>
      <c r="H52" s="20">
        <v>136</v>
      </c>
      <c r="I52" s="21">
        <f t="shared" si="2"/>
        <v>0.000996220442194419</v>
      </c>
      <c r="L52" s="20" t="s">
        <v>598</v>
      </c>
      <c r="M52" s="20">
        <v>229.42</v>
      </c>
      <c r="O52" s="20" t="s">
        <v>599</v>
      </c>
      <c r="P52" s="20">
        <v>574</v>
      </c>
      <c r="R52" s="2" t="s">
        <v>600</v>
      </c>
      <c r="S52" s="20">
        <v>442.51</v>
      </c>
      <c r="U52" s="2" t="s">
        <v>601</v>
      </c>
      <c r="V52" s="20">
        <v>375</v>
      </c>
      <c r="X52" s="2" t="s">
        <v>602</v>
      </c>
      <c r="Y52" s="20">
        <v>232</v>
      </c>
      <c r="AA52" s="2" t="s">
        <v>603</v>
      </c>
      <c r="AB52" s="20">
        <v>313</v>
      </c>
      <c r="AJ52" s="2" t="s">
        <v>604</v>
      </c>
      <c r="AK52" s="20">
        <v>156.97</v>
      </c>
      <c r="AM52" s="36" t="s">
        <v>159</v>
      </c>
      <c r="AN52" s="37">
        <v>3857.79</v>
      </c>
    </row>
    <row r="53" spans="6:40">
      <c r="F53" s="4">
        <v>50</v>
      </c>
      <c r="G53" s="4" t="s">
        <v>157</v>
      </c>
      <c r="H53" s="20">
        <v>121</v>
      </c>
      <c r="I53" s="21">
        <f t="shared" si="2"/>
        <v>0.000886343187540623</v>
      </c>
      <c r="L53" s="20" t="s">
        <v>605</v>
      </c>
      <c r="M53" s="20">
        <v>201.22</v>
      </c>
      <c r="O53" s="20" t="s">
        <v>606</v>
      </c>
      <c r="P53" s="20">
        <v>564</v>
      </c>
      <c r="R53" s="2" t="s">
        <v>607</v>
      </c>
      <c r="S53" s="20">
        <v>384.56</v>
      </c>
      <c r="U53" s="2" t="s">
        <v>608</v>
      </c>
      <c r="V53" s="20">
        <v>356</v>
      </c>
      <c r="X53" s="2" t="s">
        <v>609</v>
      </c>
      <c r="Y53" s="20">
        <v>216.66</v>
      </c>
      <c r="AA53" s="2" t="s">
        <v>610</v>
      </c>
      <c r="AB53" s="20">
        <v>302</v>
      </c>
      <c r="AJ53" s="2" t="s">
        <v>611</v>
      </c>
      <c r="AK53" s="20">
        <v>154.93</v>
      </c>
    </row>
    <row r="54" spans="6:40">
      <c r="F54" s="4">
        <v>51</v>
      </c>
      <c r="G54" s="4" t="s">
        <v>612</v>
      </c>
      <c r="H54" s="20">
        <v>119.7</v>
      </c>
      <c r="I54" s="21">
        <f t="shared" si="2"/>
        <v>0.000876820492137294</v>
      </c>
      <c r="L54" s="37" t="s">
        <v>159</v>
      </c>
      <c r="M54" s="37">
        <v>19701.3</v>
      </c>
      <c r="O54" s="20" t="s">
        <v>613</v>
      </c>
      <c r="P54" s="20">
        <v>536.55</v>
      </c>
      <c r="R54" s="2" t="s">
        <v>495</v>
      </c>
      <c r="S54" s="20">
        <v>344.15</v>
      </c>
      <c r="U54" s="2" t="s">
        <v>614</v>
      </c>
      <c r="V54" s="20">
        <v>298.43</v>
      </c>
      <c r="X54" s="2" t="s">
        <v>615</v>
      </c>
      <c r="Y54" s="20">
        <v>214</v>
      </c>
      <c r="AA54" s="2" t="s">
        <v>616</v>
      </c>
      <c r="AB54" s="20">
        <v>296</v>
      </c>
      <c r="AJ54" s="2" t="s">
        <v>617</v>
      </c>
      <c r="AK54" s="20">
        <v>148</v>
      </c>
    </row>
    <row r="55" spans="6:40">
      <c r="F55" s="4">
        <v>52</v>
      </c>
      <c r="G55" s="4" t="s">
        <v>618</v>
      </c>
      <c r="H55" s="20">
        <v>99</v>
      </c>
      <c r="I55" s="21">
        <f t="shared" si="2"/>
        <v>0.000725189880715055</v>
      </c>
      <c r="L55" s="33"/>
      <c r="M55" s="34"/>
      <c r="O55" s="20" t="s">
        <v>619</v>
      </c>
      <c r="P55" s="20">
        <v>496.84</v>
      </c>
      <c r="R55" s="2" t="s">
        <v>620</v>
      </c>
      <c r="S55" s="20">
        <v>315</v>
      </c>
      <c r="U55" s="2" t="s">
        <v>621</v>
      </c>
      <c r="V55" s="20">
        <v>278</v>
      </c>
      <c r="X55" s="2" t="s">
        <v>622</v>
      </c>
      <c r="Y55" s="20">
        <v>196</v>
      </c>
      <c r="AA55" s="2" t="s">
        <v>623</v>
      </c>
      <c r="AB55" s="20">
        <v>295.19</v>
      </c>
      <c r="AJ55" s="2" t="s">
        <v>472</v>
      </c>
      <c r="AK55" s="20">
        <v>146.13</v>
      </c>
    </row>
    <row r="56" spans="6:40">
      <c r="F56" s="4">
        <v>53</v>
      </c>
      <c r="G56" s="4" t="s">
        <v>624</v>
      </c>
      <c r="H56" s="20">
        <v>97</v>
      </c>
      <c r="I56" s="21">
        <f t="shared" si="2"/>
        <v>0.000710539580094549</v>
      </c>
      <c r="L56" s="33"/>
      <c r="M56" s="34"/>
      <c r="O56" s="20" t="s">
        <v>625</v>
      </c>
      <c r="P56" s="20">
        <v>436</v>
      </c>
      <c r="R56" s="2" t="s">
        <v>626</v>
      </c>
      <c r="S56" s="20">
        <v>309</v>
      </c>
      <c r="U56" s="2" t="s">
        <v>627</v>
      </c>
      <c r="V56" s="20">
        <v>258</v>
      </c>
      <c r="X56" s="2" t="s">
        <v>628</v>
      </c>
      <c r="Y56" s="20">
        <v>196</v>
      </c>
      <c r="AA56" s="2" t="s">
        <v>629</v>
      </c>
      <c r="AB56" s="20">
        <v>258</v>
      </c>
      <c r="AJ56" s="2" t="s">
        <v>630</v>
      </c>
      <c r="AK56" s="20">
        <v>128</v>
      </c>
    </row>
    <row r="57" spans="6:40">
      <c r="F57" s="4">
        <v>54</v>
      </c>
      <c r="G57" s="4" t="s">
        <v>150</v>
      </c>
      <c r="H57" s="20">
        <v>73.66</v>
      </c>
      <c r="I57" s="21">
        <f t="shared" si="2"/>
        <v>0.000539570571853242</v>
      </c>
      <c r="L57" s="33"/>
      <c r="M57" s="34"/>
      <c r="O57" s="20" t="s">
        <v>631</v>
      </c>
      <c r="P57" s="20">
        <v>435</v>
      </c>
      <c r="R57" s="2" t="s">
        <v>632</v>
      </c>
      <c r="S57" s="20">
        <v>296</v>
      </c>
      <c r="U57" s="2" t="s">
        <v>633</v>
      </c>
      <c r="V57" s="20">
        <v>239</v>
      </c>
      <c r="X57" s="2" t="s">
        <v>634</v>
      </c>
      <c r="Y57" s="20">
        <v>196</v>
      </c>
      <c r="AA57" s="2" t="s">
        <v>635</v>
      </c>
      <c r="AB57" s="20">
        <v>219</v>
      </c>
      <c r="AJ57" s="2" t="s">
        <v>636</v>
      </c>
      <c r="AK57" s="20">
        <v>128</v>
      </c>
    </row>
    <row r="58" spans="6:40">
      <c r="F58" s="4">
        <v>55</v>
      </c>
      <c r="G58" s="4" t="s">
        <v>637</v>
      </c>
      <c r="H58" s="20">
        <v>58</v>
      </c>
      <c r="I58" s="21">
        <f t="shared" si="2"/>
        <v>0.000424858717994679</v>
      </c>
      <c r="L58" s="33"/>
      <c r="M58" s="34"/>
      <c r="O58" s="20" t="s">
        <v>638</v>
      </c>
      <c r="P58" s="20">
        <v>396</v>
      </c>
      <c r="R58" s="2" t="s">
        <v>639</v>
      </c>
      <c r="S58" s="20">
        <v>269.62</v>
      </c>
      <c r="U58" s="2" t="s">
        <v>640</v>
      </c>
      <c r="V58" s="20">
        <v>238</v>
      </c>
      <c r="X58" s="2" t="s">
        <v>641</v>
      </c>
      <c r="Y58" s="20">
        <v>186</v>
      </c>
      <c r="AA58" s="2" t="s">
        <v>642</v>
      </c>
      <c r="AB58" s="20">
        <v>198</v>
      </c>
      <c r="AJ58" s="2" t="s">
        <v>643</v>
      </c>
      <c r="AK58" s="20">
        <v>128</v>
      </c>
    </row>
    <row r="59" spans="6:40">
      <c r="F59" s="4">
        <v>56</v>
      </c>
      <c r="G59" s="4" t="s">
        <v>152</v>
      </c>
      <c r="H59" s="20">
        <v>49.9</v>
      </c>
      <c r="I59" s="21">
        <f t="shared" si="2"/>
        <v>0.000365525000481629</v>
      </c>
      <c r="L59" s="33"/>
      <c r="M59" s="34"/>
      <c r="O59" s="20" t="s">
        <v>644</v>
      </c>
      <c r="P59" s="20">
        <v>396</v>
      </c>
      <c r="R59" s="2" t="s">
        <v>645</v>
      </c>
      <c r="S59" s="20">
        <v>249</v>
      </c>
      <c r="U59" s="2" t="s">
        <v>646</v>
      </c>
      <c r="V59" s="20">
        <v>228</v>
      </c>
      <c r="X59" s="2" t="s">
        <v>647</v>
      </c>
      <c r="Y59" s="20">
        <v>178</v>
      </c>
      <c r="AA59" s="2" t="s">
        <v>648</v>
      </c>
      <c r="AB59" s="20">
        <v>197.6</v>
      </c>
      <c r="AJ59" s="2" t="s">
        <v>649</v>
      </c>
      <c r="AK59" s="20">
        <v>128</v>
      </c>
    </row>
    <row r="60" spans="6:40">
      <c r="F60" s="4">
        <v>57</v>
      </c>
      <c r="G60" s="4" t="s">
        <v>650</v>
      </c>
      <c r="H60" s="20">
        <v>8.88</v>
      </c>
      <c r="I60" s="21">
        <f t="shared" si="2"/>
        <v>6.50473347550473e-5</v>
      </c>
      <c r="L60" s="33"/>
      <c r="M60" s="34"/>
      <c r="O60" s="20" t="s">
        <v>651</v>
      </c>
      <c r="P60" s="20">
        <v>391.8</v>
      </c>
      <c r="R60" s="2" t="s">
        <v>652</v>
      </c>
      <c r="S60" s="20">
        <v>228</v>
      </c>
      <c r="U60" s="2" t="s">
        <v>653</v>
      </c>
      <c r="V60" s="20">
        <v>209</v>
      </c>
      <c r="X60" s="2" t="s">
        <v>654</v>
      </c>
      <c r="Y60" s="20">
        <v>178</v>
      </c>
      <c r="AA60" s="2" t="s">
        <v>655</v>
      </c>
      <c r="AB60" s="20">
        <v>188</v>
      </c>
      <c r="AJ60" s="2" t="s">
        <v>656</v>
      </c>
      <c r="AK60" s="20">
        <v>127.82</v>
      </c>
    </row>
    <row r="61" spans="6:40">
      <c r="F61" s="4">
        <v>58</v>
      </c>
      <c r="G61" s="4" t="s">
        <v>657</v>
      </c>
      <c r="H61" s="20">
        <v>2</v>
      </c>
      <c r="I61" s="21">
        <f t="shared" si="2"/>
        <v>1.46503006205062e-5</v>
      </c>
      <c r="L61" s="33"/>
      <c r="M61" s="34"/>
      <c r="O61" s="20" t="s">
        <v>658</v>
      </c>
      <c r="P61" s="20">
        <v>376</v>
      </c>
      <c r="R61" s="2" t="s">
        <v>659</v>
      </c>
      <c r="S61" s="20">
        <v>226</v>
      </c>
      <c r="U61" s="2" t="s">
        <v>660</v>
      </c>
      <c r="V61" s="20">
        <v>189</v>
      </c>
      <c r="X61" s="2" t="s">
        <v>661</v>
      </c>
      <c r="Y61" s="20">
        <v>178</v>
      </c>
      <c r="AA61" s="2" t="s">
        <v>662</v>
      </c>
      <c r="AB61" s="20">
        <v>169</v>
      </c>
      <c r="AJ61" s="2" t="s">
        <v>663</v>
      </c>
      <c r="AK61" s="20">
        <v>119</v>
      </c>
    </row>
    <row r="62" spans="6:40">
      <c r="F62" s="14"/>
      <c r="G62" s="14" t="s">
        <v>159</v>
      </c>
      <c r="H62" s="37">
        <v>136515.97</v>
      </c>
      <c r="I62" s="38"/>
      <c r="L62" s="33"/>
      <c r="M62" s="34"/>
      <c r="O62" s="20" t="s">
        <v>664</v>
      </c>
      <c r="P62" s="20">
        <v>358</v>
      </c>
      <c r="R62" s="2" t="s">
        <v>473</v>
      </c>
      <c r="S62" s="20">
        <v>225</v>
      </c>
      <c r="U62" s="2" t="s">
        <v>665</v>
      </c>
      <c r="V62" s="20">
        <v>118</v>
      </c>
      <c r="X62" s="2" t="s">
        <v>666</v>
      </c>
      <c r="Y62" s="20">
        <v>171.31</v>
      </c>
      <c r="AA62" s="2" t="s">
        <v>667</v>
      </c>
      <c r="AB62" s="20">
        <v>158</v>
      </c>
      <c r="AJ62" s="2" t="s">
        <v>668</v>
      </c>
      <c r="AK62" s="20">
        <v>118</v>
      </c>
    </row>
    <row r="63" spans="6:40">
      <c r="L63" s="33"/>
      <c r="M63" s="34"/>
      <c r="O63" s="20" t="s">
        <v>477</v>
      </c>
      <c r="P63" s="20">
        <v>358</v>
      </c>
      <c r="R63" s="2" t="s">
        <v>278</v>
      </c>
      <c r="S63" s="20">
        <v>210.58</v>
      </c>
      <c r="U63" s="36" t="s">
        <v>159</v>
      </c>
      <c r="V63" s="37">
        <v>9104.08</v>
      </c>
      <c r="X63" s="2" t="s">
        <v>669</v>
      </c>
      <c r="Y63" s="20">
        <v>168</v>
      </c>
      <c r="AA63" s="2" t="s">
        <v>670</v>
      </c>
      <c r="AB63" s="20">
        <v>149</v>
      </c>
      <c r="AJ63" s="36" t="s">
        <v>159</v>
      </c>
      <c r="AK63" s="37">
        <v>5776.43</v>
      </c>
    </row>
    <row r="64" spans="6:40">
      <c r="L64" s="33"/>
      <c r="M64" s="34"/>
      <c r="O64" s="20" t="s">
        <v>671</v>
      </c>
      <c r="P64" s="20">
        <v>318</v>
      </c>
      <c r="R64" s="2" t="s">
        <v>672</v>
      </c>
      <c r="S64" s="20">
        <v>199</v>
      </c>
      <c r="X64" s="2" t="s">
        <v>377</v>
      </c>
      <c r="Y64" s="20">
        <v>157</v>
      </c>
      <c r="AA64" s="2" t="s">
        <v>673</v>
      </c>
      <c r="AB64" s="20">
        <v>149</v>
      </c>
    </row>
    <row r="65" spans="12:28">
      <c r="L65" s="33"/>
      <c r="M65" s="34"/>
      <c r="O65" s="20" t="s">
        <v>674</v>
      </c>
      <c r="P65" s="20">
        <v>312</v>
      </c>
      <c r="R65" s="2" t="s">
        <v>675</v>
      </c>
      <c r="S65" s="20">
        <v>186.72</v>
      </c>
      <c r="X65" s="2" t="s">
        <v>676</v>
      </c>
      <c r="Y65" s="20">
        <v>135</v>
      </c>
      <c r="AA65" s="2" t="s">
        <v>677</v>
      </c>
      <c r="AB65" s="20">
        <v>144.14</v>
      </c>
    </row>
    <row r="66" spans="12:28">
      <c r="L66" s="33"/>
      <c r="M66" s="34"/>
      <c r="O66" s="20" t="s">
        <v>256</v>
      </c>
      <c r="P66" s="20">
        <v>296</v>
      </c>
      <c r="R66" s="2" t="s">
        <v>678</v>
      </c>
      <c r="S66" s="20">
        <v>185</v>
      </c>
      <c r="X66" s="2" t="s">
        <v>679</v>
      </c>
      <c r="Y66" s="20">
        <v>128</v>
      </c>
      <c r="AA66" s="2" t="s">
        <v>680</v>
      </c>
      <c r="AB66" s="20">
        <v>138</v>
      </c>
    </row>
    <row r="67" spans="12:28">
      <c r="L67" s="33"/>
      <c r="M67" s="34"/>
      <c r="O67" s="20" t="s">
        <v>681</v>
      </c>
      <c r="P67" s="20">
        <v>256</v>
      </c>
      <c r="R67" s="2" t="s">
        <v>682</v>
      </c>
      <c r="S67" s="20">
        <v>184</v>
      </c>
      <c r="X67" s="2" t="s">
        <v>683</v>
      </c>
      <c r="Y67" s="20">
        <v>125</v>
      </c>
      <c r="AA67" s="2" t="s">
        <v>684</v>
      </c>
      <c r="AB67" s="20">
        <v>138</v>
      </c>
    </row>
    <row r="68" spans="12:28">
      <c r="L68" s="33"/>
      <c r="M68" s="34"/>
      <c r="O68" s="20" t="s">
        <v>685</v>
      </c>
      <c r="P68" s="20">
        <v>209</v>
      </c>
      <c r="R68" s="2" t="s">
        <v>686</v>
      </c>
      <c r="S68" s="20">
        <v>179.2</v>
      </c>
      <c r="X68" s="2" t="s">
        <v>687</v>
      </c>
      <c r="Y68" s="20">
        <v>119</v>
      </c>
      <c r="AA68" s="36" t="s">
        <v>159</v>
      </c>
      <c r="AB68" s="37">
        <v>8781.97</v>
      </c>
    </row>
    <row r="69" spans="12:28">
      <c r="L69" s="33"/>
      <c r="M69" s="34"/>
      <c r="O69" s="20" t="s">
        <v>688</v>
      </c>
      <c r="P69" s="20">
        <v>208</v>
      </c>
      <c r="R69" s="2" t="s">
        <v>689</v>
      </c>
      <c r="S69" s="20">
        <v>179</v>
      </c>
      <c r="X69" s="2" t="s">
        <v>690</v>
      </c>
      <c r="Y69" s="20">
        <v>118</v>
      </c>
    </row>
    <row r="70" spans="12:28">
      <c r="L70" s="33"/>
      <c r="M70" s="34"/>
      <c r="O70" s="20" t="s">
        <v>691</v>
      </c>
      <c r="P70" s="20">
        <v>203.92</v>
      </c>
      <c r="R70" s="2" t="s">
        <v>692</v>
      </c>
      <c r="S70" s="20">
        <v>176</v>
      </c>
      <c r="X70" s="2" t="s">
        <v>693</v>
      </c>
      <c r="Y70" s="20">
        <v>117</v>
      </c>
    </row>
    <row r="71" spans="12:28">
      <c r="L71" s="33"/>
      <c r="M71" s="34"/>
      <c r="O71" s="20" t="s">
        <v>694</v>
      </c>
      <c r="P71" s="20">
        <v>199</v>
      </c>
      <c r="R71" s="2" t="s">
        <v>695</v>
      </c>
      <c r="S71" s="20">
        <v>158</v>
      </c>
      <c r="X71" s="2" t="s">
        <v>696</v>
      </c>
      <c r="Y71" s="20">
        <v>116</v>
      </c>
    </row>
    <row r="72" spans="12:28">
      <c r="L72" s="33"/>
      <c r="M72" s="34"/>
      <c r="O72" s="20" t="s">
        <v>697</v>
      </c>
      <c r="P72" s="20">
        <v>199</v>
      </c>
      <c r="R72" s="2" t="s">
        <v>365</v>
      </c>
      <c r="S72" s="20">
        <v>141.1</v>
      </c>
      <c r="X72" s="2" t="s">
        <v>698</v>
      </c>
      <c r="Y72" s="20">
        <v>112</v>
      </c>
    </row>
    <row r="73" spans="12:28">
      <c r="L73" s="33"/>
      <c r="M73" s="34"/>
      <c r="O73" s="20" t="s">
        <v>699</v>
      </c>
      <c r="P73" s="20">
        <v>198</v>
      </c>
      <c r="R73" s="2" t="s">
        <v>700</v>
      </c>
      <c r="S73" s="20">
        <v>127.36</v>
      </c>
      <c r="X73" s="2" t="s">
        <v>701</v>
      </c>
      <c r="Y73" s="20">
        <v>108</v>
      </c>
    </row>
    <row r="74" spans="12:28">
      <c r="L74" s="33"/>
      <c r="M74" s="34"/>
      <c r="O74" s="20" t="s">
        <v>702</v>
      </c>
      <c r="P74" s="20">
        <v>198</v>
      </c>
      <c r="R74" s="2" t="s">
        <v>703</v>
      </c>
      <c r="S74" s="20">
        <v>118</v>
      </c>
      <c r="X74" s="2" t="s">
        <v>704</v>
      </c>
      <c r="Y74" s="20">
        <v>108</v>
      </c>
    </row>
    <row r="75" spans="12:28">
      <c r="L75" s="33"/>
      <c r="M75" s="34"/>
      <c r="O75" s="20" t="s">
        <v>705</v>
      </c>
      <c r="P75" s="20">
        <v>196.64</v>
      </c>
      <c r="R75" s="2" t="s">
        <v>706</v>
      </c>
      <c r="S75" s="20">
        <v>115</v>
      </c>
      <c r="X75" s="2" t="s">
        <v>707</v>
      </c>
      <c r="Y75" s="20">
        <v>105</v>
      </c>
    </row>
    <row r="76" spans="12:28">
      <c r="L76" s="33"/>
      <c r="M76" s="34"/>
      <c r="O76" s="20" t="s">
        <v>708</v>
      </c>
      <c r="P76" s="20">
        <v>189</v>
      </c>
      <c r="R76" s="2" t="s">
        <v>709</v>
      </c>
      <c r="S76" s="20">
        <v>107</v>
      </c>
      <c r="X76" s="2" t="s">
        <v>710</v>
      </c>
      <c r="Y76" s="20">
        <v>103.84</v>
      </c>
    </row>
    <row r="77" spans="12:28">
      <c r="L77" s="33"/>
      <c r="M77" s="34"/>
      <c r="O77" s="20" t="s">
        <v>711</v>
      </c>
      <c r="P77" s="20">
        <v>179</v>
      </c>
      <c r="R77" s="2" t="s">
        <v>712</v>
      </c>
      <c r="S77" s="20">
        <v>98</v>
      </c>
      <c r="X77" s="2" t="s">
        <v>713</v>
      </c>
      <c r="Y77" s="20">
        <v>103.24</v>
      </c>
    </row>
    <row r="78" spans="12:28">
      <c r="L78" s="33"/>
      <c r="M78" s="34"/>
      <c r="O78" s="20" t="s">
        <v>714</v>
      </c>
      <c r="P78" s="20">
        <v>179</v>
      </c>
      <c r="R78" s="2" t="s">
        <v>715</v>
      </c>
      <c r="S78" s="20">
        <v>88</v>
      </c>
      <c r="X78" s="2" t="s">
        <v>716</v>
      </c>
      <c r="Y78" s="20">
        <v>98</v>
      </c>
    </row>
    <row r="79" spans="12:28">
      <c r="L79" s="33"/>
      <c r="M79" s="34"/>
      <c r="O79" s="20" t="s">
        <v>717</v>
      </c>
      <c r="P79" s="20">
        <v>179</v>
      </c>
      <c r="R79" s="36" t="s">
        <v>159</v>
      </c>
      <c r="S79" s="37">
        <v>12933.92</v>
      </c>
      <c r="X79" s="2" t="s">
        <v>718</v>
      </c>
      <c r="Y79" s="20">
        <v>98</v>
      </c>
    </row>
    <row r="80" spans="12:28">
      <c r="L80" s="33"/>
      <c r="M80" s="34"/>
      <c r="O80" s="20" t="s">
        <v>719</v>
      </c>
      <c r="P80" s="20">
        <v>179</v>
      </c>
      <c r="X80" s="2" t="s">
        <v>720</v>
      </c>
      <c r="Y80" s="20">
        <v>98</v>
      </c>
    </row>
    <row r="81" spans="12:25">
      <c r="L81" s="33"/>
      <c r="M81" s="34"/>
      <c r="O81" s="20" t="s">
        <v>721</v>
      </c>
      <c r="P81" s="20">
        <v>169</v>
      </c>
      <c r="X81" s="2" t="s">
        <v>722</v>
      </c>
      <c r="Y81" s="20">
        <v>90.02</v>
      </c>
    </row>
    <row r="82" spans="12:25">
      <c r="L82" s="33"/>
      <c r="M82" s="34"/>
      <c r="O82" s="20" t="s">
        <v>496</v>
      </c>
      <c r="P82" s="20">
        <v>169</v>
      </c>
      <c r="X82" s="2" t="s">
        <v>723</v>
      </c>
      <c r="Y82" s="20">
        <v>89</v>
      </c>
    </row>
    <row r="83" spans="12:25">
      <c r="L83" s="33"/>
      <c r="M83" s="34"/>
      <c r="O83" s="20" t="s">
        <v>724</v>
      </c>
      <c r="P83" s="20">
        <v>157.02</v>
      </c>
      <c r="X83" s="2" t="s">
        <v>725</v>
      </c>
      <c r="Y83" s="20">
        <v>85.63</v>
      </c>
    </row>
    <row r="84" spans="12:25">
      <c r="L84" s="33"/>
      <c r="M84" s="34"/>
      <c r="O84" s="20" t="s">
        <v>726</v>
      </c>
      <c r="P84" s="20">
        <v>138</v>
      </c>
      <c r="X84" s="2" t="s">
        <v>727</v>
      </c>
      <c r="Y84" s="20">
        <v>78</v>
      </c>
    </row>
    <row r="85" spans="12:25">
      <c r="L85" s="33"/>
      <c r="M85" s="34"/>
      <c r="O85" s="37" t="s">
        <v>159</v>
      </c>
      <c r="P85" s="37">
        <v>18694.11</v>
      </c>
      <c r="X85" s="2" t="s">
        <v>728</v>
      </c>
      <c r="Y85" s="20">
        <v>75.38</v>
      </c>
    </row>
    <row r="86" spans="12:25">
      <c r="X86" s="36" t="s">
        <v>159</v>
      </c>
      <c r="Y86" s="37">
        <v>8885.56</v>
      </c>
    </row>
  </sheetData>
  <conditionalFormatting sqref="B35"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I26" sqref="I26"/>
    </sheetView>
  </sheetViews>
  <sheetFormatPr defaultColWidth="9" defaultRowHeight="13.5"/>
  <cols>
    <col min="1" max="1" width="41.5044247787611" style="5" customWidth="1"/>
    <col min="2" max="16384" width="9" style="5"/>
  </cols>
  <sheetData>
    <row r="1" s="5" customFormat="1" ht="15" spans="1:1">
      <c r="A1" s="6" t="s">
        <v>729</v>
      </c>
    </row>
    <row r="3" s="5" customFormat="1" spans="1:1">
      <c r="A3" s="7" t="s">
        <v>730</v>
      </c>
    </row>
    <row r="5" s="5" customFormat="1" spans="1:1">
      <c r="A5" s="7" t="s">
        <v>731</v>
      </c>
    </row>
    <row r="7" s="5" customFormat="1" spans="1:1">
      <c r="A7" s="7" t="s">
        <v>732</v>
      </c>
    </row>
    <row r="9" s="5" customFormat="1" spans="1:1">
      <c r="A9" s="7" t="s">
        <v>733</v>
      </c>
    </row>
    <row r="11" s="5" customFormat="1" spans="1:1">
      <c r="A11" s="8" t="s">
        <v>734</v>
      </c>
    </row>
    <row r="12" s="5" customFormat="1" spans="1:1">
      <c r="A12" s="7"/>
    </row>
    <row r="13" s="5" customFormat="1" spans="1:1">
      <c r="A13" s="7" t="s">
        <v>735</v>
      </c>
    </row>
    <row r="15" s="5" customFormat="1" spans="1:1">
      <c r="A15" s="7" t="s">
        <v>736</v>
      </c>
    </row>
    <row r="17" s="5" customFormat="1" spans="1:1">
      <c r="A17" s="7" t="s">
        <v>737</v>
      </c>
    </row>
    <row r="19" s="5" customFormat="1" spans="1:1">
      <c r="A19" s="7" t="s">
        <v>738</v>
      </c>
    </row>
    <row r="21" s="5" customFormat="1" spans="1:1">
      <c r="A21" s="7"/>
    </row>
    <row r="22" s="5" customFormat="1" spans="1:1">
      <c r="A22" s="7" t="s">
        <v>739</v>
      </c>
    </row>
    <row r="24" s="5" customFormat="1" spans="1:1">
      <c r="A24" s="7" t="s">
        <v>740</v>
      </c>
    </row>
    <row r="26" s="5" customFormat="1" spans="1:1">
      <c r="A26" s="7" t="s">
        <v>741</v>
      </c>
    </row>
    <row r="28" s="5" customFormat="1" spans="1:1">
      <c r="A28" s="7" t="s">
        <v>742</v>
      </c>
    </row>
    <row r="30" s="5" customFormat="1" spans="1:1">
      <c r="A30" s="7" t="s">
        <v>743</v>
      </c>
    </row>
    <row r="32" s="5" customFormat="1" spans="1:1">
      <c r="A32" s="7" t="s">
        <v>744</v>
      </c>
    </row>
    <row r="34" s="5" customFormat="1" spans="1:1">
      <c r="A34" s="7" t="s">
        <v>745</v>
      </c>
    </row>
    <row r="36" s="5" customFormat="1" spans="1:1">
      <c r="A36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"/>
  <sheetViews>
    <sheetView workbookViewId="0">
      <selection activeCell="A90" sqref="$A90:$XFD90"/>
    </sheetView>
  </sheetViews>
  <sheetFormatPr defaultColWidth="9" defaultRowHeight="13.5"/>
  <cols>
    <col min="1" max="1" width="10.8761061946903" customWidth="1"/>
    <col min="2" max="2" width="11" customWidth="1"/>
    <col min="3" max="3" width="12" customWidth="1"/>
    <col min="10" max="10" width="11.5044247787611" customWidth="1"/>
    <col min="11" max="11" width="8.87610619469027" customWidth="1"/>
  </cols>
  <sheetData>
    <row r="1" spans="1:11">
      <c r="A1" s="1" t="s">
        <v>169</v>
      </c>
      <c r="B1" s="1" t="s">
        <v>746</v>
      </c>
      <c r="C1" s="1" t="s">
        <v>13</v>
      </c>
      <c r="J1" s="1" t="s">
        <v>747</v>
      </c>
      <c r="K1" s="1" t="s">
        <v>6</v>
      </c>
    </row>
    <row r="2" spans="1:11">
      <c r="A2" s="2" t="s">
        <v>748</v>
      </c>
      <c r="B2" s="2" t="s">
        <v>91</v>
      </c>
      <c r="C2" s="2"/>
      <c r="J2" s="3" t="s">
        <v>171</v>
      </c>
      <c r="K2" s="3" t="s">
        <v>749</v>
      </c>
    </row>
    <row r="3" spans="1:11">
      <c r="A3" s="2" t="s">
        <v>219</v>
      </c>
      <c r="B3" s="4" t="s">
        <v>112</v>
      </c>
      <c r="C3" s="2"/>
      <c r="J3" s="3" t="s">
        <v>172</v>
      </c>
      <c r="K3" s="3" t="s">
        <v>23</v>
      </c>
    </row>
    <row r="4" spans="1:11">
      <c r="A4" s="2" t="s">
        <v>212</v>
      </c>
      <c r="B4" s="4" t="s">
        <v>68</v>
      </c>
      <c r="C4" s="2"/>
      <c r="J4" s="3" t="s">
        <v>173</v>
      </c>
      <c r="K4" s="3" t="s">
        <v>32</v>
      </c>
    </row>
    <row r="5" spans="1:11">
      <c r="A5" s="2" t="s">
        <v>180</v>
      </c>
      <c r="B5" s="4" t="s">
        <v>181</v>
      </c>
      <c r="C5" s="2"/>
      <c r="J5" s="3" t="s">
        <v>174</v>
      </c>
      <c r="K5" s="3" t="s">
        <v>49</v>
      </c>
    </row>
    <row r="6" spans="1:11">
      <c r="A6" s="2" t="s">
        <v>187</v>
      </c>
      <c r="B6" s="4" t="s">
        <v>80</v>
      </c>
      <c r="C6" s="2"/>
      <c r="J6" s="3" t="s">
        <v>175</v>
      </c>
      <c r="K6" s="3" t="s">
        <v>176</v>
      </c>
    </row>
    <row r="7" spans="1:11">
      <c r="A7" s="2" t="s">
        <v>201</v>
      </c>
      <c r="B7" s="4" t="s">
        <v>82</v>
      </c>
      <c r="C7" s="2"/>
      <c r="J7" s="3" t="s">
        <v>178</v>
      </c>
      <c r="K7" s="3" t="s">
        <v>41</v>
      </c>
    </row>
    <row r="8" spans="1:11">
      <c r="A8" s="2" t="s">
        <v>207</v>
      </c>
      <c r="B8" s="4" t="s">
        <v>208</v>
      </c>
      <c r="C8" s="2"/>
      <c r="J8" s="3" t="s">
        <v>177</v>
      </c>
      <c r="K8" s="3" t="s">
        <v>36</v>
      </c>
    </row>
    <row r="9" spans="1:11">
      <c r="A9" s="2" t="s">
        <v>191</v>
      </c>
      <c r="B9" s="4" t="s">
        <v>45</v>
      </c>
      <c r="C9" s="2"/>
      <c r="J9" s="3" t="s">
        <v>179</v>
      </c>
      <c r="K9" s="3" t="s">
        <v>19</v>
      </c>
    </row>
    <row r="10" spans="1:11">
      <c r="A10" s="2" t="s">
        <v>179</v>
      </c>
      <c r="B10" s="4" t="s">
        <v>19</v>
      </c>
      <c r="C10" s="2"/>
      <c r="J10" s="3" t="s">
        <v>183</v>
      </c>
      <c r="K10" s="3" t="s">
        <v>73</v>
      </c>
    </row>
    <row r="11" spans="1:11">
      <c r="A11" s="2" t="s">
        <v>750</v>
      </c>
      <c r="B11" s="2" t="s">
        <v>90</v>
      </c>
      <c r="C11" s="2"/>
      <c r="J11" s="3" t="s">
        <v>180</v>
      </c>
      <c r="K11" s="3" t="s">
        <v>181</v>
      </c>
    </row>
    <row r="12" spans="1:11">
      <c r="A12" s="2" t="s">
        <v>194</v>
      </c>
      <c r="B12" s="4" t="s">
        <v>69</v>
      </c>
      <c r="C12" s="2"/>
      <c r="J12" s="3" t="s">
        <v>182</v>
      </c>
      <c r="K12" s="3" t="s">
        <v>46</v>
      </c>
    </row>
    <row r="13" spans="1:11">
      <c r="A13" s="2" t="s">
        <v>197</v>
      </c>
      <c r="B13" s="4" t="s">
        <v>79</v>
      </c>
      <c r="C13" s="2"/>
      <c r="J13" s="3" t="s">
        <v>185</v>
      </c>
      <c r="K13" s="3" t="s">
        <v>186</v>
      </c>
    </row>
    <row r="14" spans="1:11">
      <c r="A14" s="2" t="s">
        <v>234</v>
      </c>
      <c r="B14" s="4" t="s">
        <v>235</v>
      </c>
      <c r="C14" s="2"/>
      <c r="J14" s="3" t="s">
        <v>188</v>
      </c>
      <c r="K14" s="3" t="s">
        <v>84</v>
      </c>
    </row>
    <row r="15" spans="1:11">
      <c r="A15" s="2" t="s">
        <v>209</v>
      </c>
      <c r="B15" s="4" t="s">
        <v>64</v>
      </c>
      <c r="C15" s="2"/>
      <c r="J15" s="3" t="s">
        <v>184</v>
      </c>
      <c r="K15" s="3" t="s">
        <v>77</v>
      </c>
    </row>
    <row r="16" spans="1:11">
      <c r="A16" s="2" t="s">
        <v>751</v>
      </c>
      <c r="B16" s="4" t="s">
        <v>105</v>
      </c>
      <c r="C16" s="2"/>
      <c r="J16" s="3" t="s">
        <v>187</v>
      </c>
      <c r="K16" s="3" t="s">
        <v>80</v>
      </c>
    </row>
    <row r="17" spans="1:11">
      <c r="A17" s="2" t="s">
        <v>189</v>
      </c>
      <c r="B17" s="4" t="s">
        <v>71</v>
      </c>
      <c r="C17" s="2"/>
      <c r="J17" s="3" t="s">
        <v>189</v>
      </c>
      <c r="K17" s="3" t="s">
        <v>71</v>
      </c>
    </row>
    <row r="18" spans="1:11">
      <c r="A18" s="2" t="s">
        <v>198</v>
      </c>
      <c r="B18" s="4" t="s">
        <v>58</v>
      </c>
      <c r="C18" s="2"/>
      <c r="J18" s="3" t="s">
        <v>192</v>
      </c>
      <c r="K18" s="3" t="s">
        <v>193</v>
      </c>
    </row>
    <row r="19" spans="1:11">
      <c r="A19" s="2" t="s">
        <v>178</v>
      </c>
      <c r="B19" s="4" t="s">
        <v>41</v>
      </c>
      <c r="C19" s="2"/>
      <c r="J19" s="3" t="s">
        <v>191</v>
      </c>
      <c r="K19" s="3" t="s">
        <v>45</v>
      </c>
    </row>
    <row r="20" spans="1:11">
      <c r="A20" s="2" t="s">
        <v>173</v>
      </c>
      <c r="B20" s="4" t="s">
        <v>32</v>
      </c>
      <c r="C20" s="2"/>
      <c r="J20" s="3" t="s">
        <v>190</v>
      </c>
      <c r="K20" s="3" t="s">
        <v>93</v>
      </c>
    </row>
    <row r="21" spans="1:11">
      <c r="A21" s="2" t="s">
        <v>177</v>
      </c>
      <c r="B21" s="4" t="s">
        <v>36</v>
      </c>
      <c r="C21" s="2"/>
      <c r="J21" s="3" t="s">
        <v>194</v>
      </c>
      <c r="K21" s="3" t="s">
        <v>69</v>
      </c>
    </row>
    <row r="22" spans="1:11">
      <c r="A22" s="2" t="s">
        <v>182</v>
      </c>
      <c r="B22" s="4" t="s">
        <v>46</v>
      </c>
      <c r="C22" s="2"/>
      <c r="J22" s="3" t="s">
        <v>212</v>
      </c>
      <c r="K22" s="3" t="s">
        <v>68</v>
      </c>
    </row>
    <row r="23" spans="1:11">
      <c r="A23" s="2" t="s">
        <v>171</v>
      </c>
      <c r="B23" s="4" t="s">
        <v>749</v>
      </c>
      <c r="C23" s="2"/>
      <c r="J23" s="3" t="s">
        <v>207</v>
      </c>
      <c r="K23" s="3" t="s">
        <v>208</v>
      </c>
    </row>
    <row r="24" spans="1:11">
      <c r="A24" s="2" t="s">
        <v>227</v>
      </c>
      <c r="B24" s="4" t="s">
        <v>51</v>
      </c>
      <c r="C24" s="2"/>
      <c r="J24" s="3" t="s">
        <v>195</v>
      </c>
      <c r="K24" s="3" t="s">
        <v>62</v>
      </c>
    </row>
    <row r="25" spans="1:11">
      <c r="A25" s="2" t="s">
        <v>195</v>
      </c>
      <c r="B25" s="4" t="s">
        <v>62</v>
      </c>
      <c r="C25" s="2"/>
      <c r="J25" s="3" t="s">
        <v>197</v>
      </c>
      <c r="K25" s="3" t="s">
        <v>79</v>
      </c>
    </row>
    <row r="26" spans="1:11">
      <c r="A26" s="2" t="s">
        <v>102</v>
      </c>
      <c r="B26" s="4" t="s">
        <v>102</v>
      </c>
      <c r="C26" s="2"/>
      <c r="J26" s="3" t="s">
        <v>202</v>
      </c>
      <c r="K26" s="3" t="s">
        <v>63</v>
      </c>
    </row>
    <row r="27" spans="1:11">
      <c r="A27" s="2" t="s">
        <v>183</v>
      </c>
      <c r="B27" s="4" t="s">
        <v>73</v>
      </c>
      <c r="C27" s="2"/>
      <c r="J27" s="3" t="s">
        <v>196</v>
      </c>
      <c r="K27" s="3" t="s">
        <v>99</v>
      </c>
    </row>
    <row r="28" spans="1:11">
      <c r="A28" s="2" t="s">
        <v>203</v>
      </c>
      <c r="B28" s="4" t="s">
        <v>204</v>
      </c>
      <c r="C28" s="2"/>
      <c r="J28" s="3" t="s">
        <v>198</v>
      </c>
      <c r="K28" s="3" t="s">
        <v>58</v>
      </c>
    </row>
    <row r="29" spans="1:11">
      <c r="A29" s="2" t="s">
        <v>752</v>
      </c>
      <c r="B29" s="4" t="s">
        <v>113</v>
      </c>
      <c r="C29" s="2"/>
      <c r="J29" s="3" t="s">
        <v>200</v>
      </c>
      <c r="K29" s="3" t="s">
        <v>56</v>
      </c>
    </row>
    <row r="30" spans="1:11">
      <c r="A30" s="2" t="s">
        <v>175</v>
      </c>
      <c r="B30" s="4" t="s">
        <v>176</v>
      </c>
      <c r="C30" s="2"/>
      <c r="J30" s="3" t="s">
        <v>102</v>
      </c>
      <c r="K30" s="3" t="s">
        <v>102</v>
      </c>
    </row>
    <row r="31" spans="1:11">
      <c r="A31" s="2" t="s">
        <v>753</v>
      </c>
      <c r="B31" s="4" t="s">
        <v>114</v>
      </c>
      <c r="C31" s="2"/>
      <c r="J31" s="3" t="s">
        <v>199</v>
      </c>
      <c r="K31" s="3" t="s">
        <v>108</v>
      </c>
    </row>
    <row r="32" spans="1:11">
      <c r="A32" s="2" t="s">
        <v>192</v>
      </c>
      <c r="B32" s="4" t="s">
        <v>193</v>
      </c>
      <c r="C32" s="2"/>
      <c r="J32" s="3" t="s">
        <v>205</v>
      </c>
      <c r="K32" s="3" t="s">
        <v>94</v>
      </c>
    </row>
    <row r="33" spans="1:11">
      <c r="A33" s="2" t="s">
        <v>188</v>
      </c>
      <c r="B33" s="4" t="s">
        <v>84</v>
      </c>
      <c r="C33" s="2"/>
      <c r="J33" s="3" t="s">
        <v>211</v>
      </c>
      <c r="K33" s="3" t="s">
        <v>120</v>
      </c>
    </row>
    <row r="34" spans="1:11">
      <c r="A34" s="2" t="s">
        <v>202</v>
      </c>
      <c r="B34" s="4" t="s">
        <v>63</v>
      </c>
      <c r="C34" s="2"/>
      <c r="J34" s="3" t="s">
        <v>201</v>
      </c>
      <c r="K34" s="3" t="s">
        <v>82</v>
      </c>
    </row>
    <row r="35" spans="1:11">
      <c r="A35" s="2" t="s">
        <v>200</v>
      </c>
      <c r="B35" s="4" t="s">
        <v>56</v>
      </c>
      <c r="C35" s="2"/>
      <c r="J35" s="3" t="s">
        <v>203</v>
      </c>
      <c r="K35" s="3" t="s">
        <v>204</v>
      </c>
    </row>
    <row r="36" spans="1:11">
      <c r="A36" s="2" t="s">
        <v>185</v>
      </c>
      <c r="B36" s="4" t="s">
        <v>186</v>
      </c>
      <c r="C36" s="2"/>
      <c r="J36" s="3" t="s">
        <v>751</v>
      </c>
      <c r="K36" s="3" t="s">
        <v>105</v>
      </c>
    </row>
    <row r="37" spans="1:11">
      <c r="A37" s="2" t="s">
        <v>220</v>
      </c>
      <c r="B37" s="4" t="s">
        <v>75</v>
      </c>
      <c r="C37" s="2"/>
      <c r="J37" s="3" t="s">
        <v>209</v>
      </c>
      <c r="K37" s="3" t="s">
        <v>64</v>
      </c>
    </row>
    <row r="38" spans="1:11">
      <c r="A38" s="2" t="s">
        <v>214</v>
      </c>
      <c r="B38" s="4" t="s">
        <v>89</v>
      </c>
      <c r="C38" s="2"/>
      <c r="J38" s="3" t="s">
        <v>206</v>
      </c>
      <c r="K38" s="3" t="s">
        <v>82</v>
      </c>
    </row>
    <row r="39" spans="1:11">
      <c r="A39" s="2" t="s">
        <v>217</v>
      </c>
      <c r="B39" s="2" t="s">
        <v>754</v>
      </c>
      <c r="C39" s="2" t="s">
        <v>755</v>
      </c>
      <c r="J39" s="3" t="s">
        <v>210</v>
      </c>
      <c r="K39" s="3" t="s">
        <v>116</v>
      </c>
    </row>
    <row r="40" spans="1:11">
      <c r="A40" s="2" t="s">
        <v>756</v>
      </c>
      <c r="B40" s="2" t="s">
        <v>757</v>
      </c>
      <c r="C40" s="2"/>
      <c r="J40" s="3" t="s">
        <v>123</v>
      </c>
      <c r="K40" s="3" t="s">
        <v>123</v>
      </c>
    </row>
    <row r="41" spans="1:11">
      <c r="J41" s="3" t="s">
        <v>213</v>
      </c>
      <c r="K41" s="3" t="s">
        <v>125</v>
      </c>
    </row>
    <row r="42" spans="1:11">
      <c r="J42" s="3" t="s">
        <v>161</v>
      </c>
      <c r="K42" s="3" t="s">
        <v>126</v>
      </c>
    </row>
    <row r="43" spans="1:11">
      <c r="J43" s="3" t="s">
        <v>214</v>
      </c>
      <c r="K43" s="3" t="s">
        <v>89</v>
      </c>
    </row>
    <row r="44" spans="1:11">
      <c r="J44" s="3" t="s">
        <v>218</v>
      </c>
      <c r="K44" s="3" t="s">
        <v>131</v>
      </c>
    </row>
    <row r="45" spans="1:11">
      <c r="J45" s="3" t="s">
        <v>133</v>
      </c>
      <c r="K45" s="3" t="s">
        <v>133</v>
      </c>
    </row>
    <row r="46" spans="1:11">
      <c r="J46" s="3" t="s">
        <v>215</v>
      </c>
      <c r="K46" s="3" t="s">
        <v>128</v>
      </c>
    </row>
    <row r="47" spans="1:11">
      <c r="J47" s="3" t="s">
        <v>227</v>
      </c>
      <c r="K47" s="3" t="s">
        <v>51</v>
      </c>
    </row>
    <row r="48" spans="1:11">
      <c r="J48" s="3" t="s">
        <v>216</v>
      </c>
      <c r="K48" s="3" t="s">
        <v>111</v>
      </c>
    </row>
    <row r="49" spans="10:11">
      <c r="J49" s="3" t="s">
        <v>222</v>
      </c>
      <c r="K49" s="3" t="s">
        <v>223</v>
      </c>
    </row>
    <row r="50" spans="10:11">
      <c r="J50" s="3" t="s">
        <v>217</v>
      </c>
      <c r="K50" s="3" t="s">
        <v>97</v>
      </c>
    </row>
    <row r="51" spans="10:11">
      <c r="J51" s="3" t="s">
        <v>228</v>
      </c>
      <c r="K51" s="3" t="s">
        <v>87</v>
      </c>
    </row>
    <row r="52" spans="10:11">
      <c r="J52" s="3" t="s">
        <v>225</v>
      </c>
      <c r="K52" s="3" t="s">
        <v>135</v>
      </c>
    </row>
    <row r="53" spans="10:11">
      <c r="J53" s="3" t="s">
        <v>233</v>
      </c>
      <c r="K53" s="3" t="s">
        <v>101</v>
      </c>
    </row>
    <row r="54" spans="10:11">
      <c r="J54" s="3" t="s">
        <v>101</v>
      </c>
      <c r="K54" s="3" t="s">
        <v>101</v>
      </c>
    </row>
    <row r="55" spans="10:11">
      <c r="J55" s="3" t="s">
        <v>219</v>
      </c>
      <c r="K55" s="3" t="s">
        <v>112</v>
      </c>
    </row>
    <row r="56" spans="10:11">
      <c r="J56" s="3" t="s">
        <v>220</v>
      </c>
      <c r="K56" s="3" t="s">
        <v>75</v>
      </c>
    </row>
    <row r="57" spans="10:11">
      <c r="J57" s="3" t="s">
        <v>221</v>
      </c>
      <c r="K57" s="3" t="s">
        <v>113</v>
      </c>
    </row>
    <row r="58" spans="10:11">
      <c r="J58" s="3" t="s">
        <v>226</v>
      </c>
      <c r="K58" s="3" t="s">
        <v>136</v>
      </c>
    </row>
    <row r="59" spans="10:11">
      <c r="J59" s="3" t="s">
        <v>229</v>
      </c>
      <c r="K59" s="3" t="s">
        <v>140</v>
      </c>
    </row>
    <row r="60" spans="10:11">
      <c r="J60" s="3" t="s">
        <v>230</v>
      </c>
      <c r="K60" s="3" t="s">
        <v>142</v>
      </c>
    </row>
    <row r="61" spans="10:11">
      <c r="J61" s="3" t="s">
        <v>231</v>
      </c>
      <c r="K61" s="3" t="s">
        <v>39</v>
      </c>
    </row>
    <row r="62" spans="10:11">
      <c r="J62" s="3" t="s">
        <v>60</v>
      </c>
      <c r="K62" s="3" t="s">
        <v>60</v>
      </c>
    </row>
    <row r="63" spans="10:11">
      <c r="J63" s="3" t="s">
        <v>758</v>
      </c>
      <c r="K63" s="3"/>
    </row>
    <row r="64" spans="10:11">
      <c r="J64" s="3" t="s">
        <v>232</v>
      </c>
      <c r="K64" s="3" t="s">
        <v>144</v>
      </c>
    </row>
    <row r="65" spans="10:11">
      <c r="J65" s="3" t="s">
        <v>146</v>
      </c>
      <c r="K65" s="3" t="s">
        <v>146</v>
      </c>
    </row>
    <row r="66" spans="10:11">
      <c r="J66" s="3" t="s">
        <v>234</v>
      </c>
      <c r="K66" s="3" t="s">
        <v>235</v>
      </c>
    </row>
    <row r="67" spans="10:11">
      <c r="J67" s="3" t="s">
        <v>106</v>
      </c>
      <c r="K67" s="3" t="s">
        <v>106</v>
      </c>
    </row>
    <row r="68" spans="10:11">
      <c r="J68" s="3" t="s">
        <v>56</v>
      </c>
      <c r="K68" s="3" t="s">
        <v>56</v>
      </c>
    </row>
    <row r="69" spans="10:11">
      <c r="J69" s="3" t="s">
        <v>139</v>
      </c>
      <c r="K69" s="3" t="s">
        <v>139</v>
      </c>
    </row>
    <row r="70" spans="10:11">
      <c r="J70" s="3" t="s">
        <v>236</v>
      </c>
      <c r="K70" s="3" t="s">
        <v>139</v>
      </c>
    </row>
    <row r="71" spans="10:11">
      <c r="J71" s="3" t="s">
        <v>237</v>
      </c>
      <c r="K71" s="3" t="s">
        <v>34</v>
      </c>
    </row>
    <row r="72" spans="10:11">
      <c r="J72" s="3" t="s">
        <v>759</v>
      </c>
      <c r="K72" s="3" t="s">
        <v>759</v>
      </c>
    </row>
    <row r="73" spans="10:11">
      <c r="J73" s="3" t="s">
        <v>163</v>
      </c>
      <c r="K73" s="3" t="s">
        <v>148</v>
      </c>
    </row>
    <row r="74" spans="10:11">
      <c r="J74" s="3" t="s">
        <v>164</v>
      </c>
      <c r="K74" s="3" t="s">
        <v>149</v>
      </c>
    </row>
    <row r="75" spans="10:11">
      <c r="J75" s="3" t="s">
        <v>238</v>
      </c>
      <c r="K75" s="3" t="s">
        <v>103</v>
      </c>
    </row>
    <row r="76" spans="10:11">
      <c r="J76" s="3" t="s">
        <v>151</v>
      </c>
      <c r="K76" s="3" t="s">
        <v>151</v>
      </c>
    </row>
    <row r="77" spans="10:11">
      <c r="J77" s="3" t="s">
        <v>239</v>
      </c>
      <c r="K77" s="3" t="s">
        <v>153</v>
      </c>
    </row>
    <row r="78" spans="10:11">
      <c r="J78" s="3" t="s">
        <v>154</v>
      </c>
      <c r="K78" s="3" t="s">
        <v>154</v>
      </c>
    </row>
    <row r="79" spans="10:11">
      <c r="J79" s="3" t="s">
        <v>240</v>
      </c>
      <c r="K79" s="3" t="s">
        <v>241</v>
      </c>
    </row>
    <row r="80" spans="10:11">
      <c r="J80" s="3" t="s">
        <v>165</v>
      </c>
      <c r="K80" s="3" t="s">
        <v>156</v>
      </c>
    </row>
    <row r="81" spans="10:11">
      <c r="J81" s="3" t="s">
        <v>242</v>
      </c>
      <c r="K81" s="3" t="s">
        <v>158</v>
      </c>
    </row>
    <row r="82" spans="10:11">
      <c r="J82" s="2" t="s">
        <v>748</v>
      </c>
      <c r="K82" s="2" t="s">
        <v>91</v>
      </c>
    </row>
    <row r="83" spans="10:11">
      <c r="J83" s="2" t="s">
        <v>219</v>
      </c>
      <c r="K83" s="4" t="s">
        <v>112</v>
      </c>
    </row>
    <row r="84" spans="10:11">
      <c r="J84" s="2" t="s">
        <v>212</v>
      </c>
      <c r="K84" s="4" t="s">
        <v>68</v>
      </c>
    </row>
    <row r="85" spans="10:11">
      <c r="J85" s="2" t="s">
        <v>180</v>
      </c>
      <c r="K85" s="4" t="s">
        <v>181</v>
      </c>
    </row>
    <row r="86" spans="10:11">
      <c r="J86" s="2" t="s">
        <v>187</v>
      </c>
      <c r="K86" s="4" t="s">
        <v>80</v>
      </c>
    </row>
    <row r="87" spans="10:11">
      <c r="J87" s="2" t="s">
        <v>201</v>
      </c>
      <c r="K87" s="4" t="s">
        <v>82</v>
      </c>
    </row>
    <row r="88" spans="10:11">
      <c r="J88" s="2" t="s">
        <v>207</v>
      </c>
      <c r="K88" s="4" t="s">
        <v>208</v>
      </c>
    </row>
    <row r="89" spans="10:11">
      <c r="J89" s="2" t="s">
        <v>191</v>
      </c>
      <c r="K89" s="4" t="s">
        <v>45</v>
      </c>
    </row>
    <row r="90" spans="10:11">
      <c r="J90" s="2" t="s">
        <v>750</v>
      </c>
      <c r="K90" s="2" t="s">
        <v>90</v>
      </c>
    </row>
    <row r="91" spans="10:11">
      <c r="J91" s="2" t="s">
        <v>194</v>
      </c>
      <c r="K91" s="4" t="s">
        <v>69</v>
      </c>
    </row>
    <row r="92" spans="10:11">
      <c r="J92" s="2" t="s">
        <v>197</v>
      </c>
      <c r="K92" s="4" t="s">
        <v>79</v>
      </c>
    </row>
    <row r="93" spans="10:11">
      <c r="J93" s="2" t="s">
        <v>234</v>
      </c>
      <c r="K93" s="4" t="s">
        <v>235</v>
      </c>
    </row>
    <row r="94" spans="10:11">
      <c r="J94" s="2" t="s">
        <v>209</v>
      </c>
      <c r="K94" s="4" t="s">
        <v>64</v>
      </c>
    </row>
    <row r="95" spans="10:11">
      <c r="J95" s="2" t="s">
        <v>751</v>
      </c>
      <c r="K95" s="4" t="s">
        <v>105</v>
      </c>
    </row>
    <row r="96" spans="10:11">
      <c r="J96" s="2" t="s">
        <v>189</v>
      </c>
      <c r="K96" s="4" t="s">
        <v>71</v>
      </c>
    </row>
    <row r="97" spans="10:11">
      <c r="J97" s="2" t="s">
        <v>198</v>
      </c>
      <c r="K97" s="4" t="s">
        <v>58</v>
      </c>
    </row>
    <row r="98" spans="10:11">
      <c r="J98" s="2" t="s">
        <v>178</v>
      </c>
      <c r="K98" s="4" t="s">
        <v>41</v>
      </c>
    </row>
    <row r="99" spans="10:11">
      <c r="J99" s="2" t="s">
        <v>173</v>
      </c>
      <c r="K99" s="4" t="s">
        <v>32</v>
      </c>
    </row>
    <row r="100" spans="10:11">
      <c r="J100" s="2" t="s">
        <v>177</v>
      </c>
      <c r="K100" s="4" t="s">
        <v>36</v>
      </c>
    </row>
    <row r="101" spans="10:11">
      <c r="J101" s="2" t="s">
        <v>182</v>
      </c>
      <c r="K101" s="4" t="s">
        <v>46</v>
      </c>
    </row>
    <row r="102" spans="10:11">
      <c r="J102" s="2" t="s">
        <v>171</v>
      </c>
      <c r="K102" s="4" t="s">
        <v>749</v>
      </c>
    </row>
    <row r="103" spans="10:11">
      <c r="J103" s="2" t="s">
        <v>227</v>
      </c>
      <c r="K103" s="4" t="s">
        <v>51</v>
      </c>
    </row>
    <row r="104" spans="10:11">
      <c r="J104" s="2" t="s">
        <v>195</v>
      </c>
      <c r="K104" s="4" t="s">
        <v>62</v>
      </c>
    </row>
    <row r="105" spans="10:11">
      <c r="J105" s="2" t="s">
        <v>102</v>
      </c>
      <c r="K105" s="4" t="s">
        <v>102</v>
      </c>
    </row>
    <row r="106" spans="10:11">
      <c r="J106" s="2" t="s">
        <v>183</v>
      </c>
      <c r="K106" s="4" t="s">
        <v>73</v>
      </c>
    </row>
    <row r="107" spans="10:11">
      <c r="J107" s="2" t="s">
        <v>203</v>
      </c>
      <c r="K107" s="4" t="s">
        <v>204</v>
      </c>
    </row>
    <row r="108" spans="10:11">
      <c r="J108" s="2" t="s">
        <v>752</v>
      </c>
      <c r="K108" s="4" t="s">
        <v>113</v>
      </c>
    </row>
    <row r="109" spans="10:11">
      <c r="J109" s="2" t="s">
        <v>175</v>
      </c>
      <c r="K109" s="4" t="s">
        <v>176</v>
      </c>
    </row>
    <row r="110" spans="10:11">
      <c r="J110" s="2" t="s">
        <v>753</v>
      </c>
      <c r="K110" s="4" t="s">
        <v>114</v>
      </c>
    </row>
    <row r="111" spans="10:11">
      <c r="J111" s="2" t="s">
        <v>192</v>
      </c>
      <c r="K111" s="4" t="s">
        <v>193</v>
      </c>
    </row>
    <row r="112" spans="10:11">
      <c r="J112" s="2" t="s">
        <v>188</v>
      </c>
      <c r="K112" s="4" t="s">
        <v>84</v>
      </c>
    </row>
    <row r="113" spans="10:11">
      <c r="J113" s="2" t="s">
        <v>202</v>
      </c>
      <c r="K113" s="4" t="s">
        <v>63</v>
      </c>
    </row>
    <row r="114" spans="10:11">
      <c r="J114" s="2" t="s">
        <v>200</v>
      </c>
      <c r="K114" s="4" t="s">
        <v>56</v>
      </c>
    </row>
    <row r="115" spans="10:11">
      <c r="J115" s="2" t="s">
        <v>185</v>
      </c>
      <c r="K115" s="4" t="s">
        <v>186</v>
      </c>
    </row>
    <row r="116" spans="10:11">
      <c r="J116" s="2" t="s">
        <v>220</v>
      </c>
      <c r="K116" s="4" t="s">
        <v>75</v>
      </c>
    </row>
    <row r="117" spans="10:11">
      <c r="J117" s="2" t="s">
        <v>214</v>
      </c>
      <c r="K117" s="4" t="s">
        <v>89</v>
      </c>
    </row>
    <row r="118" spans="10:11">
      <c r="J118" s="2" t="s">
        <v>217</v>
      </c>
      <c r="K118" s="2" t="s">
        <v>754</v>
      </c>
    </row>
    <row r="119" spans="10:11">
      <c r="J119" s="2" t="s">
        <v>756</v>
      </c>
      <c r="K119" s="2" t="s">
        <v>757</v>
      </c>
    </row>
  </sheetData>
  <autoFilter xmlns:etc="http://www.wps.cn/officeDocument/2017/etCustomData" ref="J1:K119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启博+有赞供应商销售汇总表（2208）</vt:lpstr>
      <vt:lpstr>供应商销售统计-启博（2208 ）</vt:lpstr>
      <vt:lpstr>供应商销售统计-有赞（2208）</vt:lpstr>
      <vt:lpstr>启博+有赞商品销售统计（2208）</vt:lpstr>
      <vt:lpstr>秋冬款服饰规划草纲</vt:lpstr>
      <vt:lpstr>供应商名称整理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Joe</cp:lastModifiedBy>
  <dcterms:created xsi:type="dcterms:W3CDTF">2022-09-21T08:17:00Z</dcterms:created>
  <dcterms:modified xsi:type="dcterms:W3CDTF">2026-06-30T17:23:21Z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F27F2EF912414238B2DE265CDB27E5C6_13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