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2"/>
  </bookViews>
  <sheets>
    <sheet name="24年秋促活动数据 " sheetId="10" r:id="rId1"/>
    <sheet name="25年春促活动数据" sheetId="8" r:id="rId2"/>
    <sheet name="25年秋促产品方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<sst xmlns="http://schemas.openxmlformats.org/spreadsheetml/2006/main" count="323" uniqueCount="235">
  <si>
    <r>
      <rPr>
        <b/>
        <sz val="12"/>
        <color rgb="FF000000"/>
        <rFont val="微软雅黑"/>
        <charset val="134"/>
      </rPr>
      <t>广州万富希尔顿酒店—24年秋促数据分享
活动售卖时间：9.23-9.30日，共8天，销售额共</t>
    </r>
    <r>
      <rPr>
        <b/>
        <sz val="12"/>
        <color rgb="FFFF0000"/>
        <rFont val="微软雅黑"/>
        <charset val="134"/>
      </rPr>
      <t>968,963.7元</t>
    </r>
  </si>
  <si>
    <t>产品名称</t>
  </si>
  <si>
    <t>整体浏览量</t>
  </si>
  <si>
    <t>整体访客量</t>
  </si>
  <si>
    <t>整体销量</t>
  </si>
  <si>
    <t>活动价格</t>
  </si>
  <si>
    <t>整体交易额</t>
  </si>
  <si>
    <t>下单会员数</t>
  </si>
  <si>
    <t>首单会员数</t>
  </si>
  <si>
    <t>部门</t>
  </si>
  <si>
    <t>整体访问量</t>
  </si>
  <si>
    <t>销售分布</t>
  </si>
  <si>
    <t>销售占比</t>
  </si>
  <si>
    <t>交易额</t>
  </si>
  <si>
    <t>餐饮储值卡5000送2500</t>
  </si>
  <si>
    <t>客房部</t>
  </si>
  <si>
    <t>商户员工</t>
  </si>
  <si>
    <t>24年秋促 | 健身游泳100次卡</t>
  </si>
  <si>
    <t>餐饮部</t>
  </si>
  <si>
    <t>官微</t>
  </si>
  <si>
    <t>【限时返场】| 均价206元/位，平日周末国庆通用！自助晚餐14次套票，可拆分使用，可转赠~有效期至2025年2月28日！</t>
  </si>
  <si>
    <t>商务发展部</t>
  </si>
  <si>
    <t>消费者传播</t>
  </si>
  <si>
    <t>24年秋促 | 健身游泳30次卡</t>
  </si>
  <si>
    <t>前厅部</t>
  </si>
  <si>
    <t>联盟</t>
  </si>
  <si>
    <t>【限时返场】| 均价145元/位，周末自助午餐5次套票，赠送2位1.4米以下儿童用餐，可拆分使用，国庆可用，有效期至205年2月28日！</t>
  </si>
  <si>
    <t>保安部</t>
  </si>
  <si>
    <t>24年秋促 | 希尔顿客房2晚不含早</t>
  </si>
  <si>
    <t>财务部</t>
  </si>
  <si>
    <t>24年秋促 | 行政房2晚含早+行政礼遇</t>
  </si>
  <si>
    <t>厨房</t>
  </si>
  <si>
    <t>【限时返场】| 均价199.8元/位，平日自助晚餐5次套票，可拆分使用，可转赠~周末及国庆加价可用！有效期至2025年2月28日！ 【每日10点限时秒杀10套】</t>
  </si>
  <si>
    <t>工程部</t>
  </si>
  <si>
    <t>【限时返场】 | 单人健身游泳年卡，室内游泳池全年恒温，额外赠送游泳健身单次体验券10张+单人自助早餐券10张+单人周末自助午餐券4张！</t>
  </si>
  <si>
    <t>人力资源部</t>
  </si>
  <si>
    <t>24年秋促 | 希尔顿客房1晚含早+希游</t>
  </si>
  <si>
    <t>24年秋促 |  单人健身游泳季度卡</t>
  </si>
  <si>
    <t>行政办公室</t>
  </si>
  <si>
    <t>24年秋促 | 健身游泳50次卡</t>
  </si>
  <si>
    <t>已离职员工</t>
  </si>
  <si>
    <t>【限时返场】 | 单人健身游泳半年卡，室内游泳池全年恒温，额外赠送游泳健身单次体验券*5张+单人平日周末通用自助晚餐券2张！</t>
  </si>
  <si>
    <t>直客通</t>
  </si>
  <si>
    <t xml:space="preserve">  </t>
  </si>
  <si>
    <t>24年秋促 | 平日单人自助晚餐</t>
  </si>
  <si>
    <t>【限时返场】 | 单人健身年卡（不含游泳），额外赠送大堂吧2磅蛋糕券</t>
  </si>
  <si>
    <t>【限时返场】| 均价88.8元/次,自助早餐10次套票，可拆分使用，有效期至2025年2月28日！节假日通用！可微信转赠好友~</t>
  </si>
  <si>
    <t>24年秋促 | 两大两小周末自助午餐</t>
  </si>
  <si>
    <t>24年秋促 | 2-3人地道粤式茶点</t>
  </si>
  <si>
    <t>24年秋促 | 粤式双人晚市套餐</t>
  </si>
  <si>
    <t>24年秋促  | 500元洗衣储值卡</t>
  </si>
  <si>
    <t>24年秋促盲盒-单人自助早餐券</t>
  </si>
  <si>
    <t>【限时返场】| 均价75元/磅，大堂吧1磅蛋糕券4次套票，可拆分使用，有效期至2025年2月28日，节假日通用！</t>
  </si>
  <si>
    <t/>
  </si>
  <si>
    <t>24年秋促 | 单人周末自助午餐</t>
  </si>
  <si>
    <t>24年秋促  | 300元洗衣储值卡</t>
  </si>
  <si>
    <t>24年秋促盲盒-单人周末自助午餐</t>
  </si>
  <si>
    <t>24年秋促 | 希尔顿客房1晚双早双晚</t>
  </si>
  <si>
    <t>24年秋促 | 招牌脆片烧鸡一只</t>
  </si>
  <si>
    <t>24年秋促 | 大堂吧1磅蛋糕券</t>
  </si>
  <si>
    <t>24年秋促 |  单人健身游泳月度卡</t>
  </si>
  <si>
    <t>24年秋促 | 双人主题下午茶</t>
  </si>
  <si>
    <t>24年秋促 | 招牌红烧乳鸽一只</t>
  </si>
  <si>
    <t>24年秋促盲盒-洗衣5件</t>
  </si>
  <si>
    <t>24年秋促盲盒-双人主题下午茶</t>
  </si>
  <si>
    <t>24年秋促盲盒-健身游泳单人体验卡</t>
  </si>
  <si>
    <t>24年秋促盲盒-2-3人地道粤式茶点</t>
  </si>
  <si>
    <t>24年秋促盲盒-平日单人自助晚餐</t>
  </si>
  <si>
    <t>【限时返场】 | 咖啡5次套票，可拆分使用，有效期至2025年2月28日</t>
  </si>
  <si>
    <t>24年秋促 | 大堂吧招牌榴莲蛋糕2磅</t>
  </si>
  <si>
    <t>24年秋促盲盒-希尔顿客房1晚含早</t>
  </si>
  <si>
    <t>【限时返场】| 均价80元/次,自助早餐50次套票，可拆分使用，有效期180天！节假日通用！可微信转赠好友~</t>
  </si>
  <si>
    <t>24年秋促 | 单人自助早餐月卡</t>
  </si>
  <si>
    <t>24年秋促 | 全周通用儿童自助晚餐券</t>
  </si>
  <si>
    <t>24年秋促 | 儿童自助午餐券</t>
  </si>
  <si>
    <r>
      <rPr>
        <b/>
        <sz val="12"/>
        <color rgb="FF000000"/>
        <rFont val="微软雅黑"/>
        <charset val="134"/>
      </rPr>
      <t>广州万富希尔顿酒店—25年春促数据分享 
活动售卖时间：3.25-3.31日，销售额共</t>
    </r>
    <r>
      <rPr>
        <b/>
        <sz val="12"/>
        <color rgb="FFFF0000"/>
        <rFont val="微软雅黑"/>
        <charset val="134"/>
      </rPr>
      <t>1,047,185元</t>
    </r>
  </si>
  <si>
    <t>销售额分布</t>
  </si>
  <si>
    <t>充5000送2500</t>
  </si>
  <si>
    <t>春促 | ￥13566健身游泳100次卡 ，平均每次仅需135元，有效期13个月，额外赠送健身游泳体验券6张+单人全周通用自助早餐券5张+单人周末自助午餐券2张！</t>
  </si>
  <si>
    <t>春促 | 均价206元/位，平日周末通用！自助晚餐14次套票，可拆分使用，可转赠~有效期至2025年9月30日！</t>
  </si>
  <si>
    <t>春促 | 个人健身游泳年卡时段卡 ，下午4点前使用，室内游泳池全年恒温，额外赠送1个月使用有效期+单人自助早餐券6张+双人平日周末通用自助晚餐券1张+单人健身游泳体验券3张！</t>
  </si>
  <si>
    <t>七周年春促 | 健身游泳30次卡</t>
  </si>
  <si>
    <t>春促 | 均价199.8元/位，平日自助晚餐5次套票，可拆分使用，可转赠~周末加价可用！有效期至2025年9月30日！ 【每日12点限时秒杀10套】</t>
  </si>
  <si>
    <t>春促 | 单人健身游泳两年卡，室内游泳池全年恒温，额外赠送2个月使用有效期+游泳健身单次体验券3张+单人自助早餐券10张+单人全周通用自助晚餐券5张！</t>
  </si>
  <si>
    <t>春促 | 单人健身年卡（不含游泳），额外赠送1个月使用有效期+大堂吧双人下午茶一套</t>
  </si>
  <si>
    <t>春促 | 均价145元/位，周末自助午餐5次套票，赠送2位1.4米以下儿童用餐，可拆分使用，节假日可用，有效期至2025年9月30日！</t>
  </si>
  <si>
    <t>春促 | ￥8306健身游泳50次卡 ，平均每次仅需166元，使用有效期7个月，额外赠送健身游泳体验券2张+双人平日周末通用自助晚餐券1张+单人自助早餐券2张！</t>
  </si>
  <si>
    <t>七周年春促|周日周一专享希尔顿客房一晚</t>
  </si>
  <si>
    <t>已离职人员</t>
  </si>
  <si>
    <t>春促 | ￥788希尔顿客房一晚，含双人自助早餐+大堂吧欢迎饮品2杯，周六日及节假日通用！有效期至2025年8月31日！</t>
  </si>
  <si>
    <t>春促 | 单人健身游泳年卡，室内游泳池全年恒温，额外赠送1个月使用有效期+游泳健身单次体验券6张+单人自助早餐券6张+单人周末自助午餐券3张！</t>
  </si>
  <si>
    <t>七周年春促 | 平日单人自助晚餐</t>
  </si>
  <si>
    <t>春促 | ￥1698行政客房2晚（可拆分使用），赠双人自助早餐+行政礼遇，周六日及节假日通用！有效期至2025年8月31日！</t>
  </si>
  <si>
    <t>七周年春促 | 粤式双人晚市套餐</t>
  </si>
  <si>
    <t>前厅</t>
  </si>
  <si>
    <t>七周年春促 | 2-3人广府点心套餐</t>
  </si>
  <si>
    <t>康体中心</t>
  </si>
  <si>
    <t>春促 | 均价98.8元/次,自助早餐10次套票，可拆分使用，有效期至2025年9月30日！节假日通用！可微信转赠好友~</t>
  </si>
  <si>
    <t>充3000送1000</t>
  </si>
  <si>
    <t>七周年春促 | 鲍鱼河虾6人餐</t>
  </si>
  <si>
    <t>春促 | ￥4388单人健身游泳季度卡，室内游泳池全年恒温，额外赠送双人平日周末通用自助晚餐券1张！</t>
  </si>
  <si>
    <t>七周年春促  | 500元洗衣储值卡</t>
  </si>
  <si>
    <t>七周年春促 | 石斑帆立贝8-10人餐</t>
  </si>
  <si>
    <t>七周年春促 | 单人份咖啡+切件蛋糕</t>
  </si>
  <si>
    <t>七周年春促 | 双人主题下午茶</t>
  </si>
  <si>
    <t>七周年春促  | 1000元洗衣储值卡</t>
  </si>
  <si>
    <t>七周年春促 | 大堂吧招牌榴莲蛋糕2磅</t>
  </si>
  <si>
    <t>七周年春促 | 招牌脆片烧鸡一只</t>
  </si>
  <si>
    <t>七周年春促 | 招牌点心4选1</t>
  </si>
  <si>
    <t>春促 | 均价92元/磅，大堂吧1磅蛋糕券4次套票，可拆分使用，有效期至2025年9月30日，节假日通用！</t>
  </si>
  <si>
    <t>七周年春促 | 大堂吧1磅蛋糕券</t>
  </si>
  <si>
    <t>7周年春促 | 外带纸杯蛋糕套餐</t>
  </si>
  <si>
    <t>七周年春促 | 招牌红烧乳鸽一只</t>
  </si>
  <si>
    <t>七周年春促 | 单人周末自助午餐</t>
  </si>
  <si>
    <t>七周年春促  | 800元洗衣储值卡</t>
  </si>
  <si>
    <t>春促 | ￥788希尔顿客房一晚（不含早），赠市内50km里宝马i5单程用车+大堂吧欢迎饮品2杯，周六日及节假日通用！有效期至2025年8月31日！</t>
  </si>
  <si>
    <t>七周年春促 | 健身单人体验卡</t>
  </si>
  <si>
    <t>七周年春促 |  游泳单人体验卡</t>
  </si>
  <si>
    <t>七周年春促 | 单人自助早餐券</t>
  </si>
  <si>
    <t>七周年春促 | 希尔顿客房1晚不含早</t>
  </si>
  <si>
    <t>七周年春促|38元代3000元宴会代金券</t>
  </si>
  <si>
    <t>七周年春促 | 外带鸿运金猪套餐</t>
  </si>
  <si>
    <t>七周年春促 |  单人健身游泳月度卡</t>
  </si>
  <si>
    <t>七周年春促|正价婚宴菜单95折优惠券</t>
  </si>
  <si>
    <t>春促 | 单人健身游泳半年卡，室内游泳池全年恒温，额外赠送1个月使用有效期+游泳健身单次体验券2张+双人平日周末通用自助晚餐券1张+单人自助早餐券2张！</t>
  </si>
  <si>
    <t>广州万富希尔顿酒店2025年秋促活动产品方案</t>
  </si>
  <si>
    <t>一、秋促活动目标及时间规划</t>
  </si>
  <si>
    <t>1、秋促活动目标：100万</t>
  </si>
  <si>
    <t>2、秋促活动安排</t>
  </si>
  <si>
    <t>预热阶段：9月12日-9月14日</t>
  </si>
  <si>
    <t>促销阶段：9月15日-9月22日</t>
  </si>
  <si>
    <t>二、秋促产品方案建议</t>
  </si>
  <si>
    <t>营业点</t>
  </si>
  <si>
    <t>产品链接</t>
  </si>
  <si>
    <t>25年秋促价格</t>
  </si>
  <si>
    <t>25年秋促库存</t>
  </si>
  <si>
    <t>产品使用有效期</t>
  </si>
  <si>
    <t>备注</t>
  </si>
  <si>
    <t>25年春促活动价格</t>
  </si>
  <si>
    <t>25年春促销量</t>
  </si>
  <si>
    <t>25年春促销售额</t>
  </si>
  <si>
    <t>餐饮储值卡</t>
  </si>
  <si>
    <t>充5000送3000</t>
  </si>
  <si>
    <t>https://s.jdzd.cn/451BBU</t>
  </si>
  <si>
    <t>永久有效</t>
  </si>
  <si>
    <t>与此前条款一致</t>
  </si>
  <si>
    <t>充2000送1000</t>
  </si>
  <si>
    <t>https://s.jdzd.cn/7dTWqw</t>
  </si>
  <si>
    <t>感趣自助餐厅</t>
  </si>
  <si>
    <t>秋促 | 均价214元/位，平日周末通用！自助晚餐14次套票，可拆分使用，可转赠</t>
  </si>
  <si>
    <t>https://s.jdzd.cn/7fTWTD</t>
  </si>
  <si>
    <t>2026.2.28</t>
  </si>
  <si>
    <t>秋促 | 9月特惠，399两大两小自助晚餐（儿童1.2米以下）仅限工作日</t>
  </si>
  <si>
    <t>https://s.jdzd.cn/7fTWKz</t>
  </si>
  <si>
    <t>2026.9.30</t>
  </si>
  <si>
    <t>秋促 | 拼团208元/位平日自助晚餐，10位成团，可转赠~周末加价可用！周末每人加价60元</t>
  </si>
  <si>
    <t>https://s.jdzd.cn/941N3h</t>
  </si>
  <si>
    <t>秋促 | 均价151.6元/位，周末自助午餐5次套票，赠送2位1.4米以下儿童用餐，可拆分使用，节假日可用</t>
  </si>
  <si>
    <t>https://s.jdzd.cn/03LVW6</t>
  </si>
  <si>
    <t>秋促 | 平日单人自助晚餐</t>
  </si>
  <si>
    <t>https://s.jdzd.cn/4b1iOv</t>
  </si>
  <si>
    <t>秋促 | 均价98.8元/次,自助早餐10次套票，可拆分使用节假日通用！可微信转赠好友~</t>
  </si>
  <si>
    <t>https://s.jdzd.cn/5aTeRQ</t>
  </si>
  <si>
    <t>秋促 | 单人周末自助午餐</t>
  </si>
  <si>
    <t>https://s.jdzd.cn/51TehH</t>
  </si>
  <si>
    <t>秋促 | 558两大两小自助晚餐（含2位儿童1.4米以下），全周通用</t>
  </si>
  <si>
    <t>https://s.jdzd.cn/a9Tmvh</t>
  </si>
  <si>
    <t>/</t>
  </si>
  <si>
    <t>大堂吧</t>
  </si>
  <si>
    <t>秋促 | 单人份咖啡+切件蛋糕</t>
  </si>
  <si>
    <t>https://s.jdzd.cn/4a1iOf</t>
  </si>
  <si>
    <t>秋促 | 双人主题下午茶</t>
  </si>
  <si>
    <t>https://s.jdzd.cn/9e1dhj</t>
  </si>
  <si>
    <t>秋促 | 大堂吧招牌榴莲蛋糕2磅</t>
  </si>
  <si>
    <t>https://s.jdzd.cn/901d66</t>
  </si>
  <si>
    <t>秋促 | 大堂吧1磅蛋糕券</t>
  </si>
  <si>
    <t>https://s.jdzd.cn/d6TWxA</t>
  </si>
  <si>
    <t>秋促 | 外带纸杯蛋糕套餐</t>
  </si>
  <si>
    <t>https://s.jdzd.cn/01LVWp</t>
  </si>
  <si>
    <t>酌宴府中餐厅</t>
  </si>
  <si>
    <t>秋促 | 粤式双人晚市套餐</t>
  </si>
  <si>
    <t>https://s.jdzd.cn/6eT2oe</t>
  </si>
  <si>
    <t>秋促 | 2人广府点心套餐</t>
  </si>
  <si>
    <t>https://s.jdzd.cn/b01btk</t>
  </si>
  <si>
    <t>秋促 | 鲍鱼河虾6人餐</t>
  </si>
  <si>
    <t>https://s.jdzd.cn/75TWjm</t>
  </si>
  <si>
    <t>秋促 | 石斑帆立贝8-10人餐，赠送生日布置</t>
  </si>
  <si>
    <t>https://s.jdzd.cn/f7TbGU</t>
  </si>
  <si>
    <t>秋促 | 300元代金券，赠送月饼两盒（可选月满芳庭或礼鹤中秋）</t>
  </si>
  <si>
    <t>https://s.jdzd.cn/b41D8a</t>
  </si>
  <si>
    <t>不限</t>
  </si>
  <si>
    <t>2025.10.3</t>
  </si>
  <si>
    <t>秋促 | 500元代金券，赠送月饼五盒（可选月满芳庭或礼鹤中秋）</t>
  </si>
  <si>
    <t>https://s.jdzd.cn/8dTK0M</t>
  </si>
  <si>
    <t>秋促 | 10盒团购价，月满芳庭/礼鹤中秋 （同一款10盒起订）</t>
  </si>
  <si>
    <t>月满芳庭：https://s.jdzd.cn/66T2Yx
礼鹤中秋：https://s.jdzd.cn/b21Dzv</t>
  </si>
  <si>
    <t>秋促 | 璧月，单盒团购价（4粒装）</t>
  </si>
  <si>
    <t>https://s.jdzd.cn/b71Dze</t>
  </si>
  <si>
    <t>秋促 | 熹月，单盒团购价（8粒装）</t>
  </si>
  <si>
    <t>https://s.jdzd.cn/53TUm6</t>
  </si>
  <si>
    <t>秋促 | 绮月限量包包款 | 购中秋月饼，赠时尚链条包 （4粒装）</t>
  </si>
  <si>
    <t>https://s.jdzd.cn/23wYA3</t>
  </si>
  <si>
    <t>健身中心</t>
  </si>
  <si>
    <t>秋促 | ￥13566健身游泳100次卡 ，平均每次仅需135元，有效期13个月，额外赠送健身游泳体验券6张+单人全周通用自助早餐券5张+单人周末自助午餐券2张！</t>
  </si>
  <si>
    <t>https://s.jdzd.cn/14T01A</t>
  </si>
  <si>
    <t>2025.12.31前激活</t>
  </si>
  <si>
    <t>秋促 | 个人健身游泳年卡时段卡 ，下午4点前使用，室内游泳池全年恒温，额外赠送1个月使用有效期+单人自助早餐券6张+双人平日周末通用自助晚餐券1张+单人健身游泳体验券3张！</t>
  </si>
  <si>
    <t>https://s.jdzd.cn/b91b7j</t>
  </si>
  <si>
    <t>秋促 | 健身游泳30次卡</t>
  </si>
  <si>
    <t>https://s.jdzd.cn/1cT01g</t>
  </si>
  <si>
    <t>秋促 | 单人健身游泳两年卡，室内游泳池全年恒温，额外赠送2个月使用有效期+游泳健身单次体验券3张+单人自助早餐券10张+单人全周通用自助晚餐券5张！</t>
  </si>
  <si>
    <t>https://s.jdzd.cn/1eT017</t>
  </si>
  <si>
    <t>秋促 | 单人健身年卡（不含游泳），额外赠送1个月使用有效期+大堂吧双人下午茶一套</t>
  </si>
  <si>
    <t>https://s.jdzd.cn/9c1dhW</t>
  </si>
  <si>
    <t>秋促 | ￥8306健身游泳50次卡 ，平均每次仅需166元，使用有效期7个月，额外赠送健身游泳体验券2张+双人平日周末通用自助晚餐券1张+单人自助早餐券2张！</t>
  </si>
  <si>
    <t>https://s.jdzd.cn/0cLVco</t>
  </si>
  <si>
    <t>秋促 | 单人健身游泳年卡，室内游泳池全年恒温，额外赠送1个月使用有效期+游泳健身单次体验券6张+单人自助早餐券6张+单人周末自助午餐券3张！</t>
  </si>
  <si>
    <t>https://s.jdzd.cn/fcTbQB</t>
  </si>
  <si>
    <t>秋促 | ￥4388单人健身游泳季度卡，室内游泳池全年恒温，额外赠送双人平日周末通用自助晚餐券1张！</t>
  </si>
  <si>
    <t>https://s.jdzd.cn/5fTeRs</t>
  </si>
  <si>
    <t>客房</t>
  </si>
  <si>
    <t>秋促 | ￥788希尔顿客房一晚，含双人自助早餐+大堂吧欢迎饮品2杯，周六日及节假日通用！</t>
  </si>
  <si>
    <t>https://s.jdzd.cn/f3TbQZ</t>
  </si>
  <si>
    <t>大型展会及广交会期间（10.14-11.3）不适用，至少提前1天预约</t>
  </si>
  <si>
    <t>秋促 | ￥1698行政客房2晚（可拆分使用），赠双人自助早餐+行政礼遇，周六日及节假日通用！</t>
  </si>
  <si>
    <t>https://s.jdzd.cn/26wYFJ</t>
  </si>
  <si>
    <t>秋促 | 希尔顿客房5间含双早，可拆分，可连住（加赠客房升级券2张，视房态升级至上一档房型，需提前预约）</t>
  </si>
  <si>
    <t>https://s.jdzd.cn/aeTmMS</t>
  </si>
  <si>
    <t>洗衣房</t>
  </si>
  <si>
    <t>秋促  | 500元洗衣储值卡</t>
  </si>
  <si>
    <t>https://s.jdzd.cn/8cTq7L</t>
  </si>
  <si>
    <t>秋促  | 1000元洗衣储值卡</t>
  </si>
  <si>
    <t>https://s.jdzd.cn/31TrlF</t>
  </si>
  <si>
    <t>秋促  | 800元洗衣储值卡</t>
  </si>
  <si>
    <t>https://s.jdzd.cn/18T01M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</si>
</sst>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&quot;"/>
    <numFmt numFmtId="177" formatCode="0.0%"/>
  </numFmts>
  <fonts count="46">
    <font>
      <sz val="11"/>
      <color theme="1"/>
      <name val="宋体"/>
      <charset val="134"/>
      <scheme val="minor"/>
    </font>
    <font>
      <sz val="11"/>
      <color theme="1"/>
      <name val="Microsoft YaHei Light"/>
      <charset val="134"/>
    </font>
    <font>
      <b/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0"/>
      <name val="Microsoft YaHei Light"/>
      <charset val="134"/>
    </font>
    <font>
      <b/>
      <sz val="11"/>
      <color theme="1"/>
      <name val="宋体"/>
      <charset val="134"/>
      <scheme val="minor"/>
    </font>
    <font>
      <b/>
      <sz val="13"/>
      <color theme="0"/>
      <name val="Microsoft YaHei Light"/>
      <charset val="134"/>
    </font>
    <font>
      <b/>
      <sz val="14"/>
      <color rgb="FFC0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3"/>
      <color theme="0"/>
      <name val="宋体"/>
      <charset val="134"/>
      <scheme val="minor"/>
    </font>
    <font>
      <b/>
      <sz val="12"/>
      <color theme="1"/>
      <name val="微软雅黑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b/>
      <sz val="18"/>
      <color rgb="FF00B0F0"/>
      <name val="Microsoft YaHei Light"/>
      <charset val="134"/>
    </font>
    <font>
      <sz val="11"/>
      <color rgb="FF00B0F0"/>
      <name val="Microsoft YaHei Light"/>
      <charset val="134"/>
    </font>
    <font>
      <sz val="11"/>
      <color theme="0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2"/>
      <color indexed="8"/>
      <name val="微软雅黑"/>
      <charset val="134"/>
    </font>
    <font>
      <sz val="12"/>
      <color indexed="8"/>
      <name val="微软雅黑"/>
      <charset val="134"/>
    </font>
    <font>
      <b/>
      <sz val="10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2"/>
      <color rgb="FF333333"/>
      <name val="微软雅黑"/>
      <charset val="134"/>
    </font>
    <font>
      <sz val="9"/>
      <color indexed="8"/>
      <name val="宋体"/>
      <charset val="134"/>
      <scheme val="minor"/>
    </font>
    <font>
      <sz val="9"/>
      <color rgb="FF333333"/>
      <name val="Microsoft YaHei"/>
      <charset val="134"/>
    </font>
    <font>
      <b/>
      <sz val="9"/>
      <color indexed="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/>
      <right style="thin">
        <color indexed="23"/>
      </right>
      <top/>
      <bottom/>
      <diagonal/>
    </border>
    <border>
      <left style="thin">
        <color auto="1"/>
      </left>
      <right style="thin">
        <color indexed="23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23"/>
      </right>
      <top style="thin">
        <color auto="1"/>
      </top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auto="1"/>
      </left>
      <right style="thin">
        <color indexed="23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1" borderId="1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2" borderId="20" applyNumberFormat="0" applyAlignment="0" applyProtection="0">
      <alignment vertical="center"/>
    </xf>
    <xf numFmtId="0" fontId="35" fillId="13" borderId="21" applyNumberFormat="0" applyAlignment="0" applyProtection="0">
      <alignment vertical="center"/>
    </xf>
    <xf numFmtId="0" fontId="36" fillId="13" borderId="20" applyNumberFormat="0" applyAlignment="0" applyProtection="0">
      <alignment vertical="center"/>
    </xf>
    <xf numFmtId="0" fontId="37" fillId="14" borderId="22" applyNumberFormat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176" fontId="8" fillId="0" borderId="0" xfId="0" applyNumberFormat="1" applyFont="1" applyAlignment="1">
      <alignment horizontal="right" vertical="center"/>
    </xf>
    <xf numFmtId="176" fontId="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0" fontId="9" fillId="0" borderId="0" xfId="0" applyFont="1">
      <alignment vertical="center"/>
    </xf>
    <xf numFmtId="0" fontId="10" fillId="3" borderId="0" xfId="0" applyFont="1" applyFill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right" vertical="center"/>
    </xf>
    <xf numFmtId="49" fontId="13" fillId="0" borderId="3" xfId="0" applyNumberFormat="1" applyFont="1" applyBorder="1" applyAlignment="1">
      <alignment horizontal="center" vertical="center"/>
    </xf>
    <xf numFmtId="49" fontId="13" fillId="6" borderId="1" xfId="0" applyNumberFormat="1" applyFont="1" applyFill="1" applyBorder="1">
      <alignment vertical="center"/>
    </xf>
    <xf numFmtId="49" fontId="13" fillId="0" borderId="1" xfId="0" applyNumberFormat="1" applyFont="1" applyFill="1" applyBorder="1">
      <alignment vertical="center"/>
    </xf>
    <xf numFmtId="1" fontId="13" fillId="0" borderId="1" xfId="0" applyNumberFormat="1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>
      <alignment vertical="center"/>
    </xf>
    <xf numFmtId="49" fontId="13" fillId="0" borderId="1" xfId="0" applyNumberFormat="1" applyFont="1" applyBorder="1" applyAlignment="1">
      <alignment vertical="center" wrapText="1"/>
    </xf>
    <xf numFmtId="1" fontId="13" fillId="6" borderId="1" xfId="0" applyNumberFormat="1" applyFont="1" applyFill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49" fontId="13" fillId="8" borderId="1" xfId="0" applyNumberFormat="1" applyFont="1" applyFill="1" applyBorder="1">
      <alignment vertical="center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3" fillId="0" borderId="2" xfId="0" applyNumberFormat="1" applyFont="1" applyBorder="1">
      <alignment vertical="center"/>
    </xf>
    <xf numFmtId="1" fontId="13" fillId="5" borderId="2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3" fontId="15" fillId="2" borderId="0" xfId="1" applyFont="1" applyFill="1">
      <alignment vertical="center"/>
    </xf>
    <xf numFmtId="0" fontId="10" fillId="2" borderId="0" xfId="0" applyFont="1" applyFill="1" applyAlignment="1">
      <alignment horizontal="center" vertical="center"/>
    </xf>
    <xf numFmtId="43" fontId="16" fillId="2" borderId="0" xfId="1" applyFont="1" applyFill="1">
      <alignment vertical="center"/>
    </xf>
    <xf numFmtId="43" fontId="2" fillId="0" borderId="0" xfId="1" applyFont="1">
      <alignment vertical="center"/>
    </xf>
    <xf numFmtId="43" fontId="3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7" fillId="9" borderId="9" xfId="0" applyFont="1" applyFill="1" applyBorder="1" applyAlignment="1">
      <alignment horizontal="center" vertical="center" wrapText="1"/>
    </xf>
    <xf numFmtId="0" fontId="18" fillId="9" borderId="10" xfId="0" applyFont="1" applyFill="1" applyBorder="1" applyAlignment="1">
      <alignment horizontal="righ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center" vertical="center"/>
    </xf>
    <xf numFmtId="49" fontId="13" fillId="0" borderId="2" xfId="0" applyNumberFormat="1" applyFont="1" applyBorder="1" applyAlignment="1">
      <alignment vertical="center" wrapText="1"/>
    </xf>
    <xf numFmtId="1" fontId="13" fillId="0" borderId="2" xfId="0" applyNumberFormat="1" applyFont="1" applyBorder="1">
      <alignment vertical="center"/>
    </xf>
    <xf numFmtId="0" fontId="19" fillId="0" borderId="2" xfId="0" applyFont="1" applyBorder="1">
      <alignment vertical="center"/>
    </xf>
    <xf numFmtId="0" fontId="18" fillId="9" borderId="10" xfId="0" applyFont="1" applyFill="1" applyBorder="1" applyAlignment="1">
      <alignment horizontal="center" vertical="center" wrapText="1"/>
    </xf>
    <xf numFmtId="0" fontId="18" fillId="9" borderId="10" xfId="0" applyFont="1" applyFill="1" applyBorder="1" applyAlignment="1">
      <alignment horizontal="left" vertical="center" wrapText="1"/>
    </xf>
    <xf numFmtId="0" fontId="18" fillId="10" borderId="11" xfId="0" applyFont="1" applyFill="1" applyBorder="1" applyAlignment="1">
      <alignment horizontal="left"/>
    </xf>
    <xf numFmtId="0" fontId="18" fillId="10" borderId="11" xfId="0" applyFont="1" applyFill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12" fillId="10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49" fontId="13" fillId="0" borderId="13" xfId="0" applyNumberFormat="1" applyFont="1" applyBorder="1" applyAlignment="1">
      <alignment horizontal="left" vertical="center"/>
    </xf>
    <xf numFmtId="1" fontId="13" fillId="0" borderId="14" xfId="0" applyNumberFormat="1" applyFont="1" applyBorder="1">
      <alignment vertical="center"/>
    </xf>
    <xf numFmtId="0" fontId="19" fillId="0" borderId="15" xfId="0" applyFont="1" applyBorder="1">
      <alignment vertical="center"/>
    </xf>
    <xf numFmtId="0" fontId="21" fillId="0" borderId="0" xfId="0" applyFont="1" applyAlignment="1">
      <alignment horizontal="center"/>
    </xf>
    <xf numFmtId="0" fontId="19" fillId="0" borderId="2" xfId="0" applyFont="1" applyBorder="1" applyAlignment="1">
      <alignment horizontal="center"/>
    </xf>
    <xf numFmtId="49" fontId="13" fillId="0" borderId="16" xfId="0" applyNumberFormat="1" applyFont="1" applyBorder="1" applyAlignment="1">
      <alignment horizontal="left" vertical="center"/>
    </xf>
    <xf numFmtId="0" fontId="19" fillId="0" borderId="7" xfId="0" applyFont="1" applyBorder="1">
      <alignment vertical="center"/>
    </xf>
    <xf numFmtId="0" fontId="22" fillId="0" borderId="2" xfId="0" applyFont="1" applyBorder="1" applyAlignment="1">
      <alignment horizontal="center"/>
    </xf>
    <xf numFmtId="0" fontId="23" fillId="0" borderId="0" xfId="0" applyFont="1" applyAlignment="1"/>
    <xf numFmtId="0" fontId="22" fillId="0" borderId="0" xfId="0" applyFont="1" applyAlignment="1">
      <alignment horizontal="left"/>
    </xf>
    <xf numFmtId="9" fontId="22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9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77" fontId="22" fillId="0" borderId="2" xfId="0" applyNumberFormat="1" applyFont="1" applyBorder="1" applyAlignment="1">
      <alignment horizontal="center"/>
    </xf>
    <xf numFmtId="4" fontId="22" fillId="0" borderId="2" xfId="0" applyNumberFormat="1" applyFont="1" applyBorder="1" applyAlignment="1">
      <alignment horizontal="center"/>
    </xf>
    <xf numFmtId="0" fontId="17" fillId="9" borderId="10" xfId="0" applyFont="1" applyFill="1" applyBorder="1" applyAlignment="1">
      <alignment horizontal="right" vertical="center" wrapText="1"/>
    </xf>
    <xf numFmtId="0" fontId="11" fillId="4" borderId="2" xfId="0" applyFont="1" applyFill="1" applyBorder="1" applyAlignment="1">
      <alignment horizontal="right" vertical="center"/>
    </xf>
    <xf numFmtId="1" fontId="13" fillId="0" borderId="2" xfId="0" applyNumberFormat="1" applyFont="1" applyBorder="1" applyAlignment="1">
      <alignment horizontal="right" vertical="center"/>
    </xf>
    <xf numFmtId="0" fontId="19" fillId="0" borderId="2" xfId="0" applyFont="1" applyBorder="1" applyAlignment="1">
      <alignment horizontal="right" vertical="center"/>
    </xf>
    <xf numFmtId="0" fontId="17" fillId="9" borderId="1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49" fontId="13" fillId="0" borderId="13" xfId="0" applyNumberFormat="1" applyFont="1" applyBorder="1">
      <alignment vertical="center"/>
    </xf>
    <xf numFmtId="49" fontId="13" fillId="0" borderId="16" xfId="0" applyNumberFormat="1" applyFont="1" applyBorder="1">
      <alignment vertical="center"/>
    </xf>
    <xf numFmtId="0" fontId="2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s.jdzd.cn/4b1iOv" TargetMode="External"/><Relationship Id="rId8" Type="http://schemas.openxmlformats.org/officeDocument/2006/relationships/hyperlink" Target="https://s.jdzd.cn/03LVW6" TargetMode="External"/><Relationship Id="rId7" Type="http://schemas.openxmlformats.org/officeDocument/2006/relationships/hyperlink" Target="https://s.jdzd.cn/941N3h" TargetMode="External"/><Relationship Id="rId6" Type="http://schemas.openxmlformats.org/officeDocument/2006/relationships/hyperlink" Target="https://s.jdzd.cn/7fTWKz" TargetMode="External"/><Relationship Id="rId5" Type="http://schemas.openxmlformats.org/officeDocument/2006/relationships/hyperlink" Target="https://s.jdzd.cn/8dTK0M" TargetMode="External"/><Relationship Id="rId4" Type="http://schemas.openxmlformats.org/officeDocument/2006/relationships/hyperlink" Target="https://s.jdzd.cn/b41D8a" TargetMode="External"/><Relationship Id="rId38" Type="http://schemas.openxmlformats.org/officeDocument/2006/relationships/hyperlink" Target="https://s.jdzd.cn/18T01M" TargetMode="External"/><Relationship Id="rId37" Type="http://schemas.openxmlformats.org/officeDocument/2006/relationships/hyperlink" Target="https://s.jdzd.cn/31TrlF" TargetMode="External"/><Relationship Id="rId36" Type="http://schemas.openxmlformats.org/officeDocument/2006/relationships/hyperlink" Target="https://s.jdzd.cn/8cTq7L" TargetMode="External"/><Relationship Id="rId35" Type="http://schemas.openxmlformats.org/officeDocument/2006/relationships/hyperlink" Target="https://s.jdzd.cn/aeTmMS" TargetMode="External"/><Relationship Id="rId34" Type="http://schemas.openxmlformats.org/officeDocument/2006/relationships/hyperlink" Target="https://s.jdzd.cn/26wYFJ" TargetMode="External"/><Relationship Id="rId33" Type="http://schemas.openxmlformats.org/officeDocument/2006/relationships/hyperlink" Target="https://s.jdzd.cn/f3TbQZ" TargetMode="External"/><Relationship Id="rId32" Type="http://schemas.openxmlformats.org/officeDocument/2006/relationships/hyperlink" Target="https://s.jdzd.cn/5fTeRs" TargetMode="External"/><Relationship Id="rId31" Type="http://schemas.openxmlformats.org/officeDocument/2006/relationships/hyperlink" Target="https://s.jdzd.cn/fcTbQB" TargetMode="External"/><Relationship Id="rId30" Type="http://schemas.openxmlformats.org/officeDocument/2006/relationships/hyperlink" Target="https://s.jdzd.cn/9c1dhW" TargetMode="External"/><Relationship Id="rId3" Type="http://schemas.openxmlformats.org/officeDocument/2006/relationships/hyperlink" Target="https://s.jdzd.cn/7dTWqw" TargetMode="External"/><Relationship Id="rId29" Type="http://schemas.openxmlformats.org/officeDocument/2006/relationships/hyperlink" Target="https://s.jdzd.cn/1eT017" TargetMode="External"/><Relationship Id="rId28" Type="http://schemas.openxmlformats.org/officeDocument/2006/relationships/hyperlink" Target="https://s.jdzd.cn/1cT01g" TargetMode="External"/><Relationship Id="rId27" Type="http://schemas.openxmlformats.org/officeDocument/2006/relationships/hyperlink" Target="https://s.jdzd.cn/b91b7j" TargetMode="External"/><Relationship Id="rId26" Type="http://schemas.openxmlformats.org/officeDocument/2006/relationships/hyperlink" Target="https://s.jdzd.cn/14T01A" TargetMode="External"/><Relationship Id="rId25" Type="http://schemas.openxmlformats.org/officeDocument/2006/relationships/hyperlink" Target="https://s.jdzd.cn/23wYA3" TargetMode="External"/><Relationship Id="rId24" Type="http://schemas.openxmlformats.org/officeDocument/2006/relationships/hyperlink" Target="https://s.jdzd.cn/53TUm6" TargetMode="External"/><Relationship Id="rId23" Type="http://schemas.openxmlformats.org/officeDocument/2006/relationships/hyperlink" Target="https://s.jdzd.cn/b71Dze" TargetMode="External"/><Relationship Id="rId22" Type="http://schemas.openxmlformats.org/officeDocument/2006/relationships/hyperlink" Target="https://s.jdzd.cn/f7TbGU" TargetMode="External"/><Relationship Id="rId21" Type="http://schemas.openxmlformats.org/officeDocument/2006/relationships/hyperlink" Target="https://s.jdzd.cn/75TWjm" TargetMode="External"/><Relationship Id="rId20" Type="http://schemas.openxmlformats.org/officeDocument/2006/relationships/hyperlink" Target="https://s.jdzd.cn/b01btk" TargetMode="External"/><Relationship Id="rId2" Type="http://schemas.openxmlformats.org/officeDocument/2006/relationships/hyperlink" Target="https://s.jdzd.cn/451BBU" TargetMode="External"/><Relationship Id="rId19" Type="http://schemas.openxmlformats.org/officeDocument/2006/relationships/hyperlink" Target="https://s.jdzd.cn/6eT2oe" TargetMode="External"/><Relationship Id="rId18" Type="http://schemas.openxmlformats.org/officeDocument/2006/relationships/hyperlink" Target="https://s.jdzd.cn/01LVWp" TargetMode="External"/><Relationship Id="rId17" Type="http://schemas.openxmlformats.org/officeDocument/2006/relationships/hyperlink" Target="https://s.jdzd.cn/d6TWxA" TargetMode="External"/><Relationship Id="rId16" Type="http://schemas.openxmlformats.org/officeDocument/2006/relationships/hyperlink" Target="https://s.jdzd.cn/901d66" TargetMode="External"/><Relationship Id="rId15" Type="http://schemas.openxmlformats.org/officeDocument/2006/relationships/hyperlink" Target="https://s.jdzd.cn/9e1dhj" TargetMode="External"/><Relationship Id="rId14" Type="http://schemas.openxmlformats.org/officeDocument/2006/relationships/hyperlink" Target="https://s.jdzd.cn/4a1iOf" TargetMode="External"/><Relationship Id="rId13" Type="http://schemas.openxmlformats.org/officeDocument/2006/relationships/hyperlink" Target="https://s.jdzd.cn/7fTWTD" TargetMode="External"/><Relationship Id="rId12" Type="http://schemas.openxmlformats.org/officeDocument/2006/relationships/hyperlink" Target="https://s.jdzd.cn/a9Tmvh" TargetMode="External"/><Relationship Id="rId11" Type="http://schemas.openxmlformats.org/officeDocument/2006/relationships/hyperlink" Target="https://s.jdzd.cn/51TehH" TargetMode="External"/><Relationship Id="rId10" Type="http://schemas.openxmlformats.org/officeDocument/2006/relationships/hyperlink" Target="https://s.jdzd.cn/5aTeRQ" TargetMode="External"/><Relationship Id="rId1" Type="http://schemas.openxmlformats.org/officeDocument/2006/relationships/hyperlink" Target="https://s.jdzd.cn/0cLV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zoomScale="80" zoomScaleNormal="80" workbookViewId="0">
      <pane ySplit="2" topLeftCell="A3" activePane="bottomLeft" state="frozen"/>
      <selection/>
      <selection pane="bottomLeft" activeCell="A1" sqref="A1:R1"/>
    </sheetView>
  </sheetViews>
  <sheetFormatPr defaultColWidth="9" defaultRowHeight="13.5"/>
  <cols>
    <col min="1" max="1" width="46.625" style="50" customWidth="1"/>
    <col min="2" max="5" width="13.5" style="51" customWidth="1"/>
    <col min="6" max="8" width="17.5" style="51" customWidth="1"/>
    <col min="9" max="9" width="13.5" customWidth="1"/>
    <col min="10" max="10" width="14" customWidth="1"/>
    <col min="11" max="11" width="15.25" customWidth="1"/>
    <col min="12" max="12" width="12.5" customWidth="1"/>
    <col min="14" max="14" width="14.75" customWidth="1"/>
    <col min="16" max="16" width="13.75" customWidth="1"/>
    <col min="17" max="17" width="11.5" customWidth="1"/>
    <col min="18" max="18" width="17.25" customWidth="1"/>
  </cols>
  <sheetData>
    <row r="1" s="3" customFormat="1" ht="42.75" customHeight="1" spans="1:18">
      <c r="A1" s="53" t="s">
        <v>0</v>
      </c>
      <c r="B1" s="91"/>
      <c r="C1" s="91"/>
      <c r="D1" s="91"/>
      <c r="E1" s="91"/>
      <c r="F1" s="91"/>
      <c r="G1" s="91"/>
      <c r="H1" s="91"/>
      <c r="I1" s="95"/>
      <c r="J1" s="95"/>
      <c r="K1" s="95"/>
      <c r="L1" s="95"/>
      <c r="M1" s="95"/>
      <c r="N1" s="95"/>
      <c r="O1" s="95"/>
      <c r="P1" s="95"/>
      <c r="Q1" s="95"/>
      <c r="R1" s="95"/>
    </row>
    <row r="2" s="17" customFormat="1" ht="18" spans="1:18">
      <c r="A2" s="55" t="s">
        <v>1</v>
      </c>
      <c r="B2" s="56" t="s">
        <v>2</v>
      </c>
      <c r="C2" s="56" t="s">
        <v>3</v>
      </c>
      <c r="D2" s="56" t="s">
        <v>4</v>
      </c>
      <c r="E2" s="56" t="s">
        <v>5</v>
      </c>
      <c r="F2" s="56" t="s">
        <v>6</v>
      </c>
      <c r="G2" s="92" t="s">
        <v>7</v>
      </c>
      <c r="H2" s="92" t="s">
        <v>8</v>
      </c>
      <c r="I2" s="96"/>
      <c r="J2" s="63" t="s">
        <v>9</v>
      </c>
      <c r="K2" s="64" t="s">
        <v>2</v>
      </c>
      <c r="L2" s="64" t="s">
        <v>10</v>
      </c>
      <c r="M2" s="64" t="s">
        <v>4</v>
      </c>
      <c r="N2" s="64" t="s">
        <v>6</v>
      </c>
      <c r="O2" s="65"/>
      <c r="P2" s="66" t="s">
        <v>11</v>
      </c>
      <c r="Q2" s="66" t="s">
        <v>12</v>
      </c>
      <c r="R2" s="66" t="s">
        <v>13</v>
      </c>
    </row>
    <row r="3" s="3" customFormat="1" ht="17.25" spans="1:18">
      <c r="A3" s="58" t="s">
        <v>14</v>
      </c>
      <c r="B3" s="93">
        <v>234</v>
      </c>
      <c r="C3" s="93">
        <v>86</v>
      </c>
      <c r="D3" s="93">
        <v>43</v>
      </c>
      <c r="E3" s="94">
        <v>5000</v>
      </c>
      <c r="F3" s="94">
        <v>215000</v>
      </c>
      <c r="G3" s="93">
        <v>23</v>
      </c>
      <c r="H3" s="93">
        <v>5</v>
      </c>
      <c r="I3" s="71"/>
      <c r="J3" s="97" t="s">
        <v>15</v>
      </c>
      <c r="K3" s="69">
        <v>895</v>
      </c>
      <c r="L3" s="69">
        <v>516</v>
      </c>
      <c r="M3" s="69">
        <v>140</v>
      </c>
      <c r="N3" s="70">
        <v>370136.6</v>
      </c>
      <c r="O3" s="71"/>
      <c r="P3" s="72" t="s">
        <v>16</v>
      </c>
      <c r="Q3" s="89">
        <v>0.92</v>
      </c>
      <c r="R3" s="90">
        <v>886838.9</v>
      </c>
    </row>
    <row r="4" s="3" customFormat="1" ht="17.25" spans="1:18">
      <c r="A4" s="58" t="s">
        <v>17</v>
      </c>
      <c r="B4" s="93">
        <v>100</v>
      </c>
      <c r="C4" s="93">
        <v>56</v>
      </c>
      <c r="D4" s="93">
        <v>11</v>
      </c>
      <c r="E4" s="94">
        <v>13566</v>
      </c>
      <c r="F4" s="94">
        <v>149226</v>
      </c>
      <c r="G4" s="93">
        <v>11</v>
      </c>
      <c r="H4" s="93">
        <v>1</v>
      </c>
      <c r="I4" s="71"/>
      <c r="J4" s="98" t="s">
        <v>18</v>
      </c>
      <c r="K4" s="59">
        <v>1282</v>
      </c>
      <c r="L4" s="59">
        <v>658</v>
      </c>
      <c r="M4" s="59">
        <v>220</v>
      </c>
      <c r="N4" s="74">
        <v>309035.2</v>
      </c>
      <c r="O4" s="71"/>
      <c r="P4" s="75" t="s">
        <v>19</v>
      </c>
      <c r="Q4" s="89">
        <v>0.05</v>
      </c>
      <c r="R4" s="90">
        <v>49864.2</v>
      </c>
    </row>
    <row r="5" s="3" customFormat="1" ht="51.75" spans="1:18">
      <c r="A5" s="58" t="s">
        <v>20</v>
      </c>
      <c r="B5" s="93">
        <v>478</v>
      </c>
      <c r="C5" s="93">
        <v>239</v>
      </c>
      <c r="D5" s="93">
        <v>47</v>
      </c>
      <c r="E5" s="94">
        <v>2888</v>
      </c>
      <c r="F5" s="94">
        <v>135736</v>
      </c>
      <c r="G5" s="93">
        <v>36</v>
      </c>
      <c r="H5" s="93">
        <v>12</v>
      </c>
      <c r="I5" s="71"/>
      <c r="J5" s="98" t="s">
        <v>21</v>
      </c>
      <c r="K5" s="59">
        <v>1623</v>
      </c>
      <c r="L5" s="59">
        <v>916</v>
      </c>
      <c r="M5" s="59">
        <v>170</v>
      </c>
      <c r="N5" s="74">
        <v>124839.4</v>
      </c>
      <c r="O5" s="71"/>
      <c r="P5" s="75" t="s">
        <v>22</v>
      </c>
      <c r="Q5" s="89">
        <v>0.03</v>
      </c>
      <c r="R5" s="90">
        <v>30379.9</v>
      </c>
    </row>
    <row r="6" s="3" customFormat="1" ht="17.25" spans="1:18">
      <c r="A6" s="58" t="s">
        <v>23</v>
      </c>
      <c r="B6" s="93">
        <v>86</v>
      </c>
      <c r="C6" s="93">
        <v>51</v>
      </c>
      <c r="D6" s="93">
        <v>13</v>
      </c>
      <c r="E6" s="94">
        <v>5088</v>
      </c>
      <c r="F6" s="94">
        <v>66144</v>
      </c>
      <c r="G6" s="93">
        <v>10</v>
      </c>
      <c r="H6" s="93">
        <v>1</v>
      </c>
      <c r="I6" s="71"/>
      <c r="J6" s="98" t="s">
        <v>24</v>
      </c>
      <c r="K6" s="59">
        <v>258</v>
      </c>
      <c r="L6" s="59">
        <v>137</v>
      </c>
      <c r="M6" s="59">
        <v>21</v>
      </c>
      <c r="N6" s="74">
        <v>12629</v>
      </c>
      <c r="O6" s="71"/>
      <c r="P6" s="75" t="s">
        <v>25</v>
      </c>
      <c r="Q6" s="89">
        <v>0</v>
      </c>
      <c r="R6" s="90">
        <v>1880.7</v>
      </c>
    </row>
    <row r="7" s="3" customFormat="1" ht="51.75" spans="1:18">
      <c r="A7" s="58" t="s">
        <v>26</v>
      </c>
      <c r="B7" s="93">
        <v>575</v>
      </c>
      <c r="C7" s="93">
        <v>309</v>
      </c>
      <c r="D7" s="93">
        <v>70</v>
      </c>
      <c r="E7" s="94">
        <v>728</v>
      </c>
      <c r="F7" s="94">
        <v>50960</v>
      </c>
      <c r="G7" s="93">
        <v>48</v>
      </c>
      <c r="H7" s="93">
        <v>18</v>
      </c>
      <c r="I7" s="71"/>
      <c r="J7" s="98" t="s">
        <v>27</v>
      </c>
      <c r="K7" s="59">
        <v>113</v>
      </c>
      <c r="L7" s="59">
        <v>65</v>
      </c>
      <c r="M7" s="59">
        <v>18</v>
      </c>
      <c r="N7" s="74">
        <v>6079</v>
      </c>
      <c r="O7" s="71"/>
      <c r="P7" s="76"/>
      <c r="Q7" s="76"/>
      <c r="R7" s="76"/>
    </row>
    <row r="8" s="3" customFormat="1" ht="17.25" spans="1:18">
      <c r="A8" s="58" t="s">
        <v>28</v>
      </c>
      <c r="B8" s="93">
        <v>282</v>
      </c>
      <c r="C8" s="93">
        <v>160</v>
      </c>
      <c r="D8" s="93">
        <v>44</v>
      </c>
      <c r="E8" s="94">
        <v>1099</v>
      </c>
      <c r="F8" s="94">
        <v>48356</v>
      </c>
      <c r="G8" s="93">
        <v>21</v>
      </c>
      <c r="H8" s="93">
        <v>17</v>
      </c>
      <c r="I8" s="71"/>
      <c r="J8" s="98" t="s">
        <v>29</v>
      </c>
      <c r="K8" s="59">
        <v>61</v>
      </c>
      <c r="L8" s="59">
        <v>45</v>
      </c>
      <c r="M8" s="59">
        <v>10</v>
      </c>
      <c r="N8" s="74">
        <v>4624</v>
      </c>
      <c r="O8" s="71"/>
      <c r="P8" s="76"/>
      <c r="Q8" s="76"/>
      <c r="R8" s="76"/>
    </row>
    <row r="9" s="3" customFormat="1" ht="17.25" spans="1:18">
      <c r="A9" s="58" t="s">
        <v>30</v>
      </c>
      <c r="B9" s="93">
        <v>153</v>
      </c>
      <c r="C9" s="93">
        <v>96</v>
      </c>
      <c r="D9" s="93">
        <v>29</v>
      </c>
      <c r="E9" s="94">
        <v>1598</v>
      </c>
      <c r="F9" s="94">
        <v>46342</v>
      </c>
      <c r="G9" s="93">
        <v>19</v>
      </c>
      <c r="H9" s="93">
        <v>10</v>
      </c>
      <c r="I9" s="71"/>
      <c r="J9" s="98" t="s">
        <v>31</v>
      </c>
      <c r="K9" s="59">
        <v>163</v>
      </c>
      <c r="L9" s="59">
        <v>117</v>
      </c>
      <c r="M9" s="59">
        <v>8</v>
      </c>
      <c r="N9" s="74">
        <v>1476</v>
      </c>
      <c r="O9" s="71"/>
      <c r="P9" s="76"/>
      <c r="Q9" s="76"/>
      <c r="R9" s="76"/>
    </row>
    <row r="10" s="3" customFormat="1" ht="69" spans="1:18">
      <c r="A10" s="58" t="s">
        <v>32</v>
      </c>
      <c r="B10" s="93">
        <v>660</v>
      </c>
      <c r="C10" s="93">
        <v>367</v>
      </c>
      <c r="D10" s="93">
        <v>45</v>
      </c>
      <c r="E10" s="94">
        <v>999</v>
      </c>
      <c r="F10" s="94">
        <v>44955</v>
      </c>
      <c r="G10" s="93">
        <v>38</v>
      </c>
      <c r="H10" s="93">
        <v>14</v>
      </c>
      <c r="I10" s="71"/>
      <c r="J10" s="98" t="s">
        <v>33</v>
      </c>
      <c r="K10" s="59">
        <v>98</v>
      </c>
      <c r="L10" s="59">
        <v>55</v>
      </c>
      <c r="M10" s="59">
        <v>9</v>
      </c>
      <c r="N10" s="74">
        <v>1014</v>
      </c>
      <c r="O10" s="71"/>
      <c r="P10" s="76"/>
      <c r="Q10" s="76"/>
      <c r="R10" s="76"/>
    </row>
    <row r="11" s="3" customFormat="1" ht="51.75" spans="1:18">
      <c r="A11" s="58" t="s">
        <v>34</v>
      </c>
      <c r="B11" s="93">
        <v>69</v>
      </c>
      <c r="C11" s="93">
        <v>54</v>
      </c>
      <c r="D11" s="93">
        <v>2</v>
      </c>
      <c r="E11" s="94">
        <v>15666</v>
      </c>
      <c r="F11" s="94">
        <v>31332</v>
      </c>
      <c r="G11" s="93">
        <v>2</v>
      </c>
      <c r="H11" s="93">
        <v>1</v>
      </c>
      <c r="I11" s="71"/>
      <c r="J11" s="98" t="s">
        <v>35</v>
      </c>
      <c r="K11" s="59">
        <v>116</v>
      </c>
      <c r="L11" s="59">
        <v>63</v>
      </c>
      <c r="M11" s="59">
        <v>9</v>
      </c>
      <c r="N11" s="74">
        <v>965.9</v>
      </c>
      <c r="O11" s="71"/>
      <c r="P11" s="76"/>
      <c r="Q11" s="76"/>
      <c r="R11" s="76"/>
    </row>
    <row r="12" s="3" customFormat="1" ht="17.25" spans="1:18">
      <c r="A12" s="58" t="s">
        <v>36</v>
      </c>
      <c r="B12" s="93">
        <v>135</v>
      </c>
      <c r="C12" s="93">
        <v>91</v>
      </c>
      <c r="D12" s="93">
        <v>25</v>
      </c>
      <c r="E12" s="94">
        <v>799</v>
      </c>
      <c r="F12" s="94">
        <v>19975</v>
      </c>
      <c r="G12" s="93">
        <v>16</v>
      </c>
      <c r="H12" s="93">
        <v>12</v>
      </c>
      <c r="I12" s="71"/>
      <c r="J12" s="98" t="s">
        <v>21</v>
      </c>
      <c r="K12" s="59">
        <v>5</v>
      </c>
      <c r="L12" s="59">
        <v>5</v>
      </c>
      <c r="M12" s="59">
        <v>3</v>
      </c>
      <c r="N12" s="74">
        <v>264</v>
      </c>
      <c r="O12" s="71"/>
      <c r="P12" s="76"/>
      <c r="Q12" s="76"/>
      <c r="R12" s="76"/>
    </row>
    <row r="13" s="3" customFormat="1" ht="17.25" spans="1:18">
      <c r="A13" s="58" t="s">
        <v>37</v>
      </c>
      <c r="B13" s="93">
        <v>49</v>
      </c>
      <c r="C13" s="93">
        <v>30</v>
      </c>
      <c r="D13" s="93">
        <v>4</v>
      </c>
      <c r="E13" s="94">
        <v>4388</v>
      </c>
      <c r="F13" s="94">
        <v>17552</v>
      </c>
      <c r="G13" s="93">
        <v>4</v>
      </c>
      <c r="H13" s="93">
        <v>0</v>
      </c>
      <c r="I13" s="71"/>
      <c r="J13" s="98" t="s">
        <v>38</v>
      </c>
      <c r="K13" s="59">
        <v>2</v>
      </c>
      <c r="L13" s="59">
        <v>2</v>
      </c>
      <c r="M13" s="59">
        <v>1</v>
      </c>
      <c r="N13" s="74">
        <v>199</v>
      </c>
      <c r="O13" s="71"/>
      <c r="P13" s="76"/>
      <c r="Q13" s="76"/>
      <c r="R13" s="76"/>
    </row>
    <row r="14" s="3" customFormat="1" ht="17.25" spans="1:18">
      <c r="A14" s="58" t="s">
        <v>39</v>
      </c>
      <c r="B14" s="93">
        <v>55</v>
      </c>
      <c r="C14" s="93">
        <v>35</v>
      </c>
      <c r="D14" s="93">
        <v>2</v>
      </c>
      <c r="E14" s="94">
        <v>8306</v>
      </c>
      <c r="F14" s="94">
        <v>16612</v>
      </c>
      <c r="G14" s="93">
        <v>2</v>
      </c>
      <c r="H14" s="93">
        <v>1</v>
      </c>
      <c r="I14" s="71"/>
      <c r="J14" s="98" t="s">
        <v>40</v>
      </c>
      <c r="K14" s="59">
        <v>0</v>
      </c>
      <c r="L14" s="59">
        <v>0</v>
      </c>
      <c r="M14" s="59">
        <v>2</v>
      </c>
      <c r="N14" s="74">
        <v>176</v>
      </c>
      <c r="O14" s="71"/>
      <c r="P14" s="76"/>
      <c r="Q14" s="76"/>
      <c r="R14" s="76"/>
    </row>
    <row r="15" s="3" customFormat="1" ht="51.75" spans="1:18">
      <c r="A15" s="58" t="s">
        <v>41</v>
      </c>
      <c r="B15" s="93">
        <v>34</v>
      </c>
      <c r="C15" s="93">
        <v>25</v>
      </c>
      <c r="D15" s="93">
        <v>2</v>
      </c>
      <c r="E15" s="94">
        <v>8306</v>
      </c>
      <c r="F15" s="94">
        <v>16612</v>
      </c>
      <c r="G15" s="93">
        <v>1</v>
      </c>
      <c r="H15" s="93">
        <v>1</v>
      </c>
      <c r="I15" s="71"/>
      <c r="J15" s="98" t="s">
        <v>42</v>
      </c>
      <c r="K15" s="59">
        <v>84</v>
      </c>
      <c r="L15" s="59">
        <v>39</v>
      </c>
      <c r="M15" s="59">
        <v>1</v>
      </c>
      <c r="N15" s="74">
        <v>168</v>
      </c>
      <c r="O15" s="71"/>
      <c r="P15" s="76"/>
      <c r="Q15" s="76" t="s">
        <v>43</v>
      </c>
      <c r="R15" s="76"/>
    </row>
    <row r="16" s="3" customFormat="1" ht="17.25" spans="1:18">
      <c r="A16" s="58" t="s">
        <v>44</v>
      </c>
      <c r="B16" s="93">
        <v>240</v>
      </c>
      <c r="C16" s="93">
        <v>164</v>
      </c>
      <c r="D16" s="93">
        <v>61</v>
      </c>
      <c r="E16" s="94">
        <v>238</v>
      </c>
      <c r="F16" s="94">
        <v>14518</v>
      </c>
      <c r="G16" s="93">
        <v>29</v>
      </c>
      <c r="H16" s="93">
        <v>27</v>
      </c>
      <c r="I16" s="71"/>
      <c r="J16" s="98" t="s">
        <v>18</v>
      </c>
      <c r="K16" s="59">
        <v>0</v>
      </c>
      <c r="L16" s="59">
        <v>0</v>
      </c>
      <c r="M16" s="59">
        <v>1</v>
      </c>
      <c r="N16" s="74">
        <v>88</v>
      </c>
      <c r="O16" s="71"/>
      <c r="P16" s="76"/>
      <c r="Q16" s="76"/>
      <c r="R16" s="76"/>
    </row>
    <row r="17" s="3" customFormat="1" ht="34.5" spans="1:18">
      <c r="A17" s="58" t="s">
        <v>45</v>
      </c>
      <c r="B17" s="93">
        <v>41</v>
      </c>
      <c r="C17" s="93">
        <v>32</v>
      </c>
      <c r="D17" s="93">
        <v>2</v>
      </c>
      <c r="E17" s="94">
        <v>6000</v>
      </c>
      <c r="F17" s="94">
        <v>12000</v>
      </c>
      <c r="G17" s="93">
        <v>2</v>
      </c>
      <c r="H17" s="93">
        <v>1</v>
      </c>
      <c r="I17" s="71"/>
      <c r="J17" s="98" t="s">
        <v>24</v>
      </c>
      <c r="K17" s="59">
        <v>0</v>
      </c>
      <c r="L17" s="59">
        <v>0</v>
      </c>
      <c r="M17" s="59">
        <v>1</v>
      </c>
      <c r="N17" s="74">
        <v>29.9</v>
      </c>
      <c r="O17" s="71"/>
      <c r="P17" s="76"/>
      <c r="Q17" s="76"/>
      <c r="R17" s="76"/>
    </row>
    <row r="18" s="3" customFormat="1" ht="51.75" spans="1:18">
      <c r="A18" s="58" t="s">
        <v>46</v>
      </c>
      <c r="B18" s="93">
        <v>76</v>
      </c>
      <c r="C18" s="93">
        <v>53</v>
      </c>
      <c r="D18" s="93">
        <v>12</v>
      </c>
      <c r="E18" s="94">
        <v>888</v>
      </c>
      <c r="F18" s="94">
        <v>10656</v>
      </c>
      <c r="G18" s="93">
        <v>10</v>
      </c>
      <c r="H18" s="93">
        <v>1</v>
      </c>
      <c r="I18" s="71"/>
      <c r="J18" s="84"/>
      <c r="K18" s="84"/>
      <c r="L18" s="84"/>
      <c r="M18" s="84"/>
      <c r="N18" s="84"/>
      <c r="O18" s="71"/>
      <c r="P18" s="76"/>
      <c r="Q18" s="76"/>
      <c r="R18" s="76"/>
    </row>
    <row r="19" s="3" customFormat="1" ht="17.25" spans="1:18">
      <c r="A19" s="58" t="s">
        <v>47</v>
      </c>
      <c r="B19" s="93">
        <v>283</v>
      </c>
      <c r="C19" s="93">
        <v>178</v>
      </c>
      <c r="D19" s="93">
        <v>32</v>
      </c>
      <c r="E19" s="94">
        <v>299</v>
      </c>
      <c r="F19" s="94">
        <v>9568</v>
      </c>
      <c r="G19" s="93">
        <v>18</v>
      </c>
      <c r="H19" s="93">
        <v>8</v>
      </c>
      <c r="I19" s="71"/>
      <c r="J19" s="99"/>
      <c r="K19" s="99"/>
      <c r="L19" s="99"/>
      <c r="M19" s="84"/>
      <c r="N19" s="84"/>
      <c r="O19" s="71"/>
      <c r="P19" s="76"/>
      <c r="Q19" s="76"/>
      <c r="R19" s="76"/>
    </row>
    <row r="20" s="3" customFormat="1" ht="17.25" spans="1:18">
      <c r="A20" s="58" t="s">
        <v>48</v>
      </c>
      <c r="B20" s="93">
        <v>339</v>
      </c>
      <c r="C20" s="93">
        <v>250</v>
      </c>
      <c r="D20" s="93">
        <v>45</v>
      </c>
      <c r="E20" s="94">
        <v>199</v>
      </c>
      <c r="F20" s="94">
        <v>8955</v>
      </c>
      <c r="G20" s="93">
        <v>37</v>
      </c>
      <c r="H20" s="93">
        <v>11</v>
      </c>
      <c r="I20" s="71"/>
      <c r="J20" s="84"/>
      <c r="K20" s="82"/>
      <c r="L20" s="83"/>
      <c r="M20" s="84"/>
      <c r="N20" s="84"/>
      <c r="O20" s="71"/>
      <c r="P20" s="76"/>
      <c r="Q20" s="76"/>
      <c r="R20" s="76"/>
    </row>
    <row r="21" s="3" customFormat="1" ht="17.25" spans="1:18">
      <c r="A21" s="58" t="s">
        <v>49</v>
      </c>
      <c r="B21" s="93">
        <v>421</v>
      </c>
      <c r="C21" s="93">
        <v>284</v>
      </c>
      <c r="D21" s="93">
        <v>47</v>
      </c>
      <c r="E21" s="94">
        <v>168</v>
      </c>
      <c r="F21" s="94">
        <v>7896</v>
      </c>
      <c r="G21" s="93">
        <v>36</v>
      </c>
      <c r="H21" s="93">
        <v>7</v>
      </c>
      <c r="I21" s="71"/>
      <c r="J21" s="85"/>
      <c r="K21" s="82"/>
      <c r="L21" s="83"/>
      <c r="M21" s="84"/>
      <c r="N21" s="84"/>
      <c r="O21" s="71"/>
      <c r="P21" s="76"/>
      <c r="Q21" s="76"/>
      <c r="R21" s="76"/>
    </row>
    <row r="22" s="3" customFormat="1" ht="36" customHeight="1" spans="1:18">
      <c r="A22" s="58" t="s">
        <v>50</v>
      </c>
      <c r="B22" s="93">
        <v>89</v>
      </c>
      <c r="C22" s="93">
        <v>72</v>
      </c>
      <c r="D22" s="93">
        <v>15</v>
      </c>
      <c r="E22" s="94">
        <v>500</v>
      </c>
      <c r="F22" s="94">
        <v>7500</v>
      </c>
      <c r="G22" s="93">
        <v>14</v>
      </c>
      <c r="H22" s="93">
        <v>4</v>
      </c>
      <c r="I22" s="71"/>
      <c r="J22" s="85"/>
      <c r="K22" s="82"/>
      <c r="L22" s="83"/>
      <c r="M22" s="84"/>
      <c r="N22" s="84"/>
      <c r="O22" s="71"/>
      <c r="P22" s="76"/>
      <c r="Q22" s="76"/>
      <c r="R22" s="76"/>
    </row>
    <row r="23" s="3" customFormat="1" ht="17.25" spans="1:18">
      <c r="A23" s="58" t="s">
        <v>51</v>
      </c>
      <c r="B23" s="93">
        <v>20</v>
      </c>
      <c r="C23" s="93">
        <v>14</v>
      </c>
      <c r="D23" s="93">
        <v>52</v>
      </c>
      <c r="E23" s="94">
        <v>193.2</v>
      </c>
      <c r="F23" s="94">
        <v>4576</v>
      </c>
      <c r="G23" s="93">
        <v>52</v>
      </c>
      <c r="H23" s="93">
        <v>33</v>
      </c>
      <c r="I23" s="71"/>
      <c r="J23" s="85"/>
      <c r="K23" s="82"/>
      <c r="L23" s="85"/>
      <c r="M23" s="84"/>
      <c r="N23" s="84"/>
      <c r="O23" s="71"/>
      <c r="P23" s="76"/>
      <c r="Q23" s="76"/>
      <c r="R23" s="76"/>
    </row>
    <row r="24" s="3" customFormat="1" ht="51.75" spans="1:18">
      <c r="A24" s="58" t="s">
        <v>52</v>
      </c>
      <c r="B24" s="93">
        <v>130</v>
      </c>
      <c r="C24" s="93">
        <v>84</v>
      </c>
      <c r="D24" s="93">
        <v>13</v>
      </c>
      <c r="E24" s="94">
        <v>299</v>
      </c>
      <c r="F24" s="94">
        <v>3887</v>
      </c>
      <c r="G24" s="93">
        <v>13</v>
      </c>
      <c r="H24" s="93">
        <v>3</v>
      </c>
      <c r="I24" s="71"/>
      <c r="J24" s="84"/>
      <c r="K24" s="84"/>
      <c r="L24" s="84"/>
      <c r="M24" s="84"/>
      <c r="N24" s="84"/>
      <c r="O24" s="71"/>
      <c r="P24" s="76"/>
      <c r="Q24" s="76"/>
      <c r="R24" s="76"/>
    </row>
    <row r="25" s="3" customFormat="1" ht="17.25" spans="1:18">
      <c r="A25" s="58" t="s">
        <v>53</v>
      </c>
      <c r="B25" s="93">
        <v>66</v>
      </c>
      <c r="C25" s="93">
        <v>39</v>
      </c>
      <c r="D25" s="93">
        <v>1</v>
      </c>
      <c r="E25" s="94">
        <v>3000</v>
      </c>
      <c r="F25" s="94">
        <v>3000</v>
      </c>
      <c r="G25" s="93">
        <v>1</v>
      </c>
      <c r="H25" s="93">
        <v>1</v>
      </c>
      <c r="I25" s="71"/>
      <c r="J25" s="84"/>
      <c r="K25" s="84"/>
      <c r="L25" s="84"/>
      <c r="M25" s="84"/>
      <c r="N25" s="84"/>
      <c r="O25" s="71"/>
      <c r="P25" s="76"/>
      <c r="Q25" s="76"/>
      <c r="R25" s="76"/>
    </row>
    <row r="26" s="3" customFormat="1" ht="17.25" spans="1:18">
      <c r="A26" s="58" t="s">
        <v>54</v>
      </c>
      <c r="B26" s="93">
        <v>175</v>
      </c>
      <c r="C26" s="93">
        <v>107</v>
      </c>
      <c r="D26" s="93">
        <v>17</v>
      </c>
      <c r="E26" s="94">
        <v>168</v>
      </c>
      <c r="F26" s="94">
        <v>2856</v>
      </c>
      <c r="G26" s="93">
        <v>11</v>
      </c>
      <c r="H26" s="93">
        <v>5</v>
      </c>
      <c r="I26" s="71"/>
      <c r="J26" s="84"/>
      <c r="K26" s="84"/>
      <c r="L26" s="84"/>
      <c r="M26" s="84"/>
      <c r="N26" s="84"/>
      <c r="O26" s="71"/>
      <c r="P26" s="76"/>
      <c r="Q26" s="76"/>
      <c r="R26" s="76"/>
    </row>
    <row r="27" s="3" customFormat="1" ht="17.25" spans="1:18">
      <c r="A27" s="58" t="s">
        <v>55</v>
      </c>
      <c r="B27" s="93">
        <v>52</v>
      </c>
      <c r="C27" s="93">
        <v>40</v>
      </c>
      <c r="D27" s="93">
        <v>9</v>
      </c>
      <c r="E27" s="94">
        <v>300</v>
      </c>
      <c r="F27" s="94">
        <v>2700</v>
      </c>
      <c r="G27" s="93">
        <v>9</v>
      </c>
      <c r="H27" s="93">
        <v>1</v>
      </c>
      <c r="I27" s="71"/>
      <c r="J27" s="84"/>
      <c r="K27" s="84"/>
      <c r="L27" s="84"/>
      <c r="M27" s="84"/>
      <c r="N27" s="84"/>
      <c r="O27" s="71"/>
      <c r="P27" s="76"/>
      <c r="Q27" s="76"/>
      <c r="R27" s="76"/>
    </row>
    <row r="28" s="3" customFormat="1" ht="17.25" spans="1:18">
      <c r="A28" s="58" t="s">
        <v>56</v>
      </c>
      <c r="B28" s="93">
        <v>11</v>
      </c>
      <c r="C28" s="93">
        <v>10</v>
      </c>
      <c r="D28" s="93">
        <v>29</v>
      </c>
      <c r="E28" s="94">
        <v>240</v>
      </c>
      <c r="F28" s="94">
        <v>2552</v>
      </c>
      <c r="G28" s="93">
        <v>29</v>
      </c>
      <c r="H28" s="93">
        <v>20</v>
      </c>
      <c r="I28" s="71"/>
      <c r="J28" s="84"/>
      <c r="K28" s="84"/>
      <c r="L28" s="84"/>
      <c r="M28" s="84"/>
      <c r="N28" s="84"/>
      <c r="O28" s="71"/>
      <c r="P28" s="76"/>
      <c r="Q28" s="76"/>
      <c r="R28" s="76"/>
    </row>
    <row r="29" s="3" customFormat="1" ht="17.25" spans="1:18">
      <c r="A29" s="58" t="s">
        <v>57</v>
      </c>
      <c r="B29" s="93">
        <v>66</v>
      </c>
      <c r="C29" s="93">
        <v>53</v>
      </c>
      <c r="D29" s="93">
        <v>2</v>
      </c>
      <c r="E29" s="94">
        <v>1116</v>
      </c>
      <c r="F29" s="94">
        <v>2232</v>
      </c>
      <c r="G29" s="93">
        <v>2</v>
      </c>
      <c r="H29" s="93">
        <v>0</v>
      </c>
      <c r="I29" s="71"/>
      <c r="J29" s="84"/>
      <c r="K29" s="84"/>
      <c r="L29" s="84"/>
      <c r="M29" s="84"/>
      <c r="N29" s="84"/>
      <c r="O29" s="71"/>
      <c r="P29" s="76"/>
      <c r="Q29" s="76"/>
      <c r="R29" s="76"/>
    </row>
    <row r="30" s="3" customFormat="1" ht="17.25" spans="1:18">
      <c r="A30" s="58" t="s">
        <v>58</v>
      </c>
      <c r="B30" s="93">
        <v>145</v>
      </c>
      <c r="C30" s="93">
        <v>101</v>
      </c>
      <c r="D30" s="93">
        <v>21</v>
      </c>
      <c r="E30" s="94">
        <v>99</v>
      </c>
      <c r="F30" s="94">
        <v>2079</v>
      </c>
      <c r="G30" s="93">
        <v>21</v>
      </c>
      <c r="H30" s="93">
        <v>7</v>
      </c>
      <c r="I30" s="71"/>
      <c r="J30" s="84"/>
      <c r="K30" s="84"/>
      <c r="L30" s="84"/>
      <c r="M30" s="84"/>
      <c r="N30" s="84"/>
      <c r="O30" s="71"/>
      <c r="P30" s="76"/>
      <c r="Q30" s="76"/>
      <c r="R30" s="76"/>
    </row>
    <row r="31" s="3" customFormat="1" ht="17.25" spans="1:18">
      <c r="A31" s="58" t="s">
        <v>59</v>
      </c>
      <c r="B31" s="93">
        <v>134</v>
      </c>
      <c r="C31" s="93">
        <v>74</v>
      </c>
      <c r="D31" s="93">
        <v>21</v>
      </c>
      <c r="E31" s="94">
        <v>98</v>
      </c>
      <c r="F31" s="94">
        <v>2058</v>
      </c>
      <c r="G31" s="93">
        <v>13</v>
      </c>
      <c r="H31" s="93">
        <v>1</v>
      </c>
      <c r="I31" s="71"/>
      <c r="J31" s="84"/>
      <c r="K31" s="84"/>
      <c r="L31" s="84"/>
      <c r="M31" s="84"/>
      <c r="N31" s="84"/>
      <c r="O31" s="71"/>
      <c r="P31" s="76"/>
      <c r="Q31" s="76"/>
      <c r="R31" s="76"/>
    </row>
    <row r="32" s="3" customFormat="1" ht="17.25" spans="1:18">
      <c r="A32" s="58" t="s">
        <v>60</v>
      </c>
      <c r="B32" s="93">
        <v>47</v>
      </c>
      <c r="C32" s="93">
        <v>32</v>
      </c>
      <c r="D32" s="93">
        <v>1</v>
      </c>
      <c r="E32" s="94">
        <v>1688</v>
      </c>
      <c r="F32" s="94">
        <v>1688</v>
      </c>
      <c r="G32" s="93">
        <v>1</v>
      </c>
      <c r="H32" s="93">
        <v>0</v>
      </c>
      <c r="I32" s="71"/>
      <c r="J32" s="84"/>
      <c r="K32" s="84"/>
      <c r="L32" s="84"/>
      <c r="M32" s="84"/>
      <c r="N32" s="84"/>
      <c r="O32" s="71"/>
      <c r="P32" s="76"/>
      <c r="Q32" s="76"/>
      <c r="R32" s="76"/>
    </row>
    <row r="33" s="3" customFormat="1" ht="17.25" spans="1:18">
      <c r="A33" s="58" t="s">
        <v>61</v>
      </c>
      <c r="B33" s="93">
        <v>106</v>
      </c>
      <c r="C33" s="93">
        <v>83</v>
      </c>
      <c r="D33" s="93">
        <v>12</v>
      </c>
      <c r="E33" s="94">
        <v>138</v>
      </c>
      <c r="F33" s="94">
        <v>1656</v>
      </c>
      <c r="G33" s="93">
        <v>10</v>
      </c>
      <c r="H33" s="93">
        <v>2</v>
      </c>
      <c r="I33" s="71"/>
      <c r="J33" s="84"/>
      <c r="K33" s="84"/>
      <c r="L33" s="84"/>
      <c r="M33" s="84"/>
      <c r="N33" s="84"/>
      <c r="O33" s="71"/>
      <c r="P33" s="76"/>
      <c r="Q33" s="76"/>
      <c r="R33" s="76"/>
    </row>
    <row r="34" s="3" customFormat="1" ht="17.25" spans="1:18">
      <c r="A34" s="58" t="s">
        <v>62</v>
      </c>
      <c r="B34" s="93">
        <v>329</v>
      </c>
      <c r="C34" s="93">
        <v>202</v>
      </c>
      <c r="D34" s="93">
        <v>53</v>
      </c>
      <c r="E34" s="94">
        <v>29.9</v>
      </c>
      <c r="F34" s="94">
        <v>1584.7</v>
      </c>
      <c r="G34" s="93">
        <v>53</v>
      </c>
      <c r="H34" s="93">
        <v>11</v>
      </c>
      <c r="I34" s="71"/>
      <c r="J34" s="84"/>
      <c r="K34" s="84"/>
      <c r="L34" s="84"/>
      <c r="M34" s="84"/>
      <c r="N34" s="84"/>
      <c r="O34" s="71"/>
      <c r="P34" s="76"/>
      <c r="Q34" s="76"/>
      <c r="R34" s="76"/>
    </row>
    <row r="35" s="3" customFormat="1" ht="17.25" spans="1:18">
      <c r="A35" s="58" t="s">
        <v>63</v>
      </c>
      <c r="B35" s="93">
        <v>19</v>
      </c>
      <c r="C35" s="93">
        <v>19</v>
      </c>
      <c r="D35" s="93">
        <v>17</v>
      </c>
      <c r="E35" s="94">
        <v>250</v>
      </c>
      <c r="F35" s="94">
        <v>1496</v>
      </c>
      <c r="G35" s="93">
        <v>17</v>
      </c>
      <c r="H35" s="93">
        <v>10</v>
      </c>
      <c r="I35" s="71"/>
      <c r="J35" s="84"/>
      <c r="K35" s="84"/>
      <c r="L35" s="84"/>
      <c r="M35" s="84"/>
      <c r="N35" s="84"/>
      <c r="O35" s="71"/>
      <c r="P35" s="76"/>
      <c r="Q35" s="76"/>
      <c r="R35" s="76"/>
    </row>
    <row r="36" s="3" customFormat="1" ht="17.25" spans="1:18">
      <c r="A36" s="58" t="s">
        <v>64</v>
      </c>
      <c r="B36" s="93">
        <v>19</v>
      </c>
      <c r="C36" s="93">
        <v>13</v>
      </c>
      <c r="D36" s="93">
        <v>14</v>
      </c>
      <c r="E36" s="94">
        <v>193</v>
      </c>
      <c r="F36" s="94">
        <v>1232</v>
      </c>
      <c r="G36" s="93">
        <v>14</v>
      </c>
      <c r="H36" s="93">
        <v>7</v>
      </c>
      <c r="I36" s="71"/>
      <c r="J36" s="84"/>
      <c r="K36" s="84"/>
      <c r="L36" s="84"/>
      <c r="M36" s="84"/>
      <c r="N36" s="84"/>
      <c r="O36" s="71"/>
      <c r="P36" s="76"/>
      <c r="Q36" s="76"/>
      <c r="R36" s="76"/>
    </row>
    <row r="37" s="3" customFormat="1" ht="17.25" spans="1:8">
      <c r="A37" s="58" t="s">
        <v>65</v>
      </c>
      <c r="B37" s="93">
        <v>5</v>
      </c>
      <c r="C37" s="93">
        <v>4</v>
      </c>
      <c r="D37" s="93">
        <v>14</v>
      </c>
      <c r="E37" s="94">
        <v>158</v>
      </c>
      <c r="F37" s="94">
        <v>1232</v>
      </c>
      <c r="G37" s="93">
        <v>14</v>
      </c>
      <c r="H37" s="93">
        <v>10</v>
      </c>
    </row>
    <row r="38" ht="17.25" spans="1:8">
      <c r="A38" s="58" t="s">
        <v>66</v>
      </c>
      <c r="B38" s="93">
        <v>45</v>
      </c>
      <c r="C38" s="93">
        <v>33</v>
      </c>
      <c r="D38" s="93">
        <v>11</v>
      </c>
      <c r="E38" s="94">
        <v>453</v>
      </c>
      <c r="F38" s="94">
        <v>968</v>
      </c>
      <c r="G38" s="93">
        <v>11</v>
      </c>
      <c r="H38" s="93">
        <v>8</v>
      </c>
    </row>
    <row r="39" ht="17.25" spans="1:8">
      <c r="A39" s="58" t="s">
        <v>65</v>
      </c>
      <c r="B39" s="93">
        <v>12</v>
      </c>
      <c r="C39" s="93">
        <v>9</v>
      </c>
      <c r="D39" s="93">
        <v>11</v>
      </c>
      <c r="E39" s="94">
        <v>158</v>
      </c>
      <c r="F39" s="94">
        <v>968</v>
      </c>
      <c r="G39" s="93">
        <v>11</v>
      </c>
      <c r="H39" s="93">
        <v>7</v>
      </c>
    </row>
    <row r="40" ht="17.25" spans="1:8">
      <c r="A40" s="58" t="s">
        <v>67</v>
      </c>
      <c r="B40" s="93">
        <v>9</v>
      </c>
      <c r="C40" s="93">
        <v>8</v>
      </c>
      <c r="D40" s="93">
        <v>10</v>
      </c>
      <c r="E40" s="94">
        <v>423</v>
      </c>
      <c r="F40" s="94">
        <v>880</v>
      </c>
      <c r="G40" s="93">
        <v>10</v>
      </c>
      <c r="H40" s="93">
        <v>5</v>
      </c>
    </row>
    <row r="41" ht="34.5" spans="1:8">
      <c r="A41" s="58" t="s">
        <v>68</v>
      </c>
      <c r="B41" s="93">
        <v>82</v>
      </c>
      <c r="C41" s="93">
        <v>55</v>
      </c>
      <c r="D41" s="93">
        <v>9</v>
      </c>
      <c r="E41" s="94">
        <v>88</v>
      </c>
      <c r="F41" s="94">
        <v>792</v>
      </c>
      <c r="G41" s="93">
        <v>8</v>
      </c>
      <c r="H41" s="93">
        <v>2</v>
      </c>
    </row>
    <row r="42" ht="17.25" spans="1:8">
      <c r="A42" s="58" t="s">
        <v>69</v>
      </c>
      <c r="B42" s="93">
        <v>65</v>
      </c>
      <c r="C42" s="93">
        <v>57</v>
      </c>
      <c r="D42" s="93">
        <v>1</v>
      </c>
      <c r="E42" s="94">
        <v>368</v>
      </c>
      <c r="F42" s="94">
        <v>368</v>
      </c>
      <c r="G42" s="93">
        <v>1</v>
      </c>
      <c r="H42" s="93">
        <v>0</v>
      </c>
    </row>
    <row r="43" ht="17.25" spans="1:8">
      <c r="A43" s="58" t="s">
        <v>70</v>
      </c>
      <c r="B43" s="93">
        <v>58</v>
      </c>
      <c r="C43" s="93">
        <v>52</v>
      </c>
      <c r="D43" s="93">
        <v>3</v>
      </c>
      <c r="E43" s="94">
        <v>799</v>
      </c>
      <c r="F43" s="94">
        <v>264</v>
      </c>
      <c r="G43" s="93">
        <v>3</v>
      </c>
      <c r="H43" s="93">
        <v>2</v>
      </c>
    </row>
    <row r="44" ht="51.75" spans="1:8">
      <c r="A44" s="58" t="s">
        <v>71</v>
      </c>
      <c r="B44" s="93">
        <v>35</v>
      </c>
      <c r="C44" s="93">
        <v>26</v>
      </c>
      <c r="D44" s="93">
        <v>0</v>
      </c>
      <c r="E44" s="94">
        <v>4000</v>
      </c>
      <c r="F44" s="94">
        <v>0</v>
      </c>
      <c r="G44" s="93">
        <v>0</v>
      </c>
      <c r="H44" s="93">
        <v>0</v>
      </c>
    </row>
    <row r="45" ht="17.25" spans="1:8">
      <c r="A45" s="58" t="s">
        <v>72</v>
      </c>
      <c r="B45" s="93">
        <v>33</v>
      </c>
      <c r="C45" s="93">
        <v>26</v>
      </c>
      <c r="D45" s="93">
        <v>0</v>
      </c>
      <c r="E45" s="94">
        <v>1588</v>
      </c>
      <c r="F45" s="94">
        <v>0</v>
      </c>
      <c r="G45" s="93">
        <v>0</v>
      </c>
      <c r="H45" s="93">
        <v>0</v>
      </c>
    </row>
    <row r="46" ht="17.25" spans="1:8">
      <c r="A46" s="58" t="s">
        <v>73</v>
      </c>
      <c r="B46" s="93">
        <v>14</v>
      </c>
      <c r="C46" s="93">
        <v>6</v>
      </c>
      <c r="D46" s="93">
        <v>0</v>
      </c>
      <c r="E46" s="94">
        <v>158</v>
      </c>
      <c r="F46" s="94">
        <v>0</v>
      </c>
      <c r="G46" s="93">
        <v>0</v>
      </c>
      <c r="H46" s="93">
        <v>0</v>
      </c>
    </row>
    <row r="47" ht="17.25" spans="1:8">
      <c r="A47" s="58" t="s">
        <v>74</v>
      </c>
      <c r="B47" s="93">
        <v>12</v>
      </c>
      <c r="C47" s="93">
        <v>10</v>
      </c>
      <c r="D47" s="93">
        <v>0</v>
      </c>
      <c r="E47" s="94">
        <v>98</v>
      </c>
      <c r="F47" s="94">
        <v>0</v>
      </c>
      <c r="G47" s="93">
        <v>0</v>
      </c>
      <c r="H47" s="93">
        <v>0</v>
      </c>
    </row>
  </sheetData>
  <mergeCells count="3">
    <mergeCell ref="A1:R1"/>
    <mergeCell ref="I2:I36"/>
    <mergeCell ref="O2:O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"/>
  <sheetViews>
    <sheetView zoomScale="70" zoomScaleNormal="70" workbookViewId="0">
      <selection activeCell="A26" sqref="A26"/>
    </sheetView>
  </sheetViews>
  <sheetFormatPr defaultColWidth="9" defaultRowHeight="13.5"/>
  <cols>
    <col min="1" max="1" width="63.625" style="50" customWidth="1"/>
    <col min="2" max="8" width="13.5" style="51" customWidth="1"/>
    <col min="9" max="9" width="13.5" customWidth="1"/>
    <col min="10" max="10" width="13.5" style="52" customWidth="1"/>
    <col min="11" max="11" width="13.5" customWidth="1"/>
    <col min="12" max="12" width="13.875" customWidth="1"/>
    <col min="13" max="13" width="11.75" customWidth="1"/>
    <col min="14" max="14" width="16.125" customWidth="1"/>
    <col min="16" max="16" width="15.5" customWidth="1"/>
    <col min="17" max="17" width="15.125" customWidth="1"/>
    <col min="18" max="18" width="17.75" customWidth="1"/>
  </cols>
  <sheetData>
    <row r="1" s="3" customFormat="1" ht="42.75" customHeight="1" spans="1:16">
      <c r="A1" s="53" t="s">
        <v>75</v>
      </c>
      <c r="B1" s="54"/>
      <c r="C1" s="54"/>
      <c r="D1" s="54"/>
      <c r="E1" s="54"/>
      <c r="F1" s="54"/>
      <c r="G1" s="54"/>
      <c r="H1" s="54"/>
      <c r="I1" s="61"/>
      <c r="J1" s="62"/>
      <c r="K1" s="61"/>
      <c r="L1" s="61"/>
      <c r="M1" s="61"/>
      <c r="N1" s="61"/>
      <c r="O1" s="61"/>
      <c r="P1" s="61"/>
    </row>
    <row r="2" s="3" customFormat="1" ht="18" spans="1:18">
      <c r="A2" s="55" t="s">
        <v>1</v>
      </c>
      <c r="B2" s="56" t="s">
        <v>2</v>
      </c>
      <c r="C2" s="56" t="s">
        <v>3</v>
      </c>
      <c r="D2" s="56" t="s">
        <v>4</v>
      </c>
      <c r="E2" s="56" t="s">
        <v>5</v>
      </c>
      <c r="F2" s="56" t="s">
        <v>6</v>
      </c>
      <c r="G2" s="57" t="s">
        <v>7</v>
      </c>
      <c r="H2" s="57" t="s">
        <v>8</v>
      </c>
      <c r="I2" s="15"/>
      <c r="J2" s="63" t="s">
        <v>9</v>
      </c>
      <c r="K2" s="64" t="s">
        <v>2</v>
      </c>
      <c r="L2" s="64" t="s">
        <v>10</v>
      </c>
      <c r="M2" s="64" t="s">
        <v>4</v>
      </c>
      <c r="N2" s="64" t="s">
        <v>6</v>
      </c>
      <c r="O2" s="65"/>
      <c r="P2" s="66" t="s">
        <v>76</v>
      </c>
      <c r="Q2" s="66" t="s">
        <v>12</v>
      </c>
      <c r="R2" s="66" t="s">
        <v>13</v>
      </c>
    </row>
    <row r="3" s="3" customFormat="1" ht="17.25" spans="1:18">
      <c r="A3" s="58" t="s">
        <v>77</v>
      </c>
      <c r="B3" s="59">
        <v>194</v>
      </c>
      <c r="C3" s="59">
        <v>77</v>
      </c>
      <c r="D3" s="59">
        <v>53</v>
      </c>
      <c r="E3" s="60">
        <v>5000</v>
      </c>
      <c r="F3" s="60">
        <v>265000</v>
      </c>
      <c r="G3" s="59">
        <v>24</v>
      </c>
      <c r="H3" s="59">
        <v>9</v>
      </c>
      <c r="I3" s="67"/>
      <c r="J3" s="68" t="s">
        <v>15</v>
      </c>
      <c r="K3" s="69">
        <v>563</v>
      </c>
      <c r="L3" s="69">
        <v>347</v>
      </c>
      <c r="M3" s="69">
        <v>87</v>
      </c>
      <c r="N3" s="70">
        <v>450780</v>
      </c>
      <c r="O3" s="71"/>
      <c r="P3" s="72" t="s">
        <v>16</v>
      </c>
      <c r="Q3" s="89">
        <v>0.94</v>
      </c>
      <c r="R3" s="90">
        <v>987982</v>
      </c>
    </row>
    <row r="4" s="3" customFormat="1" ht="51.75" spans="1:18">
      <c r="A4" s="58" t="s">
        <v>78</v>
      </c>
      <c r="B4" s="59">
        <v>67</v>
      </c>
      <c r="C4" s="59">
        <v>44</v>
      </c>
      <c r="D4" s="59">
        <v>9</v>
      </c>
      <c r="E4" s="60">
        <v>13566</v>
      </c>
      <c r="F4" s="60">
        <v>122094</v>
      </c>
      <c r="G4" s="59">
        <v>7</v>
      </c>
      <c r="H4" s="59">
        <v>2</v>
      </c>
      <c r="I4" s="67"/>
      <c r="J4" s="73" t="s">
        <v>18</v>
      </c>
      <c r="K4" s="59">
        <v>959</v>
      </c>
      <c r="L4" s="59">
        <v>468</v>
      </c>
      <c r="M4" s="59">
        <v>201</v>
      </c>
      <c r="N4" s="74">
        <v>373466</v>
      </c>
      <c r="O4" s="71"/>
      <c r="P4" s="75" t="s">
        <v>19</v>
      </c>
      <c r="Q4" s="89">
        <v>0.05</v>
      </c>
      <c r="R4" s="90">
        <v>52502</v>
      </c>
    </row>
    <row r="5" s="3" customFormat="1" ht="34.5" spans="1:18">
      <c r="A5" s="58" t="s">
        <v>79</v>
      </c>
      <c r="B5" s="59">
        <v>321</v>
      </c>
      <c r="C5" s="59">
        <v>181</v>
      </c>
      <c r="D5" s="59">
        <v>37</v>
      </c>
      <c r="E5" s="60">
        <v>2888</v>
      </c>
      <c r="F5" s="60">
        <v>106856</v>
      </c>
      <c r="G5" s="59">
        <v>29</v>
      </c>
      <c r="H5" s="59">
        <v>10</v>
      </c>
      <c r="I5" s="67"/>
      <c r="J5" s="73" t="s">
        <v>21</v>
      </c>
      <c r="K5" s="59">
        <v>2087</v>
      </c>
      <c r="L5" s="59">
        <v>1210</v>
      </c>
      <c r="M5" s="59">
        <v>288</v>
      </c>
      <c r="N5" s="74">
        <v>137571</v>
      </c>
      <c r="O5" s="71"/>
      <c r="P5" s="75" t="s">
        <v>25</v>
      </c>
      <c r="Q5" s="89">
        <v>0</v>
      </c>
      <c r="R5" s="90">
        <v>5198</v>
      </c>
    </row>
    <row r="6" s="3" customFormat="1" ht="51.75" spans="1:18">
      <c r="A6" s="58" t="s">
        <v>80</v>
      </c>
      <c r="B6" s="59">
        <v>70</v>
      </c>
      <c r="C6" s="59">
        <v>51</v>
      </c>
      <c r="D6" s="59">
        <v>6</v>
      </c>
      <c r="E6" s="60">
        <v>12999</v>
      </c>
      <c r="F6" s="60">
        <v>77994</v>
      </c>
      <c r="G6" s="59">
        <v>6</v>
      </c>
      <c r="H6" s="59">
        <v>1</v>
      </c>
      <c r="I6" s="67"/>
      <c r="J6" s="73" t="s">
        <v>24</v>
      </c>
      <c r="K6" s="59">
        <v>137</v>
      </c>
      <c r="L6" s="59">
        <v>87</v>
      </c>
      <c r="M6" s="59">
        <v>26</v>
      </c>
      <c r="N6" s="74">
        <v>11243</v>
      </c>
      <c r="O6" s="71"/>
      <c r="P6" s="75" t="s">
        <v>22</v>
      </c>
      <c r="Q6" s="89">
        <v>0</v>
      </c>
      <c r="R6" s="90">
        <v>1503</v>
      </c>
    </row>
    <row r="7" s="3" customFormat="1" ht="17.25" spans="1:18">
      <c r="A7" s="58" t="s">
        <v>81</v>
      </c>
      <c r="B7" s="59">
        <v>98</v>
      </c>
      <c r="C7" s="59">
        <v>64</v>
      </c>
      <c r="D7" s="59">
        <v>13</v>
      </c>
      <c r="E7" s="60">
        <v>5088</v>
      </c>
      <c r="F7" s="60">
        <v>66144</v>
      </c>
      <c r="G7" s="59">
        <v>12</v>
      </c>
      <c r="H7" s="59">
        <v>4</v>
      </c>
      <c r="I7" s="67"/>
      <c r="J7" s="73" t="s">
        <v>27</v>
      </c>
      <c r="K7" s="59">
        <v>67</v>
      </c>
      <c r="L7" s="59">
        <v>54</v>
      </c>
      <c r="M7" s="59">
        <v>27</v>
      </c>
      <c r="N7" s="74">
        <v>3728</v>
      </c>
      <c r="O7" s="71"/>
      <c r="P7" s="76"/>
      <c r="Q7" s="76"/>
      <c r="R7" s="76"/>
    </row>
    <row r="8" s="3" customFormat="1" ht="34.5" spans="1:18">
      <c r="A8" s="58" t="s">
        <v>82</v>
      </c>
      <c r="B8" s="59">
        <v>726</v>
      </c>
      <c r="C8" s="59">
        <v>458</v>
      </c>
      <c r="D8" s="59">
        <v>54</v>
      </c>
      <c r="E8" s="60">
        <v>999</v>
      </c>
      <c r="F8" s="60">
        <v>53946</v>
      </c>
      <c r="G8" s="59">
        <v>43</v>
      </c>
      <c r="H8" s="59">
        <v>15</v>
      </c>
      <c r="I8" s="67"/>
      <c r="J8" s="73" t="s">
        <v>31</v>
      </c>
      <c r="K8" s="59">
        <v>18</v>
      </c>
      <c r="L8" s="59">
        <v>15</v>
      </c>
      <c r="M8" s="59">
        <v>13</v>
      </c>
      <c r="N8" s="74">
        <v>2994</v>
      </c>
      <c r="O8" s="71"/>
      <c r="P8" s="76"/>
      <c r="Q8" s="76"/>
      <c r="R8" s="76"/>
    </row>
    <row r="9" s="3" customFormat="1" ht="51.75" spans="1:18">
      <c r="A9" s="58" t="s">
        <v>83</v>
      </c>
      <c r="B9" s="59">
        <v>84</v>
      </c>
      <c r="C9" s="59">
        <v>30</v>
      </c>
      <c r="D9" s="59">
        <v>2</v>
      </c>
      <c r="E9" s="60">
        <v>25400</v>
      </c>
      <c r="F9" s="60">
        <v>50800</v>
      </c>
      <c r="G9" s="59">
        <v>2</v>
      </c>
      <c r="H9" s="59">
        <v>0</v>
      </c>
      <c r="I9" s="67"/>
      <c r="J9" s="73" t="s">
        <v>35</v>
      </c>
      <c r="K9" s="59">
        <v>58</v>
      </c>
      <c r="L9" s="59">
        <v>46</v>
      </c>
      <c r="M9" s="59">
        <v>13</v>
      </c>
      <c r="N9" s="74">
        <v>2288</v>
      </c>
      <c r="O9" s="71"/>
      <c r="P9" s="76"/>
      <c r="Q9" s="76"/>
      <c r="R9" s="76"/>
    </row>
    <row r="10" s="3" customFormat="1" ht="34.5" spans="1:18">
      <c r="A10" s="58" t="s">
        <v>84</v>
      </c>
      <c r="B10" s="59">
        <v>35</v>
      </c>
      <c r="C10" s="59">
        <v>28</v>
      </c>
      <c r="D10" s="59">
        <v>7</v>
      </c>
      <c r="E10" s="60">
        <v>6000</v>
      </c>
      <c r="F10" s="60">
        <v>42000</v>
      </c>
      <c r="G10" s="59">
        <v>6</v>
      </c>
      <c r="H10" s="59">
        <v>2</v>
      </c>
      <c r="I10" s="67"/>
      <c r="J10" s="73" t="s">
        <v>29</v>
      </c>
      <c r="K10" s="59">
        <v>374</v>
      </c>
      <c r="L10" s="59">
        <v>243</v>
      </c>
      <c r="M10" s="59">
        <v>15</v>
      </c>
      <c r="N10" s="74">
        <v>2175</v>
      </c>
      <c r="O10" s="71"/>
      <c r="P10" s="76"/>
      <c r="Q10" s="76"/>
      <c r="R10" s="76"/>
    </row>
    <row r="11" s="3" customFormat="1" ht="34.5" spans="1:18">
      <c r="A11" s="58" t="s">
        <v>85</v>
      </c>
      <c r="B11" s="59">
        <v>342</v>
      </c>
      <c r="C11" s="59">
        <v>224</v>
      </c>
      <c r="D11" s="59">
        <v>56</v>
      </c>
      <c r="E11" s="60">
        <v>728</v>
      </c>
      <c r="F11" s="60">
        <v>40768</v>
      </c>
      <c r="G11" s="59">
        <v>38</v>
      </c>
      <c r="H11" s="59">
        <v>8</v>
      </c>
      <c r="I11" s="67"/>
      <c r="J11" s="73" t="s">
        <v>33</v>
      </c>
      <c r="K11" s="59">
        <v>32</v>
      </c>
      <c r="L11" s="59">
        <v>11</v>
      </c>
      <c r="M11" s="59">
        <v>9</v>
      </c>
      <c r="N11" s="74">
        <v>2078</v>
      </c>
      <c r="O11" s="71"/>
      <c r="P11" s="76"/>
      <c r="Q11" s="76"/>
      <c r="R11" s="76"/>
    </row>
    <row r="12" s="3" customFormat="1" ht="51.75" spans="1:18">
      <c r="A12" s="58" t="s">
        <v>86</v>
      </c>
      <c r="B12" s="59">
        <v>46</v>
      </c>
      <c r="C12" s="59">
        <v>30</v>
      </c>
      <c r="D12" s="59">
        <v>4</v>
      </c>
      <c r="E12" s="60">
        <v>8306</v>
      </c>
      <c r="F12" s="60">
        <v>33224</v>
      </c>
      <c r="G12" s="59">
        <v>4</v>
      </c>
      <c r="H12" s="59">
        <v>1</v>
      </c>
      <c r="I12" s="67"/>
      <c r="J12" s="73" t="s">
        <v>29</v>
      </c>
      <c r="K12" s="59">
        <v>3</v>
      </c>
      <c r="L12" s="59">
        <v>1</v>
      </c>
      <c r="M12" s="59">
        <v>1</v>
      </c>
      <c r="N12" s="74">
        <v>728</v>
      </c>
      <c r="O12" s="71"/>
      <c r="P12" s="76"/>
      <c r="Q12" s="76"/>
      <c r="R12" s="76"/>
    </row>
    <row r="13" s="3" customFormat="1" ht="17.25" spans="1:18">
      <c r="A13" s="58" t="s">
        <v>87</v>
      </c>
      <c r="B13" s="59">
        <v>410</v>
      </c>
      <c r="C13" s="59">
        <v>286</v>
      </c>
      <c r="D13" s="59">
        <v>66</v>
      </c>
      <c r="E13" s="60">
        <v>499</v>
      </c>
      <c r="F13" s="60">
        <v>32934</v>
      </c>
      <c r="G13" s="59">
        <v>28</v>
      </c>
      <c r="H13" s="59">
        <v>14</v>
      </c>
      <c r="I13" s="67"/>
      <c r="J13" s="73" t="s">
        <v>88</v>
      </c>
      <c r="K13" s="59">
        <v>0</v>
      </c>
      <c r="L13" s="59">
        <v>0</v>
      </c>
      <c r="M13" s="59">
        <v>4</v>
      </c>
      <c r="N13" s="74">
        <v>112</v>
      </c>
      <c r="O13" s="71"/>
      <c r="P13" s="76"/>
      <c r="Q13" s="76"/>
      <c r="R13" s="76"/>
    </row>
    <row r="14" s="3" customFormat="1" ht="34.5" spans="1:18">
      <c r="A14" s="58" t="s">
        <v>89</v>
      </c>
      <c r="B14" s="59">
        <v>143</v>
      </c>
      <c r="C14" s="59">
        <v>83</v>
      </c>
      <c r="D14" s="59">
        <v>40</v>
      </c>
      <c r="E14" s="60">
        <v>788</v>
      </c>
      <c r="F14" s="60">
        <v>31520</v>
      </c>
      <c r="G14" s="59">
        <v>18</v>
      </c>
      <c r="H14" s="59">
        <v>14</v>
      </c>
      <c r="I14" s="67"/>
      <c r="J14" s="73" t="s">
        <v>21</v>
      </c>
      <c r="K14" s="59">
        <v>3</v>
      </c>
      <c r="L14" s="59">
        <v>3</v>
      </c>
      <c r="M14" s="59">
        <v>2</v>
      </c>
      <c r="N14" s="74">
        <v>56</v>
      </c>
      <c r="O14" s="71"/>
      <c r="P14" s="76"/>
      <c r="Q14" s="76"/>
      <c r="R14" s="76"/>
    </row>
    <row r="15" s="3" customFormat="1" ht="51.75" spans="1:18">
      <c r="A15" s="58" t="s">
        <v>90</v>
      </c>
      <c r="B15" s="59">
        <v>29</v>
      </c>
      <c r="C15" s="59">
        <v>19</v>
      </c>
      <c r="D15" s="59">
        <v>2</v>
      </c>
      <c r="E15" s="60">
        <v>15666</v>
      </c>
      <c r="F15" s="60">
        <v>31332</v>
      </c>
      <c r="G15" s="59">
        <v>2</v>
      </c>
      <c r="H15" s="59">
        <v>0</v>
      </c>
      <c r="I15" s="67"/>
      <c r="J15" s="73" t="s">
        <v>40</v>
      </c>
      <c r="K15" s="59">
        <v>2</v>
      </c>
      <c r="L15" s="59">
        <v>2</v>
      </c>
      <c r="M15" s="59">
        <v>1</v>
      </c>
      <c r="N15" s="74">
        <v>28</v>
      </c>
      <c r="O15" s="71"/>
      <c r="P15" s="76"/>
      <c r="Q15" s="76" t="s">
        <v>43</v>
      </c>
      <c r="R15" s="76"/>
    </row>
    <row r="16" s="3" customFormat="1" ht="17.25" spans="1:18">
      <c r="A16" s="58" t="s">
        <v>91</v>
      </c>
      <c r="B16" s="59">
        <v>112</v>
      </c>
      <c r="C16" s="59">
        <v>96</v>
      </c>
      <c r="D16" s="59">
        <v>45</v>
      </c>
      <c r="E16" s="60">
        <v>238</v>
      </c>
      <c r="F16" s="60">
        <v>10710</v>
      </c>
      <c r="G16" s="59">
        <v>19</v>
      </c>
      <c r="H16" s="59">
        <v>18</v>
      </c>
      <c r="I16" s="67"/>
      <c r="J16" s="73" t="s">
        <v>38</v>
      </c>
      <c r="K16" s="59">
        <v>3</v>
      </c>
      <c r="L16" s="59">
        <v>3</v>
      </c>
      <c r="M16" s="59">
        <v>1</v>
      </c>
      <c r="N16" s="74">
        <v>28</v>
      </c>
      <c r="O16" s="71"/>
      <c r="P16" s="76"/>
      <c r="Q16" s="76"/>
      <c r="R16" s="76"/>
    </row>
    <row r="17" s="3" customFormat="1" ht="34.5" spans="1:18">
      <c r="A17" s="58" t="s">
        <v>92</v>
      </c>
      <c r="B17" s="59">
        <v>79</v>
      </c>
      <c r="C17" s="59">
        <v>49</v>
      </c>
      <c r="D17" s="59">
        <v>6</v>
      </c>
      <c r="E17" s="60">
        <v>1698</v>
      </c>
      <c r="F17" s="60">
        <v>10188</v>
      </c>
      <c r="G17" s="59">
        <v>5</v>
      </c>
      <c r="H17" s="59">
        <v>2</v>
      </c>
      <c r="I17" s="67"/>
      <c r="J17" s="73" t="s">
        <v>35</v>
      </c>
      <c r="K17" s="59">
        <v>0</v>
      </c>
      <c r="L17" s="59">
        <v>0</v>
      </c>
      <c r="M17" s="59">
        <v>1</v>
      </c>
      <c r="N17" s="74">
        <v>28</v>
      </c>
      <c r="O17" s="71"/>
      <c r="P17" s="76"/>
      <c r="Q17" s="76"/>
      <c r="R17" s="76"/>
    </row>
    <row r="18" s="3" customFormat="1" ht="17.25" spans="1:18">
      <c r="A18" s="58" t="s">
        <v>93</v>
      </c>
      <c r="B18" s="59">
        <v>431</v>
      </c>
      <c r="C18" s="59">
        <v>330</v>
      </c>
      <c r="D18" s="59">
        <v>48</v>
      </c>
      <c r="E18" s="60">
        <v>208</v>
      </c>
      <c r="F18" s="60">
        <v>9984</v>
      </c>
      <c r="G18" s="59">
        <v>26</v>
      </c>
      <c r="H18" s="59">
        <v>7</v>
      </c>
      <c r="I18" s="67"/>
      <c r="J18" s="73" t="s">
        <v>94</v>
      </c>
      <c r="K18" s="59">
        <v>0</v>
      </c>
      <c r="L18" s="59">
        <v>0</v>
      </c>
      <c r="M18" s="59">
        <v>1</v>
      </c>
      <c r="N18" s="74">
        <v>28</v>
      </c>
      <c r="O18" s="71"/>
      <c r="P18" s="76"/>
      <c r="Q18" s="76"/>
      <c r="R18" s="76"/>
    </row>
    <row r="19" s="3" customFormat="1" ht="17.25" spans="1:18">
      <c r="A19" s="58" t="s">
        <v>95</v>
      </c>
      <c r="B19" s="59">
        <v>183</v>
      </c>
      <c r="C19" s="59">
        <v>141</v>
      </c>
      <c r="D19" s="59">
        <v>33</v>
      </c>
      <c r="E19" s="60">
        <v>199</v>
      </c>
      <c r="F19" s="60">
        <v>6567</v>
      </c>
      <c r="G19" s="59">
        <v>22</v>
      </c>
      <c r="H19" s="59">
        <v>6</v>
      </c>
      <c r="I19" s="67"/>
      <c r="J19" s="73" t="s">
        <v>96</v>
      </c>
      <c r="K19" s="59">
        <v>0</v>
      </c>
      <c r="L19" s="59">
        <v>0</v>
      </c>
      <c r="M19" s="59">
        <v>1</v>
      </c>
      <c r="N19" s="74">
        <v>28</v>
      </c>
      <c r="O19" s="71"/>
      <c r="P19" s="76"/>
      <c r="Q19" s="76"/>
      <c r="R19" s="76"/>
    </row>
    <row r="20" s="3" customFormat="1" ht="34.5" spans="1:18">
      <c r="A20" s="58" t="s">
        <v>97</v>
      </c>
      <c r="B20" s="59">
        <v>87</v>
      </c>
      <c r="C20" s="59">
        <v>68</v>
      </c>
      <c r="D20" s="59">
        <v>7</v>
      </c>
      <c r="E20" s="60">
        <v>988</v>
      </c>
      <c r="F20" s="60">
        <v>6316</v>
      </c>
      <c r="G20" s="59">
        <v>7</v>
      </c>
      <c r="H20" s="59">
        <v>0</v>
      </c>
      <c r="I20" s="67"/>
      <c r="J20" s="73" t="s">
        <v>29</v>
      </c>
      <c r="K20" s="59">
        <v>0</v>
      </c>
      <c r="L20" s="59">
        <v>0</v>
      </c>
      <c r="M20" s="59">
        <v>1</v>
      </c>
      <c r="N20" s="74">
        <v>28</v>
      </c>
      <c r="O20" s="71"/>
      <c r="P20" s="76"/>
      <c r="Q20" s="76"/>
      <c r="R20" s="76"/>
    </row>
    <row r="21" s="3" customFormat="1" ht="17.25" spans="1:18">
      <c r="A21" s="58" t="s">
        <v>98</v>
      </c>
      <c r="B21" s="59">
        <v>102</v>
      </c>
      <c r="C21" s="59">
        <v>50</v>
      </c>
      <c r="D21" s="59">
        <v>2</v>
      </c>
      <c r="E21" s="60">
        <v>3000</v>
      </c>
      <c r="F21" s="60">
        <v>6000</v>
      </c>
      <c r="G21" s="59">
        <v>2</v>
      </c>
      <c r="H21" s="59">
        <v>1</v>
      </c>
      <c r="I21" s="67"/>
      <c r="J21" s="77"/>
      <c r="K21" s="78"/>
      <c r="L21" s="79"/>
      <c r="M21" s="80"/>
      <c r="N21" s="80"/>
      <c r="O21" s="71"/>
      <c r="P21" s="76"/>
      <c r="Q21" s="76"/>
      <c r="R21" s="76"/>
    </row>
    <row r="22" s="3" customFormat="1" ht="17.25" spans="1:18">
      <c r="A22" s="58" t="s">
        <v>99</v>
      </c>
      <c r="B22" s="59">
        <v>110</v>
      </c>
      <c r="C22" s="59">
        <v>91</v>
      </c>
      <c r="D22" s="59">
        <v>3</v>
      </c>
      <c r="E22" s="60">
        <v>1588</v>
      </c>
      <c r="F22" s="60">
        <v>4764</v>
      </c>
      <c r="G22" s="59">
        <v>3</v>
      </c>
      <c r="H22" s="59">
        <v>0</v>
      </c>
      <c r="I22" s="67"/>
      <c r="J22" s="81"/>
      <c r="K22" s="82"/>
      <c r="L22" s="83"/>
      <c r="M22" s="84"/>
      <c r="N22" s="84"/>
      <c r="O22" s="71"/>
      <c r="P22" s="76"/>
      <c r="Q22" s="76"/>
      <c r="R22" s="76"/>
    </row>
    <row r="23" s="3" customFormat="1" ht="34.5" spans="1:18">
      <c r="A23" s="58" t="s">
        <v>100</v>
      </c>
      <c r="B23" s="59">
        <v>31</v>
      </c>
      <c r="C23" s="59">
        <v>23</v>
      </c>
      <c r="D23" s="59">
        <v>1</v>
      </c>
      <c r="E23" s="60">
        <v>4388</v>
      </c>
      <c r="F23" s="60">
        <v>4388</v>
      </c>
      <c r="G23" s="59">
        <v>1</v>
      </c>
      <c r="H23" s="59">
        <v>0</v>
      </c>
      <c r="I23" s="67"/>
      <c r="J23" s="81"/>
      <c r="K23" s="82"/>
      <c r="L23" s="85"/>
      <c r="M23" s="84"/>
      <c r="N23" s="84"/>
      <c r="O23" s="71"/>
      <c r="P23" s="76"/>
      <c r="Q23" s="76"/>
      <c r="R23" s="76"/>
    </row>
    <row r="24" s="3" customFormat="1" ht="17.25" spans="1:18">
      <c r="A24" s="58" t="s">
        <v>101</v>
      </c>
      <c r="B24" s="59">
        <v>71</v>
      </c>
      <c r="C24" s="59">
        <v>54</v>
      </c>
      <c r="D24" s="59">
        <v>8</v>
      </c>
      <c r="E24" s="60">
        <v>500</v>
      </c>
      <c r="F24" s="60">
        <v>4000</v>
      </c>
      <c r="G24" s="59">
        <v>8</v>
      </c>
      <c r="H24" s="59">
        <v>1</v>
      </c>
      <c r="I24" s="67"/>
      <c r="J24" s="86"/>
      <c r="K24" s="84"/>
      <c r="L24" s="84"/>
      <c r="M24" s="84"/>
      <c r="N24" s="84"/>
      <c r="O24" s="71"/>
      <c r="P24" s="76"/>
      <c r="Q24" s="76"/>
      <c r="R24" s="76"/>
    </row>
    <row r="25" s="3" customFormat="1" ht="17.25" spans="1:18">
      <c r="A25" s="58" t="s">
        <v>102</v>
      </c>
      <c r="B25" s="59">
        <v>180</v>
      </c>
      <c r="C25" s="59">
        <v>102</v>
      </c>
      <c r="D25" s="59">
        <v>2</v>
      </c>
      <c r="E25" s="60">
        <v>1988</v>
      </c>
      <c r="F25" s="60">
        <v>3976</v>
      </c>
      <c r="G25" s="59">
        <v>2</v>
      </c>
      <c r="H25" s="59">
        <v>0</v>
      </c>
      <c r="I25" s="67"/>
      <c r="J25" s="86"/>
      <c r="K25" s="84"/>
      <c r="L25" s="84"/>
      <c r="M25" s="84"/>
      <c r="N25" s="84"/>
      <c r="O25" s="71"/>
      <c r="P25" s="76"/>
      <c r="Q25" s="76"/>
      <c r="R25" s="76"/>
    </row>
    <row r="26" s="3" customFormat="1" ht="17.25" spans="1:18">
      <c r="A26" s="58" t="s">
        <v>103</v>
      </c>
      <c r="B26" s="59">
        <v>76</v>
      </c>
      <c r="C26" s="59">
        <v>46</v>
      </c>
      <c r="D26" s="59">
        <v>140</v>
      </c>
      <c r="E26" s="60">
        <v>28</v>
      </c>
      <c r="F26" s="60">
        <v>3920</v>
      </c>
      <c r="G26" s="59">
        <v>140</v>
      </c>
      <c r="H26" s="59">
        <v>93</v>
      </c>
      <c r="I26" s="67"/>
      <c r="J26" s="86"/>
      <c r="K26" s="84"/>
      <c r="L26" s="84"/>
      <c r="M26" s="84"/>
      <c r="N26" s="84"/>
      <c r="O26" s="71"/>
      <c r="P26" s="76"/>
      <c r="Q26" s="76"/>
      <c r="R26" s="76"/>
    </row>
    <row r="27" s="3" customFormat="1" ht="17.25" spans="1:18">
      <c r="A27" s="58" t="s">
        <v>104</v>
      </c>
      <c r="B27" s="59">
        <v>90</v>
      </c>
      <c r="C27" s="59">
        <v>72</v>
      </c>
      <c r="D27" s="59">
        <v>25</v>
      </c>
      <c r="E27" s="60">
        <v>138</v>
      </c>
      <c r="F27" s="60">
        <v>3450</v>
      </c>
      <c r="G27" s="59">
        <v>5</v>
      </c>
      <c r="H27" s="59">
        <v>3</v>
      </c>
      <c r="I27" s="67"/>
      <c r="J27" s="86"/>
      <c r="K27" s="84"/>
      <c r="L27" s="84"/>
      <c r="M27" s="84"/>
      <c r="N27" s="84"/>
      <c r="O27" s="71"/>
      <c r="P27" s="76"/>
      <c r="Q27" s="76"/>
      <c r="R27" s="76"/>
    </row>
    <row r="28" s="3" customFormat="1" ht="17.25" spans="1:18">
      <c r="A28" s="58" t="s">
        <v>105</v>
      </c>
      <c r="B28" s="59">
        <v>19</v>
      </c>
      <c r="C28" s="59">
        <v>17</v>
      </c>
      <c r="D28" s="59">
        <v>3</v>
      </c>
      <c r="E28" s="60">
        <v>1000</v>
      </c>
      <c r="F28" s="60">
        <v>3000</v>
      </c>
      <c r="G28" s="59">
        <v>3</v>
      </c>
      <c r="H28" s="59">
        <v>0</v>
      </c>
      <c r="I28" s="67"/>
      <c r="J28" s="86"/>
      <c r="K28" s="84"/>
      <c r="L28" s="84"/>
      <c r="M28" s="84"/>
      <c r="N28" s="84"/>
      <c r="O28" s="71"/>
      <c r="P28" s="76"/>
      <c r="Q28" s="76"/>
      <c r="R28" s="76"/>
    </row>
    <row r="29" s="3" customFormat="1" ht="17.25" spans="1:18">
      <c r="A29" s="58" t="s">
        <v>106</v>
      </c>
      <c r="B29" s="59">
        <v>81</v>
      </c>
      <c r="C29" s="59">
        <v>66</v>
      </c>
      <c r="D29" s="59">
        <v>9</v>
      </c>
      <c r="E29" s="60">
        <v>268</v>
      </c>
      <c r="F29" s="60">
        <v>2412</v>
      </c>
      <c r="G29" s="59">
        <v>8</v>
      </c>
      <c r="H29" s="59">
        <v>1</v>
      </c>
      <c r="I29" s="67"/>
      <c r="J29" s="86"/>
      <c r="K29" s="84"/>
      <c r="L29" s="84"/>
      <c r="M29" s="84"/>
      <c r="N29" s="84"/>
      <c r="O29" s="71"/>
      <c r="P29" s="76"/>
      <c r="Q29" s="76"/>
      <c r="R29" s="76"/>
    </row>
    <row r="30" s="3" customFormat="1" ht="17.25" spans="1:18">
      <c r="A30" s="58" t="s">
        <v>107</v>
      </c>
      <c r="B30" s="59">
        <v>218</v>
      </c>
      <c r="C30" s="59">
        <v>136</v>
      </c>
      <c r="D30" s="59">
        <v>22</v>
      </c>
      <c r="E30" s="60">
        <v>99</v>
      </c>
      <c r="F30" s="60">
        <v>2178</v>
      </c>
      <c r="G30" s="59">
        <v>22</v>
      </c>
      <c r="H30" s="59">
        <v>1</v>
      </c>
      <c r="I30" s="67"/>
      <c r="J30" s="86"/>
      <c r="K30" s="84"/>
      <c r="L30" s="84"/>
      <c r="M30" s="84"/>
      <c r="N30" s="84"/>
      <c r="O30" s="71"/>
      <c r="P30" s="76"/>
      <c r="Q30" s="76"/>
      <c r="R30" s="76"/>
    </row>
    <row r="31" s="3" customFormat="1" ht="17.25" spans="1:18">
      <c r="A31" s="58" t="s">
        <v>108</v>
      </c>
      <c r="B31" s="59">
        <v>86</v>
      </c>
      <c r="C31" s="59">
        <v>70</v>
      </c>
      <c r="D31" s="59">
        <v>70</v>
      </c>
      <c r="E31" s="60">
        <v>28</v>
      </c>
      <c r="F31" s="60">
        <v>1960</v>
      </c>
      <c r="G31" s="59">
        <v>70</v>
      </c>
      <c r="H31" s="59">
        <v>48</v>
      </c>
      <c r="I31" s="67"/>
      <c r="J31" s="86"/>
      <c r="K31" s="84"/>
      <c r="L31" s="84"/>
      <c r="M31" s="84"/>
      <c r="N31" s="84"/>
      <c r="O31" s="71"/>
      <c r="P31" s="76"/>
      <c r="Q31" s="76"/>
      <c r="R31" s="76"/>
    </row>
    <row r="32" s="3" customFormat="1" ht="34.5" spans="1:18">
      <c r="A32" s="58" t="s">
        <v>109</v>
      </c>
      <c r="B32" s="59">
        <v>76</v>
      </c>
      <c r="C32" s="59">
        <v>62</v>
      </c>
      <c r="D32" s="59">
        <v>4</v>
      </c>
      <c r="E32" s="60">
        <v>368</v>
      </c>
      <c r="F32" s="60">
        <v>1472</v>
      </c>
      <c r="G32" s="59">
        <v>4</v>
      </c>
      <c r="H32" s="59">
        <v>0</v>
      </c>
      <c r="I32" s="67"/>
      <c r="J32" s="86"/>
      <c r="K32" s="84"/>
      <c r="L32" s="84"/>
      <c r="M32" s="84"/>
      <c r="N32" s="84"/>
      <c r="O32" s="71"/>
      <c r="P32" s="76"/>
      <c r="Q32" s="76"/>
      <c r="R32" s="76"/>
    </row>
    <row r="33" s="3" customFormat="1" ht="17.25" spans="1:18">
      <c r="A33" s="58" t="s">
        <v>110</v>
      </c>
      <c r="B33" s="59">
        <v>75</v>
      </c>
      <c r="C33" s="59">
        <v>51</v>
      </c>
      <c r="D33" s="59">
        <v>11</v>
      </c>
      <c r="E33" s="60">
        <v>108</v>
      </c>
      <c r="F33" s="60">
        <v>1188</v>
      </c>
      <c r="G33" s="59">
        <v>9</v>
      </c>
      <c r="H33" s="59">
        <v>3</v>
      </c>
      <c r="I33" s="67"/>
      <c r="J33" s="86"/>
      <c r="K33" s="84"/>
      <c r="L33" s="84"/>
      <c r="M33" s="84"/>
      <c r="N33" s="84"/>
      <c r="O33" s="71"/>
      <c r="P33" s="76"/>
      <c r="Q33" s="76"/>
      <c r="R33" s="76"/>
    </row>
    <row r="34" s="3" customFormat="1" ht="17.25" spans="1:18">
      <c r="A34" s="58" t="s">
        <v>111</v>
      </c>
      <c r="B34" s="59">
        <v>107</v>
      </c>
      <c r="C34" s="59">
        <v>79</v>
      </c>
      <c r="D34" s="59">
        <v>15</v>
      </c>
      <c r="E34" s="60">
        <v>78</v>
      </c>
      <c r="F34" s="60">
        <v>1170</v>
      </c>
      <c r="G34" s="59">
        <v>14</v>
      </c>
      <c r="H34" s="59">
        <v>5</v>
      </c>
      <c r="I34" s="67"/>
      <c r="J34" s="86"/>
      <c r="K34" s="84"/>
      <c r="L34" s="84"/>
      <c r="M34" s="84"/>
      <c r="N34" s="84"/>
      <c r="O34" s="71"/>
      <c r="P34" s="76"/>
      <c r="Q34" s="76"/>
      <c r="R34" s="76"/>
    </row>
    <row r="35" s="3" customFormat="1" ht="17.25" spans="1:18">
      <c r="A35" s="58" t="s">
        <v>112</v>
      </c>
      <c r="B35" s="59">
        <v>18</v>
      </c>
      <c r="C35" s="59">
        <v>14</v>
      </c>
      <c r="D35" s="59">
        <v>35</v>
      </c>
      <c r="E35" s="60">
        <v>28</v>
      </c>
      <c r="F35" s="60">
        <v>980</v>
      </c>
      <c r="G35" s="59">
        <v>35</v>
      </c>
      <c r="H35" s="59">
        <v>27</v>
      </c>
      <c r="I35" s="67"/>
      <c r="J35" s="86"/>
      <c r="K35" s="84"/>
      <c r="L35" s="84"/>
      <c r="M35" s="84"/>
      <c r="N35" s="84"/>
      <c r="O35" s="71"/>
      <c r="P35" s="76"/>
      <c r="Q35" s="76"/>
      <c r="R35" s="76"/>
    </row>
    <row r="36" s="3" customFormat="1" ht="17.25" spans="1:18">
      <c r="A36" s="58" t="s">
        <v>113</v>
      </c>
      <c r="B36" s="59">
        <v>161</v>
      </c>
      <c r="C36" s="59">
        <v>129</v>
      </c>
      <c r="D36" s="59">
        <v>5</v>
      </c>
      <c r="E36" s="60">
        <v>168</v>
      </c>
      <c r="F36" s="60">
        <v>840</v>
      </c>
      <c r="G36" s="59">
        <v>3</v>
      </c>
      <c r="H36" s="59">
        <v>2</v>
      </c>
      <c r="I36" s="67"/>
      <c r="J36" s="86"/>
      <c r="K36" s="84"/>
      <c r="L36" s="84"/>
      <c r="M36" s="84"/>
      <c r="N36" s="84"/>
      <c r="O36" s="71"/>
      <c r="P36" s="76"/>
      <c r="Q36" s="76"/>
      <c r="R36" s="76"/>
    </row>
    <row r="37" s="17" customFormat="1" ht="17.25" spans="1:16">
      <c r="A37" s="58" t="s">
        <v>114</v>
      </c>
      <c r="B37" s="59">
        <v>28</v>
      </c>
      <c r="C37" s="59">
        <v>21</v>
      </c>
      <c r="D37" s="59">
        <v>1</v>
      </c>
      <c r="E37" s="60">
        <v>800</v>
      </c>
      <c r="F37" s="60">
        <v>800</v>
      </c>
      <c r="G37" s="59">
        <v>1</v>
      </c>
      <c r="H37" s="59">
        <v>1</v>
      </c>
      <c r="I37" s="87"/>
      <c r="J37" s="88"/>
      <c r="K37" s="87"/>
      <c r="L37" s="87"/>
      <c r="M37" s="87"/>
      <c r="N37" s="87"/>
      <c r="O37" s="87"/>
      <c r="P37" s="87"/>
    </row>
    <row r="38" ht="51.75" spans="1:8">
      <c r="A38" s="58" t="s">
        <v>115</v>
      </c>
      <c r="B38" s="59">
        <v>52</v>
      </c>
      <c r="C38" s="59">
        <v>40</v>
      </c>
      <c r="D38" s="59">
        <v>1</v>
      </c>
      <c r="E38" s="60">
        <v>788</v>
      </c>
      <c r="F38" s="60">
        <v>788</v>
      </c>
      <c r="G38" s="59">
        <v>1</v>
      </c>
      <c r="H38" s="59">
        <v>1</v>
      </c>
    </row>
    <row r="39" ht="17.25" spans="1:8">
      <c r="A39" s="58" t="s">
        <v>116</v>
      </c>
      <c r="B39" s="59">
        <v>14</v>
      </c>
      <c r="C39" s="59">
        <v>11</v>
      </c>
      <c r="D39" s="59">
        <v>14</v>
      </c>
      <c r="E39" s="60">
        <v>28</v>
      </c>
      <c r="F39" s="60">
        <v>392</v>
      </c>
      <c r="G39" s="59">
        <v>14</v>
      </c>
      <c r="H39" s="59">
        <v>8</v>
      </c>
    </row>
    <row r="40" ht="17.25" spans="1:8">
      <c r="A40" s="58" t="s">
        <v>117</v>
      </c>
      <c r="B40" s="59">
        <v>9</v>
      </c>
      <c r="C40" s="59">
        <v>8</v>
      </c>
      <c r="D40" s="59">
        <v>14</v>
      </c>
      <c r="E40" s="60">
        <v>28</v>
      </c>
      <c r="F40" s="60">
        <v>392</v>
      </c>
      <c r="G40" s="59">
        <v>14</v>
      </c>
      <c r="H40" s="59">
        <v>7</v>
      </c>
    </row>
    <row r="41" ht="17.25" spans="1:8">
      <c r="A41" s="58" t="s">
        <v>91</v>
      </c>
      <c r="B41" s="59">
        <v>23</v>
      </c>
      <c r="C41" s="59">
        <v>18</v>
      </c>
      <c r="D41" s="59">
        <v>7</v>
      </c>
      <c r="E41" s="60">
        <v>238</v>
      </c>
      <c r="F41" s="60">
        <f>238*45</f>
        <v>10710</v>
      </c>
      <c r="G41" s="59">
        <v>7</v>
      </c>
      <c r="H41" s="59">
        <v>6</v>
      </c>
    </row>
    <row r="42" ht="17.25" spans="1:8">
      <c r="A42" s="58" t="s">
        <v>113</v>
      </c>
      <c r="B42" s="59">
        <v>14</v>
      </c>
      <c r="C42" s="59">
        <v>13</v>
      </c>
      <c r="D42" s="59">
        <v>7</v>
      </c>
      <c r="E42" s="60">
        <v>28</v>
      </c>
      <c r="F42" s="60">
        <v>196</v>
      </c>
      <c r="G42" s="59">
        <v>7</v>
      </c>
      <c r="H42" s="59">
        <v>4</v>
      </c>
    </row>
    <row r="43" ht="17.25" spans="1:8">
      <c r="A43" s="58" t="s">
        <v>118</v>
      </c>
      <c r="B43" s="59">
        <v>7</v>
      </c>
      <c r="C43" s="59">
        <v>7</v>
      </c>
      <c r="D43" s="59">
        <v>7</v>
      </c>
      <c r="E43" s="60">
        <v>28</v>
      </c>
      <c r="F43" s="60">
        <v>196</v>
      </c>
      <c r="G43" s="59">
        <v>7</v>
      </c>
      <c r="H43" s="59">
        <v>4</v>
      </c>
    </row>
    <row r="44" ht="17.25" spans="1:8">
      <c r="A44" s="58" t="s">
        <v>119</v>
      </c>
      <c r="B44" s="59">
        <v>71</v>
      </c>
      <c r="C44" s="59">
        <v>59</v>
      </c>
      <c r="D44" s="59">
        <v>4</v>
      </c>
      <c r="E44" s="60">
        <v>28</v>
      </c>
      <c r="F44" s="60">
        <v>112</v>
      </c>
      <c r="G44" s="59">
        <v>4</v>
      </c>
      <c r="H44" s="59">
        <v>4</v>
      </c>
    </row>
    <row r="45" ht="17.25" spans="1:8">
      <c r="A45" s="58" t="s">
        <v>120</v>
      </c>
      <c r="B45" s="59">
        <v>37</v>
      </c>
      <c r="C45" s="59">
        <v>29</v>
      </c>
      <c r="D45" s="59">
        <v>1</v>
      </c>
      <c r="E45" s="60">
        <v>38</v>
      </c>
      <c r="F45" s="60">
        <v>38</v>
      </c>
      <c r="G45" s="59">
        <v>1</v>
      </c>
      <c r="H45" s="59">
        <v>1</v>
      </c>
    </row>
    <row r="46" ht="17.25" spans="1:8">
      <c r="A46" s="58" t="s">
        <v>121</v>
      </c>
      <c r="B46" s="59">
        <v>83</v>
      </c>
      <c r="C46" s="59">
        <v>73</v>
      </c>
      <c r="D46" s="59">
        <v>0</v>
      </c>
      <c r="E46" s="60">
        <v>498</v>
      </c>
      <c r="F46" s="60">
        <v>0</v>
      </c>
      <c r="G46" s="59">
        <v>0</v>
      </c>
      <c r="H46" s="59">
        <v>0</v>
      </c>
    </row>
    <row r="47" ht="17.25" spans="1:8">
      <c r="A47" s="58" t="s">
        <v>122</v>
      </c>
      <c r="B47" s="59">
        <v>38</v>
      </c>
      <c r="C47" s="59">
        <v>30</v>
      </c>
      <c r="D47" s="59">
        <v>0</v>
      </c>
      <c r="E47" s="60">
        <v>1688</v>
      </c>
      <c r="F47" s="60">
        <v>0</v>
      </c>
      <c r="G47" s="59">
        <v>0</v>
      </c>
      <c r="H47" s="59">
        <v>0</v>
      </c>
    </row>
    <row r="48" ht="17.25" spans="1:8">
      <c r="A48" s="58" t="s">
        <v>123</v>
      </c>
      <c r="B48" s="59">
        <v>11</v>
      </c>
      <c r="C48" s="59">
        <v>10</v>
      </c>
      <c r="D48" s="59">
        <v>0</v>
      </c>
      <c r="E48" s="60">
        <v>9.9</v>
      </c>
      <c r="F48" s="60">
        <v>0</v>
      </c>
      <c r="G48" s="59">
        <v>0</v>
      </c>
      <c r="H48" s="59">
        <v>0</v>
      </c>
    </row>
    <row r="49" ht="51.75" spans="1:8">
      <c r="A49" s="58" t="s">
        <v>124</v>
      </c>
      <c r="B49" s="59">
        <v>6</v>
      </c>
      <c r="C49" s="59">
        <v>6</v>
      </c>
      <c r="D49" s="59">
        <v>0</v>
      </c>
      <c r="E49" s="60">
        <v>8306</v>
      </c>
      <c r="F49" s="60">
        <v>0</v>
      </c>
      <c r="G49" s="59">
        <v>0</v>
      </c>
      <c r="H49" s="59">
        <v>0</v>
      </c>
    </row>
  </sheetData>
  <mergeCells count="2">
    <mergeCell ref="A1:P1"/>
    <mergeCell ref="O2:O3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J48"/>
  <sheetViews>
    <sheetView showGridLines="0" tabSelected="1" zoomScale="70" zoomScaleNormal="70" workbookViewId="0">
      <selection activeCell="C31" sqref="C31"/>
    </sheetView>
  </sheetViews>
  <sheetFormatPr defaultColWidth="9" defaultRowHeight="13.5"/>
  <cols>
    <col min="1" max="1" width="12.375" customWidth="1"/>
    <col min="2" max="2" width="103.25" customWidth="1"/>
    <col min="3" max="3" width="34.0583333333333" customWidth="1"/>
    <col min="4" max="4" width="18.875" customWidth="1"/>
    <col min="5" max="5" width="21.125" customWidth="1"/>
    <col min="6" max="6" width="21.25" style="4" customWidth="1"/>
    <col min="7" max="7" width="61.5" style="4" customWidth="1"/>
    <col min="8" max="8" width="20.125" style="5" customWidth="1"/>
    <col min="9" max="9" width="22.375" style="5" customWidth="1"/>
    <col min="10" max="10" width="23.125" style="6" customWidth="1"/>
    <col min="11" max="11" width="30.625" customWidth="1"/>
  </cols>
  <sheetData>
    <row r="1" s="1" customFormat="1" ht="30" customHeight="1" spans="1:10">
      <c r="A1" s="7" t="s">
        <v>125</v>
      </c>
      <c r="B1" s="7"/>
      <c r="C1" s="7"/>
      <c r="D1" s="7"/>
      <c r="E1" s="7"/>
      <c r="F1" s="7"/>
      <c r="G1" s="7"/>
      <c r="H1" s="7"/>
      <c r="I1" s="44"/>
      <c r="J1" s="45"/>
    </row>
    <row r="2" spans="1:1">
      <c r="A2" s="8"/>
    </row>
    <row r="3" ht="24.95" customHeight="1" spans="1:10">
      <c r="A3" s="9" t="s">
        <v>126</v>
      </c>
      <c r="B3" s="9"/>
      <c r="C3" s="9"/>
      <c r="D3" s="9"/>
      <c r="E3" s="9"/>
      <c r="F3" s="9"/>
      <c r="G3" s="9"/>
      <c r="H3" s="9"/>
      <c r="I3" s="46"/>
      <c r="J3" s="47"/>
    </row>
    <row r="4" s="2" customFormat="1" ht="27" customHeight="1" spans="1:10">
      <c r="A4" s="10" t="s">
        <v>127</v>
      </c>
      <c r="B4" s="11"/>
      <c r="C4" s="11"/>
      <c r="D4" s="12"/>
      <c r="F4" s="13"/>
      <c r="G4" s="13"/>
      <c r="H4" s="14"/>
      <c r="I4" s="14"/>
      <c r="J4" s="48"/>
    </row>
    <row r="5" s="3" customFormat="1" ht="21" customHeight="1" spans="1:10">
      <c r="A5" s="3" t="s">
        <v>128</v>
      </c>
      <c r="F5" s="15"/>
      <c r="G5" s="15"/>
      <c r="H5" s="16"/>
      <c r="I5" s="16"/>
      <c r="J5" s="49"/>
    </row>
    <row r="6" s="3" customFormat="1" ht="24" customHeight="1" spans="1:10">
      <c r="A6" s="3" t="s">
        <v>129</v>
      </c>
      <c r="F6" s="15"/>
      <c r="G6" s="15"/>
      <c r="H6" s="16"/>
      <c r="I6" s="16"/>
      <c r="J6" s="49"/>
    </row>
    <row r="7" s="3" customFormat="1" ht="26.25" customHeight="1" spans="1:10">
      <c r="A7" s="3" t="s">
        <v>130</v>
      </c>
      <c r="E7" s="17"/>
      <c r="F7" s="15"/>
      <c r="G7" s="15"/>
      <c r="H7" s="16"/>
      <c r="I7" s="16"/>
      <c r="J7" s="49"/>
    </row>
    <row r="8" ht="15" spans="1:10">
      <c r="A8" s="18" t="s">
        <v>131</v>
      </c>
      <c r="B8" s="18"/>
      <c r="C8" s="18"/>
      <c r="D8" s="18"/>
      <c r="E8" s="18"/>
      <c r="F8" s="18"/>
      <c r="G8" s="18"/>
      <c r="H8" s="18"/>
      <c r="I8" s="18"/>
      <c r="J8" s="18"/>
    </row>
    <row r="9" s="3" customFormat="1" ht="24" customHeight="1" spans="1:10">
      <c r="A9" s="19" t="s">
        <v>132</v>
      </c>
      <c r="B9" s="19" t="s">
        <v>1</v>
      </c>
      <c r="C9" s="19" t="s">
        <v>133</v>
      </c>
      <c r="D9" s="19" t="s">
        <v>134</v>
      </c>
      <c r="E9" s="19" t="s">
        <v>135</v>
      </c>
      <c r="F9" s="20" t="s">
        <v>136</v>
      </c>
      <c r="G9" s="20" t="s">
        <v>137</v>
      </c>
      <c r="H9" s="21" t="s">
        <v>138</v>
      </c>
      <c r="I9" s="21" t="s">
        <v>139</v>
      </c>
      <c r="J9" s="21" t="s">
        <v>140</v>
      </c>
    </row>
    <row r="10" s="3" customFormat="1" ht="33.75" customHeight="1" spans="1:10">
      <c r="A10" s="22" t="s">
        <v>141</v>
      </c>
      <c r="B10" s="23" t="s">
        <v>142</v>
      </c>
      <c r="C10" s="24" t="s">
        <v>143</v>
      </c>
      <c r="D10" s="25">
        <v>5000</v>
      </c>
      <c r="E10" s="25">
        <v>100</v>
      </c>
      <c r="F10" s="26" t="s">
        <v>144</v>
      </c>
      <c r="G10" s="26" t="s">
        <v>145</v>
      </c>
      <c r="H10" s="27">
        <v>5000</v>
      </c>
      <c r="I10" s="27">
        <v>53</v>
      </c>
      <c r="J10" s="27">
        <v>265000</v>
      </c>
    </row>
    <row r="11" s="3" customFormat="1" ht="33.75" customHeight="1" spans="1:10">
      <c r="A11" s="28"/>
      <c r="B11" s="23" t="s">
        <v>146</v>
      </c>
      <c r="C11" s="24" t="s">
        <v>147</v>
      </c>
      <c r="D11" s="25">
        <v>3000</v>
      </c>
      <c r="E11" s="25">
        <v>100</v>
      </c>
      <c r="F11" s="26" t="s">
        <v>144</v>
      </c>
      <c r="G11" s="26" t="s">
        <v>145</v>
      </c>
      <c r="H11" s="27">
        <v>3000</v>
      </c>
      <c r="I11" s="27">
        <v>2</v>
      </c>
      <c r="J11" s="27">
        <v>6000</v>
      </c>
    </row>
    <row r="12" s="3" customFormat="1" ht="24.95" customHeight="1" spans="1:10">
      <c r="A12" s="29" t="s">
        <v>148</v>
      </c>
      <c r="B12" s="30" t="s">
        <v>149</v>
      </c>
      <c r="C12" s="31" t="s">
        <v>150</v>
      </c>
      <c r="D12" s="32">
        <v>2999</v>
      </c>
      <c r="E12" s="25">
        <v>100</v>
      </c>
      <c r="F12" s="26" t="s">
        <v>151</v>
      </c>
      <c r="G12" s="26"/>
      <c r="H12" s="27">
        <v>2888</v>
      </c>
      <c r="I12" s="27">
        <v>37</v>
      </c>
      <c r="J12" s="27">
        <v>106856</v>
      </c>
    </row>
    <row r="13" s="3" customFormat="1" ht="24.95" customHeight="1" spans="1:10">
      <c r="A13" s="33"/>
      <c r="B13" s="30" t="s">
        <v>152</v>
      </c>
      <c r="C13" s="31" t="s">
        <v>153</v>
      </c>
      <c r="D13" s="25">
        <v>399</v>
      </c>
      <c r="E13" s="25">
        <v>200</v>
      </c>
      <c r="F13" s="26" t="s">
        <v>154</v>
      </c>
      <c r="G13" s="26"/>
      <c r="H13" s="27"/>
      <c r="I13" s="27"/>
      <c r="J13" s="27"/>
    </row>
    <row r="14" s="3" customFormat="1" ht="47.1" customHeight="1" spans="1:10">
      <c r="A14" s="33"/>
      <c r="B14" s="31" t="s">
        <v>155</v>
      </c>
      <c r="C14" s="31" t="s">
        <v>156</v>
      </c>
      <c r="D14" s="32">
        <v>208</v>
      </c>
      <c r="E14" s="25">
        <v>1000</v>
      </c>
      <c r="F14" s="26" t="s">
        <v>151</v>
      </c>
      <c r="G14" s="26"/>
      <c r="H14" s="27">
        <v>999</v>
      </c>
      <c r="I14" s="27">
        <v>54</v>
      </c>
      <c r="J14" s="27">
        <v>53946</v>
      </c>
    </row>
    <row r="15" s="3" customFormat="1" ht="33" customHeight="1" spans="1:10">
      <c r="A15" s="33"/>
      <c r="B15" s="31" t="s">
        <v>157</v>
      </c>
      <c r="C15" s="30" t="s">
        <v>158</v>
      </c>
      <c r="D15" s="32">
        <v>758</v>
      </c>
      <c r="E15" s="25">
        <v>100</v>
      </c>
      <c r="F15" s="26" t="s">
        <v>151</v>
      </c>
      <c r="G15" s="26"/>
      <c r="H15" s="27">
        <v>728</v>
      </c>
      <c r="I15" s="27">
        <v>56</v>
      </c>
      <c r="J15" s="27">
        <v>40768</v>
      </c>
    </row>
    <row r="16" s="3" customFormat="1" ht="24.95" customHeight="1" spans="1:10">
      <c r="A16" s="33"/>
      <c r="B16" s="30" t="s">
        <v>159</v>
      </c>
      <c r="C16" s="30" t="s">
        <v>160</v>
      </c>
      <c r="D16" s="25">
        <v>238</v>
      </c>
      <c r="E16" s="25">
        <v>200</v>
      </c>
      <c r="F16" s="26" t="s">
        <v>151</v>
      </c>
      <c r="G16" s="26"/>
      <c r="H16" s="27">
        <v>238</v>
      </c>
      <c r="I16" s="27">
        <v>45</v>
      </c>
      <c r="J16" s="27">
        <v>10710</v>
      </c>
    </row>
    <row r="17" s="3" customFormat="1" ht="24.95" customHeight="1" spans="1:10">
      <c r="A17" s="33"/>
      <c r="B17" s="30" t="s">
        <v>161</v>
      </c>
      <c r="C17" s="30" t="s">
        <v>162</v>
      </c>
      <c r="D17" s="25">
        <v>988</v>
      </c>
      <c r="E17" s="25">
        <v>100</v>
      </c>
      <c r="F17" s="26" t="s">
        <v>151</v>
      </c>
      <c r="G17" s="26"/>
      <c r="H17" s="27">
        <v>988</v>
      </c>
      <c r="I17" s="27">
        <v>7</v>
      </c>
      <c r="J17" s="27">
        <v>6316</v>
      </c>
    </row>
    <row r="18" s="3" customFormat="1" ht="24.95" customHeight="1" spans="1:10">
      <c r="A18" s="33"/>
      <c r="B18" s="30" t="s">
        <v>163</v>
      </c>
      <c r="C18" s="30" t="s">
        <v>164</v>
      </c>
      <c r="D18" s="25">
        <v>168</v>
      </c>
      <c r="E18" s="25">
        <v>100</v>
      </c>
      <c r="F18" s="26" t="s">
        <v>151</v>
      </c>
      <c r="G18" s="26"/>
      <c r="H18" s="27">
        <v>168</v>
      </c>
      <c r="I18" s="27">
        <v>5</v>
      </c>
      <c r="J18" s="27">
        <v>840</v>
      </c>
    </row>
    <row r="19" s="3" customFormat="1" ht="24.95" customHeight="1" spans="1:10">
      <c r="A19" s="34"/>
      <c r="B19" s="30" t="s">
        <v>165</v>
      </c>
      <c r="C19" s="30" t="s">
        <v>166</v>
      </c>
      <c r="D19" s="25">
        <v>558</v>
      </c>
      <c r="E19" s="25">
        <v>200</v>
      </c>
      <c r="F19" s="26" t="s">
        <v>151</v>
      </c>
      <c r="G19" s="26"/>
      <c r="H19" s="27" t="s">
        <v>167</v>
      </c>
      <c r="I19" s="27" t="s">
        <v>167</v>
      </c>
      <c r="J19" s="27" t="s">
        <v>167</v>
      </c>
    </row>
    <row r="20" s="3" customFormat="1" ht="24.95" customHeight="1" spans="1:10">
      <c r="A20" s="35" t="s">
        <v>168</v>
      </c>
      <c r="B20" s="30" t="s">
        <v>169</v>
      </c>
      <c r="C20" s="30" t="s">
        <v>170</v>
      </c>
      <c r="D20" s="25">
        <v>28</v>
      </c>
      <c r="E20" s="25">
        <v>200</v>
      </c>
      <c r="F20" s="26" t="s">
        <v>151</v>
      </c>
      <c r="G20" s="26"/>
      <c r="H20" s="27">
        <v>28</v>
      </c>
      <c r="I20" s="27">
        <v>140</v>
      </c>
      <c r="J20" s="27">
        <v>3920</v>
      </c>
    </row>
    <row r="21" s="3" customFormat="1" ht="24.95" customHeight="1" spans="1:10">
      <c r="A21" s="35"/>
      <c r="B21" s="30" t="s">
        <v>171</v>
      </c>
      <c r="C21" s="30" t="s">
        <v>172</v>
      </c>
      <c r="D21" s="36">
        <v>138</v>
      </c>
      <c r="E21" s="25">
        <v>100</v>
      </c>
      <c r="F21" s="26" t="s">
        <v>151</v>
      </c>
      <c r="G21" s="26"/>
      <c r="H21" s="27">
        <v>138</v>
      </c>
      <c r="I21" s="27">
        <v>25</v>
      </c>
      <c r="J21" s="27">
        <v>3450</v>
      </c>
    </row>
    <row r="22" s="3" customFormat="1" ht="24.95" customHeight="1" spans="1:10">
      <c r="A22" s="35"/>
      <c r="B22" s="30" t="s">
        <v>173</v>
      </c>
      <c r="C22" s="30" t="s">
        <v>174</v>
      </c>
      <c r="D22" s="25">
        <v>268</v>
      </c>
      <c r="E22" s="25">
        <v>100</v>
      </c>
      <c r="F22" s="26" t="s">
        <v>151</v>
      </c>
      <c r="G22" s="26"/>
      <c r="H22" s="27">
        <v>268</v>
      </c>
      <c r="I22" s="27">
        <v>9</v>
      </c>
      <c r="J22" s="27">
        <v>2412</v>
      </c>
    </row>
    <row r="23" s="3" customFormat="1" ht="24.95" customHeight="1" spans="1:10">
      <c r="A23" s="35"/>
      <c r="B23" s="30" t="s">
        <v>175</v>
      </c>
      <c r="C23" s="30" t="s">
        <v>176</v>
      </c>
      <c r="D23" s="25">
        <v>108</v>
      </c>
      <c r="E23" s="25">
        <v>100</v>
      </c>
      <c r="F23" s="26" t="s">
        <v>151</v>
      </c>
      <c r="G23" s="26"/>
      <c r="H23" s="27">
        <v>108</v>
      </c>
      <c r="I23" s="27">
        <v>11</v>
      </c>
      <c r="J23" s="27">
        <v>1188</v>
      </c>
    </row>
    <row r="24" s="3" customFormat="1" ht="24.95" customHeight="1" spans="1:10">
      <c r="A24" s="37"/>
      <c r="B24" s="30" t="s">
        <v>177</v>
      </c>
      <c r="C24" s="30" t="s">
        <v>178</v>
      </c>
      <c r="D24" s="25">
        <v>78</v>
      </c>
      <c r="E24" s="25">
        <v>100</v>
      </c>
      <c r="F24" s="26" t="s">
        <v>151</v>
      </c>
      <c r="G24" s="26"/>
      <c r="H24" s="27">
        <v>78</v>
      </c>
      <c r="I24" s="27">
        <v>15</v>
      </c>
      <c r="J24" s="27">
        <v>1170</v>
      </c>
    </row>
    <row r="25" s="3" customFormat="1" ht="24.95" customHeight="1" spans="1:10">
      <c r="A25" s="29" t="s">
        <v>179</v>
      </c>
      <c r="B25" s="30" t="s">
        <v>180</v>
      </c>
      <c r="C25" s="30" t="s">
        <v>181</v>
      </c>
      <c r="D25" s="25">
        <v>208</v>
      </c>
      <c r="E25" s="25">
        <v>100</v>
      </c>
      <c r="F25" s="26" t="s">
        <v>151</v>
      </c>
      <c r="G25" s="26"/>
      <c r="H25" s="27">
        <v>208</v>
      </c>
      <c r="I25" s="27">
        <v>48</v>
      </c>
      <c r="J25" s="27">
        <v>9984</v>
      </c>
    </row>
    <row r="26" ht="24.95" customHeight="1" spans="1:10">
      <c r="A26" s="33"/>
      <c r="B26" s="30" t="s">
        <v>182</v>
      </c>
      <c r="C26" s="30" t="s">
        <v>183</v>
      </c>
      <c r="D26" s="25">
        <v>238</v>
      </c>
      <c r="E26" s="25">
        <v>100</v>
      </c>
      <c r="F26" s="26" t="s">
        <v>151</v>
      </c>
      <c r="G26" s="26"/>
      <c r="H26" s="27">
        <v>199</v>
      </c>
      <c r="I26" s="27">
        <v>33</v>
      </c>
      <c r="J26" s="27">
        <v>6567</v>
      </c>
    </row>
    <row r="27" ht="24.95" customHeight="1" spans="1:10">
      <c r="A27" s="33"/>
      <c r="B27" s="30" t="s">
        <v>184</v>
      </c>
      <c r="C27" s="30" t="s">
        <v>185</v>
      </c>
      <c r="D27" s="25">
        <v>1588</v>
      </c>
      <c r="E27" s="25">
        <v>100</v>
      </c>
      <c r="F27" s="26" t="s">
        <v>151</v>
      </c>
      <c r="G27" s="26"/>
      <c r="H27" s="27">
        <v>1588</v>
      </c>
      <c r="I27" s="27">
        <v>3</v>
      </c>
      <c r="J27" s="27">
        <v>4764</v>
      </c>
    </row>
    <row r="28" ht="24.95" customHeight="1" spans="1:10">
      <c r="A28" s="33"/>
      <c r="B28" s="30" t="s">
        <v>186</v>
      </c>
      <c r="C28" s="30" t="s">
        <v>187</v>
      </c>
      <c r="D28" s="25">
        <v>1988</v>
      </c>
      <c r="E28" s="25">
        <v>100</v>
      </c>
      <c r="F28" s="26" t="s">
        <v>151</v>
      </c>
      <c r="G28" s="26"/>
      <c r="H28" s="27">
        <v>1988</v>
      </c>
      <c r="I28" s="27">
        <v>2</v>
      </c>
      <c r="J28" s="27">
        <v>3976</v>
      </c>
    </row>
    <row r="29" ht="24.95" customHeight="1" spans="1:10">
      <c r="A29" s="33"/>
      <c r="B29" s="38" t="s">
        <v>188</v>
      </c>
      <c r="C29" s="38" t="s">
        <v>189</v>
      </c>
      <c r="D29" s="25">
        <v>300</v>
      </c>
      <c r="E29" s="25" t="s">
        <v>190</v>
      </c>
      <c r="F29" s="26" t="s">
        <v>191</v>
      </c>
      <c r="G29" s="26"/>
      <c r="H29" s="27"/>
      <c r="I29" s="27"/>
      <c r="J29" s="27"/>
    </row>
    <row r="30" ht="24.95" customHeight="1" spans="1:10">
      <c r="A30" s="33"/>
      <c r="B30" s="38" t="s">
        <v>192</v>
      </c>
      <c r="C30" s="38" t="s">
        <v>193</v>
      </c>
      <c r="D30" s="25">
        <v>500</v>
      </c>
      <c r="E30" s="25" t="s">
        <v>190</v>
      </c>
      <c r="F30" s="26" t="s">
        <v>191</v>
      </c>
      <c r="G30" s="26"/>
      <c r="H30" s="27"/>
      <c r="I30" s="27"/>
      <c r="J30" s="27"/>
    </row>
    <row r="31" ht="68" customHeight="1" spans="1:10">
      <c r="A31" s="33"/>
      <c r="B31" s="30" t="s">
        <v>194</v>
      </c>
      <c r="C31" s="31" t="s">
        <v>195</v>
      </c>
      <c r="D31" s="25">
        <v>588</v>
      </c>
      <c r="E31" s="25" t="s">
        <v>190</v>
      </c>
      <c r="F31" s="26" t="s">
        <v>191</v>
      </c>
      <c r="G31" s="26"/>
      <c r="H31" s="27"/>
      <c r="I31" s="27"/>
      <c r="J31" s="27"/>
    </row>
    <row r="32" ht="24.95" customHeight="1" spans="1:10">
      <c r="A32" s="33"/>
      <c r="B32" s="30" t="s">
        <v>196</v>
      </c>
      <c r="C32" s="30" t="s">
        <v>197</v>
      </c>
      <c r="D32" s="25">
        <v>88</v>
      </c>
      <c r="E32" s="25" t="s">
        <v>190</v>
      </c>
      <c r="F32" s="26" t="s">
        <v>191</v>
      </c>
      <c r="G32" s="26"/>
      <c r="H32" s="27"/>
      <c r="I32" s="27"/>
      <c r="J32" s="27"/>
    </row>
    <row r="33" ht="24.95" customHeight="1" spans="1:10">
      <c r="A33" s="33"/>
      <c r="B33" s="30" t="s">
        <v>198</v>
      </c>
      <c r="C33" s="30" t="s">
        <v>199</v>
      </c>
      <c r="D33" s="25">
        <v>128</v>
      </c>
      <c r="E33" s="25" t="s">
        <v>190</v>
      </c>
      <c r="F33" s="26" t="s">
        <v>191</v>
      </c>
      <c r="G33" s="26"/>
      <c r="H33" s="27"/>
      <c r="I33" s="27"/>
      <c r="J33" s="27"/>
    </row>
    <row r="34" ht="24.95" customHeight="1" spans="1:10">
      <c r="A34" s="39"/>
      <c r="B34" s="30" t="s">
        <v>200</v>
      </c>
      <c r="C34" s="30" t="s">
        <v>201</v>
      </c>
      <c r="D34" s="25">
        <v>188</v>
      </c>
      <c r="E34" s="25">
        <v>100</v>
      </c>
      <c r="F34" s="26" t="s">
        <v>191</v>
      </c>
      <c r="G34" s="26"/>
      <c r="H34" s="27"/>
      <c r="I34" s="27"/>
      <c r="J34" s="27"/>
    </row>
    <row r="35" ht="36" customHeight="1" spans="1:10">
      <c r="A35" s="22" t="s">
        <v>202</v>
      </c>
      <c r="B35" s="31" t="s">
        <v>203</v>
      </c>
      <c r="C35" s="30" t="s">
        <v>204</v>
      </c>
      <c r="D35" s="25">
        <v>13566</v>
      </c>
      <c r="E35" s="25">
        <v>20</v>
      </c>
      <c r="F35" s="26"/>
      <c r="G35" s="26" t="s">
        <v>205</v>
      </c>
      <c r="H35" s="27">
        <v>13566</v>
      </c>
      <c r="I35" s="27">
        <v>9</v>
      </c>
      <c r="J35" s="27">
        <v>122094</v>
      </c>
    </row>
    <row r="36" ht="39.95" customHeight="1" spans="1:10">
      <c r="A36" s="40"/>
      <c r="B36" s="31" t="s">
        <v>206</v>
      </c>
      <c r="C36" s="30" t="s">
        <v>207</v>
      </c>
      <c r="D36" s="25">
        <v>12999</v>
      </c>
      <c r="E36" s="25">
        <v>20</v>
      </c>
      <c r="F36" s="26"/>
      <c r="G36" s="26" t="s">
        <v>205</v>
      </c>
      <c r="H36" s="27">
        <v>12999</v>
      </c>
      <c r="I36" s="27">
        <v>6</v>
      </c>
      <c r="J36" s="27">
        <v>77994</v>
      </c>
    </row>
    <row r="37" ht="39.95" customHeight="1" spans="1:10">
      <c r="A37" s="40"/>
      <c r="B37" s="31" t="s">
        <v>208</v>
      </c>
      <c r="C37" s="30" t="s">
        <v>209</v>
      </c>
      <c r="D37" s="25">
        <v>5088</v>
      </c>
      <c r="E37" s="25">
        <v>20</v>
      </c>
      <c r="F37" s="26"/>
      <c r="G37" s="26" t="s">
        <v>205</v>
      </c>
      <c r="H37" s="27">
        <v>5088</v>
      </c>
      <c r="I37" s="27">
        <v>13</v>
      </c>
      <c r="J37" s="27">
        <v>66144</v>
      </c>
    </row>
    <row r="38" ht="39.95" customHeight="1" spans="1:10">
      <c r="A38" s="40"/>
      <c r="B38" s="31" t="s">
        <v>210</v>
      </c>
      <c r="C38" s="30" t="s">
        <v>211</v>
      </c>
      <c r="D38" s="25">
        <v>25400</v>
      </c>
      <c r="E38" s="25">
        <v>20</v>
      </c>
      <c r="F38" s="26"/>
      <c r="G38" s="26" t="s">
        <v>205</v>
      </c>
      <c r="H38" s="27">
        <v>25400</v>
      </c>
      <c r="I38" s="27">
        <v>2</v>
      </c>
      <c r="J38" s="27">
        <v>50800</v>
      </c>
    </row>
    <row r="39" ht="39.95" customHeight="1" spans="1:10">
      <c r="A39" s="40"/>
      <c r="B39" s="31" t="s">
        <v>212</v>
      </c>
      <c r="C39" s="30" t="s">
        <v>213</v>
      </c>
      <c r="D39" s="25">
        <v>6000</v>
      </c>
      <c r="E39" s="25">
        <v>20</v>
      </c>
      <c r="F39" s="26"/>
      <c r="G39" s="26" t="s">
        <v>205</v>
      </c>
      <c r="H39" s="27">
        <v>6000</v>
      </c>
      <c r="I39" s="27">
        <v>7</v>
      </c>
      <c r="J39" s="27">
        <v>42000</v>
      </c>
    </row>
    <row r="40" ht="39.95" customHeight="1" spans="1:10">
      <c r="A40" s="40"/>
      <c r="B40" s="31" t="s">
        <v>214</v>
      </c>
      <c r="C40" s="30" t="s">
        <v>215</v>
      </c>
      <c r="D40" s="25">
        <v>8306</v>
      </c>
      <c r="E40" s="25">
        <v>20</v>
      </c>
      <c r="F40" s="26"/>
      <c r="G40" s="26" t="s">
        <v>205</v>
      </c>
      <c r="H40" s="27">
        <v>8306</v>
      </c>
      <c r="I40" s="27">
        <v>4</v>
      </c>
      <c r="J40" s="27">
        <v>33224</v>
      </c>
    </row>
    <row r="41" ht="39.95" customHeight="1" spans="1:10">
      <c r="A41" s="40"/>
      <c r="B41" s="31" t="s">
        <v>216</v>
      </c>
      <c r="C41" s="30" t="s">
        <v>217</v>
      </c>
      <c r="D41" s="25">
        <v>15666</v>
      </c>
      <c r="E41" s="25">
        <v>20</v>
      </c>
      <c r="F41" s="26"/>
      <c r="G41" s="26" t="s">
        <v>205</v>
      </c>
      <c r="H41" s="27">
        <v>15666</v>
      </c>
      <c r="I41" s="27">
        <v>2</v>
      </c>
      <c r="J41" s="27">
        <v>31332</v>
      </c>
    </row>
    <row r="42" ht="39.95" customHeight="1" spans="1:10">
      <c r="A42" s="40"/>
      <c r="B42" s="31" t="s">
        <v>218</v>
      </c>
      <c r="C42" s="30" t="s">
        <v>219</v>
      </c>
      <c r="D42" s="25">
        <v>4388</v>
      </c>
      <c r="E42" s="25">
        <v>20</v>
      </c>
      <c r="F42" s="26"/>
      <c r="G42" s="26" t="s">
        <v>205</v>
      </c>
      <c r="H42" s="27">
        <v>4388</v>
      </c>
      <c r="I42" s="27">
        <v>1</v>
      </c>
      <c r="J42" s="27">
        <v>4388</v>
      </c>
    </row>
    <row r="43" ht="24.95" customHeight="1" spans="1:10">
      <c r="A43" s="41" t="s">
        <v>220</v>
      </c>
      <c r="B43" s="30" t="s">
        <v>221</v>
      </c>
      <c r="C43" s="30" t="s">
        <v>222</v>
      </c>
      <c r="D43" s="25">
        <v>788</v>
      </c>
      <c r="E43" s="25">
        <v>200</v>
      </c>
      <c r="F43" s="26" t="s">
        <v>151</v>
      </c>
      <c r="G43" s="26" t="s">
        <v>223</v>
      </c>
      <c r="H43" s="27">
        <v>788</v>
      </c>
      <c r="I43" s="27">
        <v>40</v>
      </c>
      <c r="J43" s="27">
        <v>31520</v>
      </c>
    </row>
    <row r="44" ht="24.95" customHeight="1" spans="1:10">
      <c r="A44" s="41"/>
      <c r="B44" s="42" t="s">
        <v>224</v>
      </c>
      <c r="C44" s="30" t="s">
        <v>225</v>
      </c>
      <c r="D44" s="26">
        <v>1698</v>
      </c>
      <c r="E44" s="26">
        <v>100</v>
      </c>
      <c r="F44" s="26" t="s">
        <v>151</v>
      </c>
      <c r="G44" s="26" t="s">
        <v>223</v>
      </c>
      <c r="H44" s="43">
        <v>1698</v>
      </c>
      <c r="I44" s="43">
        <v>6</v>
      </c>
      <c r="J44" s="43">
        <v>10188</v>
      </c>
    </row>
    <row r="45" ht="24.95" customHeight="1" spans="1:10">
      <c r="A45" s="41"/>
      <c r="B45" s="42" t="s">
        <v>226</v>
      </c>
      <c r="C45" s="30" t="s">
        <v>227</v>
      </c>
      <c r="D45" s="26">
        <v>3388</v>
      </c>
      <c r="E45" s="26">
        <v>50</v>
      </c>
      <c r="F45" s="26" t="s">
        <v>151</v>
      </c>
      <c r="G45" s="26" t="s">
        <v>223</v>
      </c>
      <c r="H45" s="43"/>
      <c r="I45" s="43"/>
      <c r="J45" s="43"/>
    </row>
    <row r="46" ht="24.95" customHeight="1" spans="1:10">
      <c r="A46" s="41" t="s">
        <v>228</v>
      </c>
      <c r="B46" s="42" t="s">
        <v>229</v>
      </c>
      <c r="C46" s="30" t="s">
        <v>230</v>
      </c>
      <c r="D46" s="26">
        <v>500</v>
      </c>
      <c r="E46" s="26">
        <v>100</v>
      </c>
      <c r="F46" s="26" t="s">
        <v>151</v>
      </c>
      <c r="G46" s="26"/>
      <c r="H46" s="43">
        <v>500</v>
      </c>
      <c r="I46" s="43">
        <v>8</v>
      </c>
      <c r="J46" s="43">
        <v>4000</v>
      </c>
    </row>
    <row r="47" ht="24.95" customHeight="1" spans="1:10">
      <c r="A47" s="41"/>
      <c r="B47" s="42" t="s">
        <v>231</v>
      </c>
      <c r="C47" s="30" t="s">
        <v>232</v>
      </c>
      <c r="D47" s="26">
        <v>1000</v>
      </c>
      <c r="E47" s="26">
        <v>100</v>
      </c>
      <c r="F47" s="26" t="s">
        <v>151</v>
      </c>
      <c r="G47" s="26"/>
      <c r="H47" s="43">
        <v>1000</v>
      </c>
      <c r="I47" s="43">
        <v>3</v>
      </c>
      <c r="J47" s="43">
        <v>3000</v>
      </c>
    </row>
    <row r="48" ht="24.95" customHeight="1" spans="1:10">
      <c r="A48" s="41"/>
      <c r="B48" s="42" t="s">
        <v>233</v>
      </c>
      <c r="C48" s="30" t="s">
        <v>234</v>
      </c>
      <c r="D48" s="26">
        <v>800</v>
      </c>
      <c r="E48" s="26">
        <v>100</v>
      </c>
      <c r="F48" s="26" t="s">
        <v>151</v>
      </c>
      <c r="G48" s="26"/>
      <c r="H48" s="43">
        <v>800</v>
      </c>
      <c r="I48" s="43">
        <v>1</v>
      </c>
      <c r="J48" s="43">
        <v>800</v>
      </c>
    </row>
  </sheetData>
  <mergeCells count="10">
    <mergeCell ref="A1:H1"/>
    <mergeCell ref="A3:H3"/>
    <mergeCell ref="A8:J8"/>
    <mergeCell ref="A10:A11"/>
    <mergeCell ref="A12:A18"/>
    <mergeCell ref="A20:A24"/>
    <mergeCell ref="A25:A34"/>
    <mergeCell ref="A35:A42"/>
    <mergeCell ref="A43:A45"/>
    <mergeCell ref="A46:A48"/>
  </mergeCells>
  <hyperlinks>
    <hyperlink ref="C40" r:id="rId1" display="https://s.jdzd.cn/0cLVco" tooltip="https://s.jdzd.cn/0cLVco"/>
    <hyperlink ref="C10" r:id="rId2" display="https://s.jdzd.cn/451BBU" tooltip="https://s.jdzd.cn/451BBU"/>
    <hyperlink ref="C11" r:id="rId3" display="https://s.jdzd.cn/7dTWqw" tooltip="https://s.jdzd.cn/7dTWqw"/>
    <hyperlink ref="C29" r:id="rId4" display="https://s.jdzd.cn/b41D8a" tooltip="https://s.jdzd.cn/b41D8a"/>
    <hyperlink ref="C30" r:id="rId5" display="https://s.jdzd.cn/8dTK0M" tooltip="https://s.jdzd.cn/8dTK0M"/>
    <hyperlink ref="C13" r:id="rId6" display="https://s.jdzd.cn/7fTWKz"/>
    <hyperlink ref="C14" r:id="rId7" display="https://s.jdzd.cn/941N3h"/>
    <hyperlink ref="C15" r:id="rId8" display="https://s.jdzd.cn/03LVW6"/>
    <hyperlink ref="C16" r:id="rId9" display="https://s.jdzd.cn/4b1iOv"/>
    <hyperlink ref="C17" r:id="rId10" display="https://s.jdzd.cn/5aTeRQ"/>
    <hyperlink ref="C18" r:id="rId11" display="https://s.jdzd.cn/51TehH"/>
    <hyperlink ref="C19" r:id="rId12" display="https://s.jdzd.cn/a9Tmvh"/>
    <hyperlink ref="C12" r:id="rId13" display="https://s.jdzd.cn/7fTWTD"/>
    <hyperlink ref="C20" r:id="rId14" display="https://s.jdzd.cn/4a1iOf"/>
    <hyperlink ref="C21" r:id="rId15" display="https://s.jdzd.cn/9e1dhj"/>
    <hyperlink ref="C22" r:id="rId16" display="https://s.jdzd.cn/901d66"/>
    <hyperlink ref="C23" r:id="rId17" display="https://s.jdzd.cn/d6TWxA"/>
    <hyperlink ref="C24" r:id="rId18" display="https://s.jdzd.cn/01LVWp"/>
    <hyperlink ref="C25" r:id="rId19" display="https://s.jdzd.cn/6eT2oe"/>
    <hyperlink ref="C26" r:id="rId20" display="https://s.jdzd.cn/b01btk"/>
    <hyperlink ref="C27" r:id="rId21" display="https://s.jdzd.cn/75TWjm"/>
    <hyperlink ref="C28" r:id="rId22" display="https://s.jdzd.cn/f7TbGU"/>
    <hyperlink ref="C32" r:id="rId23" display="https://s.jdzd.cn/b71Dze"/>
    <hyperlink ref="C33" r:id="rId24" display="https://s.jdzd.cn/53TUm6"/>
    <hyperlink ref="C34" r:id="rId25" display="https://s.jdzd.cn/23wYA3"/>
    <hyperlink ref="C35" r:id="rId26" display="https://s.jdzd.cn/14T01A"/>
    <hyperlink ref="C36" r:id="rId27" display="https://s.jdzd.cn/b91b7j"/>
    <hyperlink ref="C37" r:id="rId28" display="https://s.jdzd.cn/1cT01g"/>
    <hyperlink ref="C38" r:id="rId29" display="https://s.jdzd.cn/1eT017"/>
    <hyperlink ref="C39" r:id="rId30" display="https://s.jdzd.cn/9c1dhW"/>
    <hyperlink ref="C41" r:id="rId31" display="https://s.jdzd.cn/fcTbQB"/>
    <hyperlink ref="C42" r:id="rId32" display="https://s.jdzd.cn/5fTeRs"/>
    <hyperlink ref="C43" r:id="rId33" display="https://s.jdzd.cn/f3TbQZ"/>
    <hyperlink ref="C44" r:id="rId34" display="https://s.jdzd.cn/26wYFJ"/>
    <hyperlink ref="C45" r:id="rId35" display="https://s.jdzd.cn/aeTmMS"/>
    <hyperlink ref="C46" r:id="rId36" display="https://s.jdzd.cn/8cTq7L"/>
    <hyperlink ref="C47" r:id="rId37" display="https://s.jdzd.cn/31TrlF"/>
    <hyperlink ref="C48" r:id="rId38" display="https://s.jdzd.cn/18T01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24年秋促活动数据 </vt:lpstr>
      <vt:lpstr>25年春促活动数据</vt:lpstr>
      <vt:lpstr>25年秋促产品方案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</cp:lastModifiedBy>
  <dcterms:created xsi:type="dcterms:W3CDTF">2023-05-12T11:15:00Z</dcterms:created>
  <dcterms:modified xsi:type="dcterms:W3CDTF">2025-09-12T06:54:19Z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05BB5C55115449A8AB6B9973BD2884D7_13</vt:lpwstr>
  </property>
</Properties>
</file>