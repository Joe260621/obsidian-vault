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10.15粉丝日" sheetId="5" r:id="rId1"/>
    <sheet name="8.20粉丝日" sheetId="2" r:id="rId2"/>
    <sheet name="7.16粉丝日" sheetId="3" r:id="rId3"/>
    <sheet name="每月粉丝日数据汇总" sheetId="4" r:id="rId4"/>
    <sheet name="数据表" sheetId="1" r:id="rId5"/>
  </sheets>
  <definedNames>
    <definedName name="_xlnm._FilterDatabase" localSheetId="1" hidden="1">'8.20粉丝日'!$A$15:$G$39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<sst xmlns="http://schemas.openxmlformats.org/spreadsheetml/2006/main" count="649" uniqueCount="155">
  <si>
    <t>10.15日粉丝日秒杀产品售出¥5,036.4，店铺整体售出¥5,716.4，当日核销¥10,562</t>
  </si>
  <si>
    <t>产品名称</t>
  </si>
  <si>
    <t>营业点</t>
  </si>
  <si>
    <t>产品单价</t>
  </si>
  <si>
    <t>库存</t>
  </si>
  <si>
    <t>整体销量</t>
  </si>
  <si>
    <t>整体交易额</t>
  </si>
  <si>
    <t>整体浏览量</t>
  </si>
  <si>
    <t>【粉丝日秒杀】平日单人海鲜自助晚餐</t>
  </si>
  <si>
    <t>感趣自助餐厅</t>
  </si>
  <si>
    <t>【粉丝日秒杀】大堂吧1磅生日蛋糕</t>
  </si>
  <si>
    <t>酝聚酒廊</t>
  </si>
  <si>
    <t>【粉丝日秒杀】单人健身游泳次卡</t>
  </si>
  <si>
    <t>健身中心</t>
  </si>
  <si>
    <t>【粉丝日秒杀】周末两大两小自助午餐</t>
  </si>
  <si>
    <t>【粉丝日秒杀】招牌脆皮鸡一只</t>
  </si>
  <si>
    <t>酌宴府中餐厅</t>
  </si>
  <si>
    <t>【粉丝日秒杀】周末单人自助午餐</t>
  </si>
  <si>
    <t>【粉丝日秒杀】顺德捞起刺身盘一份</t>
  </si>
  <si>
    <t>【粉丝日秒杀】自选咖啡一杯</t>
  </si>
  <si>
    <t>【粉丝日秒杀】单件洗衣券</t>
  </si>
  <si>
    <t>洗衣房</t>
  </si>
  <si>
    <t>【粉丝日秒杀】雪山酸奶糕一份</t>
  </si>
  <si>
    <t>【粉丝日秒杀】顺德鱼茸羹一份</t>
  </si>
  <si>
    <t>总计</t>
  </si>
  <si>
    <t>8.20日粉丝日秒杀产品售出¥19,378.2，店铺整体售出¥26,568.2，当日核销¥9,769</t>
  </si>
  <si>
    <t>销售数量</t>
  </si>
  <si>
    <t>浏览数量</t>
  </si>
  <si>
    <t>周一至周四单人自助晚餐</t>
  </si>
  <si>
    <t>希尔顿客房一晚含两大一小早餐</t>
  </si>
  <si>
    <t>客房</t>
  </si>
  <si>
    <t>夏日海岛味觉乐园_周一至周四</t>
  </si>
  <si>
    <t>单人健身游泳次卡</t>
  </si>
  <si>
    <t>璧月·4粒装月饼礼盒</t>
  </si>
  <si>
    <t>月满芳庭·4粒装月饼礼盒</t>
  </si>
  <si>
    <t>希尔顿行政套房一晚含两大一小早餐</t>
  </si>
  <si>
    <t>希尔顿客房1晚含双早</t>
  </si>
  <si>
    <t>希尔顿客房2晚</t>
  </si>
  <si>
    <t>大堂吧1磅生日蛋糕</t>
  </si>
  <si>
    <t>大堂吧双人下午茶</t>
  </si>
  <si>
    <t>礼鹤中秋·4粒装月饼礼盒</t>
  </si>
  <si>
    <t>广式烧味辽参四人餐</t>
  </si>
  <si>
    <t>薄荷焦糖罗氏虾一份</t>
  </si>
  <si>
    <t>周末单人自助午餐</t>
  </si>
  <si>
    <t>顺德捞起刺身盘一份</t>
  </si>
  <si>
    <t>脆皮乳鸽一只</t>
  </si>
  <si>
    <t>夏日多巴胺轻食套餐</t>
  </si>
  <si>
    <t>顺德鱼茸羹一份</t>
  </si>
  <si>
    <t>玫瑰红茶爆珠蛋挞一份</t>
  </si>
  <si>
    <t>单人咖啡+蛋糕套餐</t>
  </si>
  <si>
    <t>雪山酸奶糕一份</t>
  </si>
  <si>
    <t>单件洗衣券</t>
  </si>
  <si>
    <t>2025年</t>
  </si>
  <si>
    <t>月份</t>
  </si>
  <si>
    <t>店铺整体销售额</t>
  </si>
  <si>
    <t>秒杀产品销售额</t>
  </si>
  <si>
    <t>秒杀产品销售数量</t>
  </si>
  <si>
    <t>当日核销额</t>
  </si>
  <si>
    <t>7月</t>
  </si>
  <si>
    <t>8月</t>
  </si>
  <si>
    <t>10月</t>
  </si>
  <si>
    <t>业务线</t>
  </si>
  <si>
    <t>产品所属商户</t>
  </si>
  <si>
    <t>整体访客量</t>
  </si>
  <si>
    <t>产品销售开始日期</t>
  </si>
  <si>
    <t>产品销售结束日期</t>
  </si>
  <si>
    <t>产品有效期类型</t>
  </si>
  <si>
    <t>产品有效期</t>
  </si>
  <si>
    <t>下单会员数</t>
  </si>
  <si>
    <t>首单会员数</t>
  </si>
  <si>
    <t>首单后复购会员数</t>
  </si>
  <si>
    <t>首单后复购总金额</t>
  </si>
  <si>
    <t>预售券</t>
  </si>
  <si>
    <t>广州万富希尔顿酒店</t>
  </si>
  <si>
    <t>199.00</t>
  </si>
  <si>
    <t>2025-10-15 09:00:00</t>
  </si>
  <si>
    <t>2025-10-15 23:59:59</t>
  </si>
  <si>
    <t>固定有效期</t>
  </si>
  <si>
    <t>2025-10-15#2025-11-30</t>
  </si>
  <si>
    <t>0</t>
  </si>
  <si>
    <t>88.00</t>
  </si>
  <si>
    <t>9.90</t>
  </si>
  <si>
    <t>68.00</t>
  </si>
  <si>
    <t>购买后有效</t>
  </si>
  <si>
    <t>购买后30天</t>
  </si>
  <si>
    <t>318.00</t>
  </si>
  <si>
    <t>99.00</t>
  </si>
  <si>
    <t>168.00</t>
  </si>
  <si>
    <t>19.90</t>
  </si>
  <si>
    <t>28.00</t>
  </si>
  <si>
    <t>【粉丝日秒杀】全周通用两大两小自助晚餐</t>
  </si>
  <si>
    <t>588.00</t>
  </si>
  <si>
    <t>【粉丝日秒杀】单人健身游泳月卡</t>
  </si>
  <si>
    <t>1688.00</t>
  </si>
  <si>
    <t>【粉丝日秒杀】墨西哥辣鸡胡萝卜汉堡</t>
  </si>
  <si>
    <t>【粉丝日秒杀】店选葡萄酒+小吃套餐</t>
  </si>
  <si>
    <t>【粉丝日秒杀】周一至周四单人自助晚餐</t>
  </si>
  <si>
    <t>2025-08-20 00:00:00</t>
  </si>
  <si>
    <t>2025-08-20 23:59:59</t>
  </si>
  <si>
    <t>2025-08-21#2025-09-30</t>
  </si>
  <si>
    <t>173.90</t>
  </si>
  <si>
    <t>【会员日秒杀】璧月·4粒装月饼礼盒</t>
  </si>
  <si>
    <t>2025-08-20#2025-10-03</t>
  </si>
  <si>
    <t>58.80</t>
  </si>
  <si>
    <t>【会员日秒杀】月满芳庭·4粒装月饼礼盒</t>
  </si>
  <si>
    <t>128.00</t>
  </si>
  <si>
    <t>无营业点</t>
  </si>
  <si>
    <t>1580.00</t>
  </si>
  <si>
    <t>2025-07-31 00:00:00</t>
  </si>
  <si>
    <t>2025-08-31 23:59:59</t>
  </si>
  <si>
    <t>2025-07-31#2025-10-13</t>
  </si>
  <si>
    <t>【粉丝日秒杀】希尔顿客房2晚（大床/双床），可拆分使用，含两大一小早餐（小童身高1.2米以下）</t>
  </si>
  <si>
    <t>1399.00</t>
  </si>
  <si>
    <t/>
  </si>
  <si>
    <t>155.80</t>
  </si>
  <si>
    <t>【粉丝日秒杀】希尔顿客房2晚</t>
  </si>
  <si>
    <t>2025-08-20#2025-10-13</t>
  </si>
  <si>
    <t>107.90</t>
  </si>
  <si>
    <t>【粉丝日秒杀】大堂吧双人下午茶</t>
  </si>
  <si>
    <t>98.00</t>
  </si>
  <si>
    <t>314.00</t>
  </si>
  <si>
    <t>【会员日秒杀】礼鹤中秋·4粒装月饼礼盒</t>
  </si>
  <si>
    <t>【粉丝日秒杀】薄荷焦糖罗氏虾一份</t>
  </si>
  <si>
    <t>188.00</t>
  </si>
  <si>
    <t>【粉丝日秒杀】脆皮乳鸽一只</t>
  </si>
  <si>
    <t>38.00</t>
  </si>
  <si>
    <t>【粉丝日秒杀】夏日多巴胺轻食套餐</t>
  </si>
  <si>
    <t>【粉丝日秒杀】玫瑰红茶爆珠蛋挞一份</t>
  </si>
  <si>
    <t>【粉丝日秒杀】单人咖啡+蛋糕套餐</t>
  </si>
  <si>
    <t>【会员日秒杀】熹月·8粒装月饼礼盒</t>
  </si>
  <si>
    <t>218.00</t>
  </si>
  <si>
    <t>【会员日秒杀】绮月·4粒装月饼包包</t>
  </si>
  <si>
    <t>288.00</t>
  </si>
  <si>
    <t>【粉丝日秒杀】单人健身游泳月度卡</t>
  </si>
  <si>
    <t>【粉丝日秒杀】周末3人自助午餐，可拆分使用 | 丰盛海鲜池，花样寿司船与刺身档口，特制甜品冰激凌，糖水DIY等等体验~</t>
  </si>
  <si>
    <t>538.00</t>
  </si>
  <si>
    <t>【粉丝日秒杀】周末5人自助午餐，可拆分使用 | 丰盛海鲜池，花样寿司船与刺身档口，特制甜品冰激凌，糖水DIY等等体验~</t>
  </si>
  <si>
    <t>838.00</t>
  </si>
  <si>
    <t>【粉丝日秒杀】招牌脆片烧鸡一只</t>
  </si>
  <si>
    <t>138.00</t>
  </si>
  <si>
    <t>【粉丝日秒杀】工作日单人自助晚餐</t>
  </si>
  <si>
    <t>2025-07-16 10:00:00</t>
  </si>
  <si>
    <t>2025-07-16 23:59:59</t>
  </si>
  <si>
    <t>【粉丝日秒杀】招牌双人茉莉香薰乳鸽套餐</t>
  </si>
  <si>
    <t>208.00</t>
  </si>
  <si>
    <t>【会员日秒杀】单人健身/游泳体验次卡</t>
  </si>
  <si>
    <t>39.90</t>
  </si>
  <si>
    <t>【粉丝日秒杀】健康轻食商务套餐</t>
  </si>
  <si>
    <t>59.90</t>
  </si>
  <si>
    <t>【会员日秒杀】咖啡5次套票，可拆分使用</t>
  </si>
  <si>
    <t>【粉丝日秒杀】顺德鱼蓉羹一位</t>
  </si>
  <si>
    <t>【会员日秒杀】单件洗衣券</t>
  </si>
  <si>
    <t>【会员日秒杀】玫瑰红茶爆珠蛋挞一份</t>
  </si>
  <si>
    <t>【会员日秒杀】一茶三饮</t>
  </si>
  <si>
    <t>49.90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</si>
</sst>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&quot;￥&quot;#,##0.00_);[Red]\(&quot;￥&quot;#,##0.00\)"/>
  </numFmts>
  <fonts count="30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4"/>
      <color indexed="8"/>
      <name val="微软雅黑"/>
      <charset val="134"/>
    </font>
    <font>
      <b/>
      <sz val="10"/>
      <color rgb="FFFFFFFF"/>
      <name val="宋体"/>
      <charset val="134"/>
    </font>
    <font>
      <sz val="10"/>
      <name val="宋体"/>
      <charset val="134"/>
    </font>
    <font>
      <b/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176" fontId="0" fillId="0" borderId="0" xfId="0" applyNumberFormat="1" applyFont="1" applyAlignment="1">
      <alignment horizontal="left" vertical="center"/>
    </xf>
    <xf numFmtId="49" fontId="2" fillId="0" borderId="1" xfId="0" applyNumberFormat="1" applyFont="1" applyBorder="1">
      <alignment vertical="center"/>
    </xf>
    <xf numFmtId="1" fontId="2" fillId="0" borderId="1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0" fontId="0" fillId="0" borderId="3" xfId="0" applyNumberFormat="1" applyFont="1" applyBorder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58" fontId="5" fillId="0" borderId="4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0" fillId="0" borderId="3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/>
    </xf>
    <xf numFmtId="49" fontId="8" fillId="4" borderId="1" xfId="0" applyNumberFormat="1" applyFont="1" applyFill="1" applyBorder="1">
      <alignment vertical="center"/>
    </xf>
    <xf numFmtId="49" fontId="2" fillId="4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>
      <alignment vertical="center"/>
    </xf>
    <xf numFmtId="0" fontId="0" fillId="4" borderId="3" xfId="0" applyNumberFormat="1" applyFont="1" applyFill="1" applyBorder="1" applyAlignment="1">
      <alignment horizontal="right" vertical="center"/>
    </xf>
    <xf numFmtId="8" fontId="9" fillId="0" borderId="0" xfId="0" applyNumberFormat="1" applyFo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vertical="center"/>
    </xf>
    <xf numFmtId="177" fontId="2" fillId="0" borderId="4" xfId="0" applyNumberFormat="1" applyFont="1" applyFill="1" applyBorder="1" applyAlignment="1">
      <alignment vertical="center"/>
    </xf>
    <xf numFmtId="1" fontId="2" fillId="0" borderId="4" xfId="0" applyNumberFormat="1" applyFont="1" applyFill="1" applyBorder="1" applyAlignment="1">
      <alignment vertical="center"/>
    </xf>
    <xf numFmtId="0" fontId="0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7</xdr:col>
      <xdr:colOff>78740</xdr:colOff>
      <xdr:row>11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8517890" cy="196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7</xdr:col>
      <xdr:colOff>427990</xdr:colOff>
      <xdr:row>12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95250"/>
          <a:ext cx="9705340" cy="206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238760</xdr:colOff>
      <xdr:row>27</xdr:row>
      <xdr:rowOff>93980</xdr:rowOff>
    </xdr:to>
    <xdr:pic>
      <xdr:nvPicPr>
        <xdr:cNvPr id="2" name="图片 1" descr="7.16会员日数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87235" cy="4713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L26"/>
  <sheetViews>
    <sheetView tabSelected="1" workbookViewId="0">
      <selection activeCell="J26" sqref="J26"/>
    </sheetView>
  </sheetViews>
  <sheetFormatPr defaultColWidth="9" defaultRowHeight="13.5"/>
  <cols>
    <col min="1" max="1" width="31.625" customWidth="1"/>
    <col min="2" max="2" width="16.125" customWidth="1"/>
    <col min="3" max="5" width="11.875" customWidth="1"/>
    <col min="6" max="7" width="13.75" customWidth="1"/>
  </cols>
  <sheetData>
    <row r="13" ht="20.25" spans="1:12">
      <c r="A13" s="33" t="s">
        <v>0</v>
      </c>
      <c r="B13" s="33"/>
      <c r="C13" s="33"/>
      <c r="D13" s="33"/>
      <c r="E13" s="33"/>
      <c r="F13" s="33"/>
      <c r="G13" s="33"/>
      <c r="H13" s="34"/>
      <c r="I13" s="34"/>
      <c r="J13" s="34"/>
      <c r="K13" s="34"/>
      <c r="L13" s="34"/>
    </row>
    <row r="14" spans="1:7">
      <c r="A14" s="35" t="s">
        <v>1</v>
      </c>
      <c r="B14" s="35" t="s">
        <v>2</v>
      </c>
      <c r="C14" s="35" t="s">
        <v>3</v>
      </c>
      <c r="D14" s="35" t="s">
        <v>4</v>
      </c>
      <c r="E14" s="35" t="s">
        <v>5</v>
      </c>
      <c r="F14" s="35" t="s">
        <v>6</v>
      </c>
      <c r="G14" s="35" t="s">
        <v>7</v>
      </c>
    </row>
    <row r="15" spans="1:7">
      <c r="A15" s="36" t="s">
        <v>8</v>
      </c>
      <c r="B15" s="36" t="s">
        <v>9</v>
      </c>
      <c r="C15" s="37">
        <v>199</v>
      </c>
      <c r="D15" s="38">
        <v>10</v>
      </c>
      <c r="E15" s="38">
        <v>10</v>
      </c>
      <c r="F15" s="37">
        <v>1990</v>
      </c>
      <c r="G15" s="38">
        <v>134</v>
      </c>
    </row>
    <row r="16" spans="1:7">
      <c r="A16" s="36" t="s">
        <v>10</v>
      </c>
      <c r="B16" s="36" t="s">
        <v>11</v>
      </c>
      <c r="C16" s="37">
        <v>88</v>
      </c>
      <c r="D16" s="38">
        <v>10</v>
      </c>
      <c r="E16" s="38">
        <v>9</v>
      </c>
      <c r="F16" s="37">
        <v>792</v>
      </c>
      <c r="G16" s="38">
        <v>123</v>
      </c>
    </row>
    <row r="17" spans="1:7">
      <c r="A17" s="36" t="s">
        <v>12</v>
      </c>
      <c r="B17" s="36" t="s">
        <v>13</v>
      </c>
      <c r="C17" s="37">
        <v>68</v>
      </c>
      <c r="D17" s="38">
        <v>10</v>
      </c>
      <c r="E17" s="38">
        <v>10</v>
      </c>
      <c r="F17" s="37">
        <v>680</v>
      </c>
      <c r="G17" s="38">
        <v>147</v>
      </c>
    </row>
    <row r="18" spans="1:7">
      <c r="A18" s="36" t="s">
        <v>14</v>
      </c>
      <c r="B18" s="36" t="s">
        <v>9</v>
      </c>
      <c r="C18" s="37">
        <v>318</v>
      </c>
      <c r="D18" s="38">
        <v>10</v>
      </c>
      <c r="E18" s="38">
        <v>2</v>
      </c>
      <c r="F18" s="37">
        <v>636</v>
      </c>
      <c r="G18" s="38">
        <v>65</v>
      </c>
    </row>
    <row r="19" spans="1:7">
      <c r="A19" s="36" t="s">
        <v>15</v>
      </c>
      <c r="B19" s="36" t="s">
        <v>16</v>
      </c>
      <c r="C19" s="37">
        <v>99</v>
      </c>
      <c r="D19" s="38">
        <v>10</v>
      </c>
      <c r="E19" s="38">
        <v>4</v>
      </c>
      <c r="F19" s="37">
        <v>396</v>
      </c>
      <c r="G19" s="38">
        <v>33</v>
      </c>
    </row>
    <row r="20" spans="1:7">
      <c r="A20" s="36" t="s">
        <v>17</v>
      </c>
      <c r="B20" s="36" t="s">
        <v>9</v>
      </c>
      <c r="C20" s="37">
        <v>168</v>
      </c>
      <c r="D20" s="38">
        <v>10</v>
      </c>
      <c r="E20" s="38">
        <v>1</v>
      </c>
      <c r="F20" s="37">
        <v>168</v>
      </c>
      <c r="G20" s="38">
        <v>58</v>
      </c>
    </row>
    <row r="21" spans="1:7">
      <c r="A21" s="36" t="s">
        <v>18</v>
      </c>
      <c r="B21" s="36" t="s">
        <v>16</v>
      </c>
      <c r="C21" s="37">
        <v>168</v>
      </c>
      <c r="D21" s="38">
        <v>10</v>
      </c>
      <c r="E21" s="38">
        <v>1</v>
      </c>
      <c r="F21" s="37">
        <v>168</v>
      </c>
      <c r="G21" s="38">
        <v>9</v>
      </c>
    </row>
    <row r="22" spans="1:7">
      <c r="A22" s="36" t="s">
        <v>19</v>
      </c>
      <c r="B22" s="36" t="s">
        <v>11</v>
      </c>
      <c r="C22" s="37">
        <v>9.9</v>
      </c>
      <c r="D22" s="38">
        <v>10</v>
      </c>
      <c r="E22" s="38">
        <v>10</v>
      </c>
      <c r="F22" s="37">
        <v>99</v>
      </c>
      <c r="G22" s="38">
        <v>57</v>
      </c>
    </row>
    <row r="23" spans="1:7">
      <c r="A23" s="36" t="s">
        <v>20</v>
      </c>
      <c r="B23" s="36" t="s">
        <v>21</v>
      </c>
      <c r="C23" s="37">
        <v>19.9</v>
      </c>
      <c r="D23" s="38">
        <v>10</v>
      </c>
      <c r="E23" s="38">
        <v>2</v>
      </c>
      <c r="F23" s="37">
        <v>39.8</v>
      </c>
      <c r="G23" s="38">
        <v>19</v>
      </c>
    </row>
    <row r="24" spans="1:7">
      <c r="A24" s="36" t="s">
        <v>22</v>
      </c>
      <c r="B24" s="36" t="s">
        <v>16</v>
      </c>
      <c r="C24" s="37">
        <v>9.9</v>
      </c>
      <c r="D24" s="38">
        <v>10</v>
      </c>
      <c r="E24" s="38">
        <v>4</v>
      </c>
      <c r="F24" s="37">
        <v>39.6</v>
      </c>
      <c r="G24" s="38">
        <v>24</v>
      </c>
    </row>
    <row r="25" spans="1:7">
      <c r="A25" s="36" t="s">
        <v>23</v>
      </c>
      <c r="B25" s="36" t="s">
        <v>16</v>
      </c>
      <c r="C25" s="37">
        <v>28</v>
      </c>
      <c r="D25" s="38">
        <v>10</v>
      </c>
      <c r="E25" s="38">
        <v>1</v>
      </c>
      <c r="F25" s="37">
        <v>28</v>
      </c>
      <c r="G25" s="38">
        <v>19</v>
      </c>
    </row>
    <row r="26" spans="1:7">
      <c r="A26" s="36" t="s">
        <v>24</v>
      </c>
      <c r="B26" s="39"/>
      <c r="C26" s="39"/>
      <c r="D26" s="39"/>
      <c r="E26" s="38">
        <f>SUM(E15:E25)</f>
        <v>54</v>
      </c>
      <c r="F26" s="37">
        <f>SUM(F15:F25)</f>
        <v>5036.4</v>
      </c>
      <c r="G26" s="39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3:G39"/>
  <sheetViews>
    <sheetView topLeftCell="A10" workbookViewId="0">
      <selection activeCell="G16" sqref="G16:G38"/>
    </sheetView>
  </sheetViews>
  <sheetFormatPr defaultColWidth="9" defaultRowHeight="13.5" outlineLevelCol="6"/>
  <cols>
    <col min="1" max="1" width="32.875" customWidth="1"/>
    <col min="2" max="3" width="16" customWidth="1"/>
    <col min="4" max="4" width="9.75" customWidth="1"/>
    <col min="5" max="7" width="16" customWidth="1"/>
  </cols>
  <sheetData>
    <row r="13" ht="16" customHeight="1"/>
    <row r="14" ht="20.25" spans="1:7">
      <c r="A14" s="18" t="s">
        <v>25</v>
      </c>
      <c r="B14" s="18"/>
      <c r="C14" s="18"/>
      <c r="D14" s="18"/>
      <c r="E14" s="18"/>
      <c r="F14" s="18"/>
      <c r="G14" s="18"/>
    </row>
    <row r="15" spans="1:7">
      <c r="A15" s="19" t="s">
        <v>1</v>
      </c>
      <c r="B15" s="19" t="s">
        <v>2</v>
      </c>
      <c r="C15" s="19" t="s">
        <v>3</v>
      </c>
      <c r="D15" s="19" t="s">
        <v>4</v>
      </c>
      <c r="E15" s="2" t="s">
        <v>26</v>
      </c>
      <c r="F15" s="19" t="s">
        <v>6</v>
      </c>
      <c r="G15" s="2" t="s">
        <v>27</v>
      </c>
    </row>
    <row r="16" spans="1:7">
      <c r="A16" s="20" t="s">
        <v>28</v>
      </c>
      <c r="B16" s="20" t="s">
        <v>9</v>
      </c>
      <c r="C16" s="21">
        <v>199</v>
      </c>
      <c r="D16" s="21">
        <v>100</v>
      </c>
      <c r="E16" s="22">
        <v>29</v>
      </c>
      <c r="F16" s="23">
        <v>5771</v>
      </c>
      <c r="G16" s="22">
        <v>146</v>
      </c>
    </row>
    <row r="17" hidden="1" spans="1:7">
      <c r="A17" s="8" t="s">
        <v>29</v>
      </c>
      <c r="B17" s="20" t="s">
        <v>30</v>
      </c>
      <c r="C17" s="21">
        <v>880</v>
      </c>
      <c r="D17" s="24"/>
      <c r="E17" s="22">
        <v>5</v>
      </c>
      <c r="F17" s="23">
        <v>4400</v>
      </c>
      <c r="G17" s="22">
        <v>7</v>
      </c>
    </row>
    <row r="18" hidden="1" spans="1:7">
      <c r="A18" s="8" t="s">
        <v>31</v>
      </c>
      <c r="B18" s="20" t="s">
        <v>9</v>
      </c>
      <c r="C18" s="21">
        <v>258</v>
      </c>
      <c r="D18" s="24"/>
      <c r="E18" s="22">
        <v>9</v>
      </c>
      <c r="F18" s="23">
        <v>2322</v>
      </c>
      <c r="G18" s="22">
        <v>13</v>
      </c>
    </row>
    <row r="19" spans="1:7">
      <c r="A19" s="20" t="s">
        <v>32</v>
      </c>
      <c r="B19" s="20" t="s">
        <v>13</v>
      </c>
      <c r="C19" s="21">
        <v>68</v>
      </c>
      <c r="D19" s="25"/>
      <c r="E19" s="22">
        <v>30</v>
      </c>
      <c r="F19" s="23">
        <v>2040</v>
      </c>
      <c r="G19" s="22">
        <v>153</v>
      </c>
    </row>
    <row r="20" spans="1:7">
      <c r="A20" s="26" t="s">
        <v>33</v>
      </c>
      <c r="B20" s="26" t="s">
        <v>16</v>
      </c>
      <c r="C20" s="27">
        <v>168</v>
      </c>
      <c r="D20" s="26"/>
      <c r="E20" s="28">
        <v>20</v>
      </c>
      <c r="F20" s="29">
        <v>1776</v>
      </c>
      <c r="G20" s="28">
        <v>70</v>
      </c>
    </row>
    <row r="21" spans="1:7">
      <c r="A21" s="30" t="s">
        <v>34</v>
      </c>
      <c r="B21" s="26" t="s">
        <v>16</v>
      </c>
      <c r="C21" s="27">
        <v>128</v>
      </c>
      <c r="D21" s="31"/>
      <c r="E21" s="28">
        <v>30</v>
      </c>
      <c r="F21" s="29">
        <v>1764</v>
      </c>
      <c r="G21" s="28">
        <v>165</v>
      </c>
    </row>
    <row r="22" spans="1:7">
      <c r="A22" s="8" t="s">
        <v>35</v>
      </c>
      <c r="B22" s="20" t="s">
        <v>30</v>
      </c>
      <c r="C22" s="21">
        <v>1580</v>
      </c>
      <c r="D22" s="24"/>
      <c r="E22" s="22">
        <v>1</v>
      </c>
      <c r="F22" s="23">
        <v>1580</v>
      </c>
      <c r="G22" s="22">
        <v>5</v>
      </c>
    </row>
    <row r="23" spans="1:7">
      <c r="A23" s="8" t="s">
        <v>36</v>
      </c>
      <c r="B23" s="20" t="s">
        <v>30</v>
      </c>
      <c r="C23" s="21">
        <v>699.5</v>
      </c>
      <c r="D23" s="24"/>
      <c r="E23" s="22">
        <v>2</v>
      </c>
      <c r="F23" s="23">
        <v>1399</v>
      </c>
      <c r="G23" s="22">
        <v>22</v>
      </c>
    </row>
    <row r="24" spans="1:7">
      <c r="A24" s="8" t="s">
        <v>37</v>
      </c>
      <c r="B24" s="20" t="s">
        <v>30</v>
      </c>
      <c r="C24" s="21">
        <v>1399</v>
      </c>
      <c r="D24" s="24"/>
      <c r="E24" s="22">
        <v>1</v>
      </c>
      <c r="F24" s="23">
        <v>1399</v>
      </c>
      <c r="G24" s="22">
        <v>18</v>
      </c>
    </row>
    <row r="25" spans="1:7">
      <c r="A25" s="8" t="s">
        <v>38</v>
      </c>
      <c r="B25" s="20" t="s">
        <v>11</v>
      </c>
      <c r="C25" s="21">
        <v>88</v>
      </c>
      <c r="D25" s="21">
        <v>50</v>
      </c>
      <c r="E25" s="22">
        <v>8</v>
      </c>
      <c r="F25" s="23">
        <v>704</v>
      </c>
      <c r="G25" s="22">
        <v>56</v>
      </c>
    </row>
    <row r="26" spans="1:7">
      <c r="A26" s="8" t="s">
        <v>39</v>
      </c>
      <c r="B26" s="20" t="s">
        <v>11</v>
      </c>
      <c r="C26" s="21">
        <v>98</v>
      </c>
      <c r="D26" s="21">
        <v>50</v>
      </c>
      <c r="E26" s="22">
        <v>7</v>
      </c>
      <c r="F26" s="23">
        <v>686</v>
      </c>
      <c r="G26" s="22">
        <v>43</v>
      </c>
    </row>
    <row r="27" spans="1:7">
      <c r="A27" s="30" t="s">
        <v>40</v>
      </c>
      <c r="B27" s="26" t="s">
        <v>16</v>
      </c>
      <c r="C27" s="27">
        <v>128</v>
      </c>
      <c r="D27" s="31"/>
      <c r="E27" s="28">
        <v>10</v>
      </c>
      <c r="F27" s="29">
        <v>588</v>
      </c>
      <c r="G27" s="28">
        <v>115</v>
      </c>
    </row>
    <row r="28" hidden="1" spans="1:7">
      <c r="A28" s="8" t="s">
        <v>41</v>
      </c>
      <c r="B28" s="20" t="s">
        <v>16</v>
      </c>
      <c r="C28" s="21">
        <v>468</v>
      </c>
      <c r="D28" s="24"/>
      <c r="E28" s="22">
        <v>1</v>
      </c>
      <c r="F28" s="23">
        <v>468</v>
      </c>
      <c r="G28" s="22">
        <v>4</v>
      </c>
    </row>
    <row r="29" spans="1:7">
      <c r="A29" s="8" t="s">
        <v>42</v>
      </c>
      <c r="B29" s="20" t="s">
        <v>16</v>
      </c>
      <c r="C29" s="21">
        <v>98</v>
      </c>
      <c r="D29" s="21">
        <v>50</v>
      </c>
      <c r="E29" s="22">
        <v>4</v>
      </c>
      <c r="F29" s="23">
        <v>392</v>
      </c>
      <c r="G29" s="22">
        <v>16</v>
      </c>
    </row>
    <row r="30" spans="1:7">
      <c r="A30" s="8" t="s">
        <v>43</v>
      </c>
      <c r="B30" s="20" t="s">
        <v>9</v>
      </c>
      <c r="C30" s="21">
        <v>188</v>
      </c>
      <c r="D30" s="21">
        <v>100</v>
      </c>
      <c r="E30" s="22">
        <v>2</v>
      </c>
      <c r="F30" s="23">
        <v>376</v>
      </c>
      <c r="G30" s="22">
        <v>12</v>
      </c>
    </row>
    <row r="31" spans="1:7">
      <c r="A31" s="8" t="s">
        <v>44</v>
      </c>
      <c r="B31" s="20" t="s">
        <v>16</v>
      </c>
      <c r="C31" s="21">
        <v>168</v>
      </c>
      <c r="D31" s="21">
        <v>50</v>
      </c>
      <c r="E31" s="22">
        <v>2</v>
      </c>
      <c r="F31" s="23">
        <v>336</v>
      </c>
      <c r="G31" s="22">
        <v>8</v>
      </c>
    </row>
    <row r="32" spans="1:7">
      <c r="A32" s="8" t="s">
        <v>45</v>
      </c>
      <c r="B32" s="20" t="s">
        <v>16</v>
      </c>
      <c r="C32" s="21">
        <v>38</v>
      </c>
      <c r="D32" s="21">
        <v>50</v>
      </c>
      <c r="E32" s="22">
        <v>5</v>
      </c>
      <c r="F32" s="23">
        <v>190</v>
      </c>
      <c r="G32" s="22">
        <v>27</v>
      </c>
    </row>
    <row r="33" spans="1:7">
      <c r="A33" s="8" t="s">
        <v>46</v>
      </c>
      <c r="B33" s="20" t="s">
        <v>11</v>
      </c>
      <c r="C33" s="21">
        <v>88</v>
      </c>
      <c r="D33" s="21">
        <v>50</v>
      </c>
      <c r="E33" s="22">
        <v>2</v>
      </c>
      <c r="F33" s="23">
        <v>176</v>
      </c>
      <c r="G33" s="22">
        <v>15</v>
      </c>
    </row>
    <row r="34" spans="1:7">
      <c r="A34" s="8" t="s">
        <v>47</v>
      </c>
      <c r="B34" s="20" t="s">
        <v>16</v>
      </c>
      <c r="C34" s="21">
        <v>28</v>
      </c>
      <c r="D34" s="21">
        <v>50</v>
      </c>
      <c r="E34" s="22">
        <v>3</v>
      </c>
      <c r="F34" s="23">
        <v>84</v>
      </c>
      <c r="G34" s="22">
        <v>23</v>
      </c>
    </row>
    <row r="35" spans="1:7">
      <c r="A35" s="8" t="s">
        <v>48</v>
      </c>
      <c r="B35" s="20" t="s">
        <v>16</v>
      </c>
      <c r="C35" s="21">
        <v>9.9</v>
      </c>
      <c r="D35" s="21">
        <v>50</v>
      </c>
      <c r="E35" s="22">
        <v>4</v>
      </c>
      <c r="F35" s="23">
        <v>39.6</v>
      </c>
      <c r="G35" s="22">
        <v>23</v>
      </c>
    </row>
    <row r="36" spans="1:7">
      <c r="A36" s="8" t="s">
        <v>49</v>
      </c>
      <c r="B36" s="20" t="s">
        <v>11</v>
      </c>
      <c r="C36" s="21">
        <v>38</v>
      </c>
      <c r="D36" s="21">
        <v>50</v>
      </c>
      <c r="E36" s="22">
        <v>1</v>
      </c>
      <c r="F36" s="23">
        <v>38</v>
      </c>
      <c r="G36" s="22">
        <v>8</v>
      </c>
    </row>
    <row r="37" spans="1:7">
      <c r="A37" s="8" t="s">
        <v>50</v>
      </c>
      <c r="B37" s="20" t="s">
        <v>16</v>
      </c>
      <c r="C37" s="21">
        <v>9.9</v>
      </c>
      <c r="D37" s="21">
        <v>50</v>
      </c>
      <c r="E37" s="22">
        <v>3</v>
      </c>
      <c r="F37" s="23">
        <v>29.7</v>
      </c>
      <c r="G37" s="22">
        <v>14</v>
      </c>
    </row>
    <row r="38" spans="1:7">
      <c r="A38" s="8" t="s">
        <v>51</v>
      </c>
      <c r="B38" s="20" t="s">
        <v>21</v>
      </c>
      <c r="C38" s="21">
        <v>19.9</v>
      </c>
      <c r="D38" s="24"/>
      <c r="E38" s="22">
        <v>1</v>
      </c>
      <c r="F38" s="23">
        <v>9.9</v>
      </c>
      <c r="G38" s="22">
        <v>22</v>
      </c>
    </row>
    <row r="39" ht="15" spans="6:6">
      <c r="F39" s="32">
        <v>19378.2</v>
      </c>
    </row>
  </sheetData>
  <autoFilter xmlns:etc="http://www.wps.cn/officeDocument/2017/etCustomData" ref="A15:G39" etc:filterBottomFollowUsedRange="0">
    <filterColumn colId="0">
      <filters>
        <filter val="【粉丝日秒杀】夏日多巴胺轻食套餐"/>
        <filter val="希尔顿行政套房一晚含两大一小早餐"/>
        <filter val="【粉丝日秒杀】单人健身游泳次卡"/>
        <filter val="【会员日秒杀】礼鹤中秋·4粒装月饼礼盒"/>
        <filter val="【粉丝日秒杀】玫瑰红茶爆珠蛋挞一份"/>
        <filter val="【粉丝日秒杀】顺德捞起刺身盘一份"/>
        <filter val="【粉丝日秒杀】周末单人自助午餐"/>
        <filter val="【粉丝日秒杀】单人咖啡+蛋糕套餐"/>
        <filter val="【粉丝日秒杀】单件洗衣券"/>
        <filter val="【粉丝日秒杀】希尔顿客房2晚"/>
        <filter val="【粉丝日秒杀】大堂吧双人下午茶"/>
        <filter val="【粉丝日秒杀】脆皮乳鸽一只"/>
        <filter val="【粉丝日秒杀】雪山酸奶糕一份"/>
        <filter val="【粉丝日秒杀】周一至周四单人自助晚餐"/>
        <filter val="【会员日秒杀】璧月·4粒装月饼礼盒"/>
        <filter val="【会员日秒杀】月满芳庭·4粒装月饼礼盒"/>
        <filter val="【粉丝日秒杀】大堂吧1磅生日蛋糕"/>
        <filter val="【会员日秒杀】希尔顿客房1晚含双早"/>
        <filter val="【粉丝日秒杀】顺德鱼茸羹一份"/>
        <filter val="【粉丝日秒杀】薄荷焦糖罗氏虾一份"/>
      </filters>
    </filterColumn>
    <extLst/>
  </autoFilter>
  <mergeCells count="1">
    <mergeCell ref="A14:G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0" sqref="I3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"/>
  <sheetViews>
    <sheetView workbookViewId="0">
      <selection activeCell="C17" sqref="C17"/>
    </sheetView>
  </sheetViews>
  <sheetFormatPr defaultColWidth="9" defaultRowHeight="13.5" outlineLevelRow="5" outlineLevelCol="5"/>
  <cols>
    <col min="1" max="1" width="19.875" customWidth="1"/>
    <col min="2" max="3" width="15" customWidth="1"/>
    <col min="4" max="4" width="17.125" customWidth="1"/>
    <col min="5" max="5" width="12.5" customWidth="1"/>
    <col min="6" max="6" width="10.875" customWidth="1"/>
  </cols>
  <sheetData>
    <row r="2" ht="16.5" spans="1:1">
      <c r="A2" s="13" t="s">
        <v>52</v>
      </c>
    </row>
    <row r="3" ht="16.5" spans="1:6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7</v>
      </c>
    </row>
    <row r="4" ht="16.5" spans="1:6">
      <c r="A4" s="15" t="s">
        <v>58</v>
      </c>
      <c r="B4" s="16">
        <v>10911.7</v>
      </c>
      <c r="C4" s="16">
        <v>4536</v>
      </c>
      <c r="D4" s="17">
        <v>49</v>
      </c>
      <c r="E4" s="16">
        <v>2075.8</v>
      </c>
      <c r="F4" s="17">
        <v>1101</v>
      </c>
    </row>
    <row r="5" ht="16.5" spans="1:6">
      <c r="A5" s="15" t="s">
        <v>59</v>
      </c>
      <c r="B5" s="16">
        <v>19378.2</v>
      </c>
      <c r="C5" s="16">
        <v>19378.2</v>
      </c>
      <c r="D5" s="17">
        <v>165</v>
      </c>
      <c r="E5" s="16">
        <v>9769</v>
      </c>
      <c r="F5" s="17">
        <v>1090</v>
      </c>
    </row>
    <row r="6" ht="16.5" spans="1:6">
      <c r="A6" s="15" t="s">
        <v>60</v>
      </c>
      <c r="B6" s="16">
        <v>5716.4</v>
      </c>
      <c r="C6" s="16">
        <v>5036.4</v>
      </c>
      <c r="D6" s="17">
        <v>54</v>
      </c>
      <c r="E6" s="16">
        <v>10562</v>
      </c>
      <c r="F6" s="17">
        <v>788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workbookViewId="0">
      <selection activeCell="H3" sqref="H3:H17"/>
    </sheetView>
  </sheetViews>
  <sheetFormatPr defaultColWidth="9" defaultRowHeight="13.5"/>
  <cols>
    <col min="1" max="1" width="29.125" customWidth="1"/>
    <col min="2" max="18" width="16" customWidth="1"/>
  </cols>
  <sheetData>
    <row r="1" spans="1:1">
      <c r="A1" s="1">
        <v>10.15</v>
      </c>
    </row>
    <row r="2" spans="1:18">
      <c r="A2" s="2" t="s">
        <v>1</v>
      </c>
      <c r="B2" s="2" t="s">
        <v>61</v>
      </c>
      <c r="C2" s="2" t="s">
        <v>62</v>
      </c>
      <c r="D2" s="2" t="s">
        <v>2</v>
      </c>
      <c r="E2" s="2" t="s">
        <v>7</v>
      </c>
      <c r="F2" s="2" t="s">
        <v>63</v>
      </c>
      <c r="G2" s="2" t="s">
        <v>5</v>
      </c>
      <c r="H2" s="2" t="s">
        <v>6</v>
      </c>
      <c r="I2" s="2" t="s">
        <v>4</v>
      </c>
      <c r="J2" s="2" t="s">
        <v>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  <c r="R2" s="2" t="s">
        <v>71</v>
      </c>
    </row>
    <row r="3" spans="1:18">
      <c r="A3" s="3" t="s">
        <v>8</v>
      </c>
      <c r="B3" s="3" t="s">
        <v>72</v>
      </c>
      <c r="C3" s="3" t="s">
        <v>73</v>
      </c>
      <c r="D3" s="3" t="s">
        <v>9</v>
      </c>
      <c r="E3" s="4">
        <v>134</v>
      </c>
      <c r="F3" s="4">
        <v>85</v>
      </c>
      <c r="G3" s="4">
        <v>10</v>
      </c>
      <c r="H3" s="5">
        <v>1990</v>
      </c>
      <c r="I3" s="4">
        <v>10</v>
      </c>
      <c r="J3" s="12" t="s">
        <v>74</v>
      </c>
      <c r="K3" s="3" t="s">
        <v>75</v>
      </c>
      <c r="L3" s="3" t="s">
        <v>76</v>
      </c>
      <c r="M3" s="3" t="s">
        <v>77</v>
      </c>
      <c r="N3" s="3" t="s">
        <v>78</v>
      </c>
      <c r="O3" s="4">
        <v>4</v>
      </c>
      <c r="P3" s="4">
        <v>2</v>
      </c>
      <c r="Q3" s="4">
        <v>0</v>
      </c>
      <c r="R3" s="12" t="s">
        <v>79</v>
      </c>
    </row>
    <row r="4" spans="1:18">
      <c r="A4" s="3" t="s">
        <v>10</v>
      </c>
      <c r="B4" s="3" t="s">
        <v>72</v>
      </c>
      <c r="C4" s="3" t="s">
        <v>73</v>
      </c>
      <c r="D4" s="3" t="s">
        <v>11</v>
      </c>
      <c r="E4" s="4">
        <v>123</v>
      </c>
      <c r="F4" s="4">
        <v>62</v>
      </c>
      <c r="G4" s="4">
        <v>9</v>
      </c>
      <c r="H4" s="6">
        <v>792</v>
      </c>
      <c r="I4" s="4">
        <v>10</v>
      </c>
      <c r="J4" s="12" t="s">
        <v>80</v>
      </c>
      <c r="K4" s="3" t="s">
        <v>75</v>
      </c>
      <c r="L4" s="3" t="s">
        <v>76</v>
      </c>
      <c r="M4" s="3" t="s">
        <v>77</v>
      </c>
      <c r="N4" s="3" t="s">
        <v>78</v>
      </c>
      <c r="O4" s="4">
        <v>9</v>
      </c>
      <c r="P4" s="4">
        <v>1</v>
      </c>
      <c r="Q4" s="4">
        <v>1</v>
      </c>
      <c r="R4" s="12" t="s">
        <v>81</v>
      </c>
    </row>
    <row r="5" spans="1:18">
      <c r="A5" s="3" t="s">
        <v>12</v>
      </c>
      <c r="B5" s="3" t="s">
        <v>72</v>
      </c>
      <c r="C5" s="3" t="s">
        <v>73</v>
      </c>
      <c r="D5" s="3" t="s">
        <v>13</v>
      </c>
      <c r="E5" s="4">
        <v>147</v>
      </c>
      <c r="F5" s="4">
        <v>70</v>
      </c>
      <c r="G5" s="4">
        <v>10</v>
      </c>
      <c r="H5" s="6">
        <v>680</v>
      </c>
      <c r="I5" s="4">
        <v>10</v>
      </c>
      <c r="J5" s="12" t="s">
        <v>82</v>
      </c>
      <c r="K5" s="3" t="s">
        <v>75</v>
      </c>
      <c r="L5" s="3" t="s">
        <v>76</v>
      </c>
      <c r="M5" s="3" t="s">
        <v>83</v>
      </c>
      <c r="N5" s="3" t="s">
        <v>84</v>
      </c>
      <c r="O5" s="4">
        <v>10</v>
      </c>
      <c r="P5" s="4">
        <v>4</v>
      </c>
      <c r="Q5" s="4">
        <v>0</v>
      </c>
      <c r="R5" s="12" t="s">
        <v>79</v>
      </c>
    </row>
    <row r="6" spans="1:18">
      <c r="A6" s="3" t="s">
        <v>14</v>
      </c>
      <c r="B6" s="3" t="s">
        <v>72</v>
      </c>
      <c r="C6" s="3" t="s">
        <v>73</v>
      </c>
      <c r="D6" s="3" t="s">
        <v>9</v>
      </c>
      <c r="E6" s="4">
        <v>65</v>
      </c>
      <c r="F6" s="4">
        <v>41</v>
      </c>
      <c r="G6" s="4">
        <v>2</v>
      </c>
      <c r="H6" s="6">
        <v>636</v>
      </c>
      <c r="I6" s="4">
        <v>10</v>
      </c>
      <c r="J6" s="12" t="s">
        <v>85</v>
      </c>
      <c r="K6" s="3" t="s">
        <v>75</v>
      </c>
      <c r="L6" s="3" t="s">
        <v>76</v>
      </c>
      <c r="M6" s="3" t="s">
        <v>77</v>
      </c>
      <c r="N6" s="3" t="s">
        <v>78</v>
      </c>
      <c r="O6" s="4">
        <v>2</v>
      </c>
      <c r="P6" s="4">
        <v>0</v>
      </c>
      <c r="Q6" s="4">
        <v>0</v>
      </c>
      <c r="R6" s="12" t="s">
        <v>79</v>
      </c>
    </row>
    <row r="7" spans="1:18">
      <c r="A7" s="3" t="s">
        <v>15</v>
      </c>
      <c r="B7" s="3" t="s">
        <v>72</v>
      </c>
      <c r="C7" s="3" t="s">
        <v>73</v>
      </c>
      <c r="D7" s="3" t="s">
        <v>16</v>
      </c>
      <c r="E7" s="4">
        <v>33</v>
      </c>
      <c r="F7" s="4">
        <v>18</v>
      </c>
      <c r="G7" s="4">
        <v>4</v>
      </c>
      <c r="H7" s="6">
        <v>396</v>
      </c>
      <c r="I7" s="4">
        <v>10</v>
      </c>
      <c r="J7" s="12" t="s">
        <v>86</v>
      </c>
      <c r="K7" s="3" t="s">
        <v>75</v>
      </c>
      <c r="L7" s="3" t="s">
        <v>76</v>
      </c>
      <c r="M7" s="3" t="s">
        <v>77</v>
      </c>
      <c r="N7" s="3" t="s">
        <v>78</v>
      </c>
      <c r="O7" s="4">
        <v>4</v>
      </c>
      <c r="P7" s="4">
        <v>0</v>
      </c>
      <c r="Q7" s="4">
        <v>0</v>
      </c>
      <c r="R7" s="12" t="s">
        <v>79</v>
      </c>
    </row>
    <row r="8" spans="1:18">
      <c r="A8" s="3" t="s">
        <v>17</v>
      </c>
      <c r="B8" s="3" t="s">
        <v>72</v>
      </c>
      <c r="C8" s="3" t="s">
        <v>73</v>
      </c>
      <c r="D8" s="3" t="s">
        <v>9</v>
      </c>
      <c r="E8" s="4">
        <v>58</v>
      </c>
      <c r="F8" s="4">
        <v>45</v>
      </c>
      <c r="G8" s="4">
        <v>1</v>
      </c>
      <c r="H8" s="6">
        <v>168</v>
      </c>
      <c r="I8" s="4">
        <v>10</v>
      </c>
      <c r="J8" s="12" t="s">
        <v>87</v>
      </c>
      <c r="K8" s="3" t="s">
        <v>75</v>
      </c>
      <c r="L8" s="3" t="s">
        <v>76</v>
      </c>
      <c r="M8" s="3" t="s">
        <v>77</v>
      </c>
      <c r="N8" s="3" t="s">
        <v>78</v>
      </c>
      <c r="O8" s="4">
        <v>1</v>
      </c>
      <c r="P8" s="4">
        <v>0</v>
      </c>
      <c r="Q8" s="4">
        <v>0</v>
      </c>
      <c r="R8" s="12" t="s">
        <v>79</v>
      </c>
    </row>
    <row r="9" spans="1:18">
      <c r="A9" s="3" t="s">
        <v>18</v>
      </c>
      <c r="B9" s="3" t="s">
        <v>72</v>
      </c>
      <c r="C9" s="3" t="s">
        <v>73</v>
      </c>
      <c r="D9" s="3" t="s">
        <v>16</v>
      </c>
      <c r="E9" s="4">
        <v>9</v>
      </c>
      <c r="F9" s="4">
        <v>8</v>
      </c>
      <c r="G9" s="4">
        <v>1</v>
      </c>
      <c r="H9" s="6">
        <v>168</v>
      </c>
      <c r="I9" s="4">
        <v>10</v>
      </c>
      <c r="J9" s="12" t="s">
        <v>87</v>
      </c>
      <c r="K9" s="3" t="s">
        <v>75</v>
      </c>
      <c r="L9" s="3" t="s">
        <v>76</v>
      </c>
      <c r="M9" s="3" t="s">
        <v>77</v>
      </c>
      <c r="N9" s="3" t="s">
        <v>78</v>
      </c>
      <c r="O9" s="4">
        <v>1</v>
      </c>
      <c r="P9" s="4">
        <v>0</v>
      </c>
      <c r="Q9" s="4">
        <v>0</v>
      </c>
      <c r="R9" s="12" t="s">
        <v>79</v>
      </c>
    </row>
    <row r="10" spans="1:18">
      <c r="A10" s="3" t="s">
        <v>19</v>
      </c>
      <c r="B10" s="3" t="s">
        <v>72</v>
      </c>
      <c r="C10" s="3" t="s">
        <v>73</v>
      </c>
      <c r="D10" s="3" t="s">
        <v>11</v>
      </c>
      <c r="E10" s="4">
        <v>57</v>
      </c>
      <c r="F10" s="4">
        <v>35</v>
      </c>
      <c r="G10" s="4">
        <v>10</v>
      </c>
      <c r="H10" s="6">
        <v>99</v>
      </c>
      <c r="I10" s="4">
        <v>10</v>
      </c>
      <c r="J10" s="12" t="s">
        <v>81</v>
      </c>
      <c r="K10" s="3" t="s">
        <v>75</v>
      </c>
      <c r="L10" s="3" t="s">
        <v>76</v>
      </c>
      <c r="M10" s="3" t="s">
        <v>77</v>
      </c>
      <c r="N10" s="3" t="s">
        <v>78</v>
      </c>
      <c r="O10" s="4">
        <v>10</v>
      </c>
      <c r="P10" s="4">
        <v>0</v>
      </c>
      <c r="Q10" s="4">
        <v>0</v>
      </c>
      <c r="R10" s="12" t="s">
        <v>79</v>
      </c>
    </row>
    <row r="11" spans="1:18">
      <c r="A11" s="3" t="s">
        <v>20</v>
      </c>
      <c r="B11" s="3" t="s">
        <v>72</v>
      </c>
      <c r="C11" s="3" t="s">
        <v>73</v>
      </c>
      <c r="D11" s="3" t="s">
        <v>21</v>
      </c>
      <c r="E11" s="4">
        <v>19</v>
      </c>
      <c r="F11" s="4">
        <v>16</v>
      </c>
      <c r="G11" s="4">
        <v>2</v>
      </c>
      <c r="H11" s="6">
        <v>39.8</v>
      </c>
      <c r="I11" s="4">
        <v>10</v>
      </c>
      <c r="J11" s="12" t="s">
        <v>88</v>
      </c>
      <c r="K11" s="3" t="s">
        <v>75</v>
      </c>
      <c r="L11" s="3" t="s">
        <v>76</v>
      </c>
      <c r="M11" s="3" t="s">
        <v>83</v>
      </c>
      <c r="N11" s="3" t="s">
        <v>84</v>
      </c>
      <c r="O11" s="4">
        <v>2</v>
      </c>
      <c r="P11" s="4">
        <v>0</v>
      </c>
      <c r="Q11" s="4">
        <v>0</v>
      </c>
      <c r="R11" s="12" t="s">
        <v>79</v>
      </c>
    </row>
    <row r="12" spans="1:18">
      <c r="A12" s="3" t="s">
        <v>22</v>
      </c>
      <c r="B12" s="3" t="s">
        <v>72</v>
      </c>
      <c r="C12" s="3" t="s">
        <v>73</v>
      </c>
      <c r="D12" s="3" t="s">
        <v>16</v>
      </c>
      <c r="E12" s="4">
        <v>24</v>
      </c>
      <c r="F12" s="4">
        <v>17</v>
      </c>
      <c r="G12" s="4">
        <v>4</v>
      </c>
      <c r="H12" s="6">
        <v>39.6</v>
      </c>
      <c r="I12" s="4">
        <v>10</v>
      </c>
      <c r="J12" s="12" t="s">
        <v>81</v>
      </c>
      <c r="K12" s="3" t="s">
        <v>75</v>
      </c>
      <c r="L12" s="3" t="s">
        <v>76</v>
      </c>
      <c r="M12" s="3" t="s">
        <v>77</v>
      </c>
      <c r="N12" s="3" t="s">
        <v>78</v>
      </c>
      <c r="O12" s="4">
        <v>4</v>
      </c>
      <c r="P12" s="4">
        <v>1</v>
      </c>
      <c r="Q12" s="4">
        <v>1</v>
      </c>
      <c r="R12" s="12" t="s">
        <v>81</v>
      </c>
    </row>
    <row r="13" spans="1:18">
      <c r="A13" s="3" t="s">
        <v>23</v>
      </c>
      <c r="B13" s="3" t="s">
        <v>72</v>
      </c>
      <c r="C13" s="3" t="s">
        <v>73</v>
      </c>
      <c r="D13" s="3" t="s">
        <v>16</v>
      </c>
      <c r="E13" s="4">
        <v>19</v>
      </c>
      <c r="F13" s="4">
        <v>16</v>
      </c>
      <c r="G13" s="4">
        <v>1</v>
      </c>
      <c r="H13" s="6">
        <v>28</v>
      </c>
      <c r="I13" s="4">
        <v>10</v>
      </c>
      <c r="J13" s="12" t="s">
        <v>89</v>
      </c>
      <c r="K13" s="3" t="s">
        <v>75</v>
      </c>
      <c r="L13" s="3" t="s">
        <v>76</v>
      </c>
      <c r="M13" s="3" t="s">
        <v>77</v>
      </c>
      <c r="N13" s="3" t="s">
        <v>78</v>
      </c>
      <c r="O13" s="4">
        <v>1</v>
      </c>
      <c r="P13" s="4">
        <v>0</v>
      </c>
      <c r="Q13" s="4">
        <v>0</v>
      </c>
      <c r="R13" s="12" t="s">
        <v>79</v>
      </c>
    </row>
    <row r="14" spans="1:18">
      <c r="A14" s="3" t="s">
        <v>90</v>
      </c>
      <c r="B14" s="3" t="s">
        <v>72</v>
      </c>
      <c r="C14" s="3" t="s">
        <v>73</v>
      </c>
      <c r="D14" s="3" t="s">
        <v>9</v>
      </c>
      <c r="E14" s="4">
        <v>40</v>
      </c>
      <c r="F14" s="4">
        <v>25</v>
      </c>
      <c r="G14" s="4">
        <v>0</v>
      </c>
      <c r="H14" s="6">
        <v>0</v>
      </c>
      <c r="I14" s="4">
        <v>10</v>
      </c>
      <c r="J14" s="12" t="s">
        <v>91</v>
      </c>
      <c r="K14" s="3" t="s">
        <v>75</v>
      </c>
      <c r="L14" s="3" t="s">
        <v>76</v>
      </c>
      <c r="M14" s="3" t="s">
        <v>77</v>
      </c>
      <c r="N14" s="3" t="s">
        <v>78</v>
      </c>
      <c r="O14" s="4">
        <v>0</v>
      </c>
      <c r="P14" s="4">
        <v>0</v>
      </c>
      <c r="Q14" s="4">
        <v>0</v>
      </c>
      <c r="R14" s="12" t="s">
        <v>79</v>
      </c>
    </row>
    <row r="15" spans="1:18">
      <c r="A15" s="3" t="s">
        <v>92</v>
      </c>
      <c r="B15" s="3" t="s">
        <v>72</v>
      </c>
      <c r="C15" s="3" t="s">
        <v>73</v>
      </c>
      <c r="D15" s="3" t="s">
        <v>13</v>
      </c>
      <c r="E15" s="4">
        <v>34</v>
      </c>
      <c r="F15" s="4">
        <v>25</v>
      </c>
      <c r="G15" s="4">
        <v>0</v>
      </c>
      <c r="H15" s="6">
        <v>0</v>
      </c>
      <c r="I15" s="4">
        <v>1000000</v>
      </c>
      <c r="J15" s="12" t="s">
        <v>93</v>
      </c>
      <c r="K15" s="3" t="s">
        <v>75</v>
      </c>
      <c r="L15" s="3" t="s">
        <v>76</v>
      </c>
      <c r="M15" s="3" t="s">
        <v>83</v>
      </c>
      <c r="N15" s="3" t="s">
        <v>84</v>
      </c>
      <c r="O15" s="4">
        <v>0</v>
      </c>
      <c r="P15" s="4">
        <v>0</v>
      </c>
      <c r="Q15" s="4">
        <v>0</v>
      </c>
      <c r="R15" s="12" t="s">
        <v>79</v>
      </c>
    </row>
    <row r="16" spans="1:18">
      <c r="A16" s="3" t="s">
        <v>94</v>
      </c>
      <c r="B16" s="3" t="s">
        <v>72</v>
      </c>
      <c r="C16" s="3" t="s">
        <v>73</v>
      </c>
      <c r="D16" s="3" t="s">
        <v>11</v>
      </c>
      <c r="E16" s="4">
        <v>14</v>
      </c>
      <c r="F16" s="4">
        <v>12</v>
      </c>
      <c r="G16" s="4">
        <v>0</v>
      </c>
      <c r="H16" s="6">
        <v>0</v>
      </c>
      <c r="I16" s="4">
        <v>10</v>
      </c>
      <c r="J16" s="12" t="s">
        <v>86</v>
      </c>
      <c r="K16" s="3" t="s">
        <v>75</v>
      </c>
      <c r="L16" s="3" t="s">
        <v>76</v>
      </c>
      <c r="M16" s="3" t="s">
        <v>77</v>
      </c>
      <c r="N16" s="3" t="s">
        <v>78</v>
      </c>
      <c r="O16" s="4">
        <v>0</v>
      </c>
      <c r="P16" s="4">
        <v>0</v>
      </c>
      <c r="Q16" s="4">
        <v>0</v>
      </c>
      <c r="R16" s="12" t="s">
        <v>79</v>
      </c>
    </row>
    <row r="17" spans="1:18">
      <c r="A17" s="3" t="s">
        <v>95</v>
      </c>
      <c r="B17" s="3" t="s">
        <v>72</v>
      </c>
      <c r="C17" s="3" t="s">
        <v>73</v>
      </c>
      <c r="D17" s="3" t="s">
        <v>11</v>
      </c>
      <c r="E17" s="4">
        <v>12</v>
      </c>
      <c r="F17" s="4">
        <v>12</v>
      </c>
      <c r="G17" s="4">
        <v>0</v>
      </c>
      <c r="H17" s="6">
        <v>0</v>
      </c>
      <c r="I17" s="4">
        <v>10</v>
      </c>
      <c r="J17" s="12" t="s">
        <v>86</v>
      </c>
      <c r="K17" s="3" t="s">
        <v>75</v>
      </c>
      <c r="L17" s="3" t="s">
        <v>76</v>
      </c>
      <c r="M17" s="3" t="s">
        <v>77</v>
      </c>
      <c r="N17" s="3" t="s">
        <v>78</v>
      </c>
      <c r="O17" s="4">
        <v>0</v>
      </c>
      <c r="P17" s="4">
        <v>0</v>
      </c>
      <c r="Q17" s="4">
        <v>0</v>
      </c>
      <c r="R17" s="12" t="s">
        <v>79</v>
      </c>
    </row>
    <row r="19" spans="1:1">
      <c r="A19" s="7">
        <v>8.2</v>
      </c>
    </row>
    <row r="20" ht="16" customHeight="1" spans="1:18">
      <c r="A20" s="2" t="s">
        <v>1</v>
      </c>
      <c r="B20" s="2" t="s">
        <v>61</v>
      </c>
      <c r="C20" s="2" t="s">
        <v>62</v>
      </c>
      <c r="D20" s="2" t="s">
        <v>2</v>
      </c>
      <c r="E20" s="2" t="s">
        <v>7</v>
      </c>
      <c r="F20" s="2" t="s">
        <v>63</v>
      </c>
      <c r="G20" s="2" t="s">
        <v>5</v>
      </c>
      <c r="H20" s="2" t="s">
        <v>6</v>
      </c>
      <c r="I20" s="2" t="s">
        <v>4</v>
      </c>
      <c r="J20" s="2" t="s">
        <v>3</v>
      </c>
      <c r="K20" s="2" t="s">
        <v>64</v>
      </c>
      <c r="L20" s="2" t="s">
        <v>65</v>
      </c>
      <c r="M20" s="2" t="s">
        <v>66</v>
      </c>
      <c r="N20" s="2" t="s">
        <v>67</v>
      </c>
      <c r="O20" s="2" t="s">
        <v>68</v>
      </c>
      <c r="P20" s="2" t="s">
        <v>69</v>
      </c>
      <c r="Q20" s="2" t="s">
        <v>70</v>
      </c>
      <c r="R20" s="2" t="s">
        <v>71</v>
      </c>
    </row>
    <row r="21" spans="1:18">
      <c r="A21" s="8" t="s">
        <v>96</v>
      </c>
      <c r="B21" s="8" t="s">
        <v>72</v>
      </c>
      <c r="C21" s="8" t="s">
        <v>73</v>
      </c>
      <c r="D21" s="8" t="s">
        <v>9</v>
      </c>
      <c r="E21" s="9">
        <v>146</v>
      </c>
      <c r="F21" s="9">
        <v>59</v>
      </c>
      <c r="G21" s="9">
        <v>29</v>
      </c>
      <c r="H21" s="10">
        <v>5771</v>
      </c>
      <c r="I21" s="9">
        <v>100</v>
      </c>
      <c r="J21" t="s">
        <v>74</v>
      </c>
      <c r="K21" s="8" t="s">
        <v>97</v>
      </c>
      <c r="L21" s="8" t="s">
        <v>98</v>
      </c>
      <c r="M21" s="8" t="s">
        <v>77</v>
      </c>
      <c r="N21" s="8" t="s">
        <v>99</v>
      </c>
      <c r="O21" s="9">
        <v>29</v>
      </c>
      <c r="P21" s="9">
        <v>16</v>
      </c>
      <c r="Q21" s="9">
        <v>0</v>
      </c>
      <c r="R21" t="s">
        <v>79</v>
      </c>
    </row>
    <row r="22" spans="1:18">
      <c r="A22" s="8" t="s">
        <v>12</v>
      </c>
      <c r="B22" s="8" t="s">
        <v>72</v>
      </c>
      <c r="C22" s="8" t="s">
        <v>73</v>
      </c>
      <c r="D22" s="8" t="s">
        <v>13</v>
      </c>
      <c r="E22" s="9">
        <v>153</v>
      </c>
      <c r="F22" s="9">
        <v>46</v>
      </c>
      <c r="G22" s="9">
        <v>30</v>
      </c>
      <c r="H22" s="11">
        <v>2040</v>
      </c>
      <c r="I22" s="9">
        <v>30</v>
      </c>
      <c r="J22" t="s">
        <v>82</v>
      </c>
      <c r="K22" s="8" t="s">
        <v>97</v>
      </c>
      <c r="L22" s="8" t="s">
        <v>98</v>
      </c>
      <c r="M22" s="8" t="s">
        <v>77</v>
      </c>
      <c r="N22" s="8" t="s">
        <v>99</v>
      </c>
      <c r="O22" s="9">
        <v>18</v>
      </c>
      <c r="P22" s="9">
        <v>5</v>
      </c>
      <c r="Q22" s="9">
        <v>1</v>
      </c>
      <c r="R22" t="s">
        <v>100</v>
      </c>
    </row>
    <row r="23" spans="1:18">
      <c r="A23" s="8" t="s">
        <v>101</v>
      </c>
      <c r="B23" s="8" t="s">
        <v>72</v>
      </c>
      <c r="C23" s="8" t="s">
        <v>73</v>
      </c>
      <c r="D23" s="8" t="s">
        <v>16</v>
      </c>
      <c r="E23" s="9">
        <v>70</v>
      </c>
      <c r="F23" s="9">
        <v>34</v>
      </c>
      <c r="G23" s="9">
        <v>20</v>
      </c>
      <c r="H23" s="11">
        <v>1776</v>
      </c>
      <c r="I23" s="9">
        <v>1000000</v>
      </c>
      <c r="J23" t="s">
        <v>87</v>
      </c>
      <c r="K23" s="8" t="s">
        <v>97</v>
      </c>
      <c r="L23" s="8" t="s">
        <v>98</v>
      </c>
      <c r="M23" s="8" t="s">
        <v>77</v>
      </c>
      <c r="N23" s="8" t="s">
        <v>102</v>
      </c>
      <c r="O23" s="9">
        <v>5</v>
      </c>
      <c r="P23" s="9">
        <v>1</v>
      </c>
      <c r="Q23" s="9">
        <v>1</v>
      </c>
      <c r="R23" t="s">
        <v>103</v>
      </c>
    </row>
    <row r="24" spans="1:18">
      <c r="A24" s="8" t="s">
        <v>104</v>
      </c>
      <c r="B24" s="8" t="s">
        <v>72</v>
      </c>
      <c r="C24" s="8" t="s">
        <v>73</v>
      </c>
      <c r="D24" s="8" t="s">
        <v>16</v>
      </c>
      <c r="E24" s="9">
        <v>165</v>
      </c>
      <c r="F24" s="9">
        <v>75</v>
      </c>
      <c r="G24" s="9">
        <v>30</v>
      </c>
      <c r="H24" s="11">
        <v>1764</v>
      </c>
      <c r="I24" s="9">
        <v>1000000</v>
      </c>
      <c r="J24" t="s">
        <v>105</v>
      </c>
      <c r="K24" s="8" t="s">
        <v>97</v>
      </c>
      <c r="L24" s="8" t="s">
        <v>98</v>
      </c>
      <c r="M24" s="8" t="s">
        <v>77</v>
      </c>
      <c r="N24" s="8" t="s">
        <v>102</v>
      </c>
      <c r="O24" s="9">
        <v>10</v>
      </c>
      <c r="P24" s="9">
        <v>2</v>
      </c>
      <c r="Q24" s="9">
        <v>0</v>
      </c>
      <c r="R24" t="s">
        <v>79</v>
      </c>
    </row>
    <row r="25" spans="1:18">
      <c r="A25" s="8" t="s">
        <v>35</v>
      </c>
      <c r="B25" s="8" t="s">
        <v>72</v>
      </c>
      <c r="C25" s="8" t="s">
        <v>73</v>
      </c>
      <c r="D25" s="8" t="s">
        <v>106</v>
      </c>
      <c r="E25" s="9">
        <v>5</v>
      </c>
      <c r="F25" s="9">
        <v>4</v>
      </c>
      <c r="G25" s="9">
        <v>1</v>
      </c>
      <c r="H25" s="11">
        <v>1580</v>
      </c>
      <c r="I25" s="9">
        <v>1000000</v>
      </c>
      <c r="J25" t="s">
        <v>107</v>
      </c>
      <c r="K25" s="8" t="s">
        <v>108</v>
      </c>
      <c r="L25" s="8" t="s">
        <v>109</v>
      </c>
      <c r="M25" s="8" t="s">
        <v>77</v>
      </c>
      <c r="N25" s="8" t="s">
        <v>110</v>
      </c>
      <c r="O25" s="9">
        <v>1</v>
      </c>
      <c r="P25" s="9">
        <v>0</v>
      </c>
      <c r="Q25" s="9">
        <v>0</v>
      </c>
      <c r="R25" t="s">
        <v>79</v>
      </c>
    </row>
    <row r="26" spans="1:18">
      <c r="A26" s="8" t="s">
        <v>111</v>
      </c>
      <c r="B26" s="8" t="s">
        <v>72</v>
      </c>
      <c r="C26" s="8" t="s">
        <v>73</v>
      </c>
      <c r="D26" s="8" t="s">
        <v>106</v>
      </c>
      <c r="E26" s="9">
        <v>22</v>
      </c>
      <c r="F26" s="9">
        <v>11</v>
      </c>
      <c r="G26" s="9">
        <v>1</v>
      </c>
      <c r="H26" s="11">
        <v>1399</v>
      </c>
      <c r="I26" s="9">
        <v>1073741823</v>
      </c>
      <c r="J26" t="s">
        <v>112</v>
      </c>
      <c r="K26" s="8" t="s">
        <v>97</v>
      </c>
      <c r="L26" s="8" t="s">
        <v>98</v>
      </c>
      <c r="M26" t="s">
        <v>113</v>
      </c>
      <c r="N26" t="s">
        <v>113</v>
      </c>
      <c r="O26" s="9">
        <v>1</v>
      </c>
      <c r="P26" s="9">
        <v>1</v>
      </c>
      <c r="Q26" s="9">
        <v>1</v>
      </c>
      <c r="R26" t="s">
        <v>114</v>
      </c>
    </row>
    <row r="27" spans="1:18">
      <c r="A27" s="8" t="s">
        <v>115</v>
      </c>
      <c r="B27" s="8" t="s">
        <v>72</v>
      </c>
      <c r="C27" s="8" t="s">
        <v>73</v>
      </c>
      <c r="D27" s="8" t="s">
        <v>106</v>
      </c>
      <c r="E27" s="9">
        <v>18</v>
      </c>
      <c r="F27" s="9">
        <v>7</v>
      </c>
      <c r="G27" s="9">
        <v>1</v>
      </c>
      <c r="H27" s="11">
        <v>1399</v>
      </c>
      <c r="I27" s="9">
        <v>1000000</v>
      </c>
      <c r="J27" t="s">
        <v>112</v>
      </c>
      <c r="K27" s="8" t="s">
        <v>97</v>
      </c>
      <c r="L27" s="8" t="s">
        <v>98</v>
      </c>
      <c r="M27" s="8" t="s">
        <v>77</v>
      </c>
      <c r="N27" s="8" t="s">
        <v>116</v>
      </c>
      <c r="O27" s="9">
        <v>1</v>
      </c>
      <c r="P27" s="9">
        <v>0</v>
      </c>
      <c r="Q27" s="9">
        <v>0</v>
      </c>
      <c r="R27" t="s">
        <v>79</v>
      </c>
    </row>
    <row r="28" spans="1:18">
      <c r="A28" s="8" t="s">
        <v>10</v>
      </c>
      <c r="B28" s="8" t="s">
        <v>72</v>
      </c>
      <c r="C28" s="8" t="s">
        <v>73</v>
      </c>
      <c r="D28" s="8" t="s">
        <v>11</v>
      </c>
      <c r="E28" s="9">
        <v>56</v>
      </c>
      <c r="F28" s="9">
        <v>28</v>
      </c>
      <c r="G28" s="9">
        <v>8</v>
      </c>
      <c r="H28" s="11">
        <v>704</v>
      </c>
      <c r="I28" s="9">
        <v>50</v>
      </c>
      <c r="J28" t="s">
        <v>80</v>
      </c>
      <c r="K28" s="8" t="s">
        <v>97</v>
      </c>
      <c r="L28" s="8" t="s">
        <v>98</v>
      </c>
      <c r="M28" s="8" t="s">
        <v>77</v>
      </c>
      <c r="N28" s="8" t="s">
        <v>99</v>
      </c>
      <c r="O28" s="9">
        <v>8</v>
      </c>
      <c r="P28" s="9">
        <v>1</v>
      </c>
      <c r="Q28" s="9">
        <v>1</v>
      </c>
      <c r="R28" t="s">
        <v>117</v>
      </c>
    </row>
    <row r="29" spans="1:18">
      <c r="A29" s="8" t="s">
        <v>118</v>
      </c>
      <c r="B29" s="8" t="s">
        <v>72</v>
      </c>
      <c r="C29" s="8" t="s">
        <v>73</v>
      </c>
      <c r="D29" s="8" t="s">
        <v>11</v>
      </c>
      <c r="E29" s="9">
        <v>43</v>
      </c>
      <c r="F29" s="9">
        <v>20</v>
      </c>
      <c r="G29" s="9">
        <v>7</v>
      </c>
      <c r="H29" s="11">
        <v>686</v>
      </c>
      <c r="I29" s="9">
        <v>50</v>
      </c>
      <c r="J29" t="s">
        <v>119</v>
      </c>
      <c r="K29" s="8" t="s">
        <v>97</v>
      </c>
      <c r="L29" s="8" t="s">
        <v>98</v>
      </c>
      <c r="M29" s="8" t="s">
        <v>77</v>
      </c>
      <c r="N29" s="8" t="s">
        <v>99</v>
      </c>
      <c r="O29" s="9">
        <v>7</v>
      </c>
      <c r="P29" s="9">
        <v>1</v>
      </c>
      <c r="Q29" s="9">
        <v>1</v>
      </c>
      <c r="R29" t="s">
        <v>120</v>
      </c>
    </row>
    <row r="30" spans="1:18">
      <c r="A30" s="8" t="s">
        <v>121</v>
      </c>
      <c r="B30" s="8" t="s">
        <v>72</v>
      </c>
      <c r="C30" s="8" t="s">
        <v>73</v>
      </c>
      <c r="D30" s="8" t="s">
        <v>16</v>
      </c>
      <c r="E30" s="9">
        <v>115</v>
      </c>
      <c r="F30" s="9">
        <v>48</v>
      </c>
      <c r="G30" s="9">
        <v>10</v>
      </c>
      <c r="H30" s="11">
        <v>588</v>
      </c>
      <c r="I30" s="9">
        <v>1000000</v>
      </c>
      <c r="J30" t="s">
        <v>105</v>
      </c>
      <c r="K30" s="8" t="s">
        <v>97</v>
      </c>
      <c r="L30" s="8" t="s">
        <v>98</v>
      </c>
      <c r="M30" s="8" t="s">
        <v>77</v>
      </c>
      <c r="N30" s="8" t="s">
        <v>102</v>
      </c>
      <c r="O30" s="9">
        <v>1</v>
      </c>
      <c r="P30" s="9">
        <v>0</v>
      </c>
      <c r="Q30" s="9">
        <v>0</v>
      </c>
      <c r="R30" t="s">
        <v>79</v>
      </c>
    </row>
    <row r="31" spans="1:18">
      <c r="A31" s="8" t="s">
        <v>122</v>
      </c>
      <c r="B31" s="8" t="s">
        <v>72</v>
      </c>
      <c r="C31" s="8" t="s">
        <v>73</v>
      </c>
      <c r="D31" s="8" t="s">
        <v>16</v>
      </c>
      <c r="E31" s="9">
        <v>16</v>
      </c>
      <c r="F31" s="9">
        <v>12</v>
      </c>
      <c r="G31" s="9">
        <v>4</v>
      </c>
      <c r="H31" s="11">
        <v>392</v>
      </c>
      <c r="I31" s="9">
        <v>50</v>
      </c>
      <c r="J31" t="s">
        <v>119</v>
      </c>
      <c r="K31" s="8" t="s">
        <v>97</v>
      </c>
      <c r="L31" s="8" t="s">
        <v>98</v>
      </c>
      <c r="M31" s="8" t="s">
        <v>77</v>
      </c>
      <c r="N31" s="8" t="s">
        <v>99</v>
      </c>
      <c r="O31" s="9">
        <v>4</v>
      </c>
      <c r="P31" s="9">
        <v>0</v>
      </c>
      <c r="Q31" s="9">
        <v>0</v>
      </c>
      <c r="R31" t="s">
        <v>79</v>
      </c>
    </row>
    <row r="32" spans="1:18">
      <c r="A32" s="8" t="s">
        <v>17</v>
      </c>
      <c r="B32" s="8" t="s">
        <v>72</v>
      </c>
      <c r="C32" s="8" t="s">
        <v>73</v>
      </c>
      <c r="D32" s="8" t="s">
        <v>9</v>
      </c>
      <c r="E32" s="9">
        <v>12</v>
      </c>
      <c r="F32" s="9">
        <v>7</v>
      </c>
      <c r="G32" s="9">
        <v>2</v>
      </c>
      <c r="H32" s="11">
        <v>376</v>
      </c>
      <c r="I32" s="9">
        <v>100</v>
      </c>
      <c r="J32" t="s">
        <v>123</v>
      </c>
      <c r="K32" s="8" t="s">
        <v>97</v>
      </c>
      <c r="L32" s="8" t="s">
        <v>98</v>
      </c>
      <c r="M32" s="8" t="s">
        <v>77</v>
      </c>
      <c r="N32" s="8" t="s">
        <v>99</v>
      </c>
      <c r="O32" s="9">
        <v>2</v>
      </c>
      <c r="P32" s="9">
        <v>0</v>
      </c>
      <c r="Q32" s="9">
        <v>0</v>
      </c>
      <c r="R32" t="s">
        <v>79</v>
      </c>
    </row>
    <row r="33" spans="1:18">
      <c r="A33" s="8" t="s">
        <v>18</v>
      </c>
      <c r="B33" s="8" t="s">
        <v>72</v>
      </c>
      <c r="C33" s="8" t="s">
        <v>73</v>
      </c>
      <c r="D33" s="8" t="s">
        <v>16</v>
      </c>
      <c r="E33" s="9">
        <v>8</v>
      </c>
      <c r="F33" s="9">
        <v>3</v>
      </c>
      <c r="G33" s="9">
        <v>2</v>
      </c>
      <c r="H33" s="11">
        <v>336</v>
      </c>
      <c r="I33" s="9">
        <v>50</v>
      </c>
      <c r="J33" t="s">
        <v>87</v>
      </c>
      <c r="K33" s="8" t="s">
        <v>97</v>
      </c>
      <c r="L33" s="8" t="s">
        <v>98</v>
      </c>
      <c r="M33" s="8" t="s">
        <v>77</v>
      </c>
      <c r="N33" s="8" t="s">
        <v>99</v>
      </c>
      <c r="O33" s="9">
        <v>2</v>
      </c>
      <c r="P33" s="9">
        <v>0</v>
      </c>
      <c r="Q33" s="9">
        <v>0</v>
      </c>
      <c r="R33" t="s">
        <v>79</v>
      </c>
    </row>
    <row r="34" spans="1:18">
      <c r="A34" s="8" t="s">
        <v>124</v>
      </c>
      <c r="B34" s="8" t="s">
        <v>72</v>
      </c>
      <c r="C34" s="8" t="s">
        <v>73</v>
      </c>
      <c r="D34" s="8" t="s">
        <v>16</v>
      </c>
      <c r="E34" s="9">
        <v>27</v>
      </c>
      <c r="F34" s="9">
        <v>12</v>
      </c>
      <c r="G34" s="9">
        <v>5</v>
      </c>
      <c r="H34" s="11">
        <v>190</v>
      </c>
      <c r="I34" s="9">
        <v>50</v>
      </c>
      <c r="J34" t="s">
        <v>125</v>
      </c>
      <c r="K34" s="8" t="s">
        <v>97</v>
      </c>
      <c r="L34" s="8" t="s">
        <v>98</v>
      </c>
      <c r="M34" s="8" t="s">
        <v>77</v>
      </c>
      <c r="N34" s="8" t="s">
        <v>99</v>
      </c>
      <c r="O34" s="9">
        <v>5</v>
      </c>
      <c r="P34" s="9">
        <v>0</v>
      </c>
      <c r="Q34" s="9">
        <v>0</v>
      </c>
      <c r="R34" t="s">
        <v>79</v>
      </c>
    </row>
    <row r="35" spans="1:18">
      <c r="A35" s="8" t="s">
        <v>126</v>
      </c>
      <c r="B35" s="8" t="s">
        <v>72</v>
      </c>
      <c r="C35" s="8" t="s">
        <v>73</v>
      </c>
      <c r="D35" s="8" t="s">
        <v>11</v>
      </c>
      <c r="E35" s="9">
        <v>15</v>
      </c>
      <c r="F35" s="9">
        <v>14</v>
      </c>
      <c r="G35" s="9">
        <v>2</v>
      </c>
      <c r="H35" s="11">
        <v>176</v>
      </c>
      <c r="I35" s="9">
        <v>50</v>
      </c>
      <c r="J35" t="s">
        <v>80</v>
      </c>
      <c r="K35" s="8" t="s">
        <v>97</v>
      </c>
      <c r="L35" s="8" t="s">
        <v>98</v>
      </c>
      <c r="M35" s="8" t="s">
        <v>77</v>
      </c>
      <c r="N35" s="8" t="s">
        <v>99</v>
      </c>
      <c r="O35" s="9">
        <v>2</v>
      </c>
      <c r="P35" s="9">
        <v>0</v>
      </c>
      <c r="Q35" s="9">
        <v>0</v>
      </c>
      <c r="R35" t="s">
        <v>79</v>
      </c>
    </row>
    <row r="36" spans="1:18">
      <c r="A36" s="8" t="s">
        <v>23</v>
      </c>
      <c r="B36" s="8" t="s">
        <v>72</v>
      </c>
      <c r="C36" s="8" t="s">
        <v>73</v>
      </c>
      <c r="D36" s="8" t="s">
        <v>16</v>
      </c>
      <c r="E36" s="9">
        <v>23</v>
      </c>
      <c r="F36" s="9">
        <v>9</v>
      </c>
      <c r="G36" s="9">
        <v>3</v>
      </c>
      <c r="H36" s="11">
        <v>84</v>
      </c>
      <c r="I36" s="9">
        <v>50</v>
      </c>
      <c r="J36" t="s">
        <v>89</v>
      </c>
      <c r="K36" s="8" t="s">
        <v>97</v>
      </c>
      <c r="L36" s="8" t="s">
        <v>98</v>
      </c>
      <c r="M36" s="8" t="s">
        <v>77</v>
      </c>
      <c r="N36" s="8" t="s">
        <v>99</v>
      </c>
      <c r="O36" s="9">
        <v>3</v>
      </c>
      <c r="P36" s="9">
        <v>0</v>
      </c>
      <c r="Q36" s="9">
        <v>0</v>
      </c>
      <c r="R36" t="s">
        <v>79</v>
      </c>
    </row>
    <row r="37" spans="1:18">
      <c r="A37" s="8" t="s">
        <v>127</v>
      </c>
      <c r="B37" s="8" t="s">
        <v>72</v>
      </c>
      <c r="C37" s="8" t="s">
        <v>73</v>
      </c>
      <c r="D37" s="8" t="s">
        <v>16</v>
      </c>
      <c r="E37" s="9">
        <v>23</v>
      </c>
      <c r="F37" s="9">
        <v>11</v>
      </c>
      <c r="G37" s="9">
        <v>4</v>
      </c>
      <c r="H37" s="11">
        <v>39.6</v>
      </c>
      <c r="I37" s="9">
        <v>50</v>
      </c>
      <c r="J37" t="s">
        <v>81</v>
      </c>
      <c r="K37" s="8" t="s">
        <v>97</v>
      </c>
      <c r="L37" s="8" t="s">
        <v>98</v>
      </c>
      <c r="M37" s="8" t="s">
        <v>77</v>
      </c>
      <c r="N37" s="8" t="s">
        <v>99</v>
      </c>
      <c r="O37" s="9">
        <v>4</v>
      </c>
      <c r="P37" s="9">
        <v>0</v>
      </c>
      <c r="Q37" s="9">
        <v>0</v>
      </c>
      <c r="R37" t="s">
        <v>79</v>
      </c>
    </row>
    <row r="38" spans="1:18">
      <c r="A38" s="8" t="s">
        <v>128</v>
      </c>
      <c r="B38" s="8" t="s">
        <v>72</v>
      </c>
      <c r="C38" s="8" t="s">
        <v>73</v>
      </c>
      <c r="D38" s="8" t="s">
        <v>11</v>
      </c>
      <c r="E38" s="9">
        <v>8</v>
      </c>
      <c r="F38" s="9">
        <v>6</v>
      </c>
      <c r="G38" s="9">
        <v>1</v>
      </c>
      <c r="H38" s="11">
        <v>38</v>
      </c>
      <c r="I38" s="9">
        <v>50</v>
      </c>
      <c r="J38" t="s">
        <v>125</v>
      </c>
      <c r="K38" s="8" t="s">
        <v>97</v>
      </c>
      <c r="L38" s="8" t="s">
        <v>98</v>
      </c>
      <c r="M38" s="8" t="s">
        <v>77</v>
      </c>
      <c r="N38" s="8" t="s">
        <v>99</v>
      </c>
      <c r="O38" s="9">
        <v>1</v>
      </c>
      <c r="P38" s="9">
        <v>0</v>
      </c>
      <c r="Q38" s="9">
        <v>0</v>
      </c>
      <c r="R38" t="s">
        <v>79</v>
      </c>
    </row>
    <row r="39" spans="1:18">
      <c r="A39" s="8" t="s">
        <v>22</v>
      </c>
      <c r="B39" s="8" t="s">
        <v>72</v>
      </c>
      <c r="C39" s="8" t="s">
        <v>73</v>
      </c>
      <c r="D39" s="8" t="s">
        <v>16</v>
      </c>
      <c r="E39" s="9">
        <v>14</v>
      </c>
      <c r="F39" s="9">
        <v>7</v>
      </c>
      <c r="G39" s="9">
        <v>3</v>
      </c>
      <c r="H39" s="11">
        <v>29.7</v>
      </c>
      <c r="I39" s="9">
        <v>50</v>
      </c>
      <c r="J39" t="s">
        <v>81</v>
      </c>
      <c r="K39" s="8" t="s">
        <v>97</v>
      </c>
      <c r="L39" s="8" t="s">
        <v>98</v>
      </c>
      <c r="M39" s="8" t="s">
        <v>77</v>
      </c>
      <c r="N39" s="8" t="s">
        <v>99</v>
      </c>
      <c r="O39" s="9">
        <v>3</v>
      </c>
      <c r="P39" s="9">
        <v>0</v>
      </c>
      <c r="Q39" s="9">
        <v>0</v>
      </c>
      <c r="R39" t="s">
        <v>79</v>
      </c>
    </row>
    <row r="40" spans="1:18">
      <c r="A40" s="8" t="s">
        <v>20</v>
      </c>
      <c r="B40" s="8" t="s">
        <v>72</v>
      </c>
      <c r="C40" s="8" t="s">
        <v>73</v>
      </c>
      <c r="D40" s="8" t="s">
        <v>21</v>
      </c>
      <c r="E40" s="9">
        <v>22</v>
      </c>
      <c r="F40" s="9">
        <v>11</v>
      </c>
      <c r="G40" s="9">
        <v>1</v>
      </c>
      <c r="H40" s="11">
        <v>9.9</v>
      </c>
      <c r="I40" s="9">
        <v>1000000</v>
      </c>
      <c r="J40" t="s">
        <v>88</v>
      </c>
      <c r="K40" s="8" t="s">
        <v>97</v>
      </c>
      <c r="L40" s="8" t="s">
        <v>98</v>
      </c>
      <c r="M40" s="8" t="s">
        <v>83</v>
      </c>
      <c r="N40" s="8" t="s">
        <v>84</v>
      </c>
      <c r="O40" s="9">
        <v>1</v>
      </c>
      <c r="P40" s="9">
        <v>0</v>
      </c>
      <c r="Q40" s="9">
        <v>0</v>
      </c>
      <c r="R40" t="s">
        <v>79</v>
      </c>
    </row>
    <row r="41" spans="1:18">
      <c r="A41" s="8" t="s">
        <v>129</v>
      </c>
      <c r="B41" s="8" t="s">
        <v>72</v>
      </c>
      <c r="C41" s="8" t="s">
        <v>73</v>
      </c>
      <c r="D41" s="8" t="s">
        <v>16</v>
      </c>
      <c r="E41" s="9">
        <v>49</v>
      </c>
      <c r="F41" s="9">
        <v>29</v>
      </c>
      <c r="G41" s="9">
        <v>0</v>
      </c>
      <c r="H41" s="11">
        <v>0</v>
      </c>
      <c r="I41" s="9">
        <v>1000000</v>
      </c>
      <c r="J41" t="s">
        <v>130</v>
      </c>
      <c r="K41" s="8" t="s">
        <v>97</v>
      </c>
      <c r="L41" s="8" t="s">
        <v>98</v>
      </c>
      <c r="M41" s="8" t="s">
        <v>77</v>
      </c>
      <c r="N41" s="8" t="s">
        <v>102</v>
      </c>
      <c r="O41" s="9">
        <v>0</v>
      </c>
      <c r="P41" s="9">
        <v>0</v>
      </c>
      <c r="Q41" s="9">
        <v>0</v>
      </c>
      <c r="R41" t="s">
        <v>79</v>
      </c>
    </row>
    <row r="42" spans="1:18">
      <c r="A42" s="8" t="s">
        <v>131</v>
      </c>
      <c r="B42" s="8" t="s">
        <v>72</v>
      </c>
      <c r="C42" s="8" t="s">
        <v>73</v>
      </c>
      <c r="D42" s="8" t="s">
        <v>16</v>
      </c>
      <c r="E42" s="9">
        <v>35</v>
      </c>
      <c r="F42" s="9">
        <v>23</v>
      </c>
      <c r="G42" s="9">
        <v>0</v>
      </c>
      <c r="H42" s="11">
        <v>0</v>
      </c>
      <c r="I42" s="9">
        <v>1000000</v>
      </c>
      <c r="J42" t="s">
        <v>132</v>
      </c>
      <c r="K42" s="8" t="s">
        <v>97</v>
      </c>
      <c r="L42" s="8" t="s">
        <v>98</v>
      </c>
      <c r="M42" s="8" t="s">
        <v>77</v>
      </c>
      <c r="N42" s="8" t="s">
        <v>102</v>
      </c>
      <c r="O42" s="9">
        <v>0</v>
      </c>
      <c r="P42" s="9">
        <v>0</v>
      </c>
      <c r="Q42" s="9">
        <v>0</v>
      </c>
      <c r="R42" t="s">
        <v>79</v>
      </c>
    </row>
    <row r="43" spans="1:18">
      <c r="A43" s="8" t="s">
        <v>133</v>
      </c>
      <c r="B43" s="8" t="s">
        <v>72</v>
      </c>
      <c r="C43" s="8" t="s">
        <v>73</v>
      </c>
      <c r="D43" s="8" t="s">
        <v>13</v>
      </c>
      <c r="E43" s="9">
        <v>16</v>
      </c>
      <c r="F43" s="9">
        <v>12</v>
      </c>
      <c r="G43" s="9">
        <v>0</v>
      </c>
      <c r="H43" s="11">
        <v>0</v>
      </c>
      <c r="I43" s="9">
        <v>1000000</v>
      </c>
      <c r="J43" t="s">
        <v>93</v>
      </c>
      <c r="K43" s="8" t="s">
        <v>97</v>
      </c>
      <c r="L43" s="8" t="s">
        <v>98</v>
      </c>
      <c r="M43" s="8" t="s">
        <v>77</v>
      </c>
      <c r="N43" s="8" t="s">
        <v>99</v>
      </c>
      <c r="O43" s="9">
        <v>0</v>
      </c>
      <c r="P43" s="9">
        <v>0</v>
      </c>
      <c r="Q43" s="9">
        <v>0</v>
      </c>
      <c r="R43" t="s">
        <v>79</v>
      </c>
    </row>
    <row r="44" spans="1:18">
      <c r="A44" s="8" t="s">
        <v>134</v>
      </c>
      <c r="B44" s="8" t="s">
        <v>72</v>
      </c>
      <c r="C44" s="8" t="s">
        <v>73</v>
      </c>
      <c r="D44" s="8" t="s">
        <v>9</v>
      </c>
      <c r="E44" s="9">
        <v>10</v>
      </c>
      <c r="F44" s="9">
        <v>9</v>
      </c>
      <c r="G44" s="9">
        <v>0</v>
      </c>
      <c r="H44" s="11">
        <v>0</v>
      </c>
      <c r="I44" s="9">
        <v>100</v>
      </c>
      <c r="J44" t="s">
        <v>135</v>
      </c>
      <c r="K44" s="8" t="s">
        <v>97</v>
      </c>
      <c r="L44" s="8" t="s">
        <v>98</v>
      </c>
      <c r="M44" t="s">
        <v>113</v>
      </c>
      <c r="N44" t="s">
        <v>113</v>
      </c>
      <c r="O44" s="9">
        <v>0</v>
      </c>
      <c r="P44" s="9">
        <v>0</v>
      </c>
      <c r="Q44" s="9">
        <v>0</v>
      </c>
      <c r="R44" t="s">
        <v>79</v>
      </c>
    </row>
    <row r="45" spans="1:18">
      <c r="A45" s="8" t="s">
        <v>136</v>
      </c>
      <c r="B45" s="8" t="s">
        <v>72</v>
      </c>
      <c r="C45" s="8" t="s">
        <v>73</v>
      </c>
      <c r="D45" s="8" t="s">
        <v>9</v>
      </c>
      <c r="E45" s="9">
        <v>10</v>
      </c>
      <c r="F45" s="9">
        <v>8</v>
      </c>
      <c r="G45" s="9">
        <v>0</v>
      </c>
      <c r="H45" s="11">
        <v>0</v>
      </c>
      <c r="I45" s="9">
        <v>60</v>
      </c>
      <c r="J45" t="s">
        <v>137</v>
      </c>
      <c r="K45" s="8" t="s">
        <v>97</v>
      </c>
      <c r="L45" s="8" t="s">
        <v>98</v>
      </c>
      <c r="M45" t="s">
        <v>113</v>
      </c>
      <c r="N45" t="s">
        <v>113</v>
      </c>
      <c r="O45" s="9">
        <v>0</v>
      </c>
      <c r="P45" s="9">
        <v>0</v>
      </c>
      <c r="Q45" s="9">
        <v>0</v>
      </c>
      <c r="R45" t="s">
        <v>79</v>
      </c>
    </row>
    <row r="46" spans="1:18">
      <c r="A46" s="8" t="s">
        <v>138</v>
      </c>
      <c r="B46" s="8" t="s">
        <v>72</v>
      </c>
      <c r="C46" s="8" t="s">
        <v>73</v>
      </c>
      <c r="D46" s="8" t="s">
        <v>16</v>
      </c>
      <c r="E46" s="9">
        <v>9</v>
      </c>
      <c r="F46" s="9">
        <v>6</v>
      </c>
      <c r="G46" s="9">
        <v>0</v>
      </c>
      <c r="H46" s="11">
        <v>0</v>
      </c>
      <c r="I46" s="9">
        <v>50</v>
      </c>
      <c r="J46" t="s">
        <v>139</v>
      </c>
      <c r="K46" s="8" t="s">
        <v>97</v>
      </c>
      <c r="L46" s="8" t="s">
        <v>98</v>
      </c>
      <c r="M46" s="8" t="s">
        <v>77</v>
      </c>
      <c r="N46" s="8" t="s">
        <v>99</v>
      </c>
      <c r="O46" s="9">
        <v>0</v>
      </c>
      <c r="P46" s="9">
        <v>0</v>
      </c>
      <c r="Q46" s="9">
        <v>0</v>
      </c>
      <c r="R46" t="s">
        <v>79</v>
      </c>
    </row>
    <row r="48" spans="1:1">
      <c r="A48" s="1">
        <v>7.16</v>
      </c>
    </row>
    <row r="49" spans="1:18">
      <c r="A49" s="2" t="s">
        <v>1</v>
      </c>
      <c r="B49" s="2" t="s">
        <v>61</v>
      </c>
      <c r="C49" s="2" t="s">
        <v>62</v>
      </c>
      <c r="D49" s="2" t="s">
        <v>2</v>
      </c>
      <c r="E49" s="2" t="s">
        <v>7</v>
      </c>
      <c r="F49" s="2" t="s">
        <v>63</v>
      </c>
      <c r="G49" s="2" t="s">
        <v>5</v>
      </c>
      <c r="H49" s="2" t="s">
        <v>6</v>
      </c>
      <c r="I49" s="2" t="s">
        <v>4</v>
      </c>
      <c r="J49" s="2" t="s">
        <v>3</v>
      </c>
      <c r="K49" s="2" t="s">
        <v>64</v>
      </c>
      <c r="L49" s="2" t="s">
        <v>65</v>
      </c>
      <c r="M49" s="2" t="s">
        <v>66</v>
      </c>
      <c r="N49" s="2" t="s">
        <v>67</v>
      </c>
      <c r="O49" s="2" t="s">
        <v>68</v>
      </c>
      <c r="P49" s="2" t="s">
        <v>69</v>
      </c>
      <c r="Q49" s="2" t="s">
        <v>70</v>
      </c>
      <c r="R49" s="2" t="s">
        <v>71</v>
      </c>
    </row>
    <row r="50" spans="1:18">
      <c r="A50" s="3" t="s">
        <v>140</v>
      </c>
      <c r="B50" s="3" t="s">
        <v>72</v>
      </c>
      <c r="C50" s="3" t="s">
        <v>73</v>
      </c>
      <c r="D50" s="3" t="s">
        <v>9</v>
      </c>
      <c r="E50" s="4">
        <v>350</v>
      </c>
      <c r="F50" s="4">
        <v>124</v>
      </c>
      <c r="G50" s="4">
        <v>10</v>
      </c>
      <c r="H50" s="5">
        <v>1990</v>
      </c>
      <c r="I50" s="4">
        <v>10</v>
      </c>
      <c r="J50" s="12" t="s">
        <v>74</v>
      </c>
      <c r="K50" s="3" t="s">
        <v>141</v>
      </c>
      <c r="L50" s="3" t="s">
        <v>142</v>
      </c>
      <c r="M50" s="3" t="s">
        <v>83</v>
      </c>
      <c r="N50" s="3" t="s">
        <v>84</v>
      </c>
      <c r="O50" s="4">
        <v>10</v>
      </c>
      <c r="P50" s="4">
        <v>7</v>
      </c>
      <c r="Q50" s="4">
        <v>0</v>
      </c>
      <c r="R50" s="12" t="s">
        <v>79</v>
      </c>
    </row>
    <row r="51" spans="1:18">
      <c r="A51" s="3" t="s">
        <v>143</v>
      </c>
      <c r="B51" s="3" t="s">
        <v>72</v>
      </c>
      <c r="C51" s="3" t="s">
        <v>73</v>
      </c>
      <c r="D51" s="3" t="s">
        <v>16</v>
      </c>
      <c r="E51" s="4">
        <v>125</v>
      </c>
      <c r="F51" s="4">
        <v>60</v>
      </c>
      <c r="G51" s="4">
        <v>6</v>
      </c>
      <c r="H51" s="6">
        <v>1248</v>
      </c>
      <c r="I51" s="4">
        <v>10</v>
      </c>
      <c r="J51" s="12" t="s">
        <v>144</v>
      </c>
      <c r="K51" s="3" t="s">
        <v>141</v>
      </c>
      <c r="L51" s="3" t="s">
        <v>142</v>
      </c>
      <c r="M51" s="3" t="s">
        <v>83</v>
      </c>
      <c r="N51" s="3" t="s">
        <v>84</v>
      </c>
      <c r="O51" s="4">
        <v>6</v>
      </c>
      <c r="P51" s="4">
        <v>2</v>
      </c>
      <c r="Q51" s="4">
        <v>1</v>
      </c>
      <c r="R51" s="12" t="s">
        <v>88</v>
      </c>
    </row>
    <row r="52" spans="1:18">
      <c r="A52" s="3" t="s">
        <v>145</v>
      </c>
      <c r="B52" s="3" t="s">
        <v>72</v>
      </c>
      <c r="C52" s="3" t="s">
        <v>73</v>
      </c>
      <c r="D52" s="3" t="s">
        <v>13</v>
      </c>
      <c r="E52" s="4">
        <v>229</v>
      </c>
      <c r="F52" s="4">
        <v>79</v>
      </c>
      <c r="G52" s="4">
        <v>10</v>
      </c>
      <c r="H52" s="6">
        <v>680</v>
      </c>
      <c r="I52" s="4">
        <v>10</v>
      </c>
      <c r="J52" s="12" t="s">
        <v>82</v>
      </c>
      <c r="K52" s="3" t="s">
        <v>141</v>
      </c>
      <c r="L52" s="3" t="s">
        <v>142</v>
      </c>
      <c r="M52" s="3" t="s">
        <v>83</v>
      </c>
      <c r="N52" s="3" t="s">
        <v>84</v>
      </c>
      <c r="O52" s="4">
        <v>10</v>
      </c>
      <c r="P52" s="4">
        <v>5</v>
      </c>
      <c r="Q52" s="4">
        <v>1</v>
      </c>
      <c r="R52" s="12" t="s">
        <v>146</v>
      </c>
    </row>
    <row r="53" spans="1:18">
      <c r="A53" s="3" t="s">
        <v>147</v>
      </c>
      <c r="B53" s="3" t="s">
        <v>72</v>
      </c>
      <c r="C53" s="3" t="s">
        <v>73</v>
      </c>
      <c r="D53" s="3" t="s">
        <v>11</v>
      </c>
      <c r="E53" s="4">
        <v>136</v>
      </c>
      <c r="F53" s="4">
        <v>59</v>
      </c>
      <c r="G53" s="4">
        <v>4</v>
      </c>
      <c r="H53" s="6">
        <v>239.6</v>
      </c>
      <c r="I53" s="4">
        <v>10</v>
      </c>
      <c r="J53" s="12" t="s">
        <v>148</v>
      </c>
      <c r="K53" s="3" t="s">
        <v>141</v>
      </c>
      <c r="L53" s="3" t="s">
        <v>142</v>
      </c>
      <c r="M53" s="3" t="s">
        <v>83</v>
      </c>
      <c r="N53" s="3" t="s">
        <v>84</v>
      </c>
      <c r="O53" s="4">
        <v>4</v>
      </c>
      <c r="P53" s="4">
        <v>1</v>
      </c>
      <c r="Q53" s="4">
        <v>0</v>
      </c>
      <c r="R53" s="12" t="s">
        <v>79</v>
      </c>
    </row>
    <row r="54" spans="1:18">
      <c r="A54" s="3" t="s">
        <v>149</v>
      </c>
      <c r="B54" s="3" t="s">
        <v>72</v>
      </c>
      <c r="C54" s="3" t="s">
        <v>73</v>
      </c>
      <c r="D54" s="3" t="s">
        <v>11</v>
      </c>
      <c r="E54" s="4">
        <v>67</v>
      </c>
      <c r="F54" s="4">
        <v>36</v>
      </c>
      <c r="G54" s="4">
        <v>3</v>
      </c>
      <c r="H54" s="6">
        <v>119.7</v>
      </c>
      <c r="I54" s="4">
        <v>10</v>
      </c>
      <c r="J54" s="12" t="s">
        <v>146</v>
      </c>
      <c r="K54" s="3" t="s">
        <v>141</v>
      </c>
      <c r="L54" s="3" t="s">
        <v>142</v>
      </c>
      <c r="M54" s="12" t="s">
        <v>113</v>
      </c>
      <c r="N54" s="12" t="s">
        <v>113</v>
      </c>
      <c r="O54" s="4">
        <v>3</v>
      </c>
      <c r="P54" s="4">
        <v>2</v>
      </c>
      <c r="Q54" s="4">
        <v>0</v>
      </c>
      <c r="R54" s="12" t="s">
        <v>79</v>
      </c>
    </row>
    <row r="55" spans="1:18">
      <c r="A55" s="3" t="s">
        <v>150</v>
      </c>
      <c r="B55" s="3" t="s">
        <v>72</v>
      </c>
      <c r="C55" s="3" t="s">
        <v>73</v>
      </c>
      <c r="D55" s="3" t="s">
        <v>16</v>
      </c>
      <c r="E55" s="4">
        <v>53</v>
      </c>
      <c r="F55" s="4">
        <v>25</v>
      </c>
      <c r="G55" s="4">
        <v>6</v>
      </c>
      <c r="H55" s="6">
        <v>119.4</v>
      </c>
      <c r="I55" s="4">
        <v>10</v>
      </c>
      <c r="J55" s="12" t="s">
        <v>88</v>
      </c>
      <c r="K55" s="3" t="s">
        <v>141</v>
      </c>
      <c r="L55" s="3" t="s">
        <v>142</v>
      </c>
      <c r="M55" s="3" t="s">
        <v>83</v>
      </c>
      <c r="N55" s="3" t="s">
        <v>84</v>
      </c>
      <c r="O55" s="4">
        <v>6</v>
      </c>
      <c r="P55" s="4">
        <v>0</v>
      </c>
      <c r="Q55" s="4">
        <v>0</v>
      </c>
      <c r="R55" s="12" t="s">
        <v>79</v>
      </c>
    </row>
    <row r="56" spans="1:18">
      <c r="A56" s="3" t="s">
        <v>151</v>
      </c>
      <c r="B56" s="3" t="s">
        <v>72</v>
      </c>
      <c r="C56" s="3" t="s">
        <v>73</v>
      </c>
      <c r="D56" s="3" t="s">
        <v>21</v>
      </c>
      <c r="E56" s="4">
        <v>59</v>
      </c>
      <c r="F56" s="4">
        <v>16</v>
      </c>
      <c r="G56" s="4">
        <v>4</v>
      </c>
      <c r="H56" s="6">
        <v>79.6</v>
      </c>
      <c r="I56" s="4">
        <v>10</v>
      </c>
      <c r="J56" s="12" t="s">
        <v>88</v>
      </c>
      <c r="K56" s="3" t="s">
        <v>141</v>
      </c>
      <c r="L56" s="3" t="s">
        <v>142</v>
      </c>
      <c r="M56" s="3" t="s">
        <v>83</v>
      </c>
      <c r="N56" s="3" t="s">
        <v>84</v>
      </c>
      <c r="O56" s="4">
        <v>4</v>
      </c>
      <c r="P56" s="4">
        <v>0</v>
      </c>
      <c r="Q56" s="4">
        <v>0</v>
      </c>
      <c r="R56" s="12" t="s">
        <v>79</v>
      </c>
    </row>
    <row r="57" spans="1:18">
      <c r="A57" s="3" t="s">
        <v>152</v>
      </c>
      <c r="B57" s="3" t="s">
        <v>72</v>
      </c>
      <c r="C57" s="3" t="s">
        <v>73</v>
      </c>
      <c r="D57" s="3" t="s">
        <v>16</v>
      </c>
      <c r="E57" s="4">
        <v>53</v>
      </c>
      <c r="F57" s="4">
        <v>30</v>
      </c>
      <c r="G57" s="4">
        <v>6</v>
      </c>
      <c r="H57" s="6">
        <v>59.4</v>
      </c>
      <c r="I57" s="4">
        <v>10</v>
      </c>
      <c r="J57" s="12" t="s">
        <v>81</v>
      </c>
      <c r="K57" s="3" t="s">
        <v>141</v>
      </c>
      <c r="L57" s="3" t="s">
        <v>142</v>
      </c>
      <c r="M57" s="3" t="s">
        <v>83</v>
      </c>
      <c r="N57" s="3" t="s">
        <v>84</v>
      </c>
      <c r="O57" s="4">
        <v>6</v>
      </c>
      <c r="P57" s="4">
        <v>0</v>
      </c>
      <c r="Q57" s="4">
        <v>0</v>
      </c>
      <c r="R57" s="12" t="s">
        <v>79</v>
      </c>
    </row>
    <row r="58" spans="1:18">
      <c r="A58" s="3" t="s">
        <v>153</v>
      </c>
      <c r="B58" s="3" t="s">
        <v>72</v>
      </c>
      <c r="C58" s="3" t="s">
        <v>73</v>
      </c>
      <c r="D58" s="3" t="s">
        <v>11</v>
      </c>
      <c r="E58" s="4">
        <v>31</v>
      </c>
      <c r="F58" s="4">
        <v>25</v>
      </c>
      <c r="G58" s="4">
        <v>0</v>
      </c>
      <c r="H58" s="6">
        <v>0</v>
      </c>
      <c r="I58" s="4">
        <v>10</v>
      </c>
      <c r="J58" s="12" t="s">
        <v>154</v>
      </c>
      <c r="K58" s="3" t="s">
        <v>141</v>
      </c>
      <c r="L58" s="3" t="s">
        <v>142</v>
      </c>
      <c r="M58" s="3" t="s">
        <v>83</v>
      </c>
      <c r="N58" s="3" t="s">
        <v>84</v>
      </c>
      <c r="O58" s="4">
        <v>0</v>
      </c>
      <c r="P58" s="4">
        <v>0</v>
      </c>
      <c r="Q58" s="4">
        <v>0</v>
      </c>
      <c r="R58" s="12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10.15粉丝日</vt:lpstr>
      <vt:lpstr>8.20粉丝日</vt:lpstr>
      <vt:lpstr>7.16粉丝日</vt:lpstr>
      <vt:lpstr>每月粉丝日数据汇总</vt:lpstr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</cp:lastModifiedBy>
  <dcterms:created xsi:type="dcterms:W3CDTF">2025-08-21T01:19:00Z</dcterms:created>
  <dcterms:modified xsi:type="dcterms:W3CDTF">2025-10-16T01:38:43Z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1787C2CFA8B54621A50B3CA71202F133_13</vt:lpwstr>
  </property>
  <property fmtid="{D5CDD505-2E9C-101B-9397-08002B2CF9AE}" pid="3" name="KSOProductBuildVer">
    <vt:lpwstr>2052-12.1.0.22529</vt:lpwstr>
  </property>
</Properties>
</file>