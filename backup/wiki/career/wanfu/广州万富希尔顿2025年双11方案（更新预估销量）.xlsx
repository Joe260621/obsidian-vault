
<file path=[Content_Types].xml><?xml version="1.0" encoding="utf-8"?>
<Types xmlns="http://schemas.openxmlformats.org/package/2006/content-types">
  <Default Extension="wmf" ContentType="image/x-wmf"/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tabRatio="913"/>
  </bookViews>
  <sheets>
    <sheet name="25年双十一产品方案" sheetId="3" r:id="rId1"/>
    <sheet name="25年秋促活动数据" sheetId="8" r:id="rId2"/>
    <sheet name="25年春促活动数据" sheetId="7" r:id="rId3"/>
    <sheet name="24年秋促活动数据 " sheetId="6" r:id="rId4"/>
    <sheet name="25年粉丝日活动数据（10月15日）" sheetId="9" r:id="rId5"/>
    <sheet name="25年粉丝日活动数据（8月20日）" sheetId="10" r:id="rId6"/>
    <sheet name="25年粉丝日活动数据（7月16日）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卓文煜</author>
  </authors>
  <commentList>
    <comment ref="I3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 xml:space="preserve">24年秋促的活动为充5000送2500
</t>
        </r>
      </text>
    </comment>
    <comment ref="J3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>25年春促的活动为充5000送2500</t>
        </r>
      </text>
    </comment>
    <comment ref="J4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>25年春促活动为充3000送1000</t>
        </r>
      </text>
    </comment>
    <comment ref="I7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>24年秋促活动为均价206元/位</t>
        </r>
      </text>
    </comment>
    <comment ref="I8" authorId="0">
      <text>
        <r>
          <rPr>
            <b/>
            <sz val="9"/>
            <rFont val="宋体"/>
            <charset val="134"/>
          </rPr>
          <t xml:space="preserve">Joe:
</t>
        </r>
        <r>
          <rPr>
            <sz val="9"/>
            <rFont val="宋体"/>
            <charset val="134"/>
          </rPr>
          <t xml:space="preserve">24年秋促中，10份为88元的盲盒
</t>
        </r>
      </text>
    </comment>
    <comment ref="I9" authorId="0">
      <text>
        <r>
          <rPr>
            <b/>
            <sz val="9"/>
            <rFont val="宋体"/>
            <charset val="134"/>
          </rPr>
          <t xml:space="preserve">Joe:
</t>
        </r>
        <r>
          <rPr>
            <sz val="10"/>
            <rFont val="宋体"/>
            <charset val="134"/>
          </rPr>
          <t xml:space="preserve">24年秋促活动为均价145元/位
</t>
        </r>
      </text>
    </comment>
    <comment ref="J9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25年春促活动均价为145元/位</t>
        </r>
      </text>
    </comment>
    <comment ref="I11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24年秋促中，28份为88元的盲盒</t>
        </r>
      </text>
    </comment>
    <comment ref="J11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>包含7份28元的盲盒产品</t>
        </r>
      </text>
    </comment>
    <comment ref="I13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24年秋促为均价88.8元/次的888元10次套票</t>
        </r>
      </text>
    </comment>
    <comment ref="I14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>24年秋促价格为168元/份</t>
        </r>
      </text>
    </comment>
    <comment ref="I15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>24年秋促中，售出45份199元的 2-3人地道粤式茶点，11份88元的盲盒</t>
        </r>
      </text>
    </comment>
    <comment ref="J15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>25年春促价格为199元</t>
        </r>
      </text>
    </comment>
    <comment ref="J22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>25年春促价格为1988元</t>
        </r>
      </text>
    </comment>
    <comment ref="J23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>25年春促价格为1588元</t>
        </r>
        <r>
          <rPr>
            <sz val="9"/>
            <rFont val="宋体"/>
            <charset val="134"/>
          </rPr>
          <t xml:space="preserve">
</t>
        </r>
      </text>
    </comment>
    <comment ref="I25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>24年秋促中，14份为88元的盲盒</t>
        </r>
      </text>
    </comment>
    <comment ref="I26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>24年秋促价为368元</t>
        </r>
      </text>
    </comment>
    <comment ref="I27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 xml:space="preserve">24年秋促价为98元
</t>
        </r>
      </text>
    </comment>
    <comment ref="I32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>24年秋促活动为赠送游泳健身单次体验券10张+单人自助早餐券10张+单人周末自助午餐券4张</t>
        </r>
      </text>
    </comment>
    <comment ref="I34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24年秋促为赠送大堂吧2磅蛋糕券</t>
        </r>
      </text>
    </comment>
    <comment ref="I37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>24年秋促为1598元</t>
        </r>
      </text>
    </comment>
    <comment ref="I40" authorId="0">
      <text>
        <r>
          <rPr>
            <b/>
            <sz val="9"/>
            <rFont val="宋体"/>
            <charset val="134"/>
          </rPr>
          <t xml:space="preserve">Joe:
</t>
        </r>
        <r>
          <rPr>
            <sz val="10"/>
            <rFont val="宋体"/>
            <charset val="134"/>
          </rPr>
          <t xml:space="preserve">24年秋促为558元1晚双早双晚
</t>
        </r>
      </text>
    </comment>
    <comment ref="J40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>25年春促活动为788元含双人自助早餐+大堂吧欢迎饮品2杯</t>
        </r>
      </text>
    </comment>
    <comment ref="I41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24年秋促活动价为799元，含早+希游</t>
        </r>
      </text>
    </comment>
    <comment ref="I43" authorId="0">
      <text>
        <r>
          <rPr>
            <b/>
            <sz val="9"/>
            <rFont val="宋体"/>
            <charset val="134"/>
          </rPr>
          <t>Joe: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>24年秋促售出300元洗衣储值卡9张</t>
        </r>
      </text>
    </comment>
  </commentList>
</comments>
</file>

<file path=xl/sharedStrings.xml><?xml version="1.0" encoding="utf-8"?>
<sst xmlns="http://schemas.openxmlformats.org/spreadsheetml/2006/main" count="518" uniqueCount="289">
  <si>
    <t>广州万富希尔顿酒店2025年双11活动产品方案</t>
  </si>
  <si>
    <t>一、双11活动目标及时间规划</t>
  </si>
  <si>
    <t>1、活动目标：50万</t>
  </si>
  <si>
    <t>2、活动安排</t>
  </si>
  <si>
    <t>预热阶段：11月1日-11月4日</t>
  </si>
  <si>
    <t>促销阶段：11月5日-11月11日</t>
  </si>
  <si>
    <t>二、双11产品方案</t>
  </si>
  <si>
    <t>营业点</t>
  </si>
  <si>
    <t>产品名称</t>
  </si>
  <si>
    <t>产品链接</t>
  </si>
  <si>
    <t>双11价格</t>
  </si>
  <si>
    <t>双11库存</t>
  </si>
  <si>
    <t>25年价格</t>
  </si>
  <si>
    <t>产品使用有效期</t>
  </si>
  <si>
    <t>备注</t>
  </si>
  <si>
    <t>预计销量</t>
  </si>
  <si>
    <t>人次</t>
  </si>
  <si>
    <t>预计销售额</t>
  </si>
  <si>
    <t>秒杀</t>
  </si>
  <si>
    <t>创意点心（4选1）</t>
  </si>
  <si>
    <t>2026.3.31</t>
  </si>
  <si>
    <t>指定咖啡一杯（如美式），仅限外带</t>
  </si>
  <si>
    <t>精选蛋糕一磅</t>
  </si>
  <si>
    <t>餐饮&amp;康体储值卡</t>
  </si>
  <si>
    <t>充3000送1500（双11活动期间充值加赠健身游泳次卡*2张）</t>
  </si>
  <si>
    <t>5000送3000</t>
  </si>
  <si>
    <t>永久有效</t>
  </si>
  <si>
    <t>与此前条款一致</t>
  </si>
  <si>
    <t xml:space="preserve">储值卡下单获得抽奖机会，每个ID限抽奖1次，奖品为切件蛋糕1份*10、现磨咖啡1杯*10、酌宴府招牌点心1份*10、酌宴府甜品2份*10、单人自助晚餐1份*3、单人自助午餐*3、单人自助早餐*4 </t>
  </si>
  <si>
    <t>感趣自助餐厅</t>
  </si>
  <si>
    <t>均价214元/位，平日周末通用，法定节假日通用！自助晚餐14次套票，可拆分使用，可转赠</t>
  </si>
  <si>
    <t>11月27日、12月24-25日、12月31日、1月1日、2月14日、2月16-19日不适用</t>
  </si>
  <si>
    <t>平日单人自助晚餐*5份</t>
  </si>
  <si>
    <t>/</t>
  </si>
  <si>
    <t>周末另加60/位，11月27日、12月24-25日、12月31日、1月1日、2月14日、2月16-19日不适用</t>
  </si>
  <si>
    <t>平日单人自助晚餐</t>
  </si>
  <si>
    <t>1511元10份自助午餐</t>
  </si>
  <si>
    <t>318元2大2小午餐（1小为1.2米以下及1小为1.2-1.4米）</t>
  </si>
  <si>
    <t>单人周末自助午餐</t>
  </si>
  <si>
    <t>早餐月卡</t>
  </si>
  <si>
    <t>早餐次卡（10次）</t>
  </si>
  <si>
    <t>大堂吧</t>
  </si>
  <si>
    <t>单人份咖啡+切件蛋糕</t>
  </si>
  <si>
    <t>双人主题下午茶</t>
  </si>
  <si>
    <t>大堂吧简餐</t>
  </si>
  <si>
    <t>不限</t>
  </si>
  <si>
    <t>墨西哥辣鸡胡萝卜汉堡、西班牙辣虾仁鸡蛋芝士汉堡、照烧鸡扒芝士汉堡（迷你堡*3）、双菇素汉堡（迷你堡*3）</t>
  </si>
  <si>
    <t>黑松露牛肉汉堡</t>
  </si>
  <si>
    <t>西班牙火腿无花果菠菜汉堡（迷你堡*3）</t>
  </si>
  <si>
    <t>酒水套餐（品鉴套餐)</t>
  </si>
  <si>
    <t>酌宴府中餐厅</t>
  </si>
  <si>
    <t>双11 单人早茶任点任吃</t>
  </si>
  <si>
    <t>1月1日、2月16-19日不适用</t>
  </si>
  <si>
    <r>
      <rPr>
        <sz val="12"/>
        <rFont val="微软雅黑"/>
        <charset val="134"/>
      </rPr>
      <t>新派茶点|广式手工现做（13选8）</t>
    </r>
    <r>
      <rPr>
        <sz val="12"/>
        <color rgb="FFFF0000"/>
        <rFont val="微软雅黑"/>
        <charset val="134"/>
      </rPr>
      <t>菜单需要更新</t>
    </r>
  </si>
  <si>
    <r>
      <rPr>
        <sz val="12"/>
        <rFont val="微软雅黑"/>
        <charset val="134"/>
      </rPr>
      <t xml:space="preserve">粤式双人晚市套餐  </t>
    </r>
    <r>
      <rPr>
        <sz val="12"/>
        <color rgb="FFFF0000"/>
        <rFont val="微软雅黑"/>
        <charset val="134"/>
      </rPr>
      <t>菜单需要更新</t>
    </r>
  </si>
  <si>
    <r>
      <rPr>
        <sz val="12"/>
        <rFont val="微软雅黑"/>
        <charset val="134"/>
      </rPr>
      <t xml:space="preserve">2人广府点心套餐   </t>
    </r>
    <r>
      <rPr>
        <sz val="12"/>
        <color rgb="FFFF0000"/>
        <rFont val="微软雅黑"/>
        <charset val="134"/>
      </rPr>
      <t>菜单需要更新</t>
    </r>
  </si>
  <si>
    <t>招牌菜待定</t>
  </si>
  <si>
    <t>200以内</t>
  </si>
  <si>
    <t>6-8人餐，赠送生日布置</t>
  </si>
  <si>
    <t>健身中心</t>
  </si>
  <si>
    <t>￥13566健身游泳100次卡 ，平均每次仅需135元，有效期13个月，额外赠送健身游泳体验券6张+单人全周通用自助早餐券5张+单人周末自助午餐券2张！</t>
  </si>
  <si>
    <t>2025.12.31前激活</t>
  </si>
  <si>
    <t>个人健身游泳年卡时段卡 ，下午4点前使用，室内游泳池全年恒温，额外赠送1个月使用有效期+单人自助早餐券6张+双人平日周末通用自助晚餐券1张+单人健身游泳体验券3张！</t>
  </si>
  <si>
    <t>健身游泳30次卡</t>
  </si>
  <si>
    <t>单人健身游泳两年卡，室内游泳池全年恒温，额外赠送2个月使用有效期+游泳健身单次体验券3张+单人自助早餐券10张+单人全周通用自助晚餐券5张！</t>
  </si>
  <si>
    <t>单人健身年卡（不含游泳），额外赠送1个月使用有效期+大堂吧双人下午茶一套</t>
  </si>
  <si>
    <t>￥8306健身游泳50次卡 ，平均每次仅需166元，使用有效期7个月，额外赠送健身游泳体验券2张+双人平日周末通用自助晚餐券1张+单人自助早餐券2张！</t>
  </si>
  <si>
    <t>单人健身游泳年卡，室内游泳池全年恒温，额外赠送1个月使用有效期+游泳健身单次体验券6张+单人自助早餐券6张+单人周末自助午餐券3张！</t>
  </si>
  <si>
    <t>￥4388单人健身游泳季度卡，室内游泳池全年恒温，额外赠送双人平日周末通用自助晚餐券1张！</t>
  </si>
  <si>
    <t>客房</t>
  </si>
  <si>
    <t>￥1388希尔顿客房2晚+次日双早，可拆分预约、周末节假日不加价</t>
  </si>
  <si>
    <t>至少提前1天预约</t>
  </si>
  <si>
    <t>￥1388豪华套房1晚，含2大1小早餐，行政酒廊下午茶及晚间欢乐时光</t>
  </si>
  <si>
    <t>洗衣房</t>
  </si>
  <si>
    <t>500元洗衣储值卡</t>
  </si>
  <si>
    <t>1000元洗衣储值卡</t>
  </si>
  <si>
    <t>800元洗衣储值卡</t>
  </si>
  <si>
    <r>
      <rPr>
        <b/>
        <sz val="12"/>
        <color rgb="FF000000"/>
        <rFont val="微软雅黑"/>
        <charset val="134"/>
      </rPr>
      <t>广州万富希尔顿酒店—25年秋促数据分享 
活动售卖时间：9.15-9.22日，销售额共</t>
    </r>
    <r>
      <rPr>
        <b/>
        <sz val="12"/>
        <color indexed="10"/>
        <rFont val="微软雅黑"/>
        <charset val="134"/>
      </rPr>
      <t>919,107元</t>
    </r>
    <r>
      <rPr>
        <b/>
        <sz val="12"/>
        <color theme="1"/>
        <rFont val="微软雅黑"/>
        <charset val="134"/>
      </rPr>
      <t>（含9.28、9.29返场）</t>
    </r>
  </si>
  <si>
    <t>整体浏览量</t>
  </si>
  <si>
    <t>整体访客量</t>
  </si>
  <si>
    <t>单价</t>
  </si>
  <si>
    <t>整体销量</t>
  </si>
  <si>
    <t>整体交易额</t>
  </si>
  <si>
    <t>2024秋促销量</t>
  </si>
  <si>
    <t>2025春促销量</t>
  </si>
  <si>
    <t>部门</t>
  </si>
  <si>
    <t>整体访问量</t>
  </si>
  <si>
    <t>销售额分布</t>
  </si>
  <si>
    <t>销售占比</t>
  </si>
  <si>
    <t>交易额</t>
  </si>
  <si>
    <t>餐饮储值卡</t>
  </si>
  <si>
    <t>秋促 | 充5000元送3000元</t>
  </si>
  <si>
    <t>商户员工</t>
  </si>
  <si>
    <t>秋促 | 充2000元送1000元</t>
  </si>
  <si>
    <t>餐饮部</t>
  </si>
  <si>
    <t>消费者</t>
  </si>
  <si>
    <t>充值600元送5盒基础款月饼</t>
  </si>
  <si>
    <t>客房部</t>
  </si>
  <si>
    <t>官微</t>
  </si>
  <si>
    <t>充值300元送2盒基础款月饼</t>
  </si>
  <si>
    <t>商务发展部</t>
  </si>
  <si>
    <t>秋促 | 均价214元/位，平日周末&amp;国庆假期通用！自助晚餐14次套票，可拆分使用，可转赠~有效期至2026年2月28日！</t>
  </si>
  <si>
    <t>传媒部</t>
  </si>
  <si>
    <t>25年秋促 | 平日单人自助晚餐</t>
  </si>
  <si>
    <t>前厅部</t>
  </si>
  <si>
    <t>秋促 | 均价151.6元/位，周末自助午餐5次套票，赠送2位1.4米以下儿童用餐，可拆分使用，节假日可用，有效期至2026年2月28日！</t>
  </si>
  <si>
    <t>财务部</t>
  </si>
  <si>
    <t>25年秋促 | 两大两小平日自助晚餐</t>
  </si>
  <si>
    <t>人力资源部</t>
  </si>
  <si>
    <t>25年秋促 | 单人周末自助午餐</t>
  </si>
  <si>
    <t>厨房</t>
  </si>
  <si>
    <t>25年秋促|两大两小自助晚餐1.4米以下</t>
  </si>
  <si>
    <t>保安部</t>
  </si>
  <si>
    <t>秋促 | 均价98.8元/次,自助早餐10次套票，可拆分使用，有效期至2026年2月28日！节假日通用！可微信转赠好友~</t>
  </si>
  <si>
    <t>工程部</t>
  </si>
  <si>
    <t>25年秋促 | 粤式双人晚市套餐</t>
  </si>
  <si>
    <t>25年秋促 | 2-3人广府点心套餐</t>
  </si>
  <si>
    <t xml:space="preserve">  </t>
  </si>
  <si>
    <t>25年秋促 | 礼“鹤”中秋10盒</t>
  </si>
  <si>
    <t>25年秋促 | 绮月·4粒装月饼包包</t>
  </si>
  <si>
    <t>25年秋促 | 璧月·4粒装月饼礼盒</t>
  </si>
  <si>
    <t>25年秋促 | 月满芳庭10盒</t>
  </si>
  <si>
    <t>25年秋促 | 熹月·8粒装月饼礼盒</t>
  </si>
  <si>
    <t>25年秋促 | 招牌脆片烧鸡一只</t>
  </si>
  <si>
    <t>25年秋促 | 石斑帆立贝8-10人餐</t>
  </si>
  <si>
    <t>25年秋促 | 鲍鱼河虾6人餐</t>
  </si>
  <si>
    <t>酝聚酒廊</t>
  </si>
  <si>
    <t>25年秋促 | 单人份咖啡+切件蛋糕</t>
  </si>
  <si>
    <t>25年秋促 | 双人主题下午茶</t>
  </si>
  <si>
    <t>25年秋促 | 大堂吧招牌榴莲蛋糕2磅</t>
  </si>
  <si>
    <t>25年秋促 | 大堂吧1磅蛋糕券</t>
  </si>
  <si>
    <t>25年秋促 | 外带纸杯蛋糕套餐</t>
  </si>
  <si>
    <t>秋促 | ￥13566健身游泳100次卡 ，平均每次仅需135元，有效期13个月，额外赠送健身游泳体验券6张+单人全周通用自助早餐券5张+单人周末自助午餐券2张！</t>
  </si>
  <si>
    <t>秋促 | 个人健身游泳年卡时段卡 ，下午4点前使用，室内游泳池全年恒温，额外赠送1个月使用有效期+单人自助早餐券6张+双人平日周末通用自助晚餐券1张+单人健身游泳体验券3张！</t>
  </si>
  <si>
    <t>秋促 | ￥8306健身游泳50次卡 ，平均每次仅需166元，使用有效期7个月，额外赠送健身游泳体验券2张+双人平日周末通用自助晚餐券1张+单人自助早餐券2张！</t>
  </si>
  <si>
    <t>秋促 | 单人健身游泳年卡，室内游泳池全年恒温，额外赠送1个月使用有效期+游泳健身单次体验券6张+单人自助早餐券6张+单人周末自助午餐券3张！</t>
  </si>
  <si>
    <t>25年秋促 | 健身游泳30次卡</t>
  </si>
  <si>
    <t>秋促 | 单人健身年卡（不含游泳），额外赠送1个月使用有效期+大堂吧双人下午茶一套</t>
  </si>
  <si>
    <t>秋促 | ￥4388单人健身游泳季度卡，室内游泳池全年恒温，额外赠送双人平日周末通用自助晚餐券1张！</t>
  </si>
  <si>
    <t>秋促 | 单人健身游泳两年卡，室内游泳池全年恒温，额外赠送2个月使用有效期+游泳健身单次体验券3张+单人自助早餐券10张+单人全周通用自助晚餐券5张！</t>
  </si>
  <si>
    <t>秋促 | ￥1698行政客房2晚（可拆分使用），赠双人自助早餐+行政礼遇，周六日及节假日通用！有效期至2026年2月28日！</t>
  </si>
  <si>
    <t>秋促 | 希尔顿客房5间含双早，可拆分使用，可连住（加赠客房升级券2张，视房态升级至上一档房型，需提前预约）</t>
  </si>
  <si>
    <t>希尔顿行政套房一晚含两大一小早餐</t>
  </si>
  <si>
    <t>希尔顿客房一晚含两大一小早餐</t>
  </si>
  <si>
    <t>秋促 | ￥788希尔顿客房一晚，含双人自助早餐+大堂吧欢迎饮品2杯，周六日及节假日通用！有效期至2026年2月28日！</t>
  </si>
  <si>
    <t>洗衣</t>
  </si>
  <si>
    <t>25年秋促  | 1000元洗衣储值卡</t>
  </si>
  <si>
    <t>25年秋促  | 800元洗衣储值卡</t>
  </si>
  <si>
    <t>25年秋促  | 500元洗衣储值卡</t>
  </si>
  <si>
    <t>总计</t>
  </si>
  <si>
    <r>
      <rPr>
        <b/>
        <sz val="12"/>
        <color rgb="FF000000"/>
        <rFont val="微软雅黑"/>
        <charset val="134"/>
      </rPr>
      <t>广州万富希尔顿酒店—25年春促数据分享 
活动售卖时间：3.25-3.31日，销售额共</t>
    </r>
    <r>
      <rPr>
        <b/>
        <sz val="12"/>
        <color rgb="FFFF0000"/>
        <rFont val="微软雅黑"/>
        <charset val="134"/>
      </rPr>
      <t>1,047,185元</t>
    </r>
  </si>
  <si>
    <t>活动价格</t>
  </si>
  <si>
    <t>下单会员数</t>
  </si>
  <si>
    <t>首单会员数</t>
  </si>
  <si>
    <t>充5000送2500</t>
  </si>
  <si>
    <t>春促 | ￥13566健身游泳100次卡 ，平均每次仅需135元，有效期13个月，额外赠送健身游泳体验券6张+单人全周通用自助早餐券5张+单人周末自助午餐券2张！</t>
  </si>
  <si>
    <t>春促 | 均价206元/位，平日周末通用！自助晚餐14次套票，可拆分使用，可转赠~有效期至2025年9月30日！</t>
  </si>
  <si>
    <t>联盟</t>
  </si>
  <si>
    <t>春促 | 个人健身游泳年卡时段卡 ，下午4点前使用，室内游泳池全年恒温，额外赠送1个月使用有效期+单人自助早餐券6张+双人平日周末通用自助晚餐券1张+单人健身游泳体验券3张！</t>
  </si>
  <si>
    <t>消费者传播</t>
  </si>
  <si>
    <t>七周年春促 | 健身游泳30次卡</t>
  </si>
  <si>
    <t>春促 | 均价199.8元/位，平日自助晚餐5次套票，可拆分使用，可转赠~周末加价可用！有效期至2025年9月30日！ 【每日12点限时秒杀10套】</t>
  </si>
  <si>
    <t>春促 | 单人健身游泳两年卡，室内游泳池全年恒温，额外赠送2个月使用有效期+游泳健身单次体验券3张+单人自助早餐券10张+单人全周通用自助晚餐券5张！</t>
  </si>
  <si>
    <t>春促 | 单人健身年卡（不含游泳），额外赠送1个月使用有效期+大堂吧双人下午茶一套</t>
  </si>
  <si>
    <t>春促 | 均价145元/位，周末自助午餐5次套票，赠送2位1.4米以下儿童用餐，可拆分使用，节假日可用，有效期至2025年9月30日！</t>
  </si>
  <si>
    <t>春促 | ￥8306健身游泳50次卡 ，平均每次仅需166元，使用有效期7个月，额外赠送健身游泳体验券2张+双人平日周末通用自助晚餐券1张+单人自助早餐券2张！</t>
  </si>
  <si>
    <t>七周年春促|周日周一专享希尔顿客房一晚</t>
  </si>
  <si>
    <t>已离职人员</t>
  </si>
  <si>
    <t>春促 | ￥788希尔顿客房一晚，含双人自助早餐+大堂吧欢迎饮品2杯，周六日及节假日通用！有效期至2025年8月31日！</t>
  </si>
  <si>
    <t>春促 | 单人健身游泳年卡，室内游泳池全年恒温，额外赠送1个月使用有效期+游泳健身单次体验券6张+单人自助早餐券6张+单人周末自助午餐券3张！</t>
  </si>
  <si>
    <t>已离职员工</t>
  </si>
  <si>
    <t>七周年春促 | 平日单人自助晚餐</t>
  </si>
  <si>
    <t>行政办公室</t>
  </si>
  <si>
    <t>春促 | ￥1698行政客房2晚（可拆分使用），赠双人自助早餐+行政礼遇，周六日及节假日通用！有效期至2025年8月31日！</t>
  </si>
  <si>
    <t>七周年春促 | 粤式双人晚市套餐</t>
  </si>
  <si>
    <t>前厅</t>
  </si>
  <si>
    <t>七周年春促 | 2-3人广府点心套餐</t>
  </si>
  <si>
    <t>康体中心</t>
  </si>
  <si>
    <t>春促 | 均价98.8元/次,自助早餐10次套票，可拆分使用，有效期至2025年9月30日！节假日通用！可微信转赠好友~</t>
  </si>
  <si>
    <t>充3000送1000</t>
  </si>
  <si>
    <t>七周年春促 | 鲍鱼河虾6人餐</t>
  </si>
  <si>
    <t>春促 | ￥4388单人健身游泳季度卡，室内游泳池全年恒温，额外赠送双人平日周末通用自助晚餐券1张！</t>
  </si>
  <si>
    <t>七周年春促  | 500元洗衣储值卡</t>
  </si>
  <si>
    <t>七周年春促 | 石斑帆立贝8-10人餐</t>
  </si>
  <si>
    <t>七周年春促 | 单人份咖啡+切件蛋糕</t>
  </si>
  <si>
    <t>七周年春促 | 双人主题下午茶</t>
  </si>
  <si>
    <t>七周年春促  | 1000元洗衣储值卡</t>
  </si>
  <si>
    <t>七周年春促 | 大堂吧招牌榴莲蛋糕2磅</t>
  </si>
  <si>
    <t>七周年春促 | 招牌脆片烧鸡一只</t>
  </si>
  <si>
    <t>七周年春促 | 招牌点心4选1</t>
  </si>
  <si>
    <t>春促 | 均价92元/磅，大堂吧1磅蛋糕券4次套票，可拆分使用，有效期至2025年9月30日，节假日通用！</t>
  </si>
  <si>
    <t>七周年春促 | 大堂吧1磅蛋糕券</t>
  </si>
  <si>
    <t>7周年春促 | 外带纸杯蛋糕套餐</t>
  </si>
  <si>
    <t>七周年春促 | 招牌红烧乳鸽一只</t>
  </si>
  <si>
    <t>七周年春促 | 单人周末自助午餐</t>
  </si>
  <si>
    <t>七周年春促  | 800元洗衣储值卡</t>
  </si>
  <si>
    <t>春促 | ￥788希尔顿客房一晚（不含早），赠市内50km里宝马i5单程用车+大堂吧欢迎饮品2杯，周六日及节假日通用！有效期至2025年8月31日！</t>
  </si>
  <si>
    <t>七周年春促 | 健身单人体验卡</t>
  </si>
  <si>
    <t>七周年春促 |  游泳单人体验卡</t>
  </si>
  <si>
    <t>七周年春促 | 单人自助早餐券</t>
  </si>
  <si>
    <t>七周年春促 | 希尔顿客房1晚不含早</t>
  </si>
  <si>
    <t>七周年春促|38元代3000元宴会代金券</t>
  </si>
  <si>
    <t>七周年春促 | 外带鸿运金猪套餐</t>
  </si>
  <si>
    <t>七周年春促 |  单人健身游泳月度卡</t>
  </si>
  <si>
    <t>七周年春促|正价婚宴菜单95折优惠券</t>
  </si>
  <si>
    <t>春促 | 单人健身游泳半年卡，室内游泳池全年恒温，额外赠送1个月使用有效期+游泳健身单次体验券2张+双人平日周末通用自助晚餐券1张+单人自助早餐券2张！</t>
  </si>
  <si>
    <r>
      <rPr>
        <b/>
        <sz val="12"/>
        <color rgb="FF000000"/>
        <rFont val="微软雅黑"/>
        <charset val="134"/>
      </rPr>
      <t>广州万富希尔顿酒店—24年秋促数据分享
活动售卖时间：9.23-9.30日，共8天，销售额共</t>
    </r>
    <r>
      <rPr>
        <b/>
        <sz val="12"/>
        <color rgb="FFFF0000"/>
        <rFont val="微软雅黑"/>
        <charset val="134"/>
      </rPr>
      <t>968,963.7元</t>
    </r>
  </si>
  <si>
    <t>销售分布</t>
  </si>
  <si>
    <t>餐饮储值卡5000送2500</t>
  </si>
  <si>
    <t>24年秋促 | 健身游泳100次卡</t>
  </si>
  <si>
    <t>【限时返场】| 均价206元/位，平日周末国庆通用！自助晚餐14次套票，可拆分使用，可转赠~有效期至2025年2月28日！</t>
  </si>
  <si>
    <t>24年秋促 | 健身游泳30次卡</t>
  </si>
  <si>
    <t>【限时返场】| 均价145元/位，周末自助午餐5次套票，赠送2位1.4米以下儿童用餐，可拆分使用，国庆可用，有效期至205年2月28日！</t>
  </si>
  <si>
    <t>24年秋促 | 希尔顿客房2晚不含早</t>
  </si>
  <si>
    <t>24年秋促 | 行政房2晚含早+行政礼遇</t>
  </si>
  <si>
    <t>【限时返场】| 均价199.8元/位，平日自助晚餐5次套票，可拆分使用，可转赠~周末及国庆加价可用！有效期至2025年2月28日！ 【每日10点限时秒杀10套】</t>
  </si>
  <si>
    <t>【限时返场】 | 单人健身游泳年卡，室内游泳池全年恒温，额外赠送游泳健身单次体验券10张+单人自助早餐券10张+单人周末自助午餐券4张！</t>
  </si>
  <si>
    <t>24年秋促 | 希尔顿客房1晚含早+希游</t>
  </si>
  <si>
    <t>24年秋促 |  单人健身游泳季度卡</t>
  </si>
  <si>
    <t>24年秋促 | 健身游泳50次卡</t>
  </si>
  <si>
    <t>【限时返场】 | 单人健身游泳半年卡，室内游泳池全年恒温，额外赠送游泳健身单次体验券*5张+单人平日周末通用自助晚餐券2张！</t>
  </si>
  <si>
    <t>直客通</t>
  </si>
  <si>
    <t>24年秋促 | 平日单人自助晚餐</t>
  </si>
  <si>
    <t>【限时返场】 | 单人健身年卡（不含游泳），额外赠送大堂吧2磅蛋糕券</t>
  </si>
  <si>
    <t>【限时返场】| 均价88.8元/次,自助早餐10次套票，可拆分使用，有效期至2025年2月28日！节假日通用！可微信转赠好友~</t>
  </si>
  <si>
    <t>24年秋促 | 两大两小周末自助午餐</t>
  </si>
  <si>
    <t>24年秋促 | 2-3人地道粤式茶点</t>
  </si>
  <si>
    <t>24年秋促 | 粤式双人晚市套餐</t>
  </si>
  <si>
    <t>24年秋促  | 500元洗衣储值卡</t>
  </si>
  <si>
    <t>24年秋促盲盒-单人自助早餐券</t>
  </si>
  <si>
    <t>【限时返场】| 均价75元/磅，大堂吧1磅蛋糕券4次套票，可拆分使用，有效期至2025年2月28日，节假日通用！</t>
  </si>
  <si>
    <t/>
  </si>
  <si>
    <t>24年秋促 | 单人周末自助午餐</t>
  </si>
  <si>
    <t>24年秋促  | 300元洗衣储值卡</t>
  </si>
  <si>
    <t>24年秋促盲盒-单人周末自助午餐</t>
  </si>
  <si>
    <t>24年秋促 | 希尔顿客房1晚双早双晚</t>
  </si>
  <si>
    <t>24年秋促 | 招牌脆片烧鸡一只</t>
  </si>
  <si>
    <t>24年秋促 | 大堂吧1磅蛋糕券</t>
  </si>
  <si>
    <t>24年秋促 |  单人健身游泳月度卡</t>
  </si>
  <si>
    <t>24年秋促 | 双人主题下午茶</t>
  </si>
  <si>
    <t>24年秋促 | 招牌红烧乳鸽一只</t>
  </si>
  <si>
    <t>24年秋促盲盒-洗衣5件</t>
  </si>
  <si>
    <t>24年秋促盲盒-双人主题下午茶</t>
  </si>
  <si>
    <t>24年秋促盲盒-健身游泳单人体验卡</t>
  </si>
  <si>
    <t>24年秋促盲盒-2-3人地道粤式茶点</t>
  </si>
  <si>
    <t>24年秋促盲盒-平日单人自助晚餐</t>
  </si>
  <si>
    <t>【限时返场】 | 咖啡5次套票，可拆分使用，有效期至2025年2月28日</t>
  </si>
  <si>
    <t>24年秋促 | 大堂吧招牌榴莲蛋糕2磅</t>
  </si>
  <si>
    <t>24年秋促盲盒-希尔顿客房1晚含早</t>
  </si>
  <si>
    <t>【限时返场】| 均价80元/次,自助早餐50次套票，可拆分使用，有效期180天！节假日通用！可微信转赠好友~</t>
  </si>
  <si>
    <t>24年秋促 | 单人自助早餐月卡</t>
  </si>
  <si>
    <t>24年秋促 | 全周通用儿童自助晚餐券</t>
  </si>
  <si>
    <t>24年秋促 | 儿童自助午餐券</t>
  </si>
  <si>
    <t>10.15日粉丝日秒杀产品售出¥5,036.4，带动其他产品销售¥680，当日销售¥5716.4，核销¥10,562</t>
  </si>
  <si>
    <t>产品单价</t>
  </si>
  <si>
    <t>库存</t>
  </si>
  <si>
    <t>【粉丝日秒杀】平日单人海鲜自助晚餐</t>
  </si>
  <si>
    <t>【粉丝日秒杀】大堂吧1磅生日蛋糕</t>
  </si>
  <si>
    <t>【粉丝日秒杀】单人健身游泳次卡</t>
  </si>
  <si>
    <t>【粉丝日秒杀】周末两大两小自助午餐</t>
  </si>
  <si>
    <t>【粉丝日秒杀】招牌脆皮鸡一只</t>
  </si>
  <si>
    <t>【粉丝日秒杀】周末单人自助午餐</t>
  </si>
  <si>
    <t>【粉丝日秒杀】顺德捞起刺身盘一份</t>
  </si>
  <si>
    <t>【粉丝日秒杀】自选咖啡一杯</t>
  </si>
  <si>
    <t>【粉丝日秒杀】单件洗衣券</t>
  </si>
  <si>
    <t>【粉丝日秒杀】雪山酸奶糕一份</t>
  </si>
  <si>
    <t>【粉丝日秒杀】顺德鱼茸羹一份</t>
  </si>
  <si>
    <t>8.20日粉丝日秒杀产品售出¥19,378.2，带动其他产品销售¥7,190，当日销售¥26,568.2 核销¥9,769</t>
  </si>
  <si>
    <t>销售数量</t>
  </si>
  <si>
    <t>浏览数量</t>
  </si>
  <si>
    <t>周一至周四单人自助晚餐</t>
  </si>
  <si>
    <t>单人健身游泳次卡</t>
  </si>
  <si>
    <t>璧月·4粒装月饼礼盒</t>
  </si>
  <si>
    <t>月满芳庭·4粒装月饼礼盒</t>
  </si>
  <si>
    <t>希尔顿客房1晚含双早</t>
  </si>
  <si>
    <t>希尔顿客房2晚</t>
  </si>
  <si>
    <t>大堂吧1磅生日蛋糕</t>
  </si>
  <si>
    <t>大堂吧双人下午茶</t>
  </si>
  <si>
    <t>礼鹤中秋·4粒装月饼礼盒</t>
  </si>
  <si>
    <t>薄荷焦糖罗氏虾一份</t>
  </si>
  <si>
    <t>周末单人自助午餐</t>
  </si>
  <si>
    <t>顺德捞起刺身盘一份</t>
  </si>
  <si>
    <t>脆皮乳鸽一只</t>
  </si>
  <si>
    <t>夏日多巴胺轻食套餐</t>
  </si>
  <si>
    <t>顺德鱼茸羹一份</t>
  </si>
  <si>
    <t>玫瑰红茶爆珠蛋挞一份</t>
  </si>
  <si>
    <t>单人咖啡+蛋糕套餐</t>
  </si>
  <si>
    <t>雪山酸奶糕一份</t>
  </si>
  <si>
    <t>单件洗衣券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</si>
</sst>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0.0%"/>
    <numFmt numFmtId="178" formatCode="0&quot;.&quot;0,&quot;万&quot;"/>
  </numFmts>
  <fonts count="66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4"/>
      <color indexed="8"/>
      <name val="微软雅黑"/>
      <charset val="134"/>
    </font>
    <font>
      <b/>
      <sz val="10"/>
      <color rgb="FFFFFFFF"/>
      <name val="宋体"/>
      <charset val="134"/>
    </font>
    <font>
      <b/>
      <sz val="10"/>
      <color indexed="9"/>
      <name val="Arial"/>
      <charset val="134"/>
    </font>
    <font>
      <sz val="10"/>
      <name val="宋体"/>
      <charset val="134"/>
    </font>
    <font>
      <sz val="10"/>
      <name val="Arial"/>
      <charset val="134"/>
    </font>
    <font>
      <b/>
      <sz val="11"/>
      <color indexed="8"/>
      <name val="微软雅黑"/>
      <charset val="134"/>
    </font>
    <font>
      <b/>
      <sz val="10"/>
      <name val="Arial"/>
      <charset val="134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b/>
      <sz val="12"/>
      <name val="微软雅黑"/>
      <charset val="134"/>
    </font>
    <font>
      <b/>
      <sz val="12"/>
      <color theme="1"/>
      <name val="微软雅黑"/>
      <charset val="134"/>
    </font>
    <font>
      <sz val="12"/>
      <name val="微软雅黑"/>
      <charset val="134"/>
    </font>
    <font>
      <sz val="12"/>
      <color indexed="8"/>
      <name val="微软雅黑"/>
      <charset val="134"/>
    </font>
    <font>
      <b/>
      <sz val="10"/>
      <color indexed="8"/>
      <name val="宋体"/>
      <charset val="134"/>
      <scheme val="minor"/>
    </font>
    <font>
      <b/>
      <sz val="12"/>
      <color indexed="8"/>
      <name val="微软雅黑"/>
      <charset val="134"/>
    </font>
    <font>
      <sz val="10"/>
      <color indexed="8"/>
      <name val="宋体"/>
      <charset val="134"/>
      <scheme val="minor"/>
    </font>
    <font>
      <sz val="12"/>
      <color rgb="FF333333"/>
      <name val="微软雅黑"/>
      <charset val="134"/>
    </font>
    <font>
      <sz val="9"/>
      <color indexed="8"/>
      <name val="宋体"/>
      <charset val="134"/>
      <scheme val="minor"/>
    </font>
    <font>
      <b/>
      <sz val="9"/>
      <color indexed="9"/>
      <name val="Arial"/>
      <charset val="134"/>
    </font>
    <font>
      <sz val="9"/>
      <color rgb="FF333333"/>
      <name val="Microsoft YaHei"/>
      <charset val="134"/>
    </font>
    <font>
      <b/>
      <sz val="11"/>
      <name val="微软雅黑"/>
      <charset val="134"/>
    </font>
    <font>
      <sz val="11"/>
      <color indexed="8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Microsoft YaHei Light"/>
      <charset val="134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0"/>
      <name val="Microsoft YaHei Light"/>
      <charset val="134"/>
    </font>
    <font>
      <b/>
      <sz val="18"/>
      <color rgb="FFFF0000"/>
      <name val="Microsoft YaHei Light"/>
      <charset val="134"/>
    </font>
    <font>
      <b/>
      <sz val="11"/>
      <color theme="1"/>
      <name val="宋体"/>
      <charset val="134"/>
      <scheme val="minor"/>
    </font>
    <font>
      <b/>
      <sz val="13"/>
      <color theme="0"/>
      <name val="Microsoft YaHei Light"/>
      <charset val="134"/>
    </font>
    <font>
      <b/>
      <sz val="13"/>
      <color rgb="FFFF0000"/>
      <name val="Microsoft YaHei Light"/>
      <charset val="134"/>
    </font>
    <font>
      <b/>
      <sz val="14"/>
      <color rgb="FFC0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  <font>
      <b/>
      <sz val="13"/>
      <color theme="0"/>
      <name val="宋体"/>
      <charset val="134"/>
      <scheme val="minor"/>
    </font>
    <font>
      <b/>
      <sz val="12"/>
      <color rgb="FFFF0000"/>
      <name val="微软雅黑"/>
      <charset val="134"/>
    </font>
    <font>
      <sz val="12"/>
      <color theme="1"/>
      <name val="微软雅黑"/>
      <charset val="134"/>
    </font>
    <font>
      <sz val="12"/>
      <color rgb="FFFF0000"/>
      <name val="微软雅黑"/>
      <charset val="134"/>
    </font>
    <font>
      <sz val="10.5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indexed="10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  <font>
      <sz val="1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7" tint="0.79989013336588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auto="1"/>
      </right>
      <top style="thin">
        <color indexed="23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23"/>
      </top>
      <bottom style="thin">
        <color auto="1"/>
      </bottom>
      <diagonal/>
    </border>
    <border>
      <left style="thin">
        <color auto="1"/>
      </left>
      <right style="thin">
        <color indexed="23"/>
      </right>
      <top style="thin">
        <color indexed="23"/>
      </top>
      <bottom style="thin">
        <color auto="1"/>
      </bottom>
      <diagonal/>
    </border>
    <border>
      <left style="thin">
        <color indexed="23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23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auto="1"/>
      </left>
      <right style="thin">
        <color indexed="23"/>
      </right>
      <top style="thin">
        <color auto="1"/>
      </top>
      <bottom/>
      <diagonal/>
    </border>
    <border>
      <left style="thin">
        <color auto="1"/>
      </left>
      <right style="thin">
        <color indexed="23"/>
      </right>
      <top/>
      <bottom/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12" borderId="20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9" fillId="0" borderId="21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13" borderId="23" applyNumberFormat="0" applyAlignment="0" applyProtection="0">
      <alignment vertical="center"/>
    </xf>
    <xf numFmtId="0" fontId="52" fillId="14" borderId="24" applyNumberFormat="0" applyAlignment="0" applyProtection="0">
      <alignment vertical="center"/>
    </xf>
    <xf numFmtId="0" fontId="53" fillId="14" borderId="23" applyNumberFormat="0" applyAlignment="0" applyProtection="0">
      <alignment vertical="center"/>
    </xf>
    <xf numFmtId="0" fontId="54" fillId="15" borderId="25" applyNumberFormat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5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9" borderId="0" applyNumberFormat="0" applyBorder="0" applyAlignment="0" applyProtection="0">
      <alignment vertical="center"/>
    </xf>
    <xf numFmtId="0" fontId="60" fillId="40" borderId="0" applyNumberFormat="0" applyBorder="0" applyAlignment="0" applyProtection="0">
      <alignment vertical="center"/>
    </xf>
  </cellStyleXfs>
  <cellXfs count="17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vertical="center"/>
    </xf>
    <xf numFmtId="49" fontId="6" fillId="0" borderId="1" xfId="0" applyNumberFormat="1" applyFont="1" applyFill="1" applyBorder="1" applyAlignment="1">
      <alignment horizontal="right" vertical="center"/>
    </xf>
    <xf numFmtId="1" fontId="6" fillId="0" borderId="1" xfId="0" applyNumberFormat="1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49" fontId="5" fillId="0" borderId="1" xfId="0" applyNumberFormat="1" applyFont="1" applyFill="1" applyBorder="1" applyAlignment="1">
      <alignment horizontal="right" vertical="center"/>
    </xf>
    <xf numFmtId="49" fontId="6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right" vertical="center"/>
    </xf>
    <xf numFmtId="8" fontId="7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49" fontId="6" fillId="0" borderId="3" xfId="0" applyNumberFormat="1" applyFont="1" applyFill="1" applyBorder="1" applyAlignment="1">
      <alignment vertical="center"/>
    </xf>
    <xf numFmtId="176" fontId="6" fillId="0" borderId="3" xfId="0" applyNumberFormat="1" applyFont="1" applyFill="1" applyBorder="1" applyAlignment="1">
      <alignment vertical="center"/>
    </xf>
    <xf numFmtId="1" fontId="6" fillId="0" borderId="3" xfId="0" applyNumberFormat="1" applyFont="1" applyFill="1" applyBorder="1" applyAlignment="1">
      <alignment vertical="center"/>
    </xf>
    <xf numFmtId="1" fontId="8" fillId="0" borderId="0" xfId="0" applyNumberFormat="1" applyFont="1" applyFill="1" applyBorder="1" applyAlignment="1">
      <alignment vertical="center"/>
    </xf>
    <xf numFmtId="176" fontId="8" fillId="0" borderId="0" xfId="0" applyNumberFormat="1" applyFont="1" applyFill="1" applyBorder="1" applyAlignme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right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right" vertical="center"/>
    </xf>
    <xf numFmtId="0" fontId="13" fillId="4" borderId="3" xfId="0" applyFont="1" applyFill="1" applyBorder="1" applyAlignment="1">
      <alignment horizontal="right" vertical="center"/>
    </xf>
    <xf numFmtId="49" fontId="14" fillId="0" borderId="3" xfId="0" applyNumberFormat="1" applyFont="1" applyBorder="1" applyAlignment="1">
      <alignment vertical="center" wrapText="1"/>
    </xf>
    <xf numFmtId="1" fontId="14" fillId="0" borderId="3" xfId="0" applyNumberFormat="1" applyFont="1" applyBorder="1" applyAlignment="1">
      <alignment horizontal="right" vertical="center"/>
    </xf>
    <xf numFmtId="0" fontId="15" fillId="0" borderId="3" xfId="0" applyFont="1" applyBorder="1" applyAlignment="1">
      <alignment horizontal="right" vertical="center"/>
    </xf>
    <xf numFmtId="0" fontId="11" fillId="3" borderId="5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7" fillId="5" borderId="6" xfId="0" applyFont="1" applyFill="1" applyBorder="1" applyAlignment="1">
      <alignment horizontal="left"/>
    </xf>
    <xf numFmtId="0" fontId="17" fillId="5" borderId="6" xfId="0" applyFont="1" applyFill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2" fillId="5" borderId="6" xfId="0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49" fontId="14" fillId="0" borderId="8" xfId="0" applyNumberFormat="1" applyFont="1" applyBorder="1">
      <alignment vertical="center"/>
    </xf>
    <xf numFmtId="1" fontId="14" fillId="0" borderId="9" xfId="0" applyNumberFormat="1" applyFont="1" applyBorder="1">
      <alignment vertical="center"/>
    </xf>
    <xf numFmtId="0" fontId="15" fillId="0" borderId="10" xfId="0" applyFont="1" applyBorder="1">
      <alignment vertical="center"/>
    </xf>
    <xf numFmtId="0" fontId="15" fillId="0" borderId="3" xfId="0" applyFont="1" applyBorder="1" applyAlignment="1">
      <alignment horizontal="center"/>
    </xf>
    <xf numFmtId="49" fontId="14" fillId="0" borderId="11" xfId="0" applyNumberFormat="1" applyFont="1" applyBorder="1">
      <alignment vertical="center"/>
    </xf>
    <xf numFmtId="1" fontId="14" fillId="0" borderId="3" xfId="0" applyNumberFormat="1" applyFont="1" applyBorder="1">
      <alignment vertical="center"/>
    </xf>
    <xf numFmtId="0" fontId="15" fillId="0" borderId="12" xfId="0" applyFont="1" applyBorder="1">
      <alignment vertical="center"/>
    </xf>
    <xf numFmtId="0" fontId="19" fillId="0" borderId="3" xfId="0" applyFont="1" applyBorder="1" applyAlignment="1">
      <alignment horizontal="center"/>
    </xf>
    <xf numFmtId="0" fontId="20" fillId="0" borderId="0" xfId="0" applyFont="1" applyAlignme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177" fontId="19" fillId="0" borderId="3" xfId="0" applyNumberFormat="1" applyFont="1" applyBorder="1" applyAlignment="1">
      <alignment horizontal="center"/>
    </xf>
    <xf numFmtId="4" fontId="19" fillId="0" borderId="3" xfId="0" applyNumberFormat="1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17" fillId="3" borderId="5" xfId="0" applyFont="1" applyFill="1" applyBorder="1" applyAlignment="1">
      <alignment horizontal="right" vertical="center" wrapText="1"/>
    </xf>
    <xf numFmtId="0" fontId="13" fillId="4" borderId="3" xfId="0" applyFont="1" applyFill="1" applyBorder="1" applyAlignment="1">
      <alignment horizontal="center" vertical="center"/>
    </xf>
    <xf numFmtId="0" fontId="15" fillId="0" borderId="3" xfId="0" applyFont="1" applyBorder="1">
      <alignment vertical="center"/>
    </xf>
    <xf numFmtId="0" fontId="17" fillId="3" borderId="5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49" fontId="14" fillId="0" borderId="8" xfId="0" applyNumberFormat="1" applyFont="1" applyBorder="1" applyAlignment="1">
      <alignment horizontal="left" vertical="center"/>
    </xf>
    <xf numFmtId="49" fontId="14" fillId="0" borderId="11" xfId="0" applyNumberFormat="1" applyFont="1" applyBorder="1" applyAlignment="1">
      <alignment horizontal="left" vertical="center"/>
    </xf>
    <xf numFmtId="0" fontId="19" fillId="0" borderId="0" xfId="0" applyFont="1" applyAlignment="1">
      <alignment horizontal="left"/>
    </xf>
    <xf numFmtId="9" fontId="19" fillId="0" borderId="0" xfId="0" applyNumberFormat="1" applyFont="1" applyAlignment="1">
      <alignment horizontal="center"/>
    </xf>
    <xf numFmtId="4" fontId="19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9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right" vertical="center"/>
    </xf>
    <xf numFmtId="0" fontId="0" fillId="0" borderId="0" xfId="0" applyFont="1" applyFill="1" applyBorder="1" applyAlignment="1">
      <alignment horizontal="left" vertical="center"/>
    </xf>
    <xf numFmtId="0" fontId="11" fillId="3" borderId="0" xfId="0" applyFont="1" applyFill="1" applyBorder="1" applyAlignment="1">
      <alignment horizontal="center" vertical="center" wrapText="1"/>
    </xf>
    <xf numFmtId="0" fontId="23" fillId="6" borderId="13" xfId="0" applyFont="1" applyFill="1" applyBorder="1" applyAlignment="1">
      <alignment horizontal="left" vertical="center" wrapText="1"/>
    </xf>
    <xf numFmtId="0" fontId="23" fillId="6" borderId="13" xfId="0" applyFont="1" applyFill="1" applyBorder="1" applyAlignment="1">
      <alignment horizontal="right" vertical="center"/>
    </xf>
    <xf numFmtId="0" fontId="24" fillId="0" borderId="3" xfId="0" applyFont="1" applyFill="1" applyBorder="1" applyAlignment="1">
      <alignment vertical="center"/>
    </xf>
    <xf numFmtId="0" fontId="24" fillId="0" borderId="3" xfId="0" applyFont="1" applyFill="1" applyBorder="1" applyAlignment="1">
      <alignment vertical="center" wrapText="1"/>
    </xf>
    <xf numFmtId="0" fontId="25" fillId="0" borderId="3" xfId="0" applyFont="1" applyFill="1" applyBorder="1" applyAlignment="1">
      <alignment vertical="center"/>
    </xf>
    <xf numFmtId="0" fontId="7" fillId="7" borderId="4" xfId="0" applyFont="1" applyFill="1" applyBorder="1" applyAlignment="1">
      <alignment vertical="center"/>
    </xf>
    <xf numFmtId="0" fontId="7" fillId="7" borderId="14" xfId="0" applyFont="1" applyFill="1" applyBorder="1" applyAlignment="1">
      <alignment vertical="center"/>
    </xf>
    <xf numFmtId="0" fontId="7" fillId="7" borderId="3" xfId="0" applyFont="1" applyFill="1" applyBorder="1" applyAlignment="1">
      <alignment vertical="center"/>
    </xf>
    <xf numFmtId="0" fontId="26" fillId="6" borderId="13" xfId="0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left"/>
    </xf>
    <xf numFmtId="0" fontId="17" fillId="8" borderId="6" xfId="0" applyFont="1" applyFill="1" applyBorder="1" applyAlignment="1">
      <alignment horizontal="center"/>
    </xf>
    <xf numFmtId="1" fontId="14" fillId="0" borderId="3" xfId="0" applyNumberFormat="1" applyFont="1" applyFill="1" applyBorder="1" applyAlignment="1">
      <alignment horizontal="right" vertical="center"/>
    </xf>
    <xf numFmtId="0" fontId="15" fillId="0" borderId="3" xfId="0" applyFont="1" applyFill="1" applyBorder="1" applyAlignment="1">
      <alignment vertical="center"/>
    </xf>
    <xf numFmtId="0" fontId="24" fillId="0" borderId="3" xfId="0" applyFont="1" applyFill="1" applyBorder="1" applyAlignment="1">
      <alignment horizontal="right" vertical="center"/>
    </xf>
    <xf numFmtId="49" fontId="14" fillId="0" borderId="0" xfId="0" applyNumberFormat="1" applyFont="1" applyFill="1" applyBorder="1" applyAlignment="1">
      <alignment horizontal="left" vertical="center"/>
    </xf>
    <xf numFmtId="1" fontId="14" fillId="0" borderId="0" xfId="0" applyNumberFormat="1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19" fillId="0" borderId="0" xfId="0" applyFont="1" applyFill="1" applyBorder="1" applyAlignment="1">
      <alignment horizontal="left"/>
    </xf>
    <xf numFmtId="9" fontId="19" fillId="0" borderId="0" xfId="0" applyNumberFormat="1" applyFont="1" applyFill="1" applyBorder="1" applyAlignment="1">
      <alignment horizontal="center"/>
    </xf>
    <xf numFmtId="4" fontId="19" fillId="0" borderId="0" xfId="0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left"/>
    </xf>
    <xf numFmtId="9" fontId="22" fillId="0" borderId="0" xfId="0" applyNumberFormat="1" applyFont="1" applyFill="1" applyBorder="1" applyAlignment="1">
      <alignment horizontal="center"/>
    </xf>
    <xf numFmtId="4" fontId="2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left"/>
    </xf>
    <xf numFmtId="0" fontId="16" fillId="0" borderId="7" xfId="0" applyFont="1" applyFill="1" applyBorder="1" applyAlignment="1">
      <alignment horizontal="center"/>
    </xf>
    <xf numFmtId="0" fontId="12" fillId="8" borderId="3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/>
    </xf>
    <xf numFmtId="0" fontId="15" fillId="0" borderId="3" xfId="0" applyFont="1" applyFill="1" applyBorder="1" applyAlignment="1">
      <alignment horizontal="center" vertical="center"/>
    </xf>
    <xf numFmtId="10" fontId="15" fillId="0" borderId="3" xfId="0" applyNumberFormat="1" applyFont="1" applyFill="1" applyBorder="1" applyAlignment="1">
      <alignment horizontal="center" vertical="center"/>
    </xf>
    <xf numFmtId="176" fontId="15" fillId="0" borderId="3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/>
    </xf>
    <xf numFmtId="177" fontId="19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0" fillId="9" borderId="0" xfId="0" applyFont="1" applyFill="1" applyAlignment="1">
      <alignment horizontal="center" vertical="center"/>
    </xf>
    <xf numFmtId="0" fontId="31" fillId="9" borderId="0" xfId="0" applyFont="1" applyFill="1" applyAlignment="1">
      <alignment horizontal="center" vertical="center"/>
    </xf>
    <xf numFmtId="0" fontId="32" fillId="0" borderId="0" xfId="0" applyFont="1">
      <alignment vertical="center"/>
    </xf>
    <xf numFmtId="0" fontId="33" fillId="9" borderId="0" xfId="0" applyFont="1" applyFill="1" applyAlignment="1">
      <alignment horizontal="center" vertical="center"/>
    </xf>
    <xf numFmtId="0" fontId="34" fillId="9" borderId="0" xfId="0" applyFont="1" applyFill="1" applyAlignment="1">
      <alignment horizontal="center" vertical="center"/>
    </xf>
    <xf numFmtId="0" fontId="35" fillId="0" borderId="0" xfId="0" applyFont="1" applyAlignment="1">
      <alignment horizontal="left" vertical="center"/>
    </xf>
    <xf numFmtId="178" fontId="36" fillId="0" borderId="0" xfId="0" applyNumberFormat="1" applyFont="1" applyAlignment="1">
      <alignment horizontal="right" vertical="center"/>
    </xf>
    <xf numFmtId="178" fontId="36" fillId="0" borderId="0" xfId="0" applyNumberFormat="1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0" fontId="37" fillId="0" borderId="0" xfId="0" applyFont="1">
      <alignment vertical="center"/>
    </xf>
    <xf numFmtId="0" fontId="9" fillId="0" borderId="0" xfId="0" applyFont="1" applyAlignment="1">
      <alignment horizontal="left" vertical="center" wrapText="1"/>
    </xf>
    <xf numFmtId="0" fontId="38" fillId="10" borderId="0" xfId="0" applyFont="1" applyFill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39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left" vertical="center" wrapText="1"/>
    </xf>
    <xf numFmtId="0" fontId="40" fillId="0" borderId="15" xfId="0" applyFont="1" applyBorder="1" applyAlignment="1">
      <alignment horizontal="center" vertical="center"/>
    </xf>
    <xf numFmtId="0" fontId="40" fillId="0" borderId="1" xfId="0" applyFont="1" applyBorder="1" applyAlignment="1">
      <alignment horizontal="left" vertical="center"/>
    </xf>
    <xf numFmtId="0" fontId="4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 wrapText="1"/>
    </xf>
    <xf numFmtId="0" fontId="40" fillId="0" borderId="16" xfId="0" applyFont="1" applyBorder="1" applyAlignment="1">
      <alignment horizontal="center" vertical="center"/>
    </xf>
    <xf numFmtId="49" fontId="14" fillId="0" borderId="15" xfId="0" applyNumberFormat="1" applyFont="1" applyBorder="1" applyAlignment="1">
      <alignment horizontal="center" vertical="center"/>
    </xf>
    <xf numFmtId="49" fontId="41" fillId="0" borderId="1" xfId="0" applyNumberFormat="1" applyFont="1" applyFill="1" applyBorder="1">
      <alignment vertical="center"/>
    </xf>
    <xf numFmtId="1" fontId="41" fillId="0" borderId="1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1" fontId="14" fillId="0" borderId="3" xfId="0" applyNumberFormat="1" applyFont="1" applyBorder="1" applyAlignment="1">
      <alignment horizontal="left" vertical="center" wrapText="1"/>
    </xf>
    <xf numFmtId="49" fontId="14" fillId="0" borderId="16" xfId="0" applyNumberFormat="1" applyFont="1" applyBorder="1" applyAlignment="1">
      <alignment horizontal="center" vertical="center"/>
    </xf>
    <xf numFmtId="49" fontId="40" fillId="0" borderId="1" xfId="0" applyNumberFormat="1" applyFont="1" applyBorder="1" applyAlignment="1">
      <alignment horizontal="left" vertical="center" wrapText="1"/>
    </xf>
    <xf numFmtId="49" fontId="14" fillId="0" borderId="15" xfId="0" applyNumberFormat="1" applyFont="1" applyBorder="1" applyAlignment="1">
      <alignment horizontal="center" vertical="center" wrapText="1"/>
    </xf>
    <xf numFmtId="49" fontId="40" fillId="0" borderId="1" xfId="0" applyNumberFormat="1" applyFont="1" applyBorder="1">
      <alignment vertical="center"/>
    </xf>
    <xf numFmtId="49" fontId="14" fillId="0" borderId="16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>
      <alignment vertical="center"/>
    </xf>
    <xf numFmtId="49" fontId="14" fillId="0" borderId="1" xfId="0" applyNumberFormat="1" applyFont="1" applyBorder="1" applyAlignment="1">
      <alignment vertical="center" wrapText="1"/>
    </xf>
    <xf numFmtId="49" fontId="14" fillId="0" borderId="17" xfId="0" applyNumberFormat="1" applyFont="1" applyBorder="1" applyAlignment="1">
      <alignment horizontal="center" vertical="center"/>
    </xf>
    <xf numFmtId="49" fontId="14" fillId="0" borderId="18" xfId="0" applyNumberFormat="1" applyFont="1" applyBorder="1" applyAlignment="1">
      <alignment horizontal="center" vertical="center"/>
    </xf>
    <xf numFmtId="49" fontId="40" fillId="0" borderId="1" xfId="0" applyNumberFormat="1" applyFont="1" applyFill="1" applyBorder="1" applyAlignment="1">
      <alignment vertical="center" wrapText="1"/>
    </xf>
    <xf numFmtId="1" fontId="41" fillId="0" borderId="1" xfId="0" applyNumberFormat="1" applyFont="1" applyFill="1" applyBorder="1" applyAlignment="1">
      <alignment horizontal="center" vertical="center"/>
    </xf>
    <xf numFmtId="49" fontId="40" fillId="0" borderId="1" xfId="0" applyNumberFormat="1" applyFont="1" applyFill="1" applyBorder="1">
      <alignment vertical="center"/>
    </xf>
    <xf numFmtId="49" fontId="14" fillId="0" borderId="17" xfId="0" applyNumberFormat="1" applyFont="1" applyBorder="1" applyAlignment="1">
      <alignment horizontal="center" vertical="center" wrapText="1"/>
    </xf>
    <xf numFmtId="49" fontId="14" fillId="0" borderId="18" xfId="0" applyNumberFormat="1" applyFont="1" applyBorder="1" applyAlignment="1">
      <alignment horizontal="center" vertical="center" wrapText="1"/>
    </xf>
    <xf numFmtId="49" fontId="41" fillId="0" borderId="1" xfId="0" applyNumberFormat="1" applyFont="1" applyBorder="1">
      <alignment vertical="center"/>
    </xf>
    <xf numFmtId="1" fontId="14" fillId="0" borderId="19" xfId="0" applyNumberFormat="1" applyFont="1" applyBorder="1" applyAlignment="1">
      <alignment horizontal="center" vertical="center"/>
    </xf>
    <xf numFmtId="49" fontId="14" fillId="0" borderId="3" xfId="0" applyNumberFormat="1" applyFont="1" applyBorder="1" applyAlignment="1">
      <alignment horizontal="center" vertical="center"/>
    </xf>
    <xf numFmtId="49" fontId="14" fillId="0" borderId="3" xfId="0" applyNumberFormat="1" applyFont="1" applyBorder="1">
      <alignment vertical="center"/>
    </xf>
    <xf numFmtId="1" fontId="41" fillId="0" borderId="3" xfId="0" applyNumberFormat="1" applyFont="1" applyBorder="1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2" fillId="11" borderId="3" xfId="0" applyFont="1" applyFill="1" applyBorder="1" applyAlignment="1">
      <alignment horizontal="center" vertical="center" wrapText="1"/>
    </xf>
    <xf numFmtId="3" fontId="42" fillId="11" borderId="3" xfId="0" applyNumberFormat="1" applyFont="1" applyFill="1" applyBorder="1" applyAlignment="1">
      <alignment horizontal="center" vertical="center" wrapText="1"/>
    </xf>
    <xf numFmtId="0" fontId="42" fillId="11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4</xdr:col>
      <xdr:colOff>278765</xdr:colOff>
      <xdr:row>11</xdr:row>
      <xdr:rowOff>85725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8517890" cy="1962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14</xdr:col>
      <xdr:colOff>170815</xdr:colOff>
      <xdr:row>12</xdr:row>
      <xdr:rowOff>105410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" y="95250"/>
          <a:ext cx="9705340" cy="20675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10</xdr:col>
      <xdr:colOff>238760</xdr:colOff>
      <xdr:row>27</xdr:row>
      <xdr:rowOff>93980</xdr:rowOff>
    </xdr:to>
    <xdr:pic>
      <xdr:nvPicPr>
        <xdr:cNvPr id="2" name="图片 1" descr="7.16会员日数据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7087235" cy="4713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50"/>
  <sheetViews>
    <sheetView showGridLines="0" tabSelected="1" zoomScale="70" zoomScaleNormal="70" workbookViewId="0">
      <pane xSplit="5" ySplit="9" topLeftCell="H10" activePane="bottomRight" state="frozen"/>
      <selection/>
      <selection pane="topRight"/>
      <selection pane="bottomLeft"/>
      <selection pane="bottomRight" activeCell="B20" sqref="B20"/>
    </sheetView>
  </sheetViews>
  <sheetFormatPr defaultColWidth="9" defaultRowHeight="13.5"/>
  <cols>
    <col min="1" max="1" width="19.125" customWidth="1"/>
    <col min="2" max="2" width="87.5" customWidth="1"/>
    <col min="3" max="3" width="17.375" style="117" hidden="1" customWidth="1"/>
    <col min="4" max="4" width="17.375" style="117" customWidth="1"/>
    <col min="5" max="5" width="17.25" customWidth="1"/>
    <col min="6" max="6" width="21.125" customWidth="1"/>
    <col min="7" max="7" width="21.25" style="118" customWidth="1"/>
    <col min="8" max="8" width="67.675" style="119" customWidth="1"/>
    <col min="9" max="9" width="11.9666666666667" customWidth="1"/>
    <col min="10" max="10" width="9" hidden="1" customWidth="1"/>
    <col min="11" max="11" width="10.875" customWidth="1"/>
  </cols>
  <sheetData>
    <row r="1" s="115" customFormat="1" ht="30" customHeight="1" spans="1:8">
      <c r="A1" s="120" t="s">
        <v>0</v>
      </c>
      <c r="B1" s="120"/>
      <c r="C1" s="121"/>
      <c r="D1" s="121"/>
      <c r="E1" s="120"/>
      <c r="F1" s="120"/>
      <c r="G1" s="120"/>
      <c r="H1" s="120"/>
    </row>
    <row r="2" spans="1:1">
      <c r="A2" s="122"/>
    </row>
    <row r="3" ht="24.95" customHeight="1" spans="1:8">
      <c r="A3" s="123" t="s">
        <v>1</v>
      </c>
      <c r="B3" s="123"/>
      <c r="C3" s="124"/>
      <c r="D3" s="124"/>
      <c r="E3" s="123"/>
      <c r="F3" s="123"/>
      <c r="G3" s="123"/>
      <c r="H3" s="123"/>
    </row>
    <row r="4" s="116" customFormat="1" ht="27" customHeight="1" spans="1:8">
      <c r="A4" s="125" t="s">
        <v>2</v>
      </c>
      <c r="B4" s="126"/>
      <c r="C4" s="127"/>
      <c r="D4" s="127"/>
      <c r="G4" s="128"/>
      <c r="H4" s="129"/>
    </row>
    <row r="5" s="20" customFormat="1" ht="21" customHeight="1" spans="1:8">
      <c r="A5" s="20" t="s">
        <v>3</v>
      </c>
      <c r="C5" s="130"/>
      <c r="D5" s="130"/>
      <c r="G5" s="61"/>
      <c r="H5" s="131"/>
    </row>
    <row r="6" s="20" customFormat="1" ht="24" customHeight="1" spans="1:8">
      <c r="A6" s="20" t="s">
        <v>4</v>
      </c>
      <c r="C6" s="130"/>
      <c r="D6" s="130"/>
      <c r="G6" s="61"/>
      <c r="H6" s="131"/>
    </row>
    <row r="7" s="20" customFormat="1" ht="26.25" customHeight="1" spans="1:8">
      <c r="A7" s="20" t="s">
        <v>5</v>
      </c>
      <c r="C7" s="130"/>
      <c r="D7" s="130"/>
      <c r="E7" s="21"/>
      <c r="F7" s="21"/>
      <c r="G7" s="61"/>
      <c r="H7" s="131"/>
    </row>
    <row r="8" ht="22" customHeight="1" spans="1:11">
      <c r="A8" s="132" t="s">
        <v>6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</row>
    <row r="9" s="20" customFormat="1" ht="24" customHeight="1" spans="1:11">
      <c r="A9" s="133" t="s">
        <v>7</v>
      </c>
      <c r="B9" s="133" t="s">
        <v>8</v>
      </c>
      <c r="C9" s="134" t="s">
        <v>9</v>
      </c>
      <c r="D9" s="134" t="s">
        <v>10</v>
      </c>
      <c r="E9" s="133" t="s">
        <v>11</v>
      </c>
      <c r="F9" s="133" t="s">
        <v>12</v>
      </c>
      <c r="G9" s="135" t="s">
        <v>13</v>
      </c>
      <c r="H9" s="136" t="s">
        <v>14</v>
      </c>
      <c r="I9" s="136" t="s">
        <v>15</v>
      </c>
      <c r="J9" s="136" t="s">
        <v>16</v>
      </c>
      <c r="K9" s="136" t="s">
        <v>17</v>
      </c>
    </row>
    <row r="10" s="20" customFormat="1" ht="24" customHeight="1" spans="1:11">
      <c r="A10" s="137" t="s">
        <v>18</v>
      </c>
      <c r="B10" s="138" t="s">
        <v>19</v>
      </c>
      <c r="C10" s="139"/>
      <c r="D10" s="139">
        <v>9.9</v>
      </c>
      <c r="E10" s="140">
        <v>100</v>
      </c>
      <c r="F10" s="141"/>
      <c r="G10" s="142" t="s">
        <v>20</v>
      </c>
      <c r="H10" s="143"/>
      <c r="I10" s="170">
        <v>85</v>
      </c>
      <c r="J10" s="170">
        <v>85</v>
      </c>
      <c r="K10" s="170">
        <v>841.5</v>
      </c>
    </row>
    <row r="11" s="20" customFormat="1" ht="24" customHeight="1" spans="1:11">
      <c r="A11" s="144"/>
      <c r="B11" s="138" t="s">
        <v>21</v>
      </c>
      <c r="C11" s="139"/>
      <c r="D11" s="139">
        <v>11</v>
      </c>
      <c r="E11" s="140">
        <v>100</v>
      </c>
      <c r="F11" s="141"/>
      <c r="G11" s="142" t="s">
        <v>20</v>
      </c>
      <c r="H11" s="143"/>
      <c r="I11" s="170">
        <v>85</v>
      </c>
      <c r="J11" s="170">
        <v>85</v>
      </c>
      <c r="K11" s="170">
        <v>935</v>
      </c>
    </row>
    <row r="12" s="20" customFormat="1" ht="24" customHeight="1" spans="1:11">
      <c r="A12" s="144"/>
      <c r="B12" s="138" t="s">
        <v>22</v>
      </c>
      <c r="C12" s="139"/>
      <c r="D12" s="139">
        <v>111</v>
      </c>
      <c r="E12" s="140">
        <v>100</v>
      </c>
      <c r="F12" s="141"/>
      <c r="G12" s="142" t="s">
        <v>20</v>
      </c>
      <c r="H12" s="143"/>
      <c r="I12" s="170">
        <v>80</v>
      </c>
      <c r="J12" s="170">
        <v>80</v>
      </c>
      <c r="K12" s="170">
        <v>8880</v>
      </c>
    </row>
    <row r="13" s="20" customFormat="1" ht="33.75" customHeight="1" spans="1:11">
      <c r="A13" s="145" t="s">
        <v>23</v>
      </c>
      <c r="B13" s="146" t="s">
        <v>24</v>
      </c>
      <c r="C13" s="147"/>
      <c r="D13" s="147">
        <v>3000</v>
      </c>
      <c r="E13" s="148">
        <v>50</v>
      </c>
      <c r="F13" s="142" t="s">
        <v>25</v>
      </c>
      <c r="G13" s="142" t="s">
        <v>26</v>
      </c>
      <c r="H13" s="149" t="s">
        <v>27</v>
      </c>
      <c r="I13" s="170">
        <v>15</v>
      </c>
      <c r="J13" s="170">
        <v>15</v>
      </c>
      <c r="K13" s="170">
        <v>45000</v>
      </c>
    </row>
    <row r="14" s="20" customFormat="1" ht="48.75" customHeight="1" spans="1:11">
      <c r="A14" s="150"/>
      <c r="B14" s="151" t="s">
        <v>28</v>
      </c>
      <c r="C14" s="147"/>
      <c r="D14" s="147"/>
      <c r="E14" s="148"/>
      <c r="F14" s="142"/>
      <c r="G14" s="142" t="s">
        <v>20</v>
      </c>
      <c r="H14" s="149"/>
      <c r="I14" s="171"/>
      <c r="J14" s="171"/>
      <c r="K14" s="171"/>
    </row>
    <row r="15" s="20" customFormat="1" ht="33" customHeight="1" spans="1:11">
      <c r="A15" s="152" t="s">
        <v>29</v>
      </c>
      <c r="B15" s="153" t="s">
        <v>30</v>
      </c>
      <c r="C15" s="147"/>
      <c r="D15" s="147">
        <v>2999</v>
      </c>
      <c r="E15" s="148">
        <v>100</v>
      </c>
      <c r="F15" s="142">
        <v>2999</v>
      </c>
      <c r="G15" s="142" t="s">
        <v>20</v>
      </c>
      <c r="H15" s="149" t="s">
        <v>31</v>
      </c>
      <c r="I15" s="172">
        <v>30</v>
      </c>
      <c r="J15" s="172">
        <v>30</v>
      </c>
      <c r="K15" s="173">
        <v>89970</v>
      </c>
    </row>
    <row r="16" s="20" customFormat="1" ht="45" customHeight="1" spans="1:11">
      <c r="A16" s="154"/>
      <c r="B16" s="155" t="s">
        <v>32</v>
      </c>
      <c r="C16" s="147"/>
      <c r="D16" s="147">
        <v>1111</v>
      </c>
      <c r="E16" s="148">
        <v>100</v>
      </c>
      <c r="F16" s="148" t="s">
        <v>33</v>
      </c>
      <c r="G16" s="142" t="s">
        <v>20</v>
      </c>
      <c r="H16" s="149" t="s">
        <v>34</v>
      </c>
      <c r="I16" s="172">
        <v>30</v>
      </c>
      <c r="J16" s="172">
        <v>30</v>
      </c>
      <c r="K16" s="173">
        <v>33330</v>
      </c>
    </row>
    <row r="17" s="20" customFormat="1" ht="46.5" customHeight="1" spans="1:11">
      <c r="A17" s="154"/>
      <c r="B17" s="155" t="s">
        <v>35</v>
      </c>
      <c r="C17" s="147"/>
      <c r="D17" s="147">
        <v>248</v>
      </c>
      <c r="E17" s="148">
        <v>200</v>
      </c>
      <c r="F17" s="148">
        <v>238</v>
      </c>
      <c r="G17" s="142" t="s">
        <v>20</v>
      </c>
      <c r="H17" s="149" t="s">
        <v>34</v>
      </c>
      <c r="I17" s="172">
        <v>40</v>
      </c>
      <c r="J17" s="172">
        <v>40</v>
      </c>
      <c r="K17" s="173">
        <v>9920</v>
      </c>
    </row>
    <row r="18" s="20" customFormat="1" ht="24.95" customHeight="1" spans="1:11">
      <c r="A18" s="154"/>
      <c r="B18" s="156" t="s">
        <v>36</v>
      </c>
      <c r="C18" s="147"/>
      <c r="D18" s="147">
        <v>1511</v>
      </c>
      <c r="E18" s="148">
        <v>100</v>
      </c>
      <c r="F18" s="148">
        <v>758</v>
      </c>
      <c r="G18" s="142" t="s">
        <v>20</v>
      </c>
      <c r="H18" s="149"/>
      <c r="I18" s="172">
        <v>13</v>
      </c>
      <c r="J18" s="172">
        <v>13</v>
      </c>
      <c r="K18" s="173">
        <v>19643</v>
      </c>
    </row>
    <row r="19" s="20" customFormat="1" ht="24.95" customHeight="1" spans="1:11">
      <c r="A19" s="154"/>
      <c r="B19" s="156" t="s">
        <v>37</v>
      </c>
      <c r="C19" s="147"/>
      <c r="D19" s="147">
        <v>318</v>
      </c>
      <c r="E19" s="148">
        <v>200</v>
      </c>
      <c r="F19" s="148"/>
      <c r="G19" s="142" t="s">
        <v>20</v>
      </c>
      <c r="H19" s="149"/>
      <c r="I19" s="172">
        <v>21</v>
      </c>
      <c r="J19" s="172">
        <v>21</v>
      </c>
      <c r="K19" s="173">
        <v>6678</v>
      </c>
    </row>
    <row r="20" s="20" customFormat="1" ht="24.95" customHeight="1" spans="1:11">
      <c r="A20" s="154"/>
      <c r="B20" s="155" t="s">
        <v>38</v>
      </c>
      <c r="C20" s="147"/>
      <c r="D20" s="147">
        <v>168</v>
      </c>
      <c r="E20" s="148">
        <v>100</v>
      </c>
      <c r="F20" s="148">
        <v>168</v>
      </c>
      <c r="G20" s="142" t="s">
        <v>20</v>
      </c>
      <c r="H20" s="149"/>
      <c r="I20" s="172">
        <v>15</v>
      </c>
      <c r="J20" s="172">
        <v>15</v>
      </c>
      <c r="K20" s="173">
        <v>2520</v>
      </c>
    </row>
    <row r="21" s="20" customFormat="1" ht="24.95" customHeight="1" spans="1:11">
      <c r="A21" s="154"/>
      <c r="B21" s="155" t="s">
        <v>39</v>
      </c>
      <c r="C21" s="147"/>
      <c r="D21" s="147">
        <v>2388</v>
      </c>
      <c r="E21" s="148">
        <v>100</v>
      </c>
      <c r="F21" s="148">
        <v>988</v>
      </c>
      <c r="G21" s="142" t="s">
        <v>20</v>
      </c>
      <c r="H21" s="149"/>
      <c r="I21" s="172">
        <v>2</v>
      </c>
      <c r="J21" s="172">
        <v>2</v>
      </c>
      <c r="K21" s="173">
        <v>4776</v>
      </c>
    </row>
    <row r="22" s="20" customFormat="1" ht="24.95" customHeight="1" spans="1:11">
      <c r="A22" s="154"/>
      <c r="B22" s="155" t="s">
        <v>40</v>
      </c>
      <c r="C22" s="147"/>
      <c r="D22" s="147">
        <v>1111</v>
      </c>
      <c r="E22" s="148">
        <v>100</v>
      </c>
      <c r="F22" s="148">
        <v>988</v>
      </c>
      <c r="G22" s="142" t="s">
        <v>20</v>
      </c>
      <c r="H22" s="149"/>
      <c r="I22" s="172">
        <v>4</v>
      </c>
      <c r="J22" s="172">
        <v>4</v>
      </c>
      <c r="K22" s="173">
        <v>4444</v>
      </c>
    </row>
    <row r="23" s="20" customFormat="1" ht="24.95" customHeight="1" spans="1:11">
      <c r="A23" s="157" t="s">
        <v>41</v>
      </c>
      <c r="B23" s="153" t="s">
        <v>42</v>
      </c>
      <c r="C23" s="147"/>
      <c r="D23" s="147">
        <v>28</v>
      </c>
      <c r="E23" s="148">
        <v>200</v>
      </c>
      <c r="F23" s="148">
        <v>28</v>
      </c>
      <c r="G23" s="142" t="s">
        <v>20</v>
      </c>
      <c r="H23" s="149"/>
      <c r="I23" s="172">
        <v>58</v>
      </c>
      <c r="J23" s="172">
        <v>58</v>
      </c>
      <c r="K23" s="173">
        <v>1624</v>
      </c>
    </row>
    <row r="24" s="20" customFormat="1" ht="24.95" customHeight="1" spans="1:11">
      <c r="A24" s="158"/>
      <c r="B24" s="153" t="s">
        <v>43</v>
      </c>
      <c r="C24" s="147"/>
      <c r="D24" s="147">
        <v>138</v>
      </c>
      <c r="E24" s="148">
        <v>100</v>
      </c>
      <c r="F24" s="148">
        <v>138</v>
      </c>
      <c r="G24" s="142" t="s">
        <v>20</v>
      </c>
      <c r="H24" s="149"/>
      <c r="I24" s="172">
        <v>7</v>
      </c>
      <c r="J24" s="172">
        <v>7</v>
      </c>
      <c r="K24" s="172">
        <v>966</v>
      </c>
    </row>
    <row r="25" s="20" customFormat="1" ht="24.95" customHeight="1" spans="1:11">
      <c r="A25" s="158"/>
      <c r="B25" s="153" t="s">
        <v>44</v>
      </c>
      <c r="C25" s="147"/>
      <c r="D25" s="147">
        <v>111</v>
      </c>
      <c r="E25" s="148" t="s">
        <v>45</v>
      </c>
      <c r="F25" s="148"/>
      <c r="G25" s="142" t="s">
        <v>20</v>
      </c>
      <c r="H25" s="149"/>
      <c r="I25" s="172">
        <v>10</v>
      </c>
      <c r="J25" s="172">
        <v>10</v>
      </c>
      <c r="K25" s="173">
        <v>1110</v>
      </c>
    </row>
    <row r="26" s="20" customFormat="1" ht="37.5" customHeight="1" spans="1:11">
      <c r="A26" s="158"/>
      <c r="B26" s="159" t="s">
        <v>46</v>
      </c>
      <c r="C26" s="160"/>
      <c r="D26" s="160">
        <v>111</v>
      </c>
      <c r="E26" s="148" t="s">
        <v>45</v>
      </c>
      <c r="F26" s="148"/>
      <c r="G26" s="142" t="s">
        <v>20</v>
      </c>
      <c r="H26" s="149"/>
      <c r="I26" s="172">
        <v>5</v>
      </c>
      <c r="J26" s="172">
        <v>5</v>
      </c>
      <c r="K26" s="172">
        <v>555</v>
      </c>
    </row>
    <row r="27" s="20" customFormat="1" ht="24.95" customHeight="1" spans="1:11">
      <c r="A27" s="158"/>
      <c r="B27" s="161" t="s">
        <v>47</v>
      </c>
      <c r="C27" s="160"/>
      <c r="D27" s="160">
        <v>218</v>
      </c>
      <c r="E27" s="148" t="s">
        <v>45</v>
      </c>
      <c r="F27" s="148"/>
      <c r="G27" s="142" t="s">
        <v>20</v>
      </c>
      <c r="H27" s="149"/>
      <c r="I27" s="172">
        <v>5</v>
      </c>
      <c r="J27" s="172">
        <v>5</v>
      </c>
      <c r="K27" s="173">
        <v>1090</v>
      </c>
    </row>
    <row r="28" s="20" customFormat="1" ht="24.95" customHeight="1" spans="1:11">
      <c r="A28" s="158"/>
      <c r="B28" s="161" t="s">
        <v>48</v>
      </c>
      <c r="C28" s="160"/>
      <c r="D28" s="160">
        <v>188</v>
      </c>
      <c r="E28" s="148" t="s">
        <v>45</v>
      </c>
      <c r="F28" s="148"/>
      <c r="G28" s="142" t="s">
        <v>20</v>
      </c>
      <c r="H28" s="149"/>
      <c r="I28" s="172">
        <v>5</v>
      </c>
      <c r="J28" s="172">
        <v>5</v>
      </c>
      <c r="K28" s="172">
        <v>940</v>
      </c>
    </row>
    <row r="29" s="20" customFormat="1" ht="24.95" customHeight="1" spans="1:11">
      <c r="A29" s="158"/>
      <c r="B29" s="161" t="s">
        <v>49</v>
      </c>
      <c r="C29" s="160"/>
      <c r="D29" s="160">
        <v>168</v>
      </c>
      <c r="E29" s="148" t="s">
        <v>45</v>
      </c>
      <c r="F29" s="148"/>
      <c r="G29" s="142" t="s">
        <v>20</v>
      </c>
      <c r="H29" s="149"/>
      <c r="I29" s="172">
        <v>5</v>
      </c>
      <c r="J29" s="172">
        <v>5</v>
      </c>
      <c r="K29" s="172">
        <v>840</v>
      </c>
    </row>
    <row r="30" s="20" customFormat="1" ht="24.95" customHeight="1" spans="1:11">
      <c r="A30" s="162" t="s">
        <v>50</v>
      </c>
      <c r="B30" s="155" t="s">
        <v>51</v>
      </c>
      <c r="C30" s="147"/>
      <c r="D30" s="147">
        <v>128</v>
      </c>
      <c r="E30" s="148">
        <v>200</v>
      </c>
      <c r="F30" s="148"/>
      <c r="G30" s="142" t="s">
        <v>20</v>
      </c>
      <c r="H30" s="149" t="s">
        <v>52</v>
      </c>
      <c r="I30" s="172">
        <v>10</v>
      </c>
      <c r="J30" s="172">
        <v>10</v>
      </c>
      <c r="K30" s="173">
        <v>1280</v>
      </c>
    </row>
    <row r="31" s="20" customFormat="1" ht="24.95" customHeight="1" spans="1:11">
      <c r="A31" s="163"/>
      <c r="B31" s="155" t="s">
        <v>53</v>
      </c>
      <c r="C31" s="147"/>
      <c r="D31" s="147">
        <v>111</v>
      </c>
      <c r="E31" s="148">
        <v>200</v>
      </c>
      <c r="F31" s="148"/>
      <c r="G31" s="142" t="s">
        <v>20</v>
      </c>
      <c r="H31" s="149" t="s">
        <v>52</v>
      </c>
      <c r="I31" s="172">
        <v>10</v>
      </c>
      <c r="J31" s="172">
        <v>10</v>
      </c>
      <c r="K31" s="172">
        <v>1110</v>
      </c>
    </row>
    <row r="32" s="20" customFormat="1" ht="24.95" customHeight="1" spans="1:11">
      <c r="A32" s="163"/>
      <c r="B32" s="155" t="s">
        <v>54</v>
      </c>
      <c r="C32" s="147"/>
      <c r="D32" s="147">
        <v>208</v>
      </c>
      <c r="E32" s="148">
        <v>100</v>
      </c>
      <c r="F32" s="148">
        <v>208</v>
      </c>
      <c r="G32" s="142" t="s">
        <v>20</v>
      </c>
      <c r="H32" s="149" t="s">
        <v>52</v>
      </c>
      <c r="I32" s="172">
        <v>23</v>
      </c>
      <c r="J32" s="172">
        <v>23</v>
      </c>
      <c r="K32" s="173">
        <v>4784</v>
      </c>
    </row>
    <row r="33" ht="24.95" customHeight="1" spans="1:11">
      <c r="A33" s="163"/>
      <c r="B33" s="155" t="s">
        <v>55</v>
      </c>
      <c r="C33" s="147"/>
      <c r="D33" s="147">
        <v>238</v>
      </c>
      <c r="E33" s="148">
        <v>100</v>
      </c>
      <c r="F33" s="148">
        <v>238</v>
      </c>
      <c r="G33" s="142" t="s">
        <v>20</v>
      </c>
      <c r="H33" s="149" t="s">
        <v>52</v>
      </c>
      <c r="I33" s="172">
        <v>17</v>
      </c>
      <c r="J33" s="172">
        <v>17</v>
      </c>
      <c r="K33" s="173">
        <v>4046</v>
      </c>
    </row>
    <row r="34" ht="24.95" customHeight="1" spans="1:11">
      <c r="A34" s="163"/>
      <c r="B34" s="164" t="s">
        <v>56</v>
      </c>
      <c r="C34" s="147"/>
      <c r="D34" s="147" t="s">
        <v>57</v>
      </c>
      <c r="E34" s="148">
        <v>100</v>
      </c>
      <c r="F34" s="148">
        <v>0</v>
      </c>
      <c r="G34" s="142" t="s">
        <v>20</v>
      </c>
      <c r="H34" s="149"/>
      <c r="I34" s="172">
        <v>5</v>
      </c>
      <c r="J34" s="172">
        <v>5</v>
      </c>
      <c r="K34" s="173">
        <v>1000</v>
      </c>
    </row>
    <row r="35" ht="24.95" customHeight="1" spans="1:11">
      <c r="A35" s="163"/>
      <c r="B35" s="155" t="s">
        <v>58</v>
      </c>
      <c r="C35" s="147"/>
      <c r="D35" s="147">
        <v>1588</v>
      </c>
      <c r="E35" s="148">
        <v>100</v>
      </c>
      <c r="F35" s="148">
        <v>1588</v>
      </c>
      <c r="G35" s="142" t="s">
        <v>20</v>
      </c>
      <c r="H35" s="149" t="s">
        <v>52</v>
      </c>
      <c r="I35" s="172">
        <v>1</v>
      </c>
      <c r="J35" s="172">
        <v>1</v>
      </c>
      <c r="K35" s="173">
        <v>1588</v>
      </c>
    </row>
    <row r="36" ht="60.75" customHeight="1" spans="1:11">
      <c r="A36" s="145" t="s">
        <v>59</v>
      </c>
      <c r="B36" s="156" t="s">
        <v>60</v>
      </c>
      <c r="C36" s="147"/>
      <c r="D36" s="147">
        <v>13566</v>
      </c>
      <c r="E36" s="148">
        <v>20</v>
      </c>
      <c r="F36" s="165">
        <v>13566</v>
      </c>
      <c r="G36" s="142"/>
      <c r="H36" s="149" t="s">
        <v>61</v>
      </c>
      <c r="I36" s="172">
        <v>7</v>
      </c>
      <c r="J36" s="172">
        <v>7</v>
      </c>
      <c r="K36" s="173">
        <v>94962</v>
      </c>
    </row>
    <row r="37" ht="72" customHeight="1" spans="1:11">
      <c r="A37" s="150"/>
      <c r="B37" s="156" t="s">
        <v>62</v>
      </c>
      <c r="C37" s="147"/>
      <c r="D37" s="147">
        <v>12999</v>
      </c>
      <c r="E37" s="148">
        <v>20</v>
      </c>
      <c r="F37" s="165">
        <v>12999</v>
      </c>
      <c r="G37" s="142"/>
      <c r="H37" s="149" t="s">
        <v>61</v>
      </c>
      <c r="I37" s="172">
        <v>4</v>
      </c>
      <c r="J37" s="172">
        <v>4</v>
      </c>
      <c r="K37" s="173">
        <v>51996</v>
      </c>
    </row>
    <row r="38" ht="39.95" customHeight="1" spans="1:11">
      <c r="A38" s="150"/>
      <c r="B38" s="156" t="s">
        <v>63</v>
      </c>
      <c r="C38" s="147"/>
      <c r="D38" s="147">
        <v>5088</v>
      </c>
      <c r="E38" s="148">
        <v>20</v>
      </c>
      <c r="F38" s="165">
        <v>5088</v>
      </c>
      <c r="G38" s="142"/>
      <c r="H38" s="149" t="s">
        <v>61</v>
      </c>
      <c r="I38" s="172">
        <v>5</v>
      </c>
      <c r="J38" s="172">
        <v>5</v>
      </c>
      <c r="K38" s="173">
        <v>25440</v>
      </c>
    </row>
    <row r="39" ht="61.5" customHeight="1" spans="1:11">
      <c r="A39" s="150"/>
      <c r="B39" s="156" t="s">
        <v>64</v>
      </c>
      <c r="C39" s="147"/>
      <c r="D39" s="147">
        <v>25400</v>
      </c>
      <c r="E39" s="148">
        <v>20</v>
      </c>
      <c r="F39" s="165">
        <v>25400</v>
      </c>
      <c r="G39" s="142"/>
      <c r="H39" s="149" t="s">
        <v>61</v>
      </c>
      <c r="I39" s="172">
        <v>1</v>
      </c>
      <c r="J39" s="172">
        <v>1</v>
      </c>
      <c r="K39" s="173">
        <v>25400</v>
      </c>
    </row>
    <row r="40" ht="39.95" customHeight="1" spans="1:11">
      <c r="A40" s="150"/>
      <c r="B40" s="156" t="s">
        <v>65</v>
      </c>
      <c r="C40" s="147"/>
      <c r="D40" s="147">
        <v>6000</v>
      </c>
      <c r="E40" s="148">
        <v>20</v>
      </c>
      <c r="F40" s="165">
        <v>6000</v>
      </c>
      <c r="G40" s="142"/>
      <c r="H40" s="149" t="s">
        <v>61</v>
      </c>
      <c r="I40" s="172">
        <v>2</v>
      </c>
      <c r="J40" s="172">
        <v>2</v>
      </c>
      <c r="K40" s="173">
        <v>12000</v>
      </c>
    </row>
    <row r="41" ht="57.75" customHeight="1" spans="1:11">
      <c r="A41" s="150"/>
      <c r="B41" s="156" t="s">
        <v>66</v>
      </c>
      <c r="C41" s="147"/>
      <c r="D41" s="147">
        <v>8306</v>
      </c>
      <c r="E41" s="148">
        <v>20</v>
      </c>
      <c r="F41" s="165">
        <v>8306</v>
      </c>
      <c r="G41" s="142"/>
      <c r="H41" s="149" t="s">
        <v>61</v>
      </c>
      <c r="I41" s="172">
        <v>2</v>
      </c>
      <c r="J41" s="172">
        <v>2</v>
      </c>
      <c r="K41" s="173">
        <v>16612</v>
      </c>
    </row>
    <row r="42" ht="57" customHeight="1" spans="1:11">
      <c r="A42" s="150"/>
      <c r="B42" s="156" t="s">
        <v>67</v>
      </c>
      <c r="C42" s="147"/>
      <c r="D42" s="147">
        <v>15666</v>
      </c>
      <c r="E42" s="148">
        <v>20</v>
      </c>
      <c r="F42" s="165">
        <v>15666</v>
      </c>
      <c r="G42" s="142"/>
      <c r="H42" s="149" t="s">
        <v>61</v>
      </c>
      <c r="I42" s="172">
        <v>1</v>
      </c>
      <c r="J42" s="172">
        <v>1</v>
      </c>
      <c r="K42" s="173">
        <v>15666</v>
      </c>
    </row>
    <row r="43" ht="39.95" customHeight="1" spans="1:11">
      <c r="A43" s="150"/>
      <c r="B43" s="156" t="s">
        <v>68</v>
      </c>
      <c r="C43" s="147"/>
      <c r="D43" s="147">
        <v>4388</v>
      </c>
      <c r="E43" s="148">
        <v>20</v>
      </c>
      <c r="F43" s="165">
        <v>4388</v>
      </c>
      <c r="G43" s="142"/>
      <c r="H43" s="149" t="s">
        <v>61</v>
      </c>
      <c r="I43" s="172">
        <v>1</v>
      </c>
      <c r="J43" s="172">
        <v>1</v>
      </c>
      <c r="K43" s="173">
        <v>4388</v>
      </c>
    </row>
    <row r="44" ht="24.95" customHeight="1" spans="1:11">
      <c r="A44" s="166" t="s">
        <v>69</v>
      </c>
      <c r="B44" s="156" t="s">
        <v>70</v>
      </c>
      <c r="C44" s="147"/>
      <c r="D44" s="147">
        <v>1388</v>
      </c>
      <c r="E44" s="148">
        <v>30</v>
      </c>
      <c r="F44" s="165">
        <v>788</v>
      </c>
      <c r="G44" s="142" t="s">
        <v>20</v>
      </c>
      <c r="H44" s="149" t="s">
        <v>71</v>
      </c>
      <c r="I44" s="172">
        <v>7</v>
      </c>
      <c r="J44" s="172">
        <v>7</v>
      </c>
      <c r="K44" s="173">
        <v>9716</v>
      </c>
    </row>
    <row r="45" ht="24.95" customHeight="1" spans="1:11">
      <c r="A45" s="166"/>
      <c r="B45" s="167" t="s">
        <v>72</v>
      </c>
      <c r="C45" s="168"/>
      <c r="D45" s="168">
        <v>1388</v>
      </c>
      <c r="E45" s="142">
        <v>15</v>
      </c>
      <c r="F45" s="169">
        <v>1698</v>
      </c>
      <c r="G45" s="142" t="s">
        <v>20</v>
      </c>
      <c r="H45" s="149" t="s">
        <v>71</v>
      </c>
      <c r="I45" s="172">
        <v>1</v>
      </c>
      <c r="J45" s="172">
        <v>1</v>
      </c>
      <c r="K45" s="173">
        <v>1388</v>
      </c>
    </row>
    <row r="46" ht="24.95" customHeight="1" spans="1:11">
      <c r="A46" s="166" t="s">
        <v>73</v>
      </c>
      <c r="B46" s="167" t="s">
        <v>74</v>
      </c>
      <c r="C46" s="168"/>
      <c r="D46" s="168">
        <v>500</v>
      </c>
      <c r="E46" s="142">
        <v>100</v>
      </c>
      <c r="F46" s="169">
        <v>500</v>
      </c>
      <c r="G46" s="142" t="s">
        <v>20</v>
      </c>
      <c r="H46" s="149"/>
      <c r="I46" s="172">
        <v>4</v>
      </c>
      <c r="J46" s="172">
        <v>4</v>
      </c>
      <c r="K46" s="173">
        <v>2000</v>
      </c>
    </row>
    <row r="47" ht="24.95" customHeight="1" spans="1:11">
      <c r="A47" s="166"/>
      <c r="B47" s="167" t="s">
        <v>75</v>
      </c>
      <c r="C47" s="168"/>
      <c r="D47" s="168">
        <v>1000</v>
      </c>
      <c r="E47" s="142">
        <v>100</v>
      </c>
      <c r="F47" s="169">
        <v>1000</v>
      </c>
      <c r="G47" s="142" t="s">
        <v>20</v>
      </c>
      <c r="H47" s="149"/>
      <c r="I47" s="172">
        <v>1</v>
      </c>
      <c r="J47" s="172">
        <v>1</v>
      </c>
      <c r="K47" s="173">
        <v>1000</v>
      </c>
    </row>
    <row r="48" ht="24.95" customHeight="1" spans="1:11">
      <c r="A48" s="166"/>
      <c r="B48" s="167" t="s">
        <v>76</v>
      </c>
      <c r="C48" s="168"/>
      <c r="D48" s="168">
        <v>800</v>
      </c>
      <c r="E48" s="142">
        <v>100</v>
      </c>
      <c r="F48" s="169">
        <v>800</v>
      </c>
      <c r="G48" s="142" t="s">
        <v>20</v>
      </c>
      <c r="H48" s="149"/>
      <c r="I48" s="172">
        <v>1</v>
      </c>
      <c r="J48" s="172">
        <v>1</v>
      </c>
      <c r="K48" s="172">
        <v>800</v>
      </c>
    </row>
    <row r="49" ht="17.25" spans="9:11">
      <c r="I49" s="174">
        <f>SUM(I10:I48)</f>
        <v>618</v>
      </c>
      <c r="J49" s="174">
        <f>SUM(J10:J48)</f>
        <v>618</v>
      </c>
      <c r="K49" s="174">
        <f>SUM(K10:K48)</f>
        <v>509238.5</v>
      </c>
    </row>
    <row r="50" ht="17.25" spans="9:9">
      <c r="I50" s="174"/>
    </row>
  </sheetData>
  <mergeCells count="11">
    <mergeCell ref="A1:H1"/>
    <mergeCell ref="A3:H3"/>
    <mergeCell ref="A8:K8"/>
    <mergeCell ref="A10:A12"/>
    <mergeCell ref="A13:A14"/>
    <mergeCell ref="A15:A22"/>
    <mergeCell ref="A23:A29"/>
    <mergeCell ref="A30:A35"/>
    <mergeCell ref="A36:A43"/>
    <mergeCell ref="A44:A45"/>
    <mergeCell ref="A46:A4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T46"/>
  <sheetViews>
    <sheetView zoomScale="85" zoomScaleNormal="85" topLeftCell="A29" workbookViewId="0">
      <selection activeCell="C41" sqref="C41"/>
    </sheetView>
  </sheetViews>
  <sheetFormatPr defaultColWidth="9" defaultRowHeight="13.5"/>
  <cols>
    <col min="1" max="1" width="4.7" style="74" customWidth="1"/>
    <col min="2" max="2" width="13.0916666666667" style="74" customWidth="1"/>
    <col min="3" max="3" width="66.325" style="75" customWidth="1"/>
    <col min="4" max="5" width="13.5" style="76" hidden="1" customWidth="1"/>
    <col min="6" max="8" width="13.5" style="76" customWidth="1"/>
    <col min="9" max="9" width="17.2" style="76" customWidth="1"/>
    <col min="10" max="10" width="17.0583333333333" style="76" customWidth="1"/>
    <col min="11" max="11" width="15.125" style="76" customWidth="1"/>
    <col min="12" max="12" width="13.5" style="77" customWidth="1"/>
    <col min="13" max="13" width="13.5" style="74" customWidth="1"/>
    <col min="14" max="14" width="13.875" style="74" customWidth="1"/>
    <col min="15" max="15" width="11.75" style="74" customWidth="1"/>
    <col min="16" max="16" width="16.125" style="74" customWidth="1"/>
    <col min="17" max="17" width="9" style="74"/>
    <col min="18" max="18" width="15.5" style="74" customWidth="1"/>
    <col min="19" max="19" width="15.125" style="74" customWidth="1"/>
    <col min="20" max="20" width="17.75" style="74" customWidth="1"/>
    <col min="21" max="16384" width="9" style="74"/>
  </cols>
  <sheetData>
    <row r="1" s="73" customFormat="1" ht="42.75" customHeight="1" spans="2:18">
      <c r="B1" s="78" t="s">
        <v>77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="73" customFormat="1" ht="18" spans="2:20">
      <c r="B2" s="79" t="s">
        <v>7</v>
      </c>
      <c r="C2" s="79" t="s">
        <v>8</v>
      </c>
      <c r="D2" s="80" t="s">
        <v>78</v>
      </c>
      <c r="E2" s="80" t="s">
        <v>79</v>
      </c>
      <c r="F2" s="80" t="s">
        <v>80</v>
      </c>
      <c r="G2" s="80" t="s">
        <v>81</v>
      </c>
      <c r="H2" s="80" t="s">
        <v>82</v>
      </c>
      <c r="I2" s="87" t="s">
        <v>83</v>
      </c>
      <c r="J2" s="87" t="s">
        <v>84</v>
      </c>
      <c r="L2" s="88" t="s">
        <v>85</v>
      </c>
      <c r="M2" s="89" t="s">
        <v>78</v>
      </c>
      <c r="N2" s="89" t="s">
        <v>86</v>
      </c>
      <c r="O2" s="89" t="s">
        <v>81</v>
      </c>
      <c r="P2" s="89" t="s">
        <v>82</v>
      </c>
      <c r="Q2" s="106"/>
      <c r="R2" s="107" t="s">
        <v>87</v>
      </c>
      <c r="S2" s="107" t="s">
        <v>88</v>
      </c>
      <c r="T2" s="107" t="s">
        <v>89</v>
      </c>
    </row>
    <row r="3" s="73" customFormat="1" ht="17.25" spans="2:20">
      <c r="B3" s="81" t="s">
        <v>90</v>
      </c>
      <c r="C3" s="81" t="s">
        <v>91</v>
      </c>
      <c r="D3" s="81">
        <v>278</v>
      </c>
      <c r="E3" s="81">
        <v>105</v>
      </c>
      <c r="F3" s="81">
        <v>5000</v>
      </c>
      <c r="G3" s="81">
        <v>21</v>
      </c>
      <c r="H3" s="81">
        <v>105000</v>
      </c>
      <c r="I3" s="81">
        <v>43</v>
      </c>
      <c r="J3" s="90">
        <v>53</v>
      </c>
      <c r="L3" s="91" t="s">
        <v>59</v>
      </c>
      <c r="M3" s="91">
        <v>213</v>
      </c>
      <c r="N3" s="91">
        <v>104</v>
      </c>
      <c r="O3" s="91">
        <v>32</v>
      </c>
      <c r="P3" s="91">
        <v>322248</v>
      </c>
      <c r="Q3" s="108"/>
      <c r="R3" s="109" t="s">
        <v>92</v>
      </c>
      <c r="S3" s="110">
        <v>0.843263080359523</v>
      </c>
      <c r="T3" s="111">
        <v>775049</v>
      </c>
    </row>
    <row r="4" s="73" customFormat="1" ht="17.25" spans="2:20">
      <c r="B4" s="81" t="s">
        <v>90</v>
      </c>
      <c r="C4" s="81" t="s">
        <v>93</v>
      </c>
      <c r="D4" s="81">
        <v>149</v>
      </c>
      <c r="E4" s="81">
        <v>70</v>
      </c>
      <c r="F4" s="81">
        <v>2000</v>
      </c>
      <c r="G4" s="81">
        <v>13</v>
      </c>
      <c r="H4" s="81">
        <v>26000</v>
      </c>
      <c r="I4" s="92" t="s">
        <v>33</v>
      </c>
      <c r="J4" s="92">
        <v>2</v>
      </c>
      <c r="L4" s="91" t="s">
        <v>94</v>
      </c>
      <c r="M4" s="91">
        <v>909</v>
      </c>
      <c r="N4" s="91">
        <v>470</v>
      </c>
      <c r="O4" s="91">
        <v>190</v>
      </c>
      <c r="P4" s="91">
        <v>182925</v>
      </c>
      <c r="Q4" s="108"/>
      <c r="R4" s="109" t="s">
        <v>95</v>
      </c>
      <c r="S4" s="110">
        <v>0.0499680668300862</v>
      </c>
      <c r="T4" s="111">
        <v>45926</v>
      </c>
    </row>
    <row r="5" s="73" customFormat="1" ht="17.25" spans="2:20">
      <c r="B5" s="81" t="s">
        <v>90</v>
      </c>
      <c r="C5" s="81" t="s">
        <v>96</v>
      </c>
      <c r="D5" s="81">
        <v>97</v>
      </c>
      <c r="E5" s="81">
        <v>55</v>
      </c>
      <c r="F5" s="81">
        <v>600</v>
      </c>
      <c r="G5" s="81">
        <v>19</v>
      </c>
      <c r="H5" s="81">
        <v>11400</v>
      </c>
      <c r="I5" s="92" t="s">
        <v>33</v>
      </c>
      <c r="J5" s="92" t="s">
        <v>33</v>
      </c>
      <c r="L5" s="91" t="s">
        <v>97</v>
      </c>
      <c r="M5" s="91">
        <v>298</v>
      </c>
      <c r="N5" s="91">
        <v>170</v>
      </c>
      <c r="O5" s="91">
        <v>46</v>
      </c>
      <c r="P5" s="91">
        <v>129106</v>
      </c>
      <c r="Q5" s="108"/>
      <c r="R5" s="109" t="s">
        <v>98</v>
      </c>
      <c r="S5" s="110">
        <v>0.106768852810391</v>
      </c>
      <c r="T5" s="111">
        <v>98132</v>
      </c>
    </row>
    <row r="6" s="73" customFormat="1" ht="17.25" spans="2:20">
      <c r="B6" s="81" t="s">
        <v>90</v>
      </c>
      <c r="C6" s="81" t="s">
        <v>99</v>
      </c>
      <c r="D6" s="81">
        <v>82</v>
      </c>
      <c r="E6" s="81">
        <v>49</v>
      </c>
      <c r="F6" s="81">
        <v>300</v>
      </c>
      <c r="G6" s="81">
        <v>6</v>
      </c>
      <c r="H6" s="81">
        <v>1800</v>
      </c>
      <c r="I6" s="92" t="s">
        <v>33</v>
      </c>
      <c r="J6" s="92" t="s">
        <v>33</v>
      </c>
      <c r="L6" s="91" t="s">
        <v>100</v>
      </c>
      <c r="M6" s="91">
        <v>959</v>
      </c>
      <c r="N6" s="91">
        <v>503</v>
      </c>
      <c r="O6" s="91">
        <v>119</v>
      </c>
      <c r="P6" s="91">
        <v>100659</v>
      </c>
      <c r="Q6" s="108"/>
      <c r="R6" s="112"/>
      <c r="S6" s="113"/>
      <c r="T6" s="98"/>
    </row>
    <row r="7" s="73" customFormat="1" ht="33" spans="2:20">
      <c r="B7" s="81" t="s">
        <v>29</v>
      </c>
      <c r="C7" s="82" t="s">
        <v>101</v>
      </c>
      <c r="D7" s="81">
        <v>866</v>
      </c>
      <c r="E7" s="81">
        <v>420</v>
      </c>
      <c r="F7" s="81">
        <v>2999</v>
      </c>
      <c r="G7" s="81">
        <v>55</v>
      </c>
      <c r="H7" s="81">
        <v>164945</v>
      </c>
      <c r="I7" s="81">
        <v>47</v>
      </c>
      <c r="J7" s="90">
        <v>37</v>
      </c>
      <c r="L7" s="91" t="s">
        <v>102</v>
      </c>
      <c r="M7" s="91">
        <v>412</v>
      </c>
      <c r="N7" s="91">
        <v>170</v>
      </c>
      <c r="O7" s="91">
        <v>35</v>
      </c>
      <c r="P7" s="91">
        <v>11842</v>
      </c>
      <c r="Q7" s="108"/>
      <c r="R7" s="114"/>
      <c r="S7" s="114"/>
      <c r="T7" s="114"/>
    </row>
    <row r="8" s="73" customFormat="1" ht="17.25" spans="2:20">
      <c r="B8" s="81" t="s">
        <v>29</v>
      </c>
      <c r="C8" s="81" t="s">
        <v>103</v>
      </c>
      <c r="D8" s="81">
        <v>935</v>
      </c>
      <c r="E8" s="81">
        <v>452</v>
      </c>
      <c r="F8" s="81">
        <v>208</v>
      </c>
      <c r="G8" s="81">
        <v>154</v>
      </c>
      <c r="H8" s="81">
        <v>32422</v>
      </c>
      <c r="I8" s="81">
        <v>71</v>
      </c>
      <c r="J8" s="92">
        <v>45</v>
      </c>
      <c r="L8" s="91" t="s">
        <v>104</v>
      </c>
      <c r="M8" s="91">
        <v>204</v>
      </c>
      <c r="N8" s="91">
        <v>107</v>
      </c>
      <c r="O8" s="91">
        <v>15</v>
      </c>
      <c r="P8" s="91">
        <v>10635</v>
      </c>
      <c r="Q8" s="108"/>
      <c r="R8" s="114"/>
      <c r="S8" s="114"/>
      <c r="T8" s="114"/>
    </row>
    <row r="9" s="73" customFormat="1" ht="33" spans="2:20">
      <c r="B9" s="81" t="s">
        <v>29</v>
      </c>
      <c r="C9" s="82" t="s">
        <v>105</v>
      </c>
      <c r="D9" s="81">
        <v>264</v>
      </c>
      <c r="E9" s="81">
        <v>155</v>
      </c>
      <c r="F9" s="81">
        <v>758</v>
      </c>
      <c r="G9" s="81">
        <v>28</v>
      </c>
      <c r="H9" s="81">
        <v>21224</v>
      </c>
      <c r="I9" s="81">
        <v>70</v>
      </c>
      <c r="J9" s="92">
        <v>56</v>
      </c>
      <c r="L9" s="91" t="s">
        <v>106</v>
      </c>
      <c r="M9" s="91">
        <v>146</v>
      </c>
      <c r="N9" s="91">
        <v>91</v>
      </c>
      <c r="O9" s="91">
        <v>9</v>
      </c>
      <c r="P9" s="91">
        <v>7185</v>
      </c>
      <c r="Q9" s="108"/>
      <c r="R9" s="114"/>
      <c r="S9" s="114"/>
      <c r="T9" s="114"/>
    </row>
    <row r="10" s="73" customFormat="1" ht="17.25" spans="2:20">
      <c r="B10" s="81" t="s">
        <v>29</v>
      </c>
      <c r="C10" s="81" t="s">
        <v>107</v>
      </c>
      <c r="D10" s="81">
        <v>496</v>
      </c>
      <c r="E10" s="81">
        <v>289</v>
      </c>
      <c r="F10" s="81">
        <v>399</v>
      </c>
      <c r="G10" s="81">
        <v>51</v>
      </c>
      <c r="H10" s="81">
        <v>20349</v>
      </c>
      <c r="I10" s="92" t="s">
        <v>33</v>
      </c>
      <c r="J10" s="92" t="s">
        <v>33</v>
      </c>
      <c r="L10" s="91" t="s">
        <v>108</v>
      </c>
      <c r="M10" s="91">
        <v>34</v>
      </c>
      <c r="N10" s="91">
        <v>26</v>
      </c>
      <c r="O10" s="91">
        <v>2</v>
      </c>
      <c r="P10" s="91">
        <v>3207</v>
      </c>
      <c r="Q10" s="108"/>
      <c r="R10" s="114"/>
      <c r="S10" s="114"/>
      <c r="T10" s="114"/>
    </row>
    <row r="11" s="73" customFormat="1" ht="17.25" spans="2:20">
      <c r="B11" s="81" t="s">
        <v>29</v>
      </c>
      <c r="C11" s="81" t="s">
        <v>109</v>
      </c>
      <c r="D11" s="81">
        <v>246</v>
      </c>
      <c r="E11" s="81">
        <v>168</v>
      </c>
      <c r="F11" s="81">
        <v>168</v>
      </c>
      <c r="G11" s="81">
        <v>65</v>
      </c>
      <c r="H11" s="81">
        <v>10920</v>
      </c>
      <c r="I11" s="81">
        <v>46</v>
      </c>
      <c r="J11" s="92">
        <v>12</v>
      </c>
      <c r="L11" s="91" t="s">
        <v>110</v>
      </c>
      <c r="M11" s="91">
        <v>63</v>
      </c>
      <c r="N11" s="91">
        <v>43</v>
      </c>
      <c r="O11" s="91">
        <v>9</v>
      </c>
      <c r="P11" s="91">
        <v>3108</v>
      </c>
      <c r="Q11" s="108"/>
      <c r="R11" s="114"/>
      <c r="S11" s="114"/>
      <c r="T11" s="114"/>
    </row>
    <row r="12" s="73" customFormat="1" ht="17.25" spans="2:20">
      <c r="B12" s="81" t="s">
        <v>29</v>
      </c>
      <c r="C12" s="81" t="s">
        <v>111</v>
      </c>
      <c r="D12" s="81">
        <v>200</v>
      </c>
      <c r="E12" s="81">
        <v>123</v>
      </c>
      <c r="F12" s="81">
        <v>558</v>
      </c>
      <c r="G12" s="81">
        <v>18</v>
      </c>
      <c r="H12" s="81">
        <v>10044</v>
      </c>
      <c r="I12" s="92" t="s">
        <v>33</v>
      </c>
      <c r="J12" s="92" t="s">
        <v>33</v>
      </c>
      <c r="L12" s="91" t="s">
        <v>112</v>
      </c>
      <c r="M12" s="91">
        <v>36</v>
      </c>
      <c r="N12" s="91">
        <v>24</v>
      </c>
      <c r="O12" s="91">
        <v>4</v>
      </c>
      <c r="P12" s="91">
        <v>2432</v>
      </c>
      <c r="Q12" s="108"/>
      <c r="R12" s="114"/>
      <c r="S12" s="114"/>
      <c r="T12" s="114"/>
    </row>
    <row r="13" s="73" customFormat="1" ht="33" spans="2:20">
      <c r="B13" s="81" t="s">
        <v>29</v>
      </c>
      <c r="C13" s="82" t="s">
        <v>113</v>
      </c>
      <c r="D13" s="81">
        <v>98</v>
      </c>
      <c r="E13" s="81">
        <v>62</v>
      </c>
      <c r="F13" s="81">
        <v>988</v>
      </c>
      <c r="G13" s="81">
        <v>3</v>
      </c>
      <c r="H13" s="81">
        <v>2964</v>
      </c>
      <c r="I13" s="81">
        <v>12</v>
      </c>
      <c r="J13" s="92">
        <v>7</v>
      </c>
      <c r="L13" s="91" t="s">
        <v>114</v>
      </c>
      <c r="M13" s="91">
        <v>78</v>
      </c>
      <c r="N13" s="91">
        <v>43</v>
      </c>
      <c r="O13" s="91">
        <v>4</v>
      </c>
      <c r="P13" s="91">
        <v>1702</v>
      </c>
      <c r="Q13" s="108"/>
      <c r="R13" s="114"/>
      <c r="S13" s="114"/>
      <c r="T13" s="114"/>
    </row>
    <row r="14" s="73" customFormat="1" ht="17.25" spans="2:20">
      <c r="B14" s="83" t="s">
        <v>50</v>
      </c>
      <c r="C14" s="81" t="s">
        <v>115</v>
      </c>
      <c r="D14" s="81">
        <v>265</v>
      </c>
      <c r="E14" s="81">
        <v>169</v>
      </c>
      <c r="F14" s="81">
        <v>208</v>
      </c>
      <c r="G14" s="81">
        <v>40</v>
      </c>
      <c r="H14" s="81">
        <v>8320</v>
      </c>
      <c r="I14" s="81">
        <v>47</v>
      </c>
      <c r="J14" s="92">
        <v>48</v>
      </c>
      <c r="L14" s="93"/>
      <c r="M14" s="94"/>
      <c r="N14" s="94"/>
      <c r="O14" s="94"/>
      <c r="P14" s="95"/>
      <c r="Q14" s="108"/>
      <c r="R14" s="114"/>
      <c r="S14" s="114"/>
      <c r="T14" s="114"/>
    </row>
    <row r="15" s="73" customFormat="1" ht="17.25" spans="2:20">
      <c r="B15" s="83" t="s">
        <v>50</v>
      </c>
      <c r="C15" s="81" t="s">
        <v>116</v>
      </c>
      <c r="D15" s="81">
        <v>186</v>
      </c>
      <c r="E15" s="81">
        <v>128</v>
      </c>
      <c r="F15" s="81">
        <v>238</v>
      </c>
      <c r="G15" s="81">
        <v>21</v>
      </c>
      <c r="H15" s="81">
        <v>4998</v>
      </c>
      <c r="I15" s="81">
        <v>56</v>
      </c>
      <c r="J15" s="92">
        <v>33</v>
      </c>
      <c r="L15" s="93"/>
      <c r="M15" s="94"/>
      <c r="N15" s="94"/>
      <c r="O15" s="94"/>
      <c r="P15" s="95"/>
      <c r="Q15" s="108"/>
      <c r="R15" s="114"/>
      <c r="S15" s="114" t="s">
        <v>117</v>
      </c>
      <c r="T15" s="114"/>
    </row>
    <row r="16" s="73" customFormat="1" ht="17.25" spans="2:20">
      <c r="B16" s="83" t="s">
        <v>50</v>
      </c>
      <c r="C16" s="81" t="s">
        <v>118</v>
      </c>
      <c r="D16" s="81">
        <v>124</v>
      </c>
      <c r="E16" s="81">
        <v>72</v>
      </c>
      <c r="F16" s="81">
        <v>588</v>
      </c>
      <c r="G16" s="81">
        <v>4</v>
      </c>
      <c r="H16" s="81">
        <v>2352</v>
      </c>
      <c r="I16" s="92" t="s">
        <v>33</v>
      </c>
      <c r="J16" s="92" t="s">
        <v>33</v>
      </c>
      <c r="L16" s="93"/>
      <c r="M16" s="94"/>
      <c r="N16" s="94"/>
      <c r="O16" s="94"/>
      <c r="P16" s="95"/>
      <c r="Q16" s="108"/>
      <c r="R16" s="114"/>
      <c r="S16" s="114"/>
      <c r="T16" s="114"/>
    </row>
    <row r="17" s="73" customFormat="1" ht="17.25" spans="2:20">
      <c r="B17" s="83" t="s">
        <v>50</v>
      </c>
      <c r="C17" s="81" t="s">
        <v>119</v>
      </c>
      <c r="D17" s="81">
        <v>82</v>
      </c>
      <c r="E17" s="81">
        <v>56</v>
      </c>
      <c r="F17" s="81">
        <v>188</v>
      </c>
      <c r="G17" s="81">
        <v>12</v>
      </c>
      <c r="H17" s="81">
        <v>2256</v>
      </c>
      <c r="I17" s="92" t="s">
        <v>33</v>
      </c>
      <c r="J17" s="92" t="s">
        <v>33</v>
      </c>
      <c r="L17" s="93"/>
      <c r="M17" s="94"/>
      <c r="N17" s="94"/>
      <c r="O17" s="94"/>
      <c r="P17" s="95"/>
      <c r="Q17" s="108"/>
      <c r="R17" s="114"/>
      <c r="S17" s="114"/>
      <c r="T17" s="114"/>
    </row>
    <row r="18" s="73" customFormat="1" ht="17.25" spans="2:20">
      <c r="B18" s="83" t="s">
        <v>50</v>
      </c>
      <c r="C18" s="81" t="s">
        <v>120</v>
      </c>
      <c r="D18" s="81">
        <v>170</v>
      </c>
      <c r="E18" s="81">
        <v>92</v>
      </c>
      <c r="F18" s="81">
        <v>88</v>
      </c>
      <c r="G18" s="81">
        <v>21</v>
      </c>
      <c r="H18" s="81">
        <v>1848</v>
      </c>
      <c r="I18" s="92" t="s">
        <v>33</v>
      </c>
      <c r="J18" s="92" t="s">
        <v>33</v>
      </c>
      <c r="L18" s="93"/>
      <c r="M18" s="94"/>
      <c r="N18" s="94"/>
      <c r="O18" s="94"/>
      <c r="P18" s="95"/>
      <c r="Q18" s="108"/>
      <c r="R18" s="114"/>
      <c r="S18" s="114"/>
      <c r="T18" s="114"/>
    </row>
    <row r="19" s="73" customFormat="1" ht="17.25" spans="2:20">
      <c r="B19" s="83" t="s">
        <v>50</v>
      </c>
      <c r="C19" s="81" t="s">
        <v>121</v>
      </c>
      <c r="D19" s="81">
        <v>144</v>
      </c>
      <c r="E19" s="81">
        <v>68</v>
      </c>
      <c r="F19" s="81">
        <v>588</v>
      </c>
      <c r="G19" s="81">
        <v>3</v>
      </c>
      <c r="H19" s="81">
        <v>1764</v>
      </c>
      <c r="I19" s="92" t="s">
        <v>33</v>
      </c>
      <c r="J19" s="92" t="s">
        <v>33</v>
      </c>
      <c r="L19" s="93"/>
      <c r="M19" s="94"/>
      <c r="N19" s="94"/>
      <c r="O19" s="94"/>
      <c r="P19" s="95"/>
      <c r="Q19" s="108"/>
      <c r="R19" s="114"/>
      <c r="S19" s="114"/>
      <c r="T19" s="114"/>
    </row>
    <row r="20" s="73" customFormat="1" ht="17.25" spans="2:20">
      <c r="B20" s="83" t="s">
        <v>50</v>
      </c>
      <c r="C20" s="81" t="s">
        <v>122</v>
      </c>
      <c r="D20" s="81">
        <v>88</v>
      </c>
      <c r="E20" s="81">
        <v>64</v>
      </c>
      <c r="F20" s="81">
        <v>128</v>
      </c>
      <c r="G20" s="81">
        <v>8</v>
      </c>
      <c r="H20" s="81">
        <v>1024</v>
      </c>
      <c r="I20" s="92" t="s">
        <v>33</v>
      </c>
      <c r="J20" s="92" t="s">
        <v>33</v>
      </c>
      <c r="L20" s="93"/>
      <c r="M20" s="94"/>
      <c r="N20" s="94"/>
      <c r="O20" s="94"/>
      <c r="P20" s="95"/>
      <c r="Q20" s="108"/>
      <c r="R20" s="114"/>
      <c r="S20" s="114"/>
      <c r="T20" s="114"/>
    </row>
    <row r="21" s="73" customFormat="1" ht="17.25" spans="2:20">
      <c r="B21" s="83" t="s">
        <v>50</v>
      </c>
      <c r="C21" s="81" t="s">
        <v>123</v>
      </c>
      <c r="D21" s="81">
        <v>44</v>
      </c>
      <c r="E21" s="81">
        <v>25</v>
      </c>
      <c r="F21" s="81">
        <v>99</v>
      </c>
      <c r="G21" s="81">
        <v>4</v>
      </c>
      <c r="H21" s="81">
        <v>396</v>
      </c>
      <c r="I21" s="81">
        <v>21</v>
      </c>
      <c r="J21" s="92">
        <v>22</v>
      </c>
      <c r="L21" s="96"/>
      <c r="M21" s="97"/>
      <c r="N21" s="98"/>
      <c r="O21" s="99"/>
      <c r="P21" s="99"/>
      <c r="Q21" s="108"/>
      <c r="R21" s="114"/>
      <c r="S21" s="114"/>
      <c r="T21" s="114"/>
    </row>
    <row r="22" s="73" customFormat="1" ht="16.5" spans="2:20">
      <c r="B22" s="83" t="s">
        <v>50</v>
      </c>
      <c r="C22" s="81" t="s">
        <v>124</v>
      </c>
      <c r="D22" s="81">
        <v>30</v>
      </c>
      <c r="E22" s="81">
        <v>24</v>
      </c>
      <c r="F22" s="81">
        <v>1988</v>
      </c>
      <c r="G22" s="81">
        <v>0</v>
      </c>
      <c r="H22" s="81">
        <v>0</v>
      </c>
      <c r="I22" s="92" t="s">
        <v>33</v>
      </c>
      <c r="J22" s="92">
        <v>2</v>
      </c>
      <c r="L22" s="100"/>
      <c r="M22" s="101"/>
      <c r="N22" s="102"/>
      <c r="O22" s="103"/>
      <c r="P22" s="103"/>
      <c r="Q22" s="108"/>
      <c r="R22" s="114"/>
      <c r="S22" s="114"/>
      <c r="T22" s="114"/>
    </row>
    <row r="23" s="73" customFormat="1" ht="16.5" spans="2:20">
      <c r="B23" s="83" t="s">
        <v>50</v>
      </c>
      <c r="C23" s="81" t="s">
        <v>125</v>
      </c>
      <c r="D23" s="81">
        <v>40</v>
      </c>
      <c r="E23" s="81">
        <v>33</v>
      </c>
      <c r="F23" s="81">
        <v>1588</v>
      </c>
      <c r="G23" s="81">
        <v>0</v>
      </c>
      <c r="H23" s="81">
        <v>0</v>
      </c>
      <c r="I23" s="92" t="s">
        <v>33</v>
      </c>
      <c r="J23" s="92">
        <v>3</v>
      </c>
      <c r="L23" s="100"/>
      <c r="M23" s="101"/>
      <c r="N23" s="104"/>
      <c r="O23" s="103"/>
      <c r="P23" s="103"/>
      <c r="Q23" s="108"/>
      <c r="R23" s="114"/>
      <c r="S23" s="114"/>
      <c r="T23" s="114"/>
    </row>
    <row r="24" s="73" customFormat="1" ht="16.5" spans="2:20">
      <c r="B24" s="83" t="s">
        <v>126</v>
      </c>
      <c r="C24" s="81" t="s">
        <v>127</v>
      </c>
      <c r="D24" s="81">
        <v>116</v>
      </c>
      <c r="E24" s="81">
        <v>62</v>
      </c>
      <c r="F24" s="81">
        <v>28</v>
      </c>
      <c r="G24" s="81">
        <v>88</v>
      </c>
      <c r="H24" s="81">
        <v>2464</v>
      </c>
      <c r="I24" s="92" t="s">
        <v>33</v>
      </c>
      <c r="J24" s="92">
        <v>140</v>
      </c>
      <c r="L24" s="100"/>
      <c r="M24" s="101"/>
      <c r="N24" s="104"/>
      <c r="O24" s="103"/>
      <c r="P24" s="103"/>
      <c r="Q24" s="108"/>
      <c r="R24" s="114"/>
      <c r="S24" s="114"/>
      <c r="T24" s="114"/>
    </row>
    <row r="25" s="73" customFormat="1" ht="16.5" spans="2:20">
      <c r="B25" s="83" t="s">
        <v>126</v>
      </c>
      <c r="C25" s="81" t="s">
        <v>128</v>
      </c>
      <c r="D25" s="81">
        <v>89</v>
      </c>
      <c r="E25" s="81">
        <v>56</v>
      </c>
      <c r="F25" s="81">
        <v>138</v>
      </c>
      <c r="G25" s="81">
        <v>7</v>
      </c>
      <c r="H25" s="81">
        <v>966</v>
      </c>
      <c r="I25" s="81">
        <v>26</v>
      </c>
      <c r="J25" s="92">
        <v>25</v>
      </c>
      <c r="L25" s="100"/>
      <c r="M25" s="101"/>
      <c r="N25" s="104"/>
      <c r="O25" s="103"/>
      <c r="P25" s="103"/>
      <c r="Q25" s="108"/>
      <c r="R25" s="114"/>
      <c r="S25" s="114"/>
      <c r="T25" s="114"/>
    </row>
    <row r="26" s="73" customFormat="1" ht="16.5" spans="2:20">
      <c r="B26" s="83" t="s">
        <v>126</v>
      </c>
      <c r="C26" s="81" t="s">
        <v>129</v>
      </c>
      <c r="D26" s="81">
        <v>57</v>
      </c>
      <c r="E26" s="81">
        <v>34</v>
      </c>
      <c r="F26" s="81">
        <v>268</v>
      </c>
      <c r="G26" s="81">
        <v>3</v>
      </c>
      <c r="H26" s="81">
        <v>804</v>
      </c>
      <c r="I26" s="81">
        <v>1</v>
      </c>
      <c r="J26" s="92">
        <v>9</v>
      </c>
      <c r="L26" s="100"/>
      <c r="M26" s="101"/>
      <c r="N26" s="104"/>
      <c r="O26" s="103"/>
      <c r="P26" s="103"/>
      <c r="Q26" s="108"/>
      <c r="R26" s="114"/>
      <c r="S26" s="114"/>
      <c r="T26" s="114"/>
    </row>
    <row r="27" s="73" customFormat="1" ht="16.5" spans="2:20">
      <c r="B27" s="83" t="s">
        <v>126</v>
      </c>
      <c r="C27" s="81" t="s">
        <v>130</v>
      </c>
      <c r="D27" s="81">
        <v>69</v>
      </c>
      <c r="E27" s="81">
        <v>41</v>
      </c>
      <c r="F27" s="81">
        <v>108</v>
      </c>
      <c r="G27" s="81">
        <v>6</v>
      </c>
      <c r="H27" s="81">
        <v>648</v>
      </c>
      <c r="I27" s="81">
        <v>21</v>
      </c>
      <c r="J27" s="92">
        <v>11</v>
      </c>
      <c r="L27" s="100"/>
      <c r="M27" s="101"/>
      <c r="N27" s="104"/>
      <c r="O27" s="103"/>
      <c r="P27" s="103"/>
      <c r="Q27" s="108"/>
      <c r="R27" s="114"/>
      <c r="S27" s="114"/>
      <c r="T27" s="114"/>
    </row>
    <row r="28" s="73" customFormat="1" ht="16.5" spans="2:20">
      <c r="B28" s="83" t="s">
        <v>126</v>
      </c>
      <c r="C28" s="81" t="s">
        <v>131</v>
      </c>
      <c r="D28" s="81">
        <v>88</v>
      </c>
      <c r="E28" s="81">
        <v>53</v>
      </c>
      <c r="F28" s="81">
        <v>78</v>
      </c>
      <c r="G28" s="81">
        <v>7</v>
      </c>
      <c r="H28" s="81">
        <v>546</v>
      </c>
      <c r="I28" s="92" t="s">
        <v>33</v>
      </c>
      <c r="J28" s="92">
        <v>15</v>
      </c>
      <c r="L28" s="100"/>
      <c r="M28" s="101"/>
      <c r="N28" s="104"/>
      <c r="O28" s="103"/>
      <c r="P28" s="103"/>
      <c r="Q28" s="108"/>
      <c r="R28" s="114"/>
      <c r="S28" s="114"/>
      <c r="T28" s="114"/>
    </row>
    <row r="29" s="73" customFormat="1" ht="49.5" spans="2:20">
      <c r="B29" s="83" t="s">
        <v>59</v>
      </c>
      <c r="C29" s="82" t="s">
        <v>132</v>
      </c>
      <c r="D29" s="81">
        <v>140</v>
      </c>
      <c r="E29" s="81">
        <v>63</v>
      </c>
      <c r="F29" s="81">
        <v>13566</v>
      </c>
      <c r="G29" s="81">
        <v>18</v>
      </c>
      <c r="H29" s="81">
        <v>244188</v>
      </c>
      <c r="I29" s="81">
        <v>11</v>
      </c>
      <c r="J29" s="90">
        <v>9</v>
      </c>
      <c r="L29" s="105"/>
      <c r="M29" s="103"/>
      <c r="N29" s="103"/>
      <c r="O29" s="103"/>
      <c r="P29" s="103"/>
      <c r="Q29" s="108"/>
      <c r="R29" s="114"/>
      <c r="S29" s="114"/>
      <c r="T29" s="114"/>
    </row>
    <row r="30" s="73" customFormat="1" ht="49.5" spans="2:20">
      <c r="B30" s="83" t="s">
        <v>59</v>
      </c>
      <c r="C30" s="82" t="s">
        <v>133</v>
      </c>
      <c r="D30" s="81">
        <v>62</v>
      </c>
      <c r="E30" s="81">
        <v>38</v>
      </c>
      <c r="F30" s="81">
        <v>12999</v>
      </c>
      <c r="G30" s="81">
        <v>9</v>
      </c>
      <c r="H30" s="81">
        <v>116991</v>
      </c>
      <c r="I30" s="92" t="s">
        <v>33</v>
      </c>
      <c r="J30" s="90">
        <v>6</v>
      </c>
      <c r="L30" s="105"/>
      <c r="M30" s="103"/>
      <c r="N30" s="103"/>
      <c r="O30" s="103"/>
      <c r="P30" s="103"/>
      <c r="Q30" s="108"/>
      <c r="R30" s="114"/>
      <c r="S30" s="114"/>
      <c r="T30" s="114"/>
    </row>
    <row r="31" s="73" customFormat="1" ht="49.5" spans="2:20">
      <c r="B31" s="83" t="s">
        <v>59</v>
      </c>
      <c r="C31" s="82" t="s">
        <v>134</v>
      </c>
      <c r="D31" s="81">
        <v>35</v>
      </c>
      <c r="E31" s="81">
        <v>22</v>
      </c>
      <c r="F31" s="81">
        <v>8306</v>
      </c>
      <c r="G31" s="81">
        <v>3</v>
      </c>
      <c r="H31" s="81">
        <v>24918</v>
      </c>
      <c r="I31" s="81">
        <v>2</v>
      </c>
      <c r="J31" s="92">
        <v>4</v>
      </c>
      <c r="L31" s="105"/>
      <c r="M31" s="103"/>
      <c r="N31" s="103"/>
      <c r="O31" s="103"/>
      <c r="P31" s="103"/>
      <c r="Q31" s="108"/>
      <c r="R31" s="114"/>
      <c r="S31" s="114"/>
      <c r="T31" s="114"/>
    </row>
    <row r="32" s="73" customFormat="1" ht="33" spans="2:20">
      <c r="B32" s="83" t="s">
        <v>59</v>
      </c>
      <c r="C32" s="82" t="s">
        <v>135</v>
      </c>
      <c r="D32" s="81">
        <v>25</v>
      </c>
      <c r="E32" s="81">
        <v>19</v>
      </c>
      <c r="F32" s="81">
        <v>15666</v>
      </c>
      <c r="G32" s="81">
        <v>1</v>
      </c>
      <c r="H32" s="81">
        <v>15666</v>
      </c>
      <c r="I32" s="81">
        <v>2</v>
      </c>
      <c r="J32" s="92">
        <v>2</v>
      </c>
      <c r="L32" s="105"/>
      <c r="M32" s="103"/>
      <c r="N32" s="103"/>
      <c r="O32" s="103"/>
      <c r="P32" s="103"/>
      <c r="Q32" s="108"/>
      <c r="R32" s="114"/>
      <c r="S32" s="114"/>
      <c r="T32" s="114"/>
    </row>
    <row r="33" s="73" customFormat="1" ht="16.5" spans="2:20">
      <c r="B33" s="83" t="s">
        <v>59</v>
      </c>
      <c r="C33" s="81" t="s">
        <v>136</v>
      </c>
      <c r="D33" s="81">
        <v>51</v>
      </c>
      <c r="E33" s="81">
        <v>29</v>
      </c>
      <c r="F33" s="81">
        <v>5088</v>
      </c>
      <c r="G33" s="81">
        <v>3</v>
      </c>
      <c r="H33" s="81">
        <v>15264</v>
      </c>
      <c r="I33" s="81">
        <v>13</v>
      </c>
      <c r="J33" s="92">
        <v>13</v>
      </c>
      <c r="L33" s="105"/>
      <c r="M33" s="103"/>
      <c r="N33" s="103"/>
      <c r="O33" s="103"/>
      <c r="P33" s="103"/>
      <c r="Q33" s="108"/>
      <c r="R33" s="114"/>
      <c r="S33" s="114"/>
      <c r="T33" s="114"/>
    </row>
    <row r="34" s="74" customFormat="1" ht="33" spans="2:12">
      <c r="B34" s="83" t="s">
        <v>59</v>
      </c>
      <c r="C34" s="82" t="s">
        <v>137</v>
      </c>
      <c r="D34" s="81">
        <v>29</v>
      </c>
      <c r="E34" s="81">
        <v>14</v>
      </c>
      <c r="F34" s="81">
        <v>6000</v>
      </c>
      <c r="G34" s="81">
        <v>2</v>
      </c>
      <c r="H34" s="81">
        <v>12000</v>
      </c>
      <c r="I34" s="81">
        <v>2</v>
      </c>
      <c r="J34" s="92">
        <v>7</v>
      </c>
      <c r="L34" s="77"/>
    </row>
    <row r="35" s="74" customFormat="1" ht="33" spans="2:12">
      <c r="B35" s="83" t="s">
        <v>59</v>
      </c>
      <c r="C35" s="82" t="s">
        <v>138</v>
      </c>
      <c r="D35" s="81">
        <v>23</v>
      </c>
      <c r="E35" s="81">
        <v>20</v>
      </c>
      <c r="F35" s="81">
        <v>4388</v>
      </c>
      <c r="G35" s="81">
        <v>1</v>
      </c>
      <c r="H35" s="81">
        <v>4388</v>
      </c>
      <c r="I35" s="81">
        <v>4</v>
      </c>
      <c r="J35" s="92">
        <v>1</v>
      </c>
      <c r="L35" s="77"/>
    </row>
    <row r="36" s="74" customFormat="1" ht="49.5" spans="2:12">
      <c r="B36" s="83" t="s">
        <v>59</v>
      </c>
      <c r="C36" s="82" t="s">
        <v>139</v>
      </c>
      <c r="D36" s="81">
        <v>23</v>
      </c>
      <c r="E36" s="81">
        <v>16</v>
      </c>
      <c r="F36" s="81">
        <v>25400</v>
      </c>
      <c r="G36" s="81">
        <v>0</v>
      </c>
      <c r="H36" s="81">
        <v>0</v>
      </c>
      <c r="I36" s="81">
        <v>2</v>
      </c>
      <c r="J36" s="92">
        <v>2</v>
      </c>
      <c r="L36" s="77"/>
    </row>
    <row r="37" s="74" customFormat="1" ht="33" spans="2:12">
      <c r="B37" s="83" t="s">
        <v>69</v>
      </c>
      <c r="C37" s="82" t="s">
        <v>140</v>
      </c>
      <c r="D37" s="81">
        <v>72</v>
      </c>
      <c r="E37" s="81">
        <v>39</v>
      </c>
      <c r="F37" s="81">
        <v>1698</v>
      </c>
      <c r="G37" s="81">
        <v>7</v>
      </c>
      <c r="H37" s="81">
        <v>11886</v>
      </c>
      <c r="I37" s="81">
        <v>29</v>
      </c>
      <c r="J37" s="92">
        <v>6</v>
      </c>
      <c r="L37" s="77"/>
    </row>
    <row r="38" s="74" customFormat="1" ht="33" spans="2:12">
      <c r="B38" s="83" t="s">
        <v>69</v>
      </c>
      <c r="C38" s="82" t="s">
        <v>141</v>
      </c>
      <c r="D38" s="81">
        <v>67</v>
      </c>
      <c r="E38" s="81">
        <v>43</v>
      </c>
      <c r="F38" s="81">
        <v>3388</v>
      </c>
      <c r="G38" s="81">
        <v>4</v>
      </c>
      <c r="H38" s="81">
        <v>13552</v>
      </c>
      <c r="I38" s="92" t="s">
        <v>33</v>
      </c>
      <c r="J38" s="92" t="s">
        <v>33</v>
      </c>
      <c r="L38" s="77"/>
    </row>
    <row r="39" s="74" customFormat="1" ht="16.5" spans="2:12">
      <c r="B39" s="83" t="s">
        <v>69</v>
      </c>
      <c r="C39" s="81" t="s">
        <v>142</v>
      </c>
      <c r="D39" s="81">
        <v>37</v>
      </c>
      <c r="E39" s="81">
        <v>23</v>
      </c>
      <c r="F39" s="81">
        <v>1580</v>
      </c>
      <c r="G39" s="81">
        <v>0</v>
      </c>
      <c r="H39" s="81">
        <v>0</v>
      </c>
      <c r="I39" s="92" t="s">
        <v>33</v>
      </c>
      <c r="J39" s="92" t="s">
        <v>33</v>
      </c>
      <c r="K39" s="76"/>
      <c r="L39" s="77"/>
    </row>
    <row r="40" s="74" customFormat="1" ht="16.5" spans="2:12">
      <c r="B40" s="83" t="s">
        <v>69</v>
      </c>
      <c r="C40" s="81" t="s">
        <v>143</v>
      </c>
      <c r="D40" s="81">
        <v>44</v>
      </c>
      <c r="E40" s="81">
        <v>24</v>
      </c>
      <c r="F40" s="81">
        <v>880</v>
      </c>
      <c r="G40" s="81">
        <v>0</v>
      </c>
      <c r="H40" s="81">
        <v>0</v>
      </c>
      <c r="I40" s="81">
        <v>2</v>
      </c>
      <c r="J40" s="92">
        <v>40</v>
      </c>
      <c r="K40" s="76"/>
      <c r="L40" s="77"/>
    </row>
    <row r="41" s="74" customFormat="1" ht="33" spans="2:12">
      <c r="B41" s="83" t="s">
        <v>69</v>
      </c>
      <c r="C41" s="82" t="s">
        <v>144</v>
      </c>
      <c r="D41" s="81">
        <v>115</v>
      </c>
      <c r="E41" s="81">
        <v>68</v>
      </c>
      <c r="F41" s="81">
        <v>788</v>
      </c>
      <c r="G41" s="81">
        <v>25</v>
      </c>
      <c r="H41" s="81">
        <v>19700</v>
      </c>
      <c r="I41" s="81">
        <v>25</v>
      </c>
      <c r="J41" s="92">
        <v>41</v>
      </c>
      <c r="K41" s="76"/>
      <c r="L41" s="77"/>
    </row>
    <row r="42" s="74" customFormat="1" ht="16.5" spans="2:12">
      <c r="B42" s="83" t="s">
        <v>145</v>
      </c>
      <c r="C42" s="81" t="s">
        <v>146</v>
      </c>
      <c r="D42" s="81">
        <v>23</v>
      </c>
      <c r="E42" s="81">
        <v>12</v>
      </c>
      <c r="F42" s="81">
        <v>1000</v>
      </c>
      <c r="G42" s="81">
        <v>2</v>
      </c>
      <c r="H42" s="81">
        <v>2000</v>
      </c>
      <c r="I42" s="92" t="s">
        <v>33</v>
      </c>
      <c r="J42" s="92">
        <v>3</v>
      </c>
      <c r="K42" s="76"/>
      <c r="L42" s="77"/>
    </row>
    <row r="43" s="74" customFormat="1" ht="16.5" spans="2:12">
      <c r="B43" s="83" t="s">
        <v>145</v>
      </c>
      <c r="C43" s="81" t="s">
        <v>147</v>
      </c>
      <c r="D43" s="81">
        <v>17</v>
      </c>
      <c r="E43" s="81">
        <v>9</v>
      </c>
      <c r="F43" s="81">
        <v>800</v>
      </c>
      <c r="G43" s="81">
        <v>2</v>
      </c>
      <c r="H43" s="81">
        <v>1600</v>
      </c>
      <c r="I43" s="92" t="s">
        <v>33</v>
      </c>
      <c r="J43" s="92">
        <v>1</v>
      </c>
      <c r="K43" s="76"/>
      <c r="L43" s="77"/>
    </row>
    <row r="44" s="74" customFormat="1" ht="16.5" spans="2:12">
      <c r="B44" s="83" t="s">
        <v>145</v>
      </c>
      <c r="C44" s="81" t="s">
        <v>148</v>
      </c>
      <c r="D44" s="81">
        <v>23</v>
      </c>
      <c r="E44" s="81">
        <v>16</v>
      </c>
      <c r="F44" s="81">
        <v>500</v>
      </c>
      <c r="G44" s="81">
        <v>3</v>
      </c>
      <c r="H44" s="81">
        <v>1500</v>
      </c>
      <c r="I44" s="81">
        <v>15</v>
      </c>
      <c r="J44" s="92">
        <v>8</v>
      </c>
      <c r="K44" s="76"/>
      <c r="L44" s="77"/>
    </row>
    <row r="45" s="74" customFormat="1" ht="16.5" spans="2:12">
      <c r="B45" s="84" t="s">
        <v>149</v>
      </c>
      <c r="C45" s="85"/>
      <c r="D45" s="86">
        <v>6095</v>
      </c>
      <c r="E45" s="86">
        <v>3382</v>
      </c>
      <c r="F45" s="81"/>
      <c r="G45" s="86">
        <v>737</v>
      </c>
      <c r="H45" s="86">
        <v>919107</v>
      </c>
      <c r="I45" s="86"/>
      <c r="J45" s="86"/>
      <c r="K45" s="76"/>
      <c r="L45" s="77"/>
    </row>
    <row r="46" s="74" customFormat="1" spans="3:12">
      <c r="C46" s="75"/>
      <c r="D46" s="76"/>
      <c r="E46" s="76"/>
      <c r="F46" s="76"/>
      <c r="G46" s="76"/>
      <c r="H46" s="76"/>
      <c r="I46" s="76"/>
      <c r="J46" s="76"/>
      <c r="K46" s="76"/>
      <c r="L46" s="77"/>
    </row>
  </sheetData>
  <mergeCells count="2">
    <mergeCell ref="B1:R1"/>
    <mergeCell ref="Q2:Q33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9"/>
  <sheetViews>
    <sheetView zoomScale="70" zoomScaleNormal="70" topLeftCell="A12" workbookViewId="0">
      <selection activeCell="A1" sqref="$A1:$XFD1048576"/>
    </sheetView>
  </sheetViews>
  <sheetFormatPr defaultColWidth="9" defaultRowHeight="13.5"/>
  <cols>
    <col min="1" max="1" width="63.625" style="22" customWidth="1"/>
    <col min="2" max="8" width="13.5" style="23" customWidth="1"/>
    <col min="9" max="9" width="13.5" customWidth="1"/>
    <col min="10" max="10" width="13.5" style="55" customWidth="1"/>
    <col min="11" max="11" width="13.5" customWidth="1"/>
    <col min="12" max="12" width="13.875" customWidth="1"/>
    <col min="13" max="13" width="11.75" customWidth="1"/>
    <col min="14" max="14" width="16.125" customWidth="1"/>
    <col min="16" max="16" width="15.5" customWidth="1"/>
    <col min="17" max="17" width="15.125" customWidth="1"/>
    <col min="18" max="18" width="17.75" customWidth="1"/>
  </cols>
  <sheetData>
    <row r="1" s="20" customFormat="1" ht="42.75" customHeight="1" spans="1:16">
      <c r="A1" s="24" t="s">
        <v>150</v>
      </c>
      <c r="B1" s="56"/>
      <c r="C1" s="56"/>
      <c r="D1" s="56"/>
      <c r="E1" s="56"/>
      <c r="F1" s="56"/>
      <c r="G1" s="56"/>
      <c r="H1" s="56"/>
      <c r="I1" s="59"/>
      <c r="J1" s="60"/>
      <c r="K1" s="59"/>
      <c r="L1" s="59"/>
      <c r="M1" s="59"/>
      <c r="N1" s="59"/>
      <c r="O1" s="59"/>
      <c r="P1" s="59"/>
    </row>
    <row r="2" s="20" customFormat="1" ht="18" spans="1:18">
      <c r="A2" s="26" t="s">
        <v>8</v>
      </c>
      <c r="B2" s="27" t="s">
        <v>78</v>
      </c>
      <c r="C2" s="27" t="s">
        <v>79</v>
      </c>
      <c r="D2" s="27" t="s">
        <v>81</v>
      </c>
      <c r="E2" s="27" t="s">
        <v>151</v>
      </c>
      <c r="F2" s="27" t="s">
        <v>82</v>
      </c>
      <c r="G2" s="57" t="s">
        <v>152</v>
      </c>
      <c r="H2" s="57" t="s">
        <v>153</v>
      </c>
      <c r="I2" s="61"/>
      <c r="J2" s="34" t="s">
        <v>85</v>
      </c>
      <c r="K2" s="35" t="s">
        <v>78</v>
      </c>
      <c r="L2" s="35" t="s">
        <v>86</v>
      </c>
      <c r="M2" s="35" t="s">
        <v>81</v>
      </c>
      <c r="N2" s="35" t="s">
        <v>82</v>
      </c>
      <c r="O2" s="36"/>
      <c r="P2" s="37" t="s">
        <v>87</v>
      </c>
      <c r="Q2" s="37" t="s">
        <v>88</v>
      </c>
      <c r="R2" s="37" t="s">
        <v>89</v>
      </c>
    </row>
    <row r="3" s="20" customFormat="1" ht="17.25" spans="1:18">
      <c r="A3" s="29" t="s">
        <v>154</v>
      </c>
      <c r="B3" s="44">
        <v>194</v>
      </c>
      <c r="C3" s="44">
        <v>77</v>
      </c>
      <c r="D3" s="44">
        <v>53</v>
      </c>
      <c r="E3" s="58">
        <v>5000</v>
      </c>
      <c r="F3" s="58">
        <v>265000</v>
      </c>
      <c r="G3" s="44">
        <v>24</v>
      </c>
      <c r="H3" s="44">
        <v>9</v>
      </c>
      <c r="I3" s="62"/>
      <c r="J3" s="63" t="s">
        <v>97</v>
      </c>
      <c r="K3" s="40">
        <v>563</v>
      </c>
      <c r="L3" s="40">
        <v>347</v>
      </c>
      <c r="M3" s="40">
        <v>87</v>
      </c>
      <c r="N3" s="41">
        <v>450780</v>
      </c>
      <c r="O3" s="38"/>
      <c r="P3" s="42" t="s">
        <v>92</v>
      </c>
      <c r="Q3" s="53">
        <v>0.94</v>
      </c>
      <c r="R3" s="54">
        <v>987982</v>
      </c>
    </row>
    <row r="4" s="20" customFormat="1" ht="51.75" spans="1:18">
      <c r="A4" s="29" t="s">
        <v>155</v>
      </c>
      <c r="B4" s="44">
        <v>67</v>
      </c>
      <c r="C4" s="44">
        <v>44</v>
      </c>
      <c r="D4" s="44">
        <v>9</v>
      </c>
      <c r="E4" s="58">
        <v>13566</v>
      </c>
      <c r="F4" s="58">
        <v>122094</v>
      </c>
      <c r="G4" s="44">
        <v>7</v>
      </c>
      <c r="H4" s="44">
        <v>2</v>
      </c>
      <c r="I4" s="62"/>
      <c r="J4" s="64" t="s">
        <v>94</v>
      </c>
      <c r="K4" s="44">
        <v>959</v>
      </c>
      <c r="L4" s="44">
        <v>468</v>
      </c>
      <c r="M4" s="44">
        <v>201</v>
      </c>
      <c r="N4" s="45">
        <v>373466</v>
      </c>
      <c r="O4" s="38"/>
      <c r="P4" s="46" t="s">
        <v>98</v>
      </c>
      <c r="Q4" s="53">
        <v>0.05</v>
      </c>
      <c r="R4" s="54">
        <v>52502</v>
      </c>
    </row>
    <row r="5" s="20" customFormat="1" ht="34.5" spans="1:18">
      <c r="A5" s="29" t="s">
        <v>156</v>
      </c>
      <c r="B5" s="44">
        <v>321</v>
      </c>
      <c r="C5" s="44">
        <v>181</v>
      </c>
      <c r="D5" s="44">
        <v>37</v>
      </c>
      <c r="E5" s="58">
        <v>2888</v>
      </c>
      <c r="F5" s="58">
        <v>106856</v>
      </c>
      <c r="G5" s="44">
        <v>29</v>
      </c>
      <c r="H5" s="44">
        <v>10</v>
      </c>
      <c r="I5" s="62"/>
      <c r="J5" s="64" t="s">
        <v>100</v>
      </c>
      <c r="K5" s="44">
        <v>2087</v>
      </c>
      <c r="L5" s="44">
        <v>1210</v>
      </c>
      <c r="M5" s="44">
        <v>288</v>
      </c>
      <c r="N5" s="45">
        <v>137571</v>
      </c>
      <c r="O5" s="38"/>
      <c r="P5" s="46" t="s">
        <v>157</v>
      </c>
      <c r="Q5" s="53">
        <v>0</v>
      </c>
      <c r="R5" s="54">
        <v>5198</v>
      </c>
    </row>
    <row r="6" s="20" customFormat="1" ht="51.75" spans="1:18">
      <c r="A6" s="29" t="s">
        <v>158</v>
      </c>
      <c r="B6" s="44">
        <v>70</v>
      </c>
      <c r="C6" s="44">
        <v>51</v>
      </c>
      <c r="D6" s="44">
        <v>6</v>
      </c>
      <c r="E6" s="58">
        <v>12999</v>
      </c>
      <c r="F6" s="58">
        <v>77994</v>
      </c>
      <c r="G6" s="44">
        <v>6</v>
      </c>
      <c r="H6" s="44">
        <v>1</v>
      </c>
      <c r="I6" s="62"/>
      <c r="J6" s="64" t="s">
        <v>104</v>
      </c>
      <c r="K6" s="44">
        <v>137</v>
      </c>
      <c r="L6" s="44">
        <v>87</v>
      </c>
      <c r="M6" s="44">
        <v>26</v>
      </c>
      <c r="N6" s="45">
        <v>11243</v>
      </c>
      <c r="O6" s="38"/>
      <c r="P6" s="46" t="s">
        <v>159</v>
      </c>
      <c r="Q6" s="53">
        <v>0</v>
      </c>
      <c r="R6" s="54">
        <v>1503</v>
      </c>
    </row>
    <row r="7" s="20" customFormat="1" ht="17.25" spans="1:18">
      <c r="A7" s="29" t="s">
        <v>160</v>
      </c>
      <c r="B7" s="44">
        <v>98</v>
      </c>
      <c r="C7" s="44">
        <v>64</v>
      </c>
      <c r="D7" s="44">
        <v>13</v>
      </c>
      <c r="E7" s="58">
        <v>5088</v>
      </c>
      <c r="F7" s="58">
        <v>66144</v>
      </c>
      <c r="G7" s="44">
        <v>12</v>
      </c>
      <c r="H7" s="44">
        <v>4</v>
      </c>
      <c r="I7" s="62"/>
      <c r="J7" s="64" t="s">
        <v>112</v>
      </c>
      <c r="K7" s="44">
        <v>67</v>
      </c>
      <c r="L7" s="44">
        <v>54</v>
      </c>
      <c r="M7" s="44">
        <v>27</v>
      </c>
      <c r="N7" s="45">
        <v>3728</v>
      </c>
      <c r="O7" s="38"/>
      <c r="P7" s="47"/>
      <c r="Q7" s="47"/>
      <c r="R7" s="47"/>
    </row>
    <row r="8" s="20" customFormat="1" ht="34.5" spans="1:18">
      <c r="A8" s="29" t="s">
        <v>161</v>
      </c>
      <c r="B8" s="44">
        <v>726</v>
      </c>
      <c r="C8" s="44">
        <v>458</v>
      </c>
      <c r="D8" s="44">
        <v>54</v>
      </c>
      <c r="E8" s="58">
        <v>999</v>
      </c>
      <c r="F8" s="58">
        <v>53946</v>
      </c>
      <c r="G8" s="44">
        <v>43</v>
      </c>
      <c r="H8" s="44">
        <v>15</v>
      </c>
      <c r="I8" s="62"/>
      <c r="J8" s="64" t="s">
        <v>110</v>
      </c>
      <c r="K8" s="44">
        <v>18</v>
      </c>
      <c r="L8" s="44">
        <v>15</v>
      </c>
      <c r="M8" s="44">
        <v>13</v>
      </c>
      <c r="N8" s="45">
        <v>2994</v>
      </c>
      <c r="O8" s="38"/>
      <c r="P8" s="47"/>
      <c r="Q8" s="47"/>
      <c r="R8" s="47"/>
    </row>
    <row r="9" s="20" customFormat="1" ht="51.75" spans="1:18">
      <c r="A9" s="29" t="s">
        <v>162</v>
      </c>
      <c r="B9" s="44">
        <v>84</v>
      </c>
      <c r="C9" s="44">
        <v>30</v>
      </c>
      <c r="D9" s="44">
        <v>2</v>
      </c>
      <c r="E9" s="58">
        <v>25400</v>
      </c>
      <c r="F9" s="58">
        <v>50800</v>
      </c>
      <c r="G9" s="44">
        <v>2</v>
      </c>
      <c r="H9" s="44">
        <v>0</v>
      </c>
      <c r="I9" s="62"/>
      <c r="J9" s="64" t="s">
        <v>108</v>
      </c>
      <c r="K9" s="44">
        <v>58</v>
      </c>
      <c r="L9" s="44">
        <v>46</v>
      </c>
      <c r="M9" s="44">
        <v>13</v>
      </c>
      <c r="N9" s="45">
        <v>2288</v>
      </c>
      <c r="O9" s="38"/>
      <c r="P9" s="47"/>
      <c r="Q9" s="47"/>
      <c r="R9" s="47"/>
    </row>
    <row r="10" s="20" customFormat="1" ht="34.5" spans="1:18">
      <c r="A10" s="29" t="s">
        <v>163</v>
      </c>
      <c r="B10" s="44">
        <v>35</v>
      </c>
      <c r="C10" s="44">
        <v>28</v>
      </c>
      <c r="D10" s="44">
        <v>7</v>
      </c>
      <c r="E10" s="58">
        <v>6000</v>
      </c>
      <c r="F10" s="58">
        <v>42000</v>
      </c>
      <c r="G10" s="44">
        <v>6</v>
      </c>
      <c r="H10" s="44">
        <v>2</v>
      </c>
      <c r="I10" s="62"/>
      <c r="J10" s="64" t="s">
        <v>106</v>
      </c>
      <c r="K10" s="44">
        <v>374</v>
      </c>
      <c r="L10" s="44">
        <v>243</v>
      </c>
      <c r="M10" s="44">
        <v>15</v>
      </c>
      <c r="N10" s="45">
        <v>2175</v>
      </c>
      <c r="O10" s="38"/>
      <c r="P10" s="47"/>
      <c r="Q10" s="47"/>
      <c r="R10" s="47"/>
    </row>
    <row r="11" s="20" customFormat="1" ht="34.5" spans="1:18">
      <c r="A11" s="29" t="s">
        <v>164</v>
      </c>
      <c r="B11" s="44">
        <v>342</v>
      </c>
      <c r="C11" s="44">
        <v>224</v>
      </c>
      <c r="D11" s="44">
        <v>56</v>
      </c>
      <c r="E11" s="58">
        <v>728</v>
      </c>
      <c r="F11" s="58">
        <v>40768</v>
      </c>
      <c r="G11" s="44">
        <v>38</v>
      </c>
      <c r="H11" s="44">
        <v>8</v>
      </c>
      <c r="I11" s="62"/>
      <c r="J11" s="64" t="s">
        <v>114</v>
      </c>
      <c r="K11" s="44">
        <v>32</v>
      </c>
      <c r="L11" s="44">
        <v>11</v>
      </c>
      <c r="M11" s="44">
        <v>9</v>
      </c>
      <c r="N11" s="45">
        <v>2078</v>
      </c>
      <c r="O11" s="38"/>
      <c r="P11" s="47"/>
      <c r="Q11" s="47"/>
      <c r="R11" s="47"/>
    </row>
    <row r="12" s="20" customFormat="1" ht="51.75" spans="1:18">
      <c r="A12" s="29" t="s">
        <v>165</v>
      </c>
      <c r="B12" s="44">
        <v>46</v>
      </c>
      <c r="C12" s="44">
        <v>30</v>
      </c>
      <c r="D12" s="44">
        <v>4</v>
      </c>
      <c r="E12" s="58">
        <v>8306</v>
      </c>
      <c r="F12" s="58">
        <v>33224</v>
      </c>
      <c r="G12" s="44">
        <v>4</v>
      </c>
      <c r="H12" s="44">
        <v>1</v>
      </c>
      <c r="I12" s="62"/>
      <c r="J12" s="64" t="s">
        <v>106</v>
      </c>
      <c r="K12" s="44">
        <v>3</v>
      </c>
      <c r="L12" s="44">
        <v>1</v>
      </c>
      <c r="M12" s="44">
        <v>1</v>
      </c>
      <c r="N12" s="45">
        <v>728</v>
      </c>
      <c r="O12" s="38"/>
      <c r="P12" s="47"/>
      <c r="Q12" s="47"/>
      <c r="R12" s="47"/>
    </row>
    <row r="13" s="20" customFormat="1" ht="17.25" spans="1:18">
      <c r="A13" s="29" t="s">
        <v>166</v>
      </c>
      <c r="B13" s="44">
        <v>410</v>
      </c>
      <c r="C13" s="44">
        <v>286</v>
      </c>
      <c r="D13" s="44">
        <v>66</v>
      </c>
      <c r="E13" s="58">
        <v>499</v>
      </c>
      <c r="F13" s="58">
        <v>32934</v>
      </c>
      <c r="G13" s="44">
        <v>28</v>
      </c>
      <c r="H13" s="44">
        <v>14</v>
      </c>
      <c r="I13" s="62"/>
      <c r="J13" s="64" t="s">
        <v>167</v>
      </c>
      <c r="K13" s="44">
        <v>0</v>
      </c>
      <c r="L13" s="44">
        <v>0</v>
      </c>
      <c r="M13" s="44">
        <v>4</v>
      </c>
      <c r="N13" s="45">
        <v>112</v>
      </c>
      <c r="O13" s="38"/>
      <c r="P13" s="47"/>
      <c r="Q13" s="47"/>
      <c r="R13" s="47"/>
    </row>
    <row r="14" s="20" customFormat="1" ht="34.5" spans="1:18">
      <c r="A14" s="29" t="s">
        <v>168</v>
      </c>
      <c r="B14" s="44">
        <v>143</v>
      </c>
      <c r="C14" s="44">
        <v>83</v>
      </c>
      <c r="D14" s="44">
        <v>40</v>
      </c>
      <c r="E14" s="58">
        <v>788</v>
      </c>
      <c r="F14" s="58">
        <v>31520</v>
      </c>
      <c r="G14" s="44">
        <v>18</v>
      </c>
      <c r="H14" s="44">
        <v>14</v>
      </c>
      <c r="I14" s="62"/>
      <c r="J14" s="64" t="s">
        <v>100</v>
      </c>
      <c r="K14" s="44">
        <v>3</v>
      </c>
      <c r="L14" s="44">
        <v>3</v>
      </c>
      <c r="M14" s="44">
        <v>2</v>
      </c>
      <c r="N14" s="45">
        <v>56</v>
      </c>
      <c r="O14" s="38"/>
      <c r="P14" s="47"/>
      <c r="Q14" s="47"/>
      <c r="R14" s="47"/>
    </row>
    <row r="15" s="20" customFormat="1" ht="51.75" spans="1:18">
      <c r="A15" s="29" t="s">
        <v>169</v>
      </c>
      <c r="B15" s="44">
        <v>29</v>
      </c>
      <c r="C15" s="44">
        <v>19</v>
      </c>
      <c r="D15" s="44">
        <v>2</v>
      </c>
      <c r="E15" s="58">
        <v>15666</v>
      </c>
      <c r="F15" s="58">
        <v>31332</v>
      </c>
      <c r="G15" s="44">
        <v>2</v>
      </c>
      <c r="H15" s="44">
        <v>0</v>
      </c>
      <c r="I15" s="62"/>
      <c r="J15" s="64" t="s">
        <v>170</v>
      </c>
      <c r="K15" s="44">
        <v>2</v>
      </c>
      <c r="L15" s="44">
        <v>2</v>
      </c>
      <c r="M15" s="44">
        <v>1</v>
      </c>
      <c r="N15" s="45">
        <v>28</v>
      </c>
      <c r="O15" s="38"/>
      <c r="P15" s="47"/>
      <c r="Q15" s="47" t="s">
        <v>117</v>
      </c>
      <c r="R15" s="47"/>
    </row>
    <row r="16" s="20" customFormat="1" ht="17.25" spans="1:18">
      <c r="A16" s="29" t="s">
        <v>171</v>
      </c>
      <c r="B16" s="44">
        <v>112</v>
      </c>
      <c r="C16" s="44">
        <v>96</v>
      </c>
      <c r="D16" s="44">
        <v>45</v>
      </c>
      <c r="E16" s="58">
        <v>238</v>
      </c>
      <c r="F16" s="58">
        <v>10710</v>
      </c>
      <c r="G16" s="44">
        <v>19</v>
      </c>
      <c r="H16" s="44">
        <v>18</v>
      </c>
      <c r="I16" s="62"/>
      <c r="J16" s="64" t="s">
        <v>172</v>
      </c>
      <c r="K16" s="44">
        <v>3</v>
      </c>
      <c r="L16" s="44">
        <v>3</v>
      </c>
      <c r="M16" s="44">
        <v>1</v>
      </c>
      <c r="N16" s="45">
        <v>28</v>
      </c>
      <c r="O16" s="38"/>
      <c r="P16" s="47"/>
      <c r="Q16" s="47"/>
      <c r="R16" s="47"/>
    </row>
    <row r="17" s="20" customFormat="1" ht="34.5" spans="1:18">
      <c r="A17" s="29" t="s">
        <v>173</v>
      </c>
      <c r="B17" s="44">
        <v>79</v>
      </c>
      <c r="C17" s="44">
        <v>49</v>
      </c>
      <c r="D17" s="44">
        <v>6</v>
      </c>
      <c r="E17" s="58">
        <v>1698</v>
      </c>
      <c r="F17" s="58">
        <v>10188</v>
      </c>
      <c r="G17" s="44">
        <v>5</v>
      </c>
      <c r="H17" s="44">
        <v>2</v>
      </c>
      <c r="I17" s="62"/>
      <c r="J17" s="64" t="s">
        <v>108</v>
      </c>
      <c r="K17" s="44">
        <v>0</v>
      </c>
      <c r="L17" s="44">
        <v>0</v>
      </c>
      <c r="M17" s="44">
        <v>1</v>
      </c>
      <c r="N17" s="45">
        <v>28</v>
      </c>
      <c r="O17" s="38"/>
      <c r="P17" s="47"/>
      <c r="Q17" s="47"/>
      <c r="R17" s="47"/>
    </row>
    <row r="18" s="20" customFormat="1" ht="17.25" spans="1:18">
      <c r="A18" s="29" t="s">
        <v>174</v>
      </c>
      <c r="B18" s="44">
        <v>431</v>
      </c>
      <c r="C18" s="44">
        <v>330</v>
      </c>
      <c r="D18" s="44">
        <v>48</v>
      </c>
      <c r="E18" s="58">
        <v>208</v>
      </c>
      <c r="F18" s="58">
        <v>9984</v>
      </c>
      <c r="G18" s="44">
        <v>26</v>
      </c>
      <c r="H18" s="44">
        <v>7</v>
      </c>
      <c r="I18" s="62"/>
      <c r="J18" s="64" t="s">
        <v>175</v>
      </c>
      <c r="K18" s="44">
        <v>0</v>
      </c>
      <c r="L18" s="44">
        <v>0</v>
      </c>
      <c r="M18" s="44">
        <v>1</v>
      </c>
      <c r="N18" s="45">
        <v>28</v>
      </c>
      <c r="O18" s="38"/>
      <c r="P18" s="47"/>
      <c r="Q18" s="47"/>
      <c r="R18" s="47"/>
    </row>
    <row r="19" s="20" customFormat="1" ht="17.25" spans="1:18">
      <c r="A19" s="29" t="s">
        <v>176</v>
      </c>
      <c r="B19" s="44">
        <v>183</v>
      </c>
      <c r="C19" s="44">
        <v>141</v>
      </c>
      <c r="D19" s="44">
        <v>33</v>
      </c>
      <c r="E19" s="58">
        <v>199</v>
      </c>
      <c r="F19" s="58">
        <v>6567</v>
      </c>
      <c r="G19" s="44">
        <v>22</v>
      </c>
      <c r="H19" s="44">
        <v>6</v>
      </c>
      <c r="I19" s="62"/>
      <c r="J19" s="64" t="s">
        <v>177</v>
      </c>
      <c r="K19" s="44">
        <v>0</v>
      </c>
      <c r="L19" s="44">
        <v>0</v>
      </c>
      <c r="M19" s="44">
        <v>1</v>
      </c>
      <c r="N19" s="45">
        <v>28</v>
      </c>
      <c r="O19" s="38"/>
      <c r="P19" s="47"/>
      <c r="Q19" s="47"/>
      <c r="R19" s="47"/>
    </row>
    <row r="20" s="20" customFormat="1" ht="34.5" spans="1:18">
      <c r="A20" s="29" t="s">
        <v>178</v>
      </c>
      <c r="B20" s="44">
        <v>87</v>
      </c>
      <c r="C20" s="44">
        <v>68</v>
      </c>
      <c r="D20" s="44">
        <v>7</v>
      </c>
      <c r="E20" s="58">
        <v>988</v>
      </c>
      <c r="F20" s="58">
        <v>6316</v>
      </c>
      <c r="G20" s="44">
        <v>7</v>
      </c>
      <c r="H20" s="44">
        <v>0</v>
      </c>
      <c r="I20" s="62"/>
      <c r="J20" s="64" t="s">
        <v>106</v>
      </c>
      <c r="K20" s="44">
        <v>0</v>
      </c>
      <c r="L20" s="44">
        <v>0</v>
      </c>
      <c r="M20" s="44">
        <v>1</v>
      </c>
      <c r="N20" s="45">
        <v>28</v>
      </c>
      <c r="O20" s="38"/>
      <c r="P20" s="47"/>
      <c r="Q20" s="47"/>
      <c r="R20" s="47"/>
    </row>
    <row r="21" s="20" customFormat="1" ht="17.25" spans="1:18">
      <c r="A21" s="29" t="s">
        <v>179</v>
      </c>
      <c r="B21" s="44">
        <v>102</v>
      </c>
      <c r="C21" s="44">
        <v>50</v>
      </c>
      <c r="D21" s="44">
        <v>2</v>
      </c>
      <c r="E21" s="58">
        <v>3000</v>
      </c>
      <c r="F21" s="58">
        <v>6000</v>
      </c>
      <c r="G21" s="44">
        <v>2</v>
      </c>
      <c r="H21" s="44">
        <v>1</v>
      </c>
      <c r="I21" s="62"/>
      <c r="J21" s="65"/>
      <c r="K21" s="66"/>
      <c r="L21" s="67"/>
      <c r="M21" s="68"/>
      <c r="N21" s="68"/>
      <c r="O21" s="38"/>
      <c r="P21" s="47"/>
      <c r="Q21" s="47"/>
      <c r="R21" s="47"/>
    </row>
    <row r="22" s="20" customFormat="1" ht="17.25" spans="1:18">
      <c r="A22" s="29" t="s">
        <v>180</v>
      </c>
      <c r="B22" s="44">
        <v>110</v>
      </c>
      <c r="C22" s="44">
        <v>91</v>
      </c>
      <c r="D22" s="44">
        <v>3</v>
      </c>
      <c r="E22" s="58">
        <v>1588</v>
      </c>
      <c r="F22" s="58">
        <v>4764</v>
      </c>
      <c r="G22" s="44">
        <v>3</v>
      </c>
      <c r="H22" s="44">
        <v>0</v>
      </c>
      <c r="I22" s="62"/>
      <c r="J22" s="69"/>
      <c r="K22" s="50"/>
      <c r="L22" s="51"/>
      <c r="M22" s="48"/>
      <c r="N22" s="48"/>
      <c r="O22" s="38"/>
      <c r="P22" s="47"/>
      <c r="Q22" s="47"/>
      <c r="R22" s="47"/>
    </row>
    <row r="23" s="20" customFormat="1" ht="34.5" spans="1:18">
      <c r="A23" s="29" t="s">
        <v>181</v>
      </c>
      <c r="B23" s="44">
        <v>31</v>
      </c>
      <c r="C23" s="44">
        <v>23</v>
      </c>
      <c r="D23" s="44">
        <v>1</v>
      </c>
      <c r="E23" s="58">
        <v>4388</v>
      </c>
      <c r="F23" s="58">
        <v>4388</v>
      </c>
      <c r="G23" s="44">
        <v>1</v>
      </c>
      <c r="H23" s="44">
        <v>0</v>
      </c>
      <c r="I23" s="62"/>
      <c r="J23" s="69"/>
      <c r="K23" s="50"/>
      <c r="L23" s="52"/>
      <c r="M23" s="48"/>
      <c r="N23" s="48"/>
      <c r="O23" s="38"/>
      <c r="P23" s="47"/>
      <c r="Q23" s="47"/>
      <c r="R23" s="47"/>
    </row>
    <row r="24" s="20" customFormat="1" ht="17.25" spans="1:18">
      <c r="A24" s="29" t="s">
        <v>182</v>
      </c>
      <c r="B24" s="44">
        <v>71</v>
      </c>
      <c r="C24" s="44">
        <v>54</v>
      </c>
      <c r="D24" s="44">
        <v>8</v>
      </c>
      <c r="E24" s="58">
        <v>500</v>
      </c>
      <c r="F24" s="58">
        <v>4000</v>
      </c>
      <c r="G24" s="44">
        <v>8</v>
      </c>
      <c r="H24" s="44">
        <v>1</v>
      </c>
      <c r="I24" s="62"/>
      <c r="J24" s="70"/>
      <c r="K24" s="48"/>
      <c r="L24" s="48"/>
      <c r="M24" s="48"/>
      <c r="N24" s="48"/>
      <c r="O24" s="38"/>
      <c r="P24" s="47"/>
      <c r="Q24" s="47"/>
      <c r="R24" s="47"/>
    </row>
    <row r="25" s="20" customFormat="1" ht="17.25" spans="1:18">
      <c r="A25" s="29" t="s">
        <v>183</v>
      </c>
      <c r="B25" s="44">
        <v>180</v>
      </c>
      <c r="C25" s="44">
        <v>102</v>
      </c>
      <c r="D25" s="44">
        <v>2</v>
      </c>
      <c r="E25" s="58">
        <v>1988</v>
      </c>
      <c r="F25" s="58">
        <v>3976</v>
      </c>
      <c r="G25" s="44">
        <v>2</v>
      </c>
      <c r="H25" s="44">
        <v>0</v>
      </c>
      <c r="I25" s="62"/>
      <c r="J25" s="70"/>
      <c r="K25" s="48"/>
      <c r="L25" s="48"/>
      <c r="M25" s="48"/>
      <c r="N25" s="48"/>
      <c r="O25" s="38"/>
      <c r="P25" s="47"/>
      <c r="Q25" s="47"/>
      <c r="R25" s="47"/>
    </row>
    <row r="26" s="20" customFormat="1" ht="17.25" spans="1:18">
      <c r="A26" s="29" t="s">
        <v>184</v>
      </c>
      <c r="B26" s="44">
        <v>76</v>
      </c>
      <c r="C26" s="44">
        <v>46</v>
      </c>
      <c r="D26" s="44">
        <v>140</v>
      </c>
      <c r="E26" s="58">
        <v>28</v>
      </c>
      <c r="F26" s="58">
        <v>3920</v>
      </c>
      <c r="G26" s="44">
        <v>140</v>
      </c>
      <c r="H26" s="44">
        <v>93</v>
      </c>
      <c r="I26" s="62"/>
      <c r="J26" s="70"/>
      <c r="K26" s="48"/>
      <c r="L26" s="48"/>
      <c r="M26" s="48"/>
      <c r="N26" s="48"/>
      <c r="O26" s="38"/>
      <c r="P26" s="47"/>
      <c r="Q26" s="47"/>
      <c r="R26" s="47"/>
    </row>
    <row r="27" s="20" customFormat="1" ht="17.25" spans="1:18">
      <c r="A27" s="29" t="s">
        <v>185</v>
      </c>
      <c r="B27" s="44">
        <v>90</v>
      </c>
      <c r="C27" s="44">
        <v>72</v>
      </c>
      <c r="D27" s="44">
        <v>25</v>
      </c>
      <c r="E27" s="58">
        <v>138</v>
      </c>
      <c r="F27" s="58">
        <v>3450</v>
      </c>
      <c r="G27" s="44">
        <v>5</v>
      </c>
      <c r="H27" s="44">
        <v>3</v>
      </c>
      <c r="I27" s="62"/>
      <c r="J27" s="70"/>
      <c r="K27" s="48"/>
      <c r="L27" s="48"/>
      <c r="M27" s="48"/>
      <c r="N27" s="48"/>
      <c r="O27" s="38"/>
      <c r="P27" s="47"/>
      <c r="Q27" s="47"/>
      <c r="R27" s="47"/>
    </row>
    <row r="28" s="20" customFormat="1" ht="17.25" spans="1:18">
      <c r="A28" s="29" t="s">
        <v>186</v>
      </c>
      <c r="B28" s="44">
        <v>19</v>
      </c>
      <c r="C28" s="44">
        <v>17</v>
      </c>
      <c r="D28" s="44">
        <v>3</v>
      </c>
      <c r="E28" s="58">
        <v>1000</v>
      </c>
      <c r="F28" s="58">
        <v>3000</v>
      </c>
      <c r="G28" s="44">
        <v>3</v>
      </c>
      <c r="H28" s="44">
        <v>0</v>
      </c>
      <c r="I28" s="62"/>
      <c r="J28" s="70"/>
      <c r="K28" s="48"/>
      <c r="L28" s="48"/>
      <c r="M28" s="48"/>
      <c r="N28" s="48"/>
      <c r="O28" s="38"/>
      <c r="P28" s="47"/>
      <c r="Q28" s="47"/>
      <c r="R28" s="47"/>
    </row>
    <row r="29" s="20" customFormat="1" ht="17.25" spans="1:18">
      <c r="A29" s="29" t="s">
        <v>187</v>
      </c>
      <c r="B29" s="44">
        <v>81</v>
      </c>
      <c r="C29" s="44">
        <v>66</v>
      </c>
      <c r="D29" s="44">
        <v>9</v>
      </c>
      <c r="E29" s="58">
        <v>268</v>
      </c>
      <c r="F29" s="58">
        <v>2412</v>
      </c>
      <c r="G29" s="44">
        <v>8</v>
      </c>
      <c r="H29" s="44">
        <v>1</v>
      </c>
      <c r="I29" s="62"/>
      <c r="J29" s="70"/>
      <c r="K29" s="48"/>
      <c r="L29" s="48"/>
      <c r="M29" s="48"/>
      <c r="N29" s="48"/>
      <c r="O29" s="38"/>
      <c r="P29" s="47"/>
      <c r="Q29" s="47"/>
      <c r="R29" s="47"/>
    </row>
    <row r="30" s="20" customFormat="1" ht="17.25" spans="1:18">
      <c r="A30" s="29" t="s">
        <v>188</v>
      </c>
      <c r="B30" s="44">
        <v>218</v>
      </c>
      <c r="C30" s="44">
        <v>136</v>
      </c>
      <c r="D30" s="44">
        <v>22</v>
      </c>
      <c r="E30" s="58">
        <v>99</v>
      </c>
      <c r="F30" s="58">
        <v>2178</v>
      </c>
      <c r="G30" s="44">
        <v>22</v>
      </c>
      <c r="H30" s="44">
        <v>1</v>
      </c>
      <c r="I30" s="62"/>
      <c r="J30" s="70"/>
      <c r="K30" s="48"/>
      <c r="L30" s="48"/>
      <c r="M30" s="48"/>
      <c r="N30" s="48"/>
      <c r="O30" s="38"/>
      <c r="P30" s="47"/>
      <c r="Q30" s="47"/>
      <c r="R30" s="47"/>
    </row>
    <row r="31" s="20" customFormat="1" ht="17.25" spans="1:18">
      <c r="A31" s="29" t="s">
        <v>189</v>
      </c>
      <c r="B31" s="44">
        <v>86</v>
      </c>
      <c r="C31" s="44">
        <v>70</v>
      </c>
      <c r="D31" s="44">
        <v>70</v>
      </c>
      <c r="E31" s="58">
        <v>28</v>
      </c>
      <c r="F31" s="58">
        <v>1960</v>
      </c>
      <c r="G31" s="44">
        <v>70</v>
      </c>
      <c r="H31" s="44">
        <v>48</v>
      </c>
      <c r="I31" s="62"/>
      <c r="J31" s="70"/>
      <c r="K31" s="48"/>
      <c r="L31" s="48"/>
      <c r="M31" s="48"/>
      <c r="N31" s="48"/>
      <c r="O31" s="38"/>
      <c r="P31" s="47"/>
      <c r="Q31" s="47"/>
      <c r="R31" s="47"/>
    </row>
    <row r="32" s="20" customFormat="1" ht="34.5" spans="1:18">
      <c r="A32" s="29" t="s">
        <v>190</v>
      </c>
      <c r="B32" s="44">
        <v>76</v>
      </c>
      <c r="C32" s="44">
        <v>62</v>
      </c>
      <c r="D32" s="44">
        <v>4</v>
      </c>
      <c r="E32" s="58">
        <v>368</v>
      </c>
      <c r="F32" s="58">
        <v>1472</v>
      </c>
      <c r="G32" s="44">
        <v>4</v>
      </c>
      <c r="H32" s="44">
        <v>0</v>
      </c>
      <c r="I32" s="62"/>
      <c r="J32" s="70"/>
      <c r="K32" s="48"/>
      <c r="L32" s="48"/>
      <c r="M32" s="48"/>
      <c r="N32" s="48"/>
      <c r="O32" s="38"/>
      <c r="P32" s="47"/>
      <c r="Q32" s="47"/>
      <c r="R32" s="47"/>
    </row>
    <row r="33" s="20" customFormat="1" ht="17.25" spans="1:18">
      <c r="A33" s="29" t="s">
        <v>191</v>
      </c>
      <c r="B33" s="44">
        <v>75</v>
      </c>
      <c r="C33" s="44">
        <v>51</v>
      </c>
      <c r="D33" s="44">
        <v>11</v>
      </c>
      <c r="E33" s="58">
        <v>108</v>
      </c>
      <c r="F33" s="58">
        <v>1188</v>
      </c>
      <c r="G33" s="44">
        <v>9</v>
      </c>
      <c r="H33" s="44">
        <v>3</v>
      </c>
      <c r="I33" s="62"/>
      <c r="J33" s="70"/>
      <c r="K33" s="48"/>
      <c r="L33" s="48"/>
      <c r="M33" s="48"/>
      <c r="N33" s="48"/>
      <c r="O33" s="38"/>
      <c r="P33" s="47"/>
      <c r="Q33" s="47"/>
      <c r="R33" s="47"/>
    </row>
    <row r="34" s="20" customFormat="1" ht="17.25" spans="1:18">
      <c r="A34" s="29" t="s">
        <v>192</v>
      </c>
      <c r="B34" s="44">
        <v>107</v>
      </c>
      <c r="C34" s="44">
        <v>79</v>
      </c>
      <c r="D34" s="44">
        <v>15</v>
      </c>
      <c r="E34" s="58">
        <v>78</v>
      </c>
      <c r="F34" s="58">
        <v>1170</v>
      </c>
      <c r="G34" s="44">
        <v>14</v>
      </c>
      <c r="H34" s="44">
        <v>5</v>
      </c>
      <c r="I34" s="62"/>
      <c r="J34" s="70"/>
      <c r="K34" s="48"/>
      <c r="L34" s="48"/>
      <c r="M34" s="48"/>
      <c r="N34" s="48"/>
      <c r="O34" s="38"/>
      <c r="P34" s="47"/>
      <c r="Q34" s="47"/>
      <c r="R34" s="47"/>
    </row>
    <row r="35" s="20" customFormat="1" ht="17.25" spans="1:18">
      <c r="A35" s="29" t="s">
        <v>193</v>
      </c>
      <c r="B35" s="44">
        <v>18</v>
      </c>
      <c r="C35" s="44">
        <v>14</v>
      </c>
      <c r="D35" s="44">
        <v>35</v>
      </c>
      <c r="E35" s="58">
        <v>28</v>
      </c>
      <c r="F35" s="58">
        <v>980</v>
      </c>
      <c r="G35" s="44">
        <v>35</v>
      </c>
      <c r="H35" s="44">
        <v>27</v>
      </c>
      <c r="I35" s="62"/>
      <c r="J35" s="70"/>
      <c r="K35" s="48"/>
      <c r="L35" s="48"/>
      <c r="M35" s="48"/>
      <c r="N35" s="48"/>
      <c r="O35" s="38"/>
      <c r="P35" s="47"/>
      <c r="Q35" s="47"/>
      <c r="R35" s="47"/>
    </row>
    <row r="36" s="20" customFormat="1" ht="17.25" spans="1:18">
      <c r="A36" s="29" t="s">
        <v>194</v>
      </c>
      <c r="B36" s="44">
        <v>161</v>
      </c>
      <c r="C36" s="44">
        <v>129</v>
      </c>
      <c r="D36" s="44">
        <v>5</v>
      </c>
      <c r="E36" s="58">
        <v>168</v>
      </c>
      <c r="F36" s="58">
        <v>840</v>
      </c>
      <c r="G36" s="44">
        <v>3</v>
      </c>
      <c r="H36" s="44">
        <v>2</v>
      </c>
      <c r="I36" s="62"/>
      <c r="J36" s="70"/>
      <c r="K36" s="48"/>
      <c r="L36" s="48"/>
      <c r="M36" s="48"/>
      <c r="N36" s="48"/>
      <c r="O36" s="38"/>
      <c r="P36" s="47"/>
      <c r="Q36" s="47"/>
      <c r="R36" s="47"/>
    </row>
    <row r="37" s="21" customFormat="1" ht="17.25" spans="1:16">
      <c r="A37" s="29" t="s">
        <v>195</v>
      </c>
      <c r="B37" s="44">
        <v>28</v>
      </c>
      <c r="C37" s="44">
        <v>21</v>
      </c>
      <c r="D37" s="44">
        <v>1</v>
      </c>
      <c r="E37" s="58">
        <v>800</v>
      </c>
      <c r="F37" s="58">
        <v>800</v>
      </c>
      <c r="G37" s="44">
        <v>1</v>
      </c>
      <c r="H37" s="44">
        <v>1</v>
      </c>
      <c r="I37" s="71"/>
      <c r="J37" s="72"/>
      <c r="K37" s="71"/>
      <c r="L37" s="71"/>
      <c r="M37" s="71"/>
      <c r="N37" s="71"/>
      <c r="O37" s="71"/>
      <c r="P37" s="71"/>
    </row>
    <row r="38" customFormat="1" ht="51.75" spans="1:10">
      <c r="A38" s="29" t="s">
        <v>196</v>
      </c>
      <c r="B38" s="44">
        <v>52</v>
      </c>
      <c r="C38" s="44">
        <v>40</v>
      </c>
      <c r="D38" s="44">
        <v>1</v>
      </c>
      <c r="E38" s="58">
        <v>788</v>
      </c>
      <c r="F38" s="58">
        <v>788</v>
      </c>
      <c r="G38" s="44">
        <v>1</v>
      </c>
      <c r="H38" s="44">
        <v>1</v>
      </c>
      <c r="J38" s="55"/>
    </row>
    <row r="39" customFormat="1" ht="17.25" spans="1:10">
      <c r="A39" s="29" t="s">
        <v>197</v>
      </c>
      <c r="B39" s="44">
        <v>14</v>
      </c>
      <c r="C39" s="44">
        <v>11</v>
      </c>
      <c r="D39" s="44">
        <v>14</v>
      </c>
      <c r="E39" s="58">
        <v>28</v>
      </c>
      <c r="F39" s="58">
        <v>392</v>
      </c>
      <c r="G39" s="44">
        <v>14</v>
      </c>
      <c r="H39" s="44">
        <v>8</v>
      </c>
      <c r="J39" s="55"/>
    </row>
    <row r="40" customFormat="1" ht="17.25" spans="1:10">
      <c r="A40" s="29" t="s">
        <v>198</v>
      </c>
      <c r="B40" s="44">
        <v>9</v>
      </c>
      <c r="C40" s="44">
        <v>8</v>
      </c>
      <c r="D40" s="44">
        <v>14</v>
      </c>
      <c r="E40" s="58">
        <v>28</v>
      </c>
      <c r="F40" s="58">
        <v>392</v>
      </c>
      <c r="G40" s="44">
        <v>14</v>
      </c>
      <c r="H40" s="44">
        <v>7</v>
      </c>
      <c r="J40" s="55"/>
    </row>
    <row r="41" customFormat="1" ht="17.25" spans="1:10">
      <c r="A41" s="29" t="s">
        <v>171</v>
      </c>
      <c r="B41" s="44">
        <v>23</v>
      </c>
      <c r="C41" s="44">
        <v>18</v>
      </c>
      <c r="D41" s="44">
        <v>7</v>
      </c>
      <c r="E41" s="58">
        <v>238</v>
      </c>
      <c r="F41" s="58">
        <f>238*45</f>
        <v>10710</v>
      </c>
      <c r="G41" s="44">
        <v>7</v>
      </c>
      <c r="H41" s="44">
        <v>6</v>
      </c>
      <c r="J41" s="55"/>
    </row>
    <row r="42" customFormat="1" ht="17.25" spans="1:10">
      <c r="A42" s="29" t="s">
        <v>194</v>
      </c>
      <c r="B42" s="44">
        <v>14</v>
      </c>
      <c r="C42" s="44">
        <v>13</v>
      </c>
      <c r="D42" s="44">
        <v>7</v>
      </c>
      <c r="E42" s="58">
        <v>28</v>
      </c>
      <c r="F42" s="58">
        <v>196</v>
      </c>
      <c r="G42" s="44">
        <v>7</v>
      </c>
      <c r="H42" s="44">
        <v>4</v>
      </c>
      <c r="J42" s="55"/>
    </row>
    <row r="43" customFormat="1" ht="17.25" spans="1:10">
      <c r="A43" s="29" t="s">
        <v>199</v>
      </c>
      <c r="B43" s="44">
        <v>7</v>
      </c>
      <c r="C43" s="44">
        <v>7</v>
      </c>
      <c r="D43" s="44">
        <v>7</v>
      </c>
      <c r="E43" s="58">
        <v>28</v>
      </c>
      <c r="F43" s="58">
        <v>196</v>
      </c>
      <c r="G43" s="44">
        <v>7</v>
      </c>
      <c r="H43" s="44">
        <v>4</v>
      </c>
      <c r="J43" s="55"/>
    </row>
    <row r="44" customFormat="1" ht="17.25" spans="1:10">
      <c r="A44" s="29" t="s">
        <v>200</v>
      </c>
      <c r="B44" s="44">
        <v>71</v>
      </c>
      <c r="C44" s="44">
        <v>59</v>
      </c>
      <c r="D44" s="44">
        <v>4</v>
      </c>
      <c r="E44" s="58">
        <v>28</v>
      </c>
      <c r="F44" s="58">
        <v>112</v>
      </c>
      <c r="G44" s="44">
        <v>4</v>
      </c>
      <c r="H44" s="44">
        <v>4</v>
      </c>
      <c r="J44" s="55"/>
    </row>
    <row r="45" customFormat="1" ht="17.25" spans="1:10">
      <c r="A45" s="29" t="s">
        <v>201</v>
      </c>
      <c r="B45" s="44">
        <v>37</v>
      </c>
      <c r="C45" s="44">
        <v>29</v>
      </c>
      <c r="D45" s="44">
        <v>1</v>
      </c>
      <c r="E45" s="58">
        <v>38</v>
      </c>
      <c r="F45" s="58">
        <v>38</v>
      </c>
      <c r="G45" s="44">
        <v>1</v>
      </c>
      <c r="H45" s="44">
        <v>1</v>
      </c>
      <c r="J45" s="55"/>
    </row>
    <row r="46" customFormat="1" ht="17.25" spans="1:10">
      <c r="A46" s="29" t="s">
        <v>202</v>
      </c>
      <c r="B46" s="44">
        <v>83</v>
      </c>
      <c r="C46" s="44">
        <v>73</v>
      </c>
      <c r="D46" s="44">
        <v>0</v>
      </c>
      <c r="E46" s="58">
        <v>498</v>
      </c>
      <c r="F46" s="58">
        <v>0</v>
      </c>
      <c r="G46" s="44">
        <v>0</v>
      </c>
      <c r="H46" s="44">
        <v>0</v>
      </c>
      <c r="J46" s="55"/>
    </row>
    <row r="47" customFormat="1" ht="17.25" spans="1:10">
      <c r="A47" s="29" t="s">
        <v>203</v>
      </c>
      <c r="B47" s="44">
        <v>38</v>
      </c>
      <c r="C47" s="44">
        <v>30</v>
      </c>
      <c r="D47" s="44">
        <v>0</v>
      </c>
      <c r="E47" s="58">
        <v>1688</v>
      </c>
      <c r="F47" s="58">
        <v>0</v>
      </c>
      <c r="G47" s="44">
        <v>0</v>
      </c>
      <c r="H47" s="44">
        <v>0</v>
      </c>
      <c r="J47" s="55"/>
    </row>
    <row r="48" customFormat="1" ht="17.25" spans="1:10">
      <c r="A48" s="29" t="s">
        <v>204</v>
      </c>
      <c r="B48" s="44">
        <v>11</v>
      </c>
      <c r="C48" s="44">
        <v>10</v>
      </c>
      <c r="D48" s="44">
        <v>0</v>
      </c>
      <c r="E48" s="58">
        <v>9.9</v>
      </c>
      <c r="F48" s="58">
        <v>0</v>
      </c>
      <c r="G48" s="44">
        <v>0</v>
      </c>
      <c r="H48" s="44">
        <v>0</v>
      </c>
      <c r="J48" s="55"/>
    </row>
    <row r="49" customFormat="1" ht="51.75" spans="1:10">
      <c r="A49" s="29" t="s">
        <v>205</v>
      </c>
      <c r="B49" s="44">
        <v>6</v>
      </c>
      <c r="C49" s="44">
        <v>6</v>
      </c>
      <c r="D49" s="44">
        <v>0</v>
      </c>
      <c r="E49" s="58">
        <v>8306</v>
      </c>
      <c r="F49" s="58">
        <v>0</v>
      </c>
      <c r="G49" s="44">
        <v>0</v>
      </c>
      <c r="H49" s="44">
        <v>0</v>
      </c>
      <c r="J49" s="55"/>
    </row>
  </sheetData>
  <mergeCells count="2">
    <mergeCell ref="A1:P1"/>
    <mergeCell ref="O2:O3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"/>
  <sheetViews>
    <sheetView zoomScale="85" zoomScaleNormal="85" workbookViewId="0">
      <selection activeCell="A1" sqref="$A1:$XFD1048576"/>
    </sheetView>
  </sheetViews>
  <sheetFormatPr defaultColWidth="9" defaultRowHeight="13.5"/>
  <cols>
    <col min="1" max="1" width="46.625" style="22" customWidth="1"/>
    <col min="2" max="5" width="13.5" style="23" customWidth="1"/>
    <col min="6" max="8" width="17.5" style="23" customWidth="1"/>
    <col min="9" max="9" width="13.5" customWidth="1"/>
    <col min="10" max="10" width="14" customWidth="1"/>
    <col min="11" max="11" width="15.25" customWidth="1"/>
    <col min="12" max="12" width="12.5" customWidth="1"/>
    <col min="14" max="14" width="14.75" customWidth="1"/>
    <col min="16" max="16" width="13.75" customWidth="1"/>
    <col min="17" max="17" width="11.5" customWidth="1"/>
    <col min="18" max="18" width="17.25" customWidth="1"/>
  </cols>
  <sheetData>
    <row r="1" s="20" customFormat="1" ht="42.75" customHeight="1" spans="1:18">
      <c r="A1" s="24" t="s">
        <v>206</v>
      </c>
      <c r="B1" s="25"/>
      <c r="C1" s="25"/>
      <c r="D1" s="25"/>
      <c r="E1" s="25"/>
      <c r="F1" s="25"/>
      <c r="G1" s="25"/>
      <c r="H1" s="25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="21" customFormat="1" ht="18" spans="1:18">
      <c r="A2" s="26" t="s">
        <v>8</v>
      </c>
      <c r="B2" s="27" t="s">
        <v>78</v>
      </c>
      <c r="C2" s="27" t="s">
        <v>79</v>
      </c>
      <c r="D2" s="27" t="s">
        <v>81</v>
      </c>
      <c r="E2" s="27" t="s">
        <v>151</v>
      </c>
      <c r="F2" s="27" t="s">
        <v>82</v>
      </c>
      <c r="G2" s="28" t="s">
        <v>152</v>
      </c>
      <c r="H2" s="28" t="s">
        <v>153</v>
      </c>
      <c r="I2" s="33"/>
      <c r="J2" s="34" t="s">
        <v>85</v>
      </c>
      <c r="K2" s="35" t="s">
        <v>78</v>
      </c>
      <c r="L2" s="35" t="s">
        <v>86</v>
      </c>
      <c r="M2" s="35" t="s">
        <v>81</v>
      </c>
      <c r="N2" s="35" t="s">
        <v>82</v>
      </c>
      <c r="O2" s="36"/>
      <c r="P2" s="37" t="s">
        <v>207</v>
      </c>
      <c r="Q2" s="37" t="s">
        <v>88</v>
      </c>
      <c r="R2" s="37" t="s">
        <v>89</v>
      </c>
    </row>
    <row r="3" s="20" customFormat="1" ht="17.25" spans="1:18">
      <c r="A3" s="29" t="s">
        <v>208</v>
      </c>
      <c r="B3" s="30">
        <v>234</v>
      </c>
      <c r="C3" s="30">
        <v>86</v>
      </c>
      <c r="D3" s="30">
        <v>43</v>
      </c>
      <c r="E3" s="31">
        <v>5000</v>
      </c>
      <c r="F3" s="31">
        <v>215000</v>
      </c>
      <c r="G3" s="30">
        <v>23</v>
      </c>
      <c r="H3" s="30">
        <v>5</v>
      </c>
      <c r="I3" s="38"/>
      <c r="J3" s="39" t="s">
        <v>97</v>
      </c>
      <c r="K3" s="40">
        <v>895</v>
      </c>
      <c r="L3" s="40">
        <v>516</v>
      </c>
      <c r="M3" s="40">
        <v>140</v>
      </c>
      <c r="N3" s="41">
        <v>370136.6</v>
      </c>
      <c r="O3" s="38"/>
      <c r="P3" s="42" t="s">
        <v>92</v>
      </c>
      <c r="Q3" s="53">
        <v>0.92</v>
      </c>
      <c r="R3" s="54">
        <v>886838.9</v>
      </c>
    </row>
    <row r="4" s="20" customFormat="1" ht="17.25" spans="1:18">
      <c r="A4" s="29" t="s">
        <v>209</v>
      </c>
      <c r="B4" s="30">
        <v>100</v>
      </c>
      <c r="C4" s="30">
        <v>56</v>
      </c>
      <c r="D4" s="30">
        <v>11</v>
      </c>
      <c r="E4" s="31">
        <v>13566</v>
      </c>
      <c r="F4" s="31">
        <v>149226</v>
      </c>
      <c r="G4" s="30">
        <v>11</v>
      </c>
      <c r="H4" s="30">
        <v>1</v>
      </c>
      <c r="I4" s="38"/>
      <c r="J4" s="43" t="s">
        <v>94</v>
      </c>
      <c r="K4" s="44">
        <v>1282</v>
      </c>
      <c r="L4" s="44">
        <v>658</v>
      </c>
      <c r="M4" s="44">
        <v>220</v>
      </c>
      <c r="N4" s="45">
        <v>309035.2</v>
      </c>
      <c r="O4" s="38"/>
      <c r="P4" s="46" t="s">
        <v>98</v>
      </c>
      <c r="Q4" s="53">
        <v>0.05</v>
      </c>
      <c r="R4" s="54">
        <v>49864.2</v>
      </c>
    </row>
    <row r="5" s="20" customFormat="1" ht="51.75" spans="1:18">
      <c r="A5" s="29" t="s">
        <v>210</v>
      </c>
      <c r="B5" s="30">
        <v>478</v>
      </c>
      <c r="C5" s="30">
        <v>239</v>
      </c>
      <c r="D5" s="30">
        <v>47</v>
      </c>
      <c r="E5" s="31">
        <v>2888</v>
      </c>
      <c r="F5" s="31">
        <v>135736</v>
      </c>
      <c r="G5" s="30">
        <v>36</v>
      </c>
      <c r="H5" s="30">
        <v>12</v>
      </c>
      <c r="I5" s="38"/>
      <c r="J5" s="43" t="s">
        <v>100</v>
      </c>
      <c r="K5" s="44">
        <v>1623</v>
      </c>
      <c r="L5" s="44">
        <v>916</v>
      </c>
      <c r="M5" s="44">
        <v>170</v>
      </c>
      <c r="N5" s="45">
        <v>124839.4</v>
      </c>
      <c r="O5" s="38"/>
      <c r="P5" s="46" t="s">
        <v>159</v>
      </c>
      <c r="Q5" s="53">
        <v>0.03</v>
      </c>
      <c r="R5" s="54">
        <v>30379.9</v>
      </c>
    </row>
    <row r="6" s="20" customFormat="1" ht="17.25" spans="1:18">
      <c r="A6" s="29" t="s">
        <v>211</v>
      </c>
      <c r="B6" s="30">
        <v>86</v>
      </c>
      <c r="C6" s="30">
        <v>51</v>
      </c>
      <c r="D6" s="30">
        <v>13</v>
      </c>
      <c r="E6" s="31">
        <v>5088</v>
      </c>
      <c r="F6" s="31">
        <v>66144</v>
      </c>
      <c r="G6" s="30">
        <v>10</v>
      </c>
      <c r="H6" s="30">
        <v>1</v>
      </c>
      <c r="I6" s="38"/>
      <c r="J6" s="43" t="s">
        <v>104</v>
      </c>
      <c r="K6" s="44">
        <v>258</v>
      </c>
      <c r="L6" s="44">
        <v>137</v>
      </c>
      <c r="M6" s="44">
        <v>21</v>
      </c>
      <c r="N6" s="45">
        <v>12629</v>
      </c>
      <c r="O6" s="38"/>
      <c r="P6" s="46" t="s">
        <v>157</v>
      </c>
      <c r="Q6" s="53">
        <v>0</v>
      </c>
      <c r="R6" s="54">
        <v>1880.7</v>
      </c>
    </row>
    <row r="7" s="20" customFormat="1" ht="51.75" spans="1:18">
      <c r="A7" s="29" t="s">
        <v>212</v>
      </c>
      <c r="B7" s="30">
        <v>575</v>
      </c>
      <c r="C7" s="30">
        <v>309</v>
      </c>
      <c r="D7" s="30">
        <v>70</v>
      </c>
      <c r="E7" s="31">
        <v>728</v>
      </c>
      <c r="F7" s="31">
        <v>50960</v>
      </c>
      <c r="G7" s="30">
        <v>48</v>
      </c>
      <c r="H7" s="30">
        <v>18</v>
      </c>
      <c r="I7" s="38"/>
      <c r="J7" s="43" t="s">
        <v>112</v>
      </c>
      <c r="K7" s="44">
        <v>113</v>
      </c>
      <c r="L7" s="44">
        <v>65</v>
      </c>
      <c r="M7" s="44">
        <v>18</v>
      </c>
      <c r="N7" s="45">
        <v>6079</v>
      </c>
      <c r="O7" s="38"/>
      <c r="P7" s="47"/>
      <c r="Q7" s="47"/>
      <c r="R7" s="47"/>
    </row>
    <row r="8" s="20" customFormat="1" ht="17.25" spans="1:18">
      <c r="A8" s="29" t="s">
        <v>213</v>
      </c>
      <c r="B8" s="30">
        <v>282</v>
      </c>
      <c r="C8" s="30">
        <v>160</v>
      </c>
      <c r="D8" s="30">
        <v>44</v>
      </c>
      <c r="E8" s="31">
        <v>1099</v>
      </c>
      <c r="F8" s="31">
        <v>48356</v>
      </c>
      <c r="G8" s="30">
        <v>21</v>
      </c>
      <c r="H8" s="30">
        <v>17</v>
      </c>
      <c r="I8" s="38"/>
      <c r="J8" s="43" t="s">
        <v>106</v>
      </c>
      <c r="K8" s="44">
        <v>61</v>
      </c>
      <c r="L8" s="44">
        <v>45</v>
      </c>
      <c r="M8" s="44">
        <v>10</v>
      </c>
      <c r="N8" s="45">
        <v>4624</v>
      </c>
      <c r="O8" s="38"/>
      <c r="P8" s="47"/>
      <c r="Q8" s="47"/>
      <c r="R8" s="47"/>
    </row>
    <row r="9" s="20" customFormat="1" ht="17.25" spans="1:18">
      <c r="A9" s="29" t="s">
        <v>214</v>
      </c>
      <c r="B9" s="30">
        <v>153</v>
      </c>
      <c r="C9" s="30">
        <v>96</v>
      </c>
      <c r="D9" s="30">
        <v>29</v>
      </c>
      <c r="E9" s="31">
        <v>1598</v>
      </c>
      <c r="F9" s="31">
        <v>46342</v>
      </c>
      <c r="G9" s="30">
        <v>19</v>
      </c>
      <c r="H9" s="30">
        <v>10</v>
      </c>
      <c r="I9" s="38"/>
      <c r="J9" s="43" t="s">
        <v>110</v>
      </c>
      <c r="K9" s="44">
        <v>163</v>
      </c>
      <c r="L9" s="44">
        <v>117</v>
      </c>
      <c r="M9" s="44">
        <v>8</v>
      </c>
      <c r="N9" s="45">
        <v>1476</v>
      </c>
      <c r="O9" s="38"/>
      <c r="P9" s="47"/>
      <c r="Q9" s="47"/>
      <c r="R9" s="47"/>
    </row>
    <row r="10" s="20" customFormat="1" ht="69" spans="1:18">
      <c r="A10" s="29" t="s">
        <v>215</v>
      </c>
      <c r="B10" s="30">
        <v>660</v>
      </c>
      <c r="C10" s="30">
        <v>367</v>
      </c>
      <c r="D10" s="30">
        <v>45</v>
      </c>
      <c r="E10" s="31">
        <v>999</v>
      </c>
      <c r="F10" s="31">
        <v>44955</v>
      </c>
      <c r="G10" s="30">
        <v>38</v>
      </c>
      <c r="H10" s="30">
        <v>14</v>
      </c>
      <c r="I10" s="38"/>
      <c r="J10" s="43" t="s">
        <v>114</v>
      </c>
      <c r="K10" s="44">
        <v>98</v>
      </c>
      <c r="L10" s="44">
        <v>55</v>
      </c>
      <c r="M10" s="44">
        <v>9</v>
      </c>
      <c r="N10" s="45">
        <v>1014</v>
      </c>
      <c r="O10" s="38"/>
      <c r="P10" s="47"/>
      <c r="Q10" s="47"/>
      <c r="R10" s="47"/>
    </row>
    <row r="11" s="20" customFormat="1" ht="51.75" spans="1:18">
      <c r="A11" s="29" t="s">
        <v>216</v>
      </c>
      <c r="B11" s="30">
        <v>69</v>
      </c>
      <c r="C11" s="30">
        <v>54</v>
      </c>
      <c r="D11" s="30">
        <v>2</v>
      </c>
      <c r="E11" s="31">
        <v>15666</v>
      </c>
      <c r="F11" s="31">
        <v>31332</v>
      </c>
      <c r="G11" s="30">
        <v>2</v>
      </c>
      <c r="H11" s="30">
        <v>1</v>
      </c>
      <c r="I11" s="38"/>
      <c r="J11" s="43" t="s">
        <v>108</v>
      </c>
      <c r="K11" s="44">
        <v>116</v>
      </c>
      <c r="L11" s="44">
        <v>63</v>
      </c>
      <c r="M11" s="44">
        <v>9</v>
      </c>
      <c r="N11" s="45">
        <v>965.9</v>
      </c>
      <c r="O11" s="38"/>
      <c r="P11" s="47"/>
      <c r="Q11" s="47"/>
      <c r="R11" s="47"/>
    </row>
    <row r="12" s="20" customFormat="1" ht="17.25" spans="1:18">
      <c r="A12" s="29" t="s">
        <v>217</v>
      </c>
      <c r="B12" s="30">
        <v>135</v>
      </c>
      <c r="C12" s="30">
        <v>91</v>
      </c>
      <c r="D12" s="30">
        <v>25</v>
      </c>
      <c r="E12" s="31">
        <v>799</v>
      </c>
      <c r="F12" s="31">
        <v>19975</v>
      </c>
      <c r="G12" s="30">
        <v>16</v>
      </c>
      <c r="H12" s="30">
        <v>12</v>
      </c>
      <c r="I12" s="38"/>
      <c r="J12" s="43" t="s">
        <v>100</v>
      </c>
      <c r="K12" s="44">
        <v>5</v>
      </c>
      <c r="L12" s="44">
        <v>5</v>
      </c>
      <c r="M12" s="44">
        <v>3</v>
      </c>
      <c r="N12" s="45">
        <v>264</v>
      </c>
      <c r="O12" s="38"/>
      <c r="P12" s="47"/>
      <c r="Q12" s="47"/>
      <c r="R12" s="47"/>
    </row>
    <row r="13" s="20" customFormat="1" ht="17.25" spans="1:18">
      <c r="A13" s="29" t="s">
        <v>218</v>
      </c>
      <c r="B13" s="30">
        <v>49</v>
      </c>
      <c r="C13" s="30">
        <v>30</v>
      </c>
      <c r="D13" s="30">
        <v>4</v>
      </c>
      <c r="E13" s="31">
        <v>4388</v>
      </c>
      <c r="F13" s="31">
        <v>17552</v>
      </c>
      <c r="G13" s="30">
        <v>4</v>
      </c>
      <c r="H13" s="30">
        <v>0</v>
      </c>
      <c r="I13" s="38"/>
      <c r="J13" s="43" t="s">
        <v>172</v>
      </c>
      <c r="K13" s="44">
        <v>2</v>
      </c>
      <c r="L13" s="44">
        <v>2</v>
      </c>
      <c r="M13" s="44">
        <v>1</v>
      </c>
      <c r="N13" s="45">
        <v>199</v>
      </c>
      <c r="O13" s="38"/>
      <c r="P13" s="47"/>
      <c r="Q13" s="47"/>
      <c r="R13" s="47"/>
    </row>
    <row r="14" s="20" customFormat="1" ht="17.25" spans="1:18">
      <c r="A14" s="29" t="s">
        <v>219</v>
      </c>
      <c r="B14" s="30">
        <v>55</v>
      </c>
      <c r="C14" s="30">
        <v>35</v>
      </c>
      <c r="D14" s="30">
        <v>2</v>
      </c>
      <c r="E14" s="31">
        <v>8306</v>
      </c>
      <c r="F14" s="31">
        <v>16612</v>
      </c>
      <c r="G14" s="30">
        <v>2</v>
      </c>
      <c r="H14" s="30">
        <v>1</v>
      </c>
      <c r="I14" s="38"/>
      <c r="J14" s="43" t="s">
        <v>170</v>
      </c>
      <c r="K14" s="44">
        <v>0</v>
      </c>
      <c r="L14" s="44">
        <v>0</v>
      </c>
      <c r="M14" s="44">
        <v>2</v>
      </c>
      <c r="N14" s="45">
        <v>176</v>
      </c>
      <c r="O14" s="38"/>
      <c r="P14" s="47"/>
      <c r="Q14" s="47"/>
      <c r="R14" s="47"/>
    </row>
    <row r="15" s="20" customFormat="1" ht="51.75" spans="1:18">
      <c r="A15" s="29" t="s">
        <v>220</v>
      </c>
      <c r="B15" s="30">
        <v>34</v>
      </c>
      <c r="C15" s="30">
        <v>25</v>
      </c>
      <c r="D15" s="30">
        <v>2</v>
      </c>
      <c r="E15" s="31">
        <v>8306</v>
      </c>
      <c r="F15" s="31">
        <v>16612</v>
      </c>
      <c r="G15" s="30">
        <v>1</v>
      </c>
      <c r="H15" s="30">
        <v>1</v>
      </c>
      <c r="I15" s="38"/>
      <c r="J15" s="43" t="s">
        <v>221</v>
      </c>
      <c r="K15" s="44">
        <v>84</v>
      </c>
      <c r="L15" s="44">
        <v>39</v>
      </c>
      <c r="M15" s="44">
        <v>1</v>
      </c>
      <c r="N15" s="45">
        <v>168</v>
      </c>
      <c r="O15" s="38"/>
      <c r="P15" s="47"/>
      <c r="Q15" s="47" t="s">
        <v>117</v>
      </c>
      <c r="R15" s="47"/>
    </row>
    <row r="16" s="20" customFormat="1" ht="17.25" spans="1:18">
      <c r="A16" s="29" t="s">
        <v>222</v>
      </c>
      <c r="B16" s="30">
        <v>240</v>
      </c>
      <c r="C16" s="30">
        <v>164</v>
      </c>
      <c r="D16" s="30">
        <v>61</v>
      </c>
      <c r="E16" s="31">
        <v>238</v>
      </c>
      <c r="F16" s="31">
        <v>14518</v>
      </c>
      <c r="G16" s="30">
        <v>29</v>
      </c>
      <c r="H16" s="30">
        <v>27</v>
      </c>
      <c r="I16" s="38"/>
      <c r="J16" s="43" t="s">
        <v>94</v>
      </c>
      <c r="K16" s="44">
        <v>0</v>
      </c>
      <c r="L16" s="44">
        <v>0</v>
      </c>
      <c r="M16" s="44">
        <v>1</v>
      </c>
      <c r="N16" s="45">
        <v>88</v>
      </c>
      <c r="O16" s="38"/>
      <c r="P16" s="47"/>
      <c r="Q16" s="47"/>
      <c r="R16" s="47"/>
    </row>
    <row r="17" s="20" customFormat="1" ht="34.5" spans="1:18">
      <c r="A17" s="29" t="s">
        <v>223</v>
      </c>
      <c r="B17" s="30">
        <v>41</v>
      </c>
      <c r="C17" s="30">
        <v>32</v>
      </c>
      <c r="D17" s="30">
        <v>2</v>
      </c>
      <c r="E17" s="31">
        <v>6000</v>
      </c>
      <c r="F17" s="31">
        <v>12000</v>
      </c>
      <c r="G17" s="30">
        <v>2</v>
      </c>
      <c r="H17" s="30">
        <v>1</v>
      </c>
      <c r="I17" s="38"/>
      <c r="J17" s="43" t="s">
        <v>104</v>
      </c>
      <c r="K17" s="44">
        <v>0</v>
      </c>
      <c r="L17" s="44">
        <v>0</v>
      </c>
      <c r="M17" s="44">
        <v>1</v>
      </c>
      <c r="N17" s="45">
        <v>29.9</v>
      </c>
      <c r="O17" s="38"/>
      <c r="P17" s="47"/>
      <c r="Q17" s="47"/>
      <c r="R17" s="47"/>
    </row>
    <row r="18" s="20" customFormat="1" ht="51.75" spans="1:18">
      <c r="A18" s="29" t="s">
        <v>224</v>
      </c>
      <c r="B18" s="30">
        <v>76</v>
      </c>
      <c r="C18" s="30">
        <v>53</v>
      </c>
      <c r="D18" s="30">
        <v>12</v>
      </c>
      <c r="E18" s="31">
        <v>888</v>
      </c>
      <c r="F18" s="31">
        <v>10656</v>
      </c>
      <c r="G18" s="30">
        <v>10</v>
      </c>
      <c r="H18" s="30">
        <v>1</v>
      </c>
      <c r="I18" s="38"/>
      <c r="J18" s="48"/>
      <c r="K18" s="48"/>
      <c r="L18" s="48"/>
      <c r="M18" s="48"/>
      <c r="N18" s="48"/>
      <c r="O18" s="38"/>
      <c r="P18" s="47"/>
      <c r="Q18" s="47"/>
      <c r="R18" s="47"/>
    </row>
    <row r="19" s="20" customFormat="1" ht="17.25" spans="1:18">
      <c r="A19" s="29" t="s">
        <v>225</v>
      </c>
      <c r="B19" s="30">
        <v>283</v>
      </c>
      <c r="C19" s="30">
        <v>178</v>
      </c>
      <c r="D19" s="30">
        <v>32</v>
      </c>
      <c r="E19" s="31">
        <v>299</v>
      </c>
      <c r="F19" s="31">
        <v>9568</v>
      </c>
      <c r="G19" s="30">
        <v>18</v>
      </c>
      <c r="H19" s="30">
        <v>8</v>
      </c>
      <c r="I19" s="38"/>
      <c r="J19" s="49"/>
      <c r="K19" s="49"/>
      <c r="L19" s="49"/>
      <c r="M19" s="48"/>
      <c r="N19" s="48"/>
      <c r="O19" s="38"/>
      <c r="P19" s="47"/>
      <c r="Q19" s="47"/>
      <c r="R19" s="47"/>
    </row>
    <row r="20" s="20" customFormat="1" ht="17.25" spans="1:18">
      <c r="A20" s="29" t="s">
        <v>226</v>
      </c>
      <c r="B20" s="30">
        <v>339</v>
      </c>
      <c r="C20" s="30">
        <v>250</v>
      </c>
      <c r="D20" s="30">
        <v>45</v>
      </c>
      <c r="E20" s="31">
        <v>199</v>
      </c>
      <c r="F20" s="31">
        <v>8955</v>
      </c>
      <c r="G20" s="30">
        <v>37</v>
      </c>
      <c r="H20" s="30">
        <v>11</v>
      </c>
      <c r="I20" s="38"/>
      <c r="J20" s="48"/>
      <c r="K20" s="50"/>
      <c r="L20" s="51"/>
      <c r="M20" s="48"/>
      <c r="N20" s="48"/>
      <c r="O20" s="38"/>
      <c r="P20" s="47"/>
      <c r="Q20" s="47"/>
      <c r="R20" s="47"/>
    </row>
    <row r="21" s="20" customFormat="1" ht="17.25" spans="1:18">
      <c r="A21" s="29" t="s">
        <v>227</v>
      </c>
      <c r="B21" s="30">
        <v>421</v>
      </c>
      <c r="C21" s="30">
        <v>284</v>
      </c>
      <c r="D21" s="30">
        <v>47</v>
      </c>
      <c r="E21" s="31">
        <v>168</v>
      </c>
      <c r="F21" s="31">
        <v>7896</v>
      </c>
      <c r="G21" s="30">
        <v>36</v>
      </c>
      <c r="H21" s="30">
        <v>7</v>
      </c>
      <c r="I21" s="38"/>
      <c r="J21" s="52"/>
      <c r="K21" s="50"/>
      <c r="L21" s="51"/>
      <c r="M21" s="48"/>
      <c r="N21" s="48"/>
      <c r="O21" s="38"/>
      <c r="P21" s="47"/>
      <c r="Q21" s="47"/>
      <c r="R21" s="47"/>
    </row>
    <row r="22" s="20" customFormat="1" ht="36" customHeight="1" spans="1:18">
      <c r="A22" s="29" t="s">
        <v>228</v>
      </c>
      <c r="B22" s="30">
        <v>89</v>
      </c>
      <c r="C22" s="30">
        <v>72</v>
      </c>
      <c r="D22" s="30">
        <v>15</v>
      </c>
      <c r="E22" s="31">
        <v>500</v>
      </c>
      <c r="F22" s="31">
        <v>7500</v>
      </c>
      <c r="G22" s="30">
        <v>14</v>
      </c>
      <c r="H22" s="30">
        <v>4</v>
      </c>
      <c r="I22" s="38"/>
      <c r="J22" s="52"/>
      <c r="K22" s="50"/>
      <c r="L22" s="51"/>
      <c r="M22" s="48"/>
      <c r="N22" s="48"/>
      <c r="O22" s="38"/>
      <c r="P22" s="47"/>
      <c r="Q22" s="47"/>
      <c r="R22" s="47"/>
    </row>
    <row r="23" s="20" customFormat="1" ht="17.25" spans="1:18">
      <c r="A23" s="29" t="s">
        <v>229</v>
      </c>
      <c r="B23" s="30">
        <v>20</v>
      </c>
      <c r="C23" s="30">
        <v>14</v>
      </c>
      <c r="D23" s="30">
        <v>52</v>
      </c>
      <c r="E23" s="31">
        <v>193.2</v>
      </c>
      <c r="F23" s="31">
        <v>4576</v>
      </c>
      <c r="G23" s="30">
        <v>52</v>
      </c>
      <c r="H23" s="30">
        <v>33</v>
      </c>
      <c r="I23" s="38"/>
      <c r="J23" s="52"/>
      <c r="K23" s="50"/>
      <c r="L23" s="52"/>
      <c r="M23" s="48"/>
      <c r="N23" s="48"/>
      <c r="O23" s="38"/>
      <c r="P23" s="47"/>
      <c r="Q23" s="47"/>
      <c r="R23" s="47"/>
    </row>
    <row r="24" s="20" customFormat="1" ht="51.75" spans="1:18">
      <c r="A24" s="29" t="s">
        <v>230</v>
      </c>
      <c r="B24" s="30">
        <v>130</v>
      </c>
      <c r="C24" s="30">
        <v>84</v>
      </c>
      <c r="D24" s="30">
        <v>13</v>
      </c>
      <c r="E24" s="31">
        <v>299</v>
      </c>
      <c r="F24" s="31">
        <v>3887</v>
      </c>
      <c r="G24" s="30">
        <v>13</v>
      </c>
      <c r="H24" s="30">
        <v>3</v>
      </c>
      <c r="I24" s="38"/>
      <c r="J24" s="48"/>
      <c r="K24" s="48"/>
      <c r="L24" s="48"/>
      <c r="M24" s="48"/>
      <c r="N24" s="48"/>
      <c r="O24" s="38"/>
      <c r="P24" s="47"/>
      <c r="Q24" s="47"/>
      <c r="R24" s="47"/>
    </row>
    <row r="25" s="20" customFormat="1" ht="17.25" spans="1:18">
      <c r="A25" s="29" t="s">
        <v>231</v>
      </c>
      <c r="B25" s="30">
        <v>66</v>
      </c>
      <c r="C25" s="30">
        <v>39</v>
      </c>
      <c r="D25" s="30">
        <v>1</v>
      </c>
      <c r="E25" s="31">
        <v>3000</v>
      </c>
      <c r="F25" s="31">
        <v>3000</v>
      </c>
      <c r="G25" s="30">
        <v>1</v>
      </c>
      <c r="H25" s="30">
        <v>1</v>
      </c>
      <c r="I25" s="38"/>
      <c r="J25" s="48"/>
      <c r="K25" s="48"/>
      <c r="L25" s="48"/>
      <c r="M25" s="48"/>
      <c r="N25" s="48"/>
      <c r="O25" s="38"/>
      <c r="P25" s="47"/>
      <c r="Q25" s="47"/>
      <c r="R25" s="47"/>
    </row>
    <row r="26" s="20" customFormat="1" ht="17.25" spans="1:18">
      <c r="A26" s="29" t="s">
        <v>232</v>
      </c>
      <c r="B26" s="30">
        <v>175</v>
      </c>
      <c r="C26" s="30">
        <v>107</v>
      </c>
      <c r="D26" s="30">
        <v>17</v>
      </c>
      <c r="E26" s="31">
        <v>168</v>
      </c>
      <c r="F26" s="31">
        <v>2856</v>
      </c>
      <c r="G26" s="30">
        <v>11</v>
      </c>
      <c r="H26" s="30">
        <v>5</v>
      </c>
      <c r="I26" s="38"/>
      <c r="J26" s="48"/>
      <c r="K26" s="48"/>
      <c r="L26" s="48"/>
      <c r="M26" s="48"/>
      <c r="N26" s="48"/>
      <c r="O26" s="38"/>
      <c r="P26" s="47"/>
      <c r="Q26" s="47"/>
      <c r="R26" s="47"/>
    </row>
    <row r="27" s="20" customFormat="1" ht="17.25" spans="1:18">
      <c r="A27" s="29" t="s">
        <v>233</v>
      </c>
      <c r="B27" s="30">
        <v>52</v>
      </c>
      <c r="C27" s="30">
        <v>40</v>
      </c>
      <c r="D27" s="30">
        <v>9</v>
      </c>
      <c r="E27" s="31">
        <v>300</v>
      </c>
      <c r="F27" s="31">
        <v>2700</v>
      </c>
      <c r="G27" s="30">
        <v>9</v>
      </c>
      <c r="H27" s="30">
        <v>1</v>
      </c>
      <c r="I27" s="38"/>
      <c r="J27" s="48"/>
      <c r="K27" s="48"/>
      <c r="L27" s="48"/>
      <c r="M27" s="48"/>
      <c r="N27" s="48"/>
      <c r="O27" s="38"/>
      <c r="P27" s="47"/>
      <c r="Q27" s="47"/>
      <c r="R27" s="47"/>
    </row>
    <row r="28" s="20" customFormat="1" ht="17.25" spans="1:18">
      <c r="A28" s="29" t="s">
        <v>234</v>
      </c>
      <c r="B28" s="30">
        <v>11</v>
      </c>
      <c r="C28" s="30">
        <v>10</v>
      </c>
      <c r="D28" s="30">
        <v>29</v>
      </c>
      <c r="E28" s="31">
        <v>240</v>
      </c>
      <c r="F28" s="31">
        <v>2552</v>
      </c>
      <c r="G28" s="30">
        <v>29</v>
      </c>
      <c r="H28" s="30">
        <v>20</v>
      </c>
      <c r="I28" s="38"/>
      <c r="J28" s="48"/>
      <c r="K28" s="48"/>
      <c r="L28" s="48"/>
      <c r="M28" s="48"/>
      <c r="N28" s="48"/>
      <c r="O28" s="38"/>
      <c r="P28" s="47"/>
      <c r="Q28" s="47"/>
      <c r="R28" s="47"/>
    </row>
    <row r="29" s="20" customFormat="1" ht="17.25" spans="1:18">
      <c r="A29" s="29" t="s">
        <v>235</v>
      </c>
      <c r="B29" s="30">
        <v>66</v>
      </c>
      <c r="C29" s="30">
        <v>53</v>
      </c>
      <c r="D29" s="30">
        <v>2</v>
      </c>
      <c r="E29" s="31">
        <v>1116</v>
      </c>
      <c r="F29" s="31">
        <v>2232</v>
      </c>
      <c r="G29" s="30">
        <v>2</v>
      </c>
      <c r="H29" s="30">
        <v>0</v>
      </c>
      <c r="I29" s="38"/>
      <c r="J29" s="48"/>
      <c r="K29" s="48"/>
      <c r="L29" s="48"/>
      <c r="M29" s="48"/>
      <c r="N29" s="48"/>
      <c r="O29" s="38"/>
      <c r="P29" s="47"/>
      <c r="Q29" s="47"/>
      <c r="R29" s="47"/>
    </row>
    <row r="30" s="20" customFormat="1" ht="17.25" spans="1:18">
      <c r="A30" s="29" t="s">
        <v>236</v>
      </c>
      <c r="B30" s="30">
        <v>145</v>
      </c>
      <c r="C30" s="30">
        <v>101</v>
      </c>
      <c r="D30" s="30">
        <v>21</v>
      </c>
      <c r="E30" s="31">
        <v>99</v>
      </c>
      <c r="F30" s="31">
        <v>2079</v>
      </c>
      <c r="G30" s="30">
        <v>21</v>
      </c>
      <c r="H30" s="30">
        <v>7</v>
      </c>
      <c r="I30" s="38"/>
      <c r="J30" s="48"/>
      <c r="K30" s="48"/>
      <c r="L30" s="48"/>
      <c r="M30" s="48"/>
      <c r="N30" s="48"/>
      <c r="O30" s="38"/>
      <c r="P30" s="47"/>
      <c r="Q30" s="47"/>
      <c r="R30" s="47"/>
    </row>
    <row r="31" s="20" customFormat="1" ht="17.25" spans="1:18">
      <c r="A31" s="29" t="s">
        <v>237</v>
      </c>
      <c r="B31" s="30">
        <v>134</v>
      </c>
      <c r="C31" s="30">
        <v>74</v>
      </c>
      <c r="D31" s="30">
        <v>21</v>
      </c>
      <c r="E31" s="31">
        <v>98</v>
      </c>
      <c r="F31" s="31">
        <v>2058</v>
      </c>
      <c r="G31" s="30">
        <v>13</v>
      </c>
      <c r="H31" s="30">
        <v>1</v>
      </c>
      <c r="I31" s="38"/>
      <c r="J31" s="48"/>
      <c r="K31" s="48"/>
      <c r="L31" s="48"/>
      <c r="M31" s="48"/>
      <c r="N31" s="48"/>
      <c r="O31" s="38"/>
      <c r="P31" s="47"/>
      <c r="Q31" s="47"/>
      <c r="R31" s="47"/>
    </row>
    <row r="32" s="20" customFormat="1" ht="17.25" spans="1:18">
      <c r="A32" s="29" t="s">
        <v>238</v>
      </c>
      <c r="B32" s="30">
        <v>47</v>
      </c>
      <c r="C32" s="30">
        <v>32</v>
      </c>
      <c r="D32" s="30">
        <v>1</v>
      </c>
      <c r="E32" s="31">
        <v>1688</v>
      </c>
      <c r="F32" s="31">
        <v>1688</v>
      </c>
      <c r="G32" s="30">
        <v>1</v>
      </c>
      <c r="H32" s="30">
        <v>0</v>
      </c>
      <c r="I32" s="38"/>
      <c r="J32" s="48"/>
      <c r="K32" s="48"/>
      <c r="L32" s="48"/>
      <c r="M32" s="48"/>
      <c r="N32" s="48"/>
      <c r="O32" s="38"/>
      <c r="P32" s="47"/>
      <c r="Q32" s="47"/>
      <c r="R32" s="47"/>
    </row>
    <row r="33" s="20" customFormat="1" ht="17.25" spans="1:18">
      <c r="A33" s="29" t="s">
        <v>239</v>
      </c>
      <c r="B33" s="30">
        <v>106</v>
      </c>
      <c r="C33" s="30">
        <v>83</v>
      </c>
      <c r="D33" s="30">
        <v>12</v>
      </c>
      <c r="E33" s="31">
        <v>138</v>
      </c>
      <c r="F33" s="31">
        <v>1656</v>
      </c>
      <c r="G33" s="30">
        <v>10</v>
      </c>
      <c r="H33" s="30">
        <v>2</v>
      </c>
      <c r="I33" s="38"/>
      <c r="J33" s="48"/>
      <c r="K33" s="48"/>
      <c r="L33" s="48"/>
      <c r="M33" s="48"/>
      <c r="N33" s="48"/>
      <c r="O33" s="38"/>
      <c r="P33" s="47"/>
      <c r="Q33" s="47"/>
      <c r="R33" s="47"/>
    </row>
    <row r="34" s="20" customFormat="1" ht="17.25" spans="1:18">
      <c r="A34" s="29" t="s">
        <v>240</v>
      </c>
      <c r="B34" s="30">
        <v>329</v>
      </c>
      <c r="C34" s="30">
        <v>202</v>
      </c>
      <c r="D34" s="30">
        <v>53</v>
      </c>
      <c r="E34" s="31">
        <v>29.9</v>
      </c>
      <c r="F34" s="31">
        <v>1584.7</v>
      </c>
      <c r="G34" s="30">
        <v>53</v>
      </c>
      <c r="H34" s="30">
        <v>11</v>
      </c>
      <c r="I34" s="38"/>
      <c r="J34" s="48"/>
      <c r="K34" s="48"/>
      <c r="L34" s="48"/>
      <c r="M34" s="48"/>
      <c r="N34" s="48"/>
      <c r="O34" s="38"/>
      <c r="P34" s="47"/>
      <c r="Q34" s="47"/>
      <c r="R34" s="47"/>
    </row>
    <row r="35" s="20" customFormat="1" ht="17.25" spans="1:18">
      <c r="A35" s="29" t="s">
        <v>241</v>
      </c>
      <c r="B35" s="30">
        <v>19</v>
      </c>
      <c r="C35" s="30">
        <v>19</v>
      </c>
      <c r="D35" s="30">
        <v>17</v>
      </c>
      <c r="E35" s="31">
        <v>250</v>
      </c>
      <c r="F35" s="31">
        <v>1496</v>
      </c>
      <c r="G35" s="30">
        <v>17</v>
      </c>
      <c r="H35" s="30">
        <v>10</v>
      </c>
      <c r="I35" s="38"/>
      <c r="J35" s="48"/>
      <c r="K35" s="48"/>
      <c r="L35" s="48"/>
      <c r="M35" s="48"/>
      <c r="N35" s="48"/>
      <c r="O35" s="38"/>
      <c r="P35" s="47"/>
      <c r="Q35" s="47"/>
      <c r="R35" s="47"/>
    </row>
    <row r="36" s="20" customFormat="1" ht="17.25" spans="1:18">
      <c r="A36" s="29" t="s">
        <v>242</v>
      </c>
      <c r="B36" s="30">
        <v>19</v>
      </c>
      <c r="C36" s="30">
        <v>13</v>
      </c>
      <c r="D36" s="30">
        <v>14</v>
      </c>
      <c r="E36" s="31">
        <v>193</v>
      </c>
      <c r="F36" s="31">
        <v>1232</v>
      </c>
      <c r="G36" s="30">
        <v>14</v>
      </c>
      <c r="H36" s="30">
        <v>7</v>
      </c>
      <c r="I36" s="38"/>
      <c r="J36" s="48"/>
      <c r="K36" s="48"/>
      <c r="L36" s="48"/>
      <c r="M36" s="48"/>
      <c r="N36" s="48"/>
      <c r="O36" s="38"/>
      <c r="P36" s="47"/>
      <c r="Q36" s="47"/>
      <c r="R36" s="47"/>
    </row>
    <row r="37" s="20" customFormat="1" ht="17.25" spans="1:8">
      <c r="A37" s="29" t="s">
        <v>243</v>
      </c>
      <c r="B37" s="30">
        <v>5</v>
      </c>
      <c r="C37" s="30">
        <v>4</v>
      </c>
      <c r="D37" s="30">
        <v>14</v>
      </c>
      <c r="E37" s="31">
        <v>158</v>
      </c>
      <c r="F37" s="31">
        <v>1232</v>
      </c>
      <c r="G37" s="30">
        <v>14</v>
      </c>
      <c r="H37" s="30">
        <v>10</v>
      </c>
    </row>
    <row r="38" customFormat="1" ht="17.25" spans="1:8">
      <c r="A38" s="29" t="s">
        <v>244</v>
      </c>
      <c r="B38" s="30">
        <v>45</v>
      </c>
      <c r="C38" s="30">
        <v>33</v>
      </c>
      <c r="D38" s="30">
        <v>11</v>
      </c>
      <c r="E38" s="31">
        <v>453</v>
      </c>
      <c r="F38" s="31">
        <v>968</v>
      </c>
      <c r="G38" s="30">
        <v>11</v>
      </c>
      <c r="H38" s="30">
        <v>8</v>
      </c>
    </row>
    <row r="39" customFormat="1" ht="17.25" spans="1:8">
      <c r="A39" s="29" t="s">
        <v>243</v>
      </c>
      <c r="B39" s="30">
        <v>12</v>
      </c>
      <c r="C39" s="30">
        <v>9</v>
      </c>
      <c r="D39" s="30">
        <v>11</v>
      </c>
      <c r="E39" s="31">
        <v>158</v>
      </c>
      <c r="F39" s="31">
        <v>968</v>
      </c>
      <c r="G39" s="30">
        <v>11</v>
      </c>
      <c r="H39" s="30">
        <v>7</v>
      </c>
    </row>
    <row r="40" customFormat="1" ht="17.25" spans="1:8">
      <c r="A40" s="29" t="s">
        <v>245</v>
      </c>
      <c r="B40" s="30">
        <v>9</v>
      </c>
      <c r="C40" s="30">
        <v>8</v>
      </c>
      <c r="D40" s="30">
        <v>10</v>
      </c>
      <c r="E40" s="31">
        <v>423</v>
      </c>
      <c r="F40" s="31">
        <v>880</v>
      </c>
      <c r="G40" s="30">
        <v>10</v>
      </c>
      <c r="H40" s="30">
        <v>5</v>
      </c>
    </row>
    <row r="41" customFormat="1" ht="34.5" spans="1:8">
      <c r="A41" s="29" t="s">
        <v>246</v>
      </c>
      <c r="B41" s="30">
        <v>82</v>
      </c>
      <c r="C41" s="30">
        <v>55</v>
      </c>
      <c r="D41" s="30">
        <v>9</v>
      </c>
      <c r="E41" s="31">
        <v>88</v>
      </c>
      <c r="F41" s="31">
        <v>792</v>
      </c>
      <c r="G41" s="30">
        <v>8</v>
      </c>
      <c r="H41" s="30">
        <v>2</v>
      </c>
    </row>
    <row r="42" customFormat="1" ht="17.25" spans="1:8">
      <c r="A42" s="29" t="s">
        <v>247</v>
      </c>
      <c r="B42" s="30">
        <v>65</v>
      </c>
      <c r="C42" s="30">
        <v>57</v>
      </c>
      <c r="D42" s="30">
        <v>1</v>
      </c>
      <c r="E42" s="31">
        <v>368</v>
      </c>
      <c r="F42" s="31">
        <v>368</v>
      </c>
      <c r="G42" s="30">
        <v>1</v>
      </c>
      <c r="H42" s="30">
        <v>0</v>
      </c>
    </row>
    <row r="43" customFormat="1" ht="17.25" spans="1:8">
      <c r="A43" s="29" t="s">
        <v>248</v>
      </c>
      <c r="B43" s="30">
        <v>58</v>
      </c>
      <c r="C43" s="30">
        <v>52</v>
      </c>
      <c r="D43" s="30">
        <v>3</v>
      </c>
      <c r="E43" s="31">
        <v>799</v>
      </c>
      <c r="F43" s="31">
        <v>264</v>
      </c>
      <c r="G43" s="30">
        <v>3</v>
      </c>
      <c r="H43" s="30">
        <v>2</v>
      </c>
    </row>
    <row r="44" customFormat="1" ht="51.75" spans="1:8">
      <c r="A44" s="29" t="s">
        <v>249</v>
      </c>
      <c r="B44" s="30">
        <v>35</v>
      </c>
      <c r="C44" s="30">
        <v>26</v>
      </c>
      <c r="D44" s="30">
        <v>0</v>
      </c>
      <c r="E44" s="31">
        <v>4000</v>
      </c>
      <c r="F44" s="31">
        <v>0</v>
      </c>
      <c r="G44" s="30">
        <v>0</v>
      </c>
      <c r="H44" s="30">
        <v>0</v>
      </c>
    </row>
    <row r="45" customFormat="1" ht="17.25" spans="1:8">
      <c r="A45" s="29" t="s">
        <v>250</v>
      </c>
      <c r="B45" s="30">
        <v>33</v>
      </c>
      <c r="C45" s="30">
        <v>26</v>
      </c>
      <c r="D45" s="30">
        <v>0</v>
      </c>
      <c r="E45" s="31">
        <v>1588</v>
      </c>
      <c r="F45" s="31">
        <v>0</v>
      </c>
      <c r="G45" s="30">
        <v>0</v>
      </c>
      <c r="H45" s="30">
        <v>0</v>
      </c>
    </row>
    <row r="46" customFormat="1" ht="17.25" spans="1:8">
      <c r="A46" s="29" t="s">
        <v>251</v>
      </c>
      <c r="B46" s="30">
        <v>14</v>
      </c>
      <c r="C46" s="30">
        <v>6</v>
      </c>
      <c r="D46" s="30">
        <v>0</v>
      </c>
      <c r="E46" s="31">
        <v>158</v>
      </c>
      <c r="F46" s="31">
        <v>0</v>
      </c>
      <c r="G46" s="30">
        <v>0</v>
      </c>
      <c r="H46" s="30">
        <v>0</v>
      </c>
    </row>
    <row r="47" customFormat="1" ht="17.25" spans="1:8">
      <c r="A47" s="29" t="s">
        <v>252</v>
      </c>
      <c r="B47" s="30">
        <v>12</v>
      </c>
      <c r="C47" s="30">
        <v>10</v>
      </c>
      <c r="D47" s="30">
        <v>0</v>
      </c>
      <c r="E47" s="31">
        <v>98</v>
      </c>
      <c r="F47" s="31">
        <v>0</v>
      </c>
      <c r="G47" s="30">
        <v>0</v>
      </c>
      <c r="H47" s="30">
        <v>0</v>
      </c>
    </row>
  </sheetData>
  <mergeCells count="3">
    <mergeCell ref="A1:R1"/>
    <mergeCell ref="I2:I36"/>
    <mergeCell ref="O2:O3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3:G1048576"/>
  <sheetViews>
    <sheetView workbookViewId="0">
      <selection activeCell="E30" sqref="E30"/>
    </sheetView>
  </sheetViews>
  <sheetFormatPr defaultColWidth="9" defaultRowHeight="13.5" outlineLevelCol="6"/>
  <cols>
    <col min="1" max="2" width="45.125" style="1" customWidth="1"/>
    <col min="3" max="16384" width="9" style="1"/>
  </cols>
  <sheetData>
    <row r="13" s="1" customFormat="1" ht="20.25" spans="1:7">
      <c r="A13" s="13" t="s">
        <v>253</v>
      </c>
      <c r="B13" s="13"/>
      <c r="C13" s="13"/>
      <c r="D13" s="13"/>
      <c r="E13" s="13"/>
      <c r="F13" s="13"/>
      <c r="G13" s="13"/>
    </row>
    <row r="14" s="1" customFormat="1" spans="1:7">
      <c r="A14" s="14" t="s">
        <v>8</v>
      </c>
      <c r="B14" s="14" t="s">
        <v>7</v>
      </c>
      <c r="C14" s="14" t="s">
        <v>254</v>
      </c>
      <c r="D14" s="14" t="s">
        <v>255</v>
      </c>
      <c r="E14" s="14" t="s">
        <v>81</v>
      </c>
      <c r="F14" s="14" t="s">
        <v>82</v>
      </c>
      <c r="G14" s="14" t="s">
        <v>78</v>
      </c>
    </row>
    <row r="15" s="1" customFormat="1" spans="1:7">
      <c r="A15" s="15" t="s">
        <v>256</v>
      </c>
      <c r="B15" s="15" t="s">
        <v>29</v>
      </c>
      <c r="C15" s="16">
        <v>199</v>
      </c>
      <c r="D15" s="17">
        <v>10</v>
      </c>
      <c r="E15" s="17">
        <v>10</v>
      </c>
      <c r="F15" s="16">
        <v>1990</v>
      </c>
      <c r="G15" s="17">
        <v>134</v>
      </c>
    </row>
    <row r="16" s="1" customFormat="1" spans="1:7">
      <c r="A16" s="15" t="s">
        <v>257</v>
      </c>
      <c r="B16" s="15" t="s">
        <v>126</v>
      </c>
      <c r="C16" s="16">
        <v>88</v>
      </c>
      <c r="D16" s="17">
        <v>10</v>
      </c>
      <c r="E16" s="17">
        <v>9</v>
      </c>
      <c r="F16" s="16">
        <v>792</v>
      </c>
      <c r="G16" s="17">
        <v>123</v>
      </c>
    </row>
    <row r="17" s="1" customFormat="1" spans="1:7">
      <c r="A17" s="15" t="s">
        <v>258</v>
      </c>
      <c r="B17" s="15" t="s">
        <v>59</v>
      </c>
      <c r="C17" s="16">
        <v>68</v>
      </c>
      <c r="D17" s="17">
        <v>10</v>
      </c>
      <c r="E17" s="17">
        <v>10</v>
      </c>
      <c r="F17" s="16">
        <v>680</v>
      </c>
      <c r="G17" s="17">
        <v>147</v>
      </c>
    </row>
    <row r="18" s="1" customFormat="1" spans="1:7">
      <c r="A18" s="15" t="s">
        <v>259</v>
      </c>
      <c r="B18" s="15" t="s">
        <v>29</v>
      </c>
      <c r="C18" s="16">
        <v>318</v>
      </c>
      <c r="D18" s="17">
        <v>10</v>
      </c>
      <c r="E18" s="17">
        <v>2</v>
      </c>
      <c r="F18" s="16">
        <v>636</v>
      </c>
      <c r="G18" s="17">
        <v>65</v>
      </c>
    </row>
    <row r="19" s="1" customFormat="1" spans="1:7">
      <c r="A19" s="15" t="s">
        <v>260</v>
      </c>
      <c r="B19" s="15" t="s">
        <v>50</v>
      </c>
      <c r="C19" s="16">
        <v>99</v>
      </c>
      <c r="D19" s="17">
        <v>10</v>
      </c>
      <c r="E19" s="17">
        <v>4</v>
      </c>
      <c r="F19" s="16">
        <v>396</v>
      </c>
      <c r="G19" s="17">
        <v>33</v>
      </c>
    </row>
    <row r="20" s="1" customFormat="1" spans="1:7">
      <c r="A20" s="15" t="s">
        <v>261</v>
      </c>
      <c r="B20" s="15" t="s">
        <v>29</v>
      </c>
      <c r="C20" s="16">
        <v>168</v>
      </c>
      <c r="D20" s="17">
        <v>10</v>
      </c>
      <c r="E20" s="17">
        <v>1</v>
      </c>
      <c r="F20" s="16">
        <v>168</v>
      </c>
      <c r="G20" s="17">
        <v>58</v>
      </c>
    </row>
    <row r="21" s="1" customFormat="1" spans="1:7">
      <c r="A21" s="15" t="s">
        <v>262</v>
      </c>
      <c r="B21" s="15" t="s">
        <v>50</v>
      </c>
      <c r="C21" s="16">
        <v>168</v>
      </c>
      <c r="D21" s="17">
        <v>10</v>
      </c>
      <c r="E21" s="17">
        <v>1</v>
      </c>
      <c r="F21" s="16">
        <v>168</v>
      </c>
      <c r="G21" s="17">
        <v>9</v>
      </c>
    </row>
    <row r="22" s="1" customFormat="1" spans="1:7">
      <c r="A22" s="15" t="s">
        <v>263</v>
      </c>
      <c r="B22" s="15" t="s">
        <v>126</v>
      </c>
      <c r="C22" s="16">
        <v>9.9</v>
      </c>
      <c r="D22" s="17">
        <v>10</v>
      </c>
      <c r="E22" s="17">
        <v>10</v>
      </c>
      <c r="F22" s="16">
        <v>99</v>
      </c>
      <c r="G22" s="17">
        <v>57</v>
      </c>
    </row>
    <row r="23" s="1" customFormat="1" spans="1:7">
      <c r="A23" s="15" t="s">
        <v>264</v>
      </c>
      <c r="B23" s="15" t="s">
        <v>73</v>
      </c>
      <c r="C23" s="16">
        <v>19.9</v>
      </c>
      <c r="D23" s="17">
        <v>10</v>
      </c>
      <c r="E23" s="17">
        <v>2</v>
      </c>
      <c r="F23" s="16">
        <v>39.8</v>
      </c>
      <c r="G23" s="17">
        <v>19</v>
      </c>
    </row>
    <row r="24" s="1" customFormat="1" spans="1:7">
      <c r="A24" s="15" t="s">
        <v>265</v>
      </c>
      <c r="B24" s="15" t="s">
        <v>50</v>
      </c>
      <c r="C24" s="16">
        <v>9.9</v>
      </c>
      <c r="D24" s="17">
        <v>10</v>
      </c>
      <c r="E24" s="17">
        <v>4</v>
      </c>
      <c r="F24" s="16">
        <v>39.6</v>
      </c>
      <c r="G24" s="17">
        <v>24</v>
      </c>
    </row>
    <row r="25" s="1" customFormat="1" spans="1:7">
      <c r="A25" s="15" t="s">
        <v>266</v>
      </c>
      <c r="B25" s="15" t="s">
        <v>50</v>
      </c>
      <c r="C25" s="16">
        <v>28</v>
      </c>
      <c r="D25" s="17">
        <v>10</v>
      </c>
      <c r="E25" s="17">
        <v>1</v>
      </c>
      <c r="F25" s="16">
        <v>28</v>
      </c>
      <c r="G25" s="17">
        <v>19</v>
      </c>
    </row>
    <row r="26" s="1" customFormat="1" spans="5:6">
      <c r="E26" s="18">
        <v>54</v>
      </c>
      <c r="F26" s="19">
        <v>5036.4</v>
      </c>
    </row>
    <row r="1048575" customFormat="1"/>
    <row r="1048576" customFormat="1"/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3:G1048576"/>
  <sheetViews>
    <sheetView topLeftCell="A7" workbookViewId="0">
      <selection activeCell="A1" sqref="$A1:$XFD1048573"/>
    </sheetView>
  </sheetViews>
  <sheetFormatPr defaultColWidth="9" defaultRowHeight="13.5" outlineLevelCol="6"/>
  <cols>
    <col min="1" max="16384" width="9" style="1"/>
  </cols>
  <sheetData>
    <row r="13" s="1" customFormat="1" ht="16" customHeight="1"/>
    <row r="14" s="1" customFormat="1" ht="20.25" spans="1:7">
      <c r="A14" s="2" t="s">
        <v>267</v>
      </c>
      <c r="B14" s="2"/>
      <c r="C14" s="2"/>
      <c r="D14" s="2"/>
      <c r="E14" s="2"/>
      <c r="F14" s="2"/>
      <c r="G14" s="2"/>
    </row>
    <row r="15" s="1" customFormat="1" spans="1:7">
      <c r="A15" s="3" t="s">
        <v>8</v>
      </c>
      <c r="B15" s="3" t="s">
        <v>7</v>
      </c>
      <c r="C15" s="3" t="s">
        <v>254</v>
      </c>
      <c r="D15" s="3" t="s">
        <v>255</v>
      </c>
      <c r="E15" s="4" t="s">
        <v>268</v>
      </c>
      <c r="F15" s="3" t="s">
        <v>82</v>
      </c>
      <c r="G15" s="4" t="s">
        <v>269</v>
      </c>
    </row>
    <row r="16" s="1" customFormat="1" spans="1:7">
      <c r="A16" s="5" t="s">
        <v>270</v>
      </c>
      <c r="B16" s="5" t="s">
        <v>29</v>
      </c>
      <c r="C16" s="6">
        <v>199</v>
      </c>
      <c r="D16" s="6">
        <v>100</v>
      </c>
      <c r="E16" s="7">
        <v>29</v>
      </c>
      <c r="F16" s="8">
        <v>5771</v>
      </c>
      <c r="G16" s="7">
        <v>146</v>
      </c>
    </row>
    <row r="17" s="1" customFormat="1" spans="1:7">
      <c r="A17" s="5" t="s">
        <v>271</v>
      </c>
      <c r="B17" s="5" t="s">
        <v>59</v>
      </c>
      <c r="C17" s="6">
        <v>68</v>
      </c>
      <c r="D17" s="9"/>
      <c r="E17" s="7">
        <v>30</v>
      </c>
      <c r="F17" s="8">
        <v>2040</v>
      </c>
      <c r="G17" s="7">
        <v>153</v>
      </c>
    </row>
    <row r="18" s="1" customFormat="1" spans="1:7">
      <c r="A18" s="5" t="s">
        <v>272</v>
      </c>
      <c r="B18" s="5" t="s">
        <v>50</v>
      </c>
      <c r="C18" s="6">
        <v>168</v>
      </c>
      <c r="D18" s="5"/>
      <c r="E18" s="7">
        <v>20</v>
      </c>
      <c r="F18" s="8">
        <v>1776</v>
      </c>
      <c r="G18" s="7">
        <v>70</v>
      </c>
    </row>
    <row r="19" s="1" customFormat="1" spans="1:7">
      <c r="A19" s="10" t="s">
        <v>273</v>
      </c>
      <c r="B19" s="5" t="s">
        <v>50</v>
      </c>
      <c r="C19" s="6">
        <v>128</v>
      </c>
      <c r="D19" s="11"/>
      <c r="E19" s="7">
        <v>30</v>
      </c>
      <c r="F19" s="8">
        <v>1764</v>
      </c>
      <c r="G19" s="7">
        <v>165</v>
      </c>
    </row>
    <row r="20" s="1" customFormat="1" spans="1:7">
      <c r="A20" s="10" t="s">
        <v>142</v>
      </c>
      <c r="B20" s="5" t="s">
        <v>69</v>
      </c>
      <c r="C20" s="6">
        <v>1580</v>
      </c>
      <c r="D20" s="11"/>
      <c r="E20" s="7">
        <v>1</v>
      </c>
      <c r="F20" s="8">
        <v>1580</v>
      </c>
      <c r="G20" s="7">
        <v>5</v>
      </c>
    </row>
    <row r="21" s="1" customFormat="1" spans="1:7">
      <c r="A21" s="10" t="s">
        <v>274</v>
      </c>
      <c r="B21" s="5" t="s">
        <v>69</v>
      </c>
      <c r="C21" s="6">
        <v>699.5</v>
      </c>
      <c r="D21" s="11"/>
      <c r="E21" s="7">
        <v>2</v>
      </c>
      <c r="F21" s="8">
        <v>1399</v>
      </c>
      <c r="G21" s="7">
        <v>22</v>
      </c>
    </row>
    <row r="22" s="1" customFormat="1" spans="1:7">
      <c r="A22" s="10" t="s">
        <v>275</v>
      </c>
      <c r="B22" s="5" t="s">
        <v>69</v>
      </c>
      <c r="C22" s="6">
        <v>1399</v>
      </c>
      <c r="D22" s="11"/>
      <c r="E22" s="7">
        <v>1</v>
      </c>
      <c r="F22" s="8">
        <v>1399</v>
      </c>
      <c r="G22" s="7">
        <v>18</v>
      </c>
    </row>
    <row r="23" s="1" customFormat="1" spans="1:7">
      <c r="A23" s="10" t="s">
        <v>276</v>
      </c>
      <c r="B23" s="5" t="s">
        <v>126</v>
      </c>
      <c r="C23" s="6">
        <v>88</v>
      </c>
      <c r="D23" s="6">
        <v>50</v>
      </c>
      <c r="E23" s="7">
        <v>8</v>
      </c>
      <c r="F23" s="8">
        <v>704</v>
      </c>
      <c r="G23" s="7">
        <v>56</v>
      </c>
    </row>
    <row r="24" s="1" customFormat="1" spans="1:7">
      <c r="A24" s="10" t="s">
        <v>277</v>
      </c>
      <c r="B24" s="5" t="s">
        <v>126</v>
      </c>
      <c r="C24" s="6">
        <v>98</v>
      </c>
      <c r="D24" s="6">
        <v>50</v>
      </c>
      <c r="E24" s="7">
        <v>7</v>
      </c>
      <c r="F24" s="8">
        <v>686</v>
      </c>
      <c r="G24" s="7">
        <v>43</v>
      </c>
    </row>
    <row r="25" s="1" customFormat="1" spans="1:7">
      <c r="A25" s="10" t="s">
        <v>278</v>
      </c>
      <c r="B25" s="5" t="s">
        <v>50</v>
      </c>
      <c r="C25" s="6">
        <v>128</v>
      </c>
      <c r="D25" s="11"/>
      <c r="E25" s="7">
        <v>10</v>
      </c>
      <c r="F25" s="8">
        <v>588</v>
      </c>
      <c r="G25" s="7">
        <v>115</v>
      </c>
    </row>
    <row r="26" s="1" customFormat="1" spans="1:7">
      <c r="A26" s="10" t="s">
        <v>279</v>
      </c>
      <c r="B26" s="5" t="s">
        <v>50</v>
      </c>
      <c r="C26" s="6">
        <v>98</v>
      </c>
      <c r="D26" s="6">
        <v>50</v>
      </c>
      <c r="E26" s="7">
        <v>4</v>
      </c>
      <c r="F26" s="8">
        <v>392</v>
      </c>
      <c r="G26" s="7">
        <v>16</v>
      </c>
    </row>
    <row r="27" s="1" customFormat="1" spans="1:7">
      <c r="A27" s="10" t="s">
        <v>280</v>
      </c>
      <c r="B27" s="5" t="s">
        <v>29</v>
      </c>
      <c r="C27" s="6">
        <v>188</v>
      </c>
      <c r="D27" s="6">
        <v>100</v>
      </c>
      <c r="E27" s="7">
        <v>2</v>
      </c>
      <c r="F27" s="8">
        <v>376</v>
      </c>
      <c r="G27" s="7">
        <v>12</v>
      </c>
    </row>
    <row r="28" s="1" customFormat="1" spans="1:7">
      <c r="A28" s="10" t="s">
        <v>281</v>
      </c>
      <c r="B28" s="5" t="s">
        <v>50</v>
      </c>
      <c r="C28" s="6">
        <v>168</v>
      </c>
      <c r="D28" s="6">
        <v>50</v>
      </c>
      <c r="E28" s="7">
        <v>2</v>
      </c>
      <c r="F28" s="8">
        <v>336</v>
      </c>
      <c r="G28" s="7">
        <v>8</v>
      </c>
    </row>
    <row r="29" s="1" customFormat="1" spans="1:7">
      <c r="A29" s="10" t="s">
        <v>282</v>
      </c>
      <c r="B29" s="5" t="s">
        <v>50</v>
      </c>
      <c r="C29" s="6">
        <v>38</v>
      </c>
      <c r="D29" s="6">
        <v>50</v>
      </c>
      <c r="E29" s="7">
        <v>5</v>
      </c>
      <c r="F29" s="8">
        <v>190</v>
      </c>
      <c r="G29" s="7">
        <v>27</v>
      </c>
    </row>
    <row r="30" s="1" customFormat="1" spans="1:7">
      <c r="A30" s="10" t="s">
        <v>283</v>
      </c>
      <c r="B30" s="5" t="s">
        <v>126</v>
      </c>
      <c r="C30" s="6">
        <v>88</v>
      </c>
      <c r="D30" s="6">
        <v>50</v>
      </c>
      <c r="E30" s="7">
        <v>2</v>
      </c>
      <c r="F30" s="8">
        <v>176</v>
      </c>
      <c r="G30" s="7">
        <v>15</v>
      </c>
    </row>
    <row r="31" s="1" customFormat="1" spans="1:7">
      <c r="A31" s="10" t="s">
        <v>284</v>
      </c>
      <c r="B31" s="5" t="s">
        <v>50</v>
      </c>
      <c r="C31" s="6">
        <v>28</v>
      </c>
      <c r="D31" s="6">
        <v>50</v>
      </c>
      <c r="E31" s="7">
        <v>3</v>
      </c>
      <c r="F31" s="8">
        <v>84</v>
      </c>
      <c r="G31" s="7">
        <v>23</v>
      </c>
    </row>
    <row r="32" s="1" customFormat="1" spans="1:7">
      <c r="A32" s="10" t="s">
        <v>285</v>
      </c>
      <c r="B32" s="5" t="s">
        <v>50</v>
      </c>
      <c r="C32" s="6">
        <v>9.9</v>
      </c>
      <c r="D32" s="6">
        <v>50</v>
      </c>
      <c r="E32" s="7">
        <v>4</v>
      </c>
      <c r="F32" s="8">
        <v>39.6</v>
      </c>
      <c r="G32" s="7">
        <v>23</v>
      </c>
    </row>
    <row r="33" s="1" customFormat="1" spans="1:7">
      <c r="A33" s="10" t="s">
        <v>286</v>
      </c>
      <c r="B33" s="5" t="s">
        <v>126</v>
      </c>
      <c r="C33" s="6">
        <v>38</v>
      </c>
      <c r="D33" s="6">
        <v>50</v>
      </c>
      <c r="E33" s="7">
        <v>1</v>
      </c>
      <c r="F33" s="8">
        <v>38</v>
      </c>
      <c r="G33" s="7">
        <v>8</v>
      </c>
    </row>
    <row r="34" s="1" customFormat="1" spans="1:7">
      <c r="A34" s="10" t="s">
        <v>287</v>
      </c>
      <c r="B34" s="5" t="s">
        <v>50</v>
      </c>
      <c r="C34" s="6">
        <v>9.9</v>
      </c>
      <c r="D34" s="6">
        <v>50</v>
      </c>
      <c r="E34" s="7">
        <v>3</v>
      </c>
      <c r="F34" s="8">
        <v>29.7</v>
      </c>
      <c r="G34" s="7">
        <v>14</v>
      </c>
    </row>
    <row r="35" s="1" customFormat="1" spans="1:7">
      <c r="A35" s="10" t="s">
        <v>288</v>
      </c>
      <c r="B35" s="5" t="s">
        <v>73</v>
      </c>
      <c r="C35" s="6">
        <v>19.9</v>
      </c>
      <c r="D35" s="11"/>
      <c r="E35" s="7">
        <v>1</v>
      </c>
      <c r="F35" s="8">
        <v>9.9</v>
      </c>
      <c r="G35" s="7">
        <v>22</v>
      </c>
    </row>
    <row r="36" s="1" customFormat="1" ht="15" spans="6:6">
      <c r="F36" s="12">
        <v>19378.2</v>
      </c>
    </row>
    <row r="1048574" customFormat="1"/>
    <row r="1048575" customFormat="1"/>
    <row r="1048576" customFormat="1"/>
  </sheetData>
  <mergeCells count="1">
    <mergeCell ref="A14:G14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24" sqref="M24"/>
    </sheetView>
  </sheetViews>
  <sheetFormatPr defaultColWidth="9" defaultRowHeight="13.5"/>
  <cols>
    <col min="1" max="16384" width="9" style="1"/>
  </cols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25年双十一产品方案</vt:lpstr>
      <vt:lpstr>25年秋促活动数据</vt:lpstr>
      <vt:lpstr>25年春促活动数据</vt:lpstr>
      <vt:lpstr>24年秋促活动数据 </vt:lpstr>
      <vt:lpstr>25年粉丝日活动数据（10月15日）</vt:lpstr>
      <vt:lpstr>25年粉丝日活动数据（8月20日）</vt:lpstr>
      <vt:lpstr>25年粉丝日活动数据（7月16日）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Joe</cp:lastModifiedBy>
  <dcterms:created xsi:type="dcterms:W3CDTF">2023-05-12T11:15:00Z</dcterms:created>
  <dcterms:modified xsi:type="dcterms:W3CDTF">2025-10-27T08:31:20Z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1748A953B95C439AA52E8E59D5FEE320_13</vt:lpwstr>
  </property>
</Properties>
</file>